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tcenergy.sharepoint.com/sites/QTC_Purchase/Shared Documents/Purchasing/1.1 เป้าหมายคุณภาพ-จัดซื้อ/03 Cost Reduction/2026/"/>
    </mc:Choice>
  </mc:AlternateContent>
  <xr:revisionPtr revIDLastSave="443" documentId="11_46DE017DCA87F7D0533E2706C52F72248F205087" xr6:coauthVersionLast="47" xr6:coauthVersionMax="47" xr10:uidLastSave="{C0D4E716-020A-4902-9051-D7C8D723C3DD}"/>
  <bookViews>
    <workbookView xWindow="-120" yWindow="-120" windowWidth="20730" windowHeight="11160" tabRatio="725" xr2:uid="{00000000-000D-0000-FFFF-FFFF00000000}"/>
  </bookViews>
  <sheets>
    <sheet name="Data" sheetId="29" r:id="rId1"/>
    <sheet name="สรุป-รายเดือน" sheetId="23" r:id="rId2"/>
    <sheet name="Sheet2" sheetId="34" r:id="rId3"/>
    <sheet name="สรุป-รายปี" sheetId="30" r:id="rId4"/>
    <sheet name="มูลค่าซื้อ" sheetId="32" r:id="rId5"/>
    <sheet name="Improve#1" sheetId="24" r:id="rId6"/>
    <sheet name="Sheet4" sheetId="28" r:id="rId7"/>
    <sheet name="Kaizen Cost saving " sheetId="20" r:id="rId8"/>
    <sheet name="Set" sheetId="31" r:id="rId9"/>
  </sheets>
  <definedNames>
    <definedName name="_xlnm._FilterDatabase" localSheetId="0" hidden="1">Data!$A$2:$S$3583</definedName>
    <definedName name="_xlnm._FilterDatabase" localSheetId="5" hidden="1">'Improve#1'!$A$3:$N$1248</definedName>
    <definedName name="_xlnm.Print_Area" localSheetId="1">'สรุป-รายเดือน'!$A$1:$J$44</definedName>
  </definedNames>
  <calcPr calcId="191028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08" i="29" l="1"/>
  <c r="K4508" i="29"/>
  <c r="L4508" i="29"/>
  <c r="M4508" i="29"/>
  <c r="I4509" i="29"/>
  <c r="K4509" i="29"/>
  <c r="L4509" i="29"/>
  <c r="M4509" i="29"/>
  <c r="I4510" i="29"/>
  <c r="K4510" i="29"/>
  <c r="L4510" i="29"/>
  <c r="M4510" i="29"/>
  <c r="I4511" i="29"/>
  <c r="K4511" i="29"/>
  <c r="L4511" i="29" s="1"/>
  <c r="M4511" i="29"/>
  <c r="I4512" i="29"/>
  <c r="K4512" i="29"/>
  <c r="L4512" i="29"/>
  <c r="M4512" i="29"/>
  <c r="I4513" i="29"/>
  <c r="K4513" i="29"/>
  <c r="L4513" i="29" s="1"/>
  <c r="M4513" i="29"/>
  <c r="I4514" i="29"/>
  <c r="K4514" i="29"/>
  <c r="L4514" i="29"/>
  <c r="M4514" i="29"/>
  <c r="I4515" i="29"/>
  <c r="K4515" i="29"/>
  <c r="I4516" i="29"/>
  <c r="K4516" i="29"/>
  <c r="L4516" i="29"/>
  <c r="M4516" i="29"/>
  <c r="I4517" i="29"/>
  <c r="K4517" i="29"/>
  <c r="L4517" i="29" s="1"/>
  <c r="M4517" i="29"/>
  <c r="I4518" i="29"/>
  <c r="K4518" i="29"/>
  <c r="L4518" i="29" s="1"/>
  <c r="M4518" i="29"/>
  <c r="K4492" i="29"/>
  <c r="K4493" i="29"/>
  <c r="L4493" i="29" s="1"/>
  <c r="M4493" i="29"/>
  <c r="K4494" i="29"/>
  <c r="L4494" i="29" s="1"/>
  <c r="M4494" i="29"/>
  <c r="K4495" i="29"/>
  <c r="K4496" i="29"/>
  <c r="K4497" i="29"/>
  <c r="K4498" i="29"/>
  <c r="K4499" i="29"/>
  <c r="K4500" i="29"/>
  <c r="K4501" i="29"/>
  <c r="L4501" i="29" s="1"/>
  <c r="M4501" i="29"/>
  <c r="K4502" i="29"/>
  <c r="L4502" i="29"/>
  <c r="M4502" i="29"/>
  <c r="K4503" i="29"/>
  <c r="L4503" i="29" s="1"/>
  <c r="M4503" i="29"/>
  <c r="K4504" i="29"/>
  <c r="L4504" i="29"/>
  <c r="M4504" i="29"/>
  <c r="K4505" i="29"/>
  <c r="L4505" i="29"/>
  <c r="M4505" i="29"/>
  <c r="K4506" i="29"/>
  <c r="K4507" i="29"/>
  <c r="K4491" i="29"/>
  <c r="L4491" i="29" s="1"/>
  <c r="I4494" i="29"/>
  <c r="I4495" i="29"/>
  <c r="I4496" i="29"/>
  <c r="I4497" i="29"/>
  <c r="I4498" i="29"/>
  <c r="I4499" i="29"/>
  <c r="I4500" i="29"/>
  <c r="I4501" i="29"/>
  <c r="I4502" i="29"/>
  <c r="I4503" i="29"/>
  <c r="I4504" i="29"/>
  <c r="I4505" i="29"/>
  <c r="I4506" i="29"/>
  <c r="I4507" i="29"/>
  <c r="I4489" i="29"/>
  <c r="I4490" i="29"/>
  <c r="I4491" i="29"/>
  <c r="I4492" i="29"/>
  <c r="I4493" i="29"/>
  <c r="I4484" i="29"/>
  <c r="I4485" i="29"/>
  <c r="I4486" i="29"/>
  <c r="I4487" i="29"/>
  <c r="I4488" i="29"/>
  <c r="I4483" i="29"/>
  <c r="J4482" i="29"/>
  <c r="J4481" i="29"/>
  <c r="K4481" i="29" s="1"/>
  <c r="J4480" i="29"/>
  <c r="K4480" i="29"/>
  <c r="K4482" i="29"/>
  <c r="K4483" i="29"/>
  <c r="M4483" i="29" s="1"/>
  <c r="L4483" i="29"/>
  <c r="K4484" i="29"/>
  <c r="M4484" i="29" s="1"/>
  <c r="L4484" i="29"/>
  <c r="K4485" i="29"/>
  <c r="K4486" i="29"/>
  <c r="M4486" i="29" s="1"/>
  <c r="L4486" i="29"/>
  <c r="K4487" i="29"/>
  <c r="M4487" i="29" s="1"/>
  <c r="L4487" i="29"/>
  <c r="K4488" i="29"/>
  <c r="K4489" i="29"/>
  <c r="M4489" i="29" s="1"/>
  <c r="L4489" i="29"/>
  <c r="K4490" i="29"/>
  <c r="I4482" i="29"/>
  <c r="I4481" i="29"/>
  <c r="K4479" i="29"/>
  <c r="L4479" i="29" s="1"/>
  <c r="K4478" i="29"/>
  <c r="M4478" i="29" s="1"/>
  <c r="M4477" i="29"/>
  <c r="M4479" i="29"/>
  <c r="I4477" i="29"/>
  <c r="I4478" i="29"/>
  <c r="I4479" i="29"/>
  <c r="I4480" i="29"/>
  <c r="I4475" i="29"/>
  <c r="I4476" i="29"/>
  <c r="J4474" i="29"/>
  <c r="H4474" i="29"/>
  <c r="I4473" i="29"/>
  <c r="I4474" i="29"/>
  <c r="I4470" i="29"/>
  <c r="I4471" i="29"/>
  <c r="I4472" i="29"/>
  <c r="K4470" i="29"/>
  <c r="M4470" i="29" s="1"/>
  <c r="K4471" i="29"/>
  <c r="M4471" i="29" s="1"/>
  <c r="K4472" i="29"/>
  <c r="M4472" i="29" s="1"/>
  <c r="K4473" i="29"/>
  <c r="M4473" i="29" s="1"/>
  <c r="K4474" i="29"/>
  <c r="K4475" i="29"/>
  <c r="M4475" i="29" s="1"/>
  <c r="K4476" i="29"/>
  <c r="M4476" i="29" s="1"/>
  <c r="K4477" i="29"/>
  <c r="D16" i="34"/>
  <c r="C16" i="34"/>
  <c r="B16" i="34"/>
  <c r="K4469" i="29"/>
  <c r="I4469" i="29"/>
  <c r="K4468" i="29"/>
  <c r="M4468" i="29" s="1"/>
  <c r="I4468" i="29"/>
  <c r="K4467" i="29"/>
  <c r="M4467" i="29" s="1"/>
  <c r="I4467" i="29"/>
  <c r="K4466" i="29"/>
  <c r="M4466" i="29"/>
  <c r="I4466" i="29"/>
  <c r="K4465" i="29"/>
  <c r="L4465" i="29" s="1"/>
  <c r="M4465" i="29"/>
  <c r="I4465" i="29"/>
  <c r="L4466" i="29"/>
  <c r="L4467" i="29"/>
  <c r="L4470" i="29"/>
  <c r="L4471" i="29"/>
  <c r="L4472" i="29"/>
  <c r="L4473" i="29"/>
  <c r="L4475" i="29"/>
  <c r="L4476" i="29"/>
  <c r="L4477" i="29"/>
  <c r="K4464" i="29"/>
  <c r="L4464" i="29" s="1"/>
  <c r="M4464" i="29"/>
  <c r="L4495" i="29" l="1"/>
  <c r="M4495" i="29"/>
  <c r="L4496" i="29"/>
  <c r="M4496" i="29"/>
  <c r="L4515" i="29"/>
  <c r="M4515" i="29"/>
  <c r="M4492" i="29"/>
  <c r="L4492" i="29"/>
  <c r="L4497" i="29"/>
  <c r="M4497" i="29"/>
  <c r="L4498" i="29"/>
  <c r="M4498" i="29"/>
  <c r="L4499" i="29"/>
  <c r="M4499" i="29"/>
  <c r="L4500" i="29"/>
  <c r="M4500" i="29"/>
  <c r="M4506" i="29"/>
  <c r="L4506" i="29"/>
  <c r="M4507" i="29"/>
  <c r="L4507" i="29"/>
  <c r="M4490" i="29"/>
  <c r="L4490" i="29"/>
  <c r="M4491" i="29"/>
  <c r="L4488" i="29"/>
  <c r="M4488" i="29"/>
  <c r="L4485" i="29"/>
  <c r="M4485" i="29"/>
  <c r="M4482" i="29"/>
  <c r="L4482" i="29"/>
  <c r="M4480" i="29"/>
  <c r="L4480" i="29"/>
  <c r="M4481" i="29"/>
  <c r="L4481" i="29"/>
  <c r="L4478" i="29"/>
  <c r="M4474" i="29"/>
  <c r="L4474" i="29"/>
  <c r="M4469" i="29"/>
  <c r="L4469" i="29"/>
  <c r="L4468" i="29"/>
  <c r="I4463" i="29" l="1"/>
  <c r="I4464" i="29"/>
  <c r="K4462" i="29"/>
  <c r="K4463" i="29"/>
  <c r="K4453" i="29"/>
  <c r="K4454" i="29"/>
  <c r="K4455" i="29"/>
  <c r="K4456" i="29"/>
  <c r="K4457" i="29"/>
  <c r="K4458" i="29"/>
  <c r="K4459" i="29"/>
  <c r="K4460" i="29"/>
  <c r="K4461" i="29"/>
  <c r="I4453" i="29"/>
  <c r="I4454" i="29"/>
  <c r="I4455" i="29"/>
  <c r="I4456" i="29"/>
  <c r="I4457" i="29"/>
  <c r="I4458" i="29"/>
  <c r="I4459" i="29"/>
  <c r="I4460" i="29"/>
  <c r="I4461" i="29"/>
  <c r="I4462" i="29"/>
  <c r="K4448" i="29"/>
  <c r="I4448" i="29"/>
  <c r="K4434" i="29"/>
  <c r="L4434" i="29"/>
  <c r="M4434" i="29"/>
  <c r="K4435" i="29"/>
  <c r="L4435" i="29"/>
  <c r="M4435" i="29"/>
  <c r="K4436" i="29"/>
  <c r="L4436" i="29"/>
  <c r="M4436" i="29"/>
  <c r="K4437" i="29"/>
  <c r="L4437" i="29"/>
  <c r="M4437" i="29"/>
  <c r="K4438" i="29"/>
  <c r="L4438" i="29"/>
  <c r="M4438" i="29"/>
  <c r="K4439" i="29"/>
  <c r="L4439" i="29"/>
  <c r="M4439" i="29"/>
  <c r="K4440" i="29"/>
  <c r="L4440" i="29"/>
  <c r="M4440" i="29"/>
  <c r="K4441" i="29"/>
  <c r="L4441" i="29"/>
  <c r="M4441" i="29"/>
  <c r="K4442" i="29"/>
  <c r="L4442" i="29"/>
  <c r="M4442" i="29"/>
  <c r="K4443" i="29"/>
  <c r="L4443" i="29"/>
  <c r="M4443" i="29"/>
  <c r="K4444" i="29"/>
  <c r="M4444" i="29" s="1"/>
  <c r="L4444" i="29"/>
  <c r="K4445" i="29"/>
  <c r="L4445" i="29"/>
  <c r="M4445" i="29"/>
  <c r="K4446" i="29"/>
  <c r="L4446" i="29"/>
  <c r="M4446" i="29"/>
  <c r="K4447" i="29"/>
  <c r="L4447" i="29"/>
  <c r="M4447" i="29"/>
  <c r="K4449" i="29"/>
  <c r="L4449" i="29"/>
  <c r="M4449" i="29"/>
  <c r="K4450" i="29"/>
  <c r="L4450" i="29"/>
  <c r="M4450" i="29"/>
  <c r="K4451" i="29"/>
  <c r="L4451" i="29"/>
  <c r="M4451" i="29"/>
  <c r="K4452" i="29"/>
  <c r="L4452" i="29"/>
  <c r="M4452" i="29"/>
  <c r="I4433" i="29"/>
  <c r="I4434" i="29"/>
  <c r="I4435" i="29"/>
  <c r="I4436" i="29"/>
  <c r="I4437" i="29"/>
  <c r="I4438" i="29"/>
  <c r="I4439" i="29"/>
  <c r="I4440" i="29"/>
  <c r="I4441" i="29"/>
  <c r="I4442" i="29"/>
  <c r="I4443" i="29"/>
  <c r="I4444" i="29"/>
  <c r="I4445" i="29"/>
  <c r="I4446" i="29"/>
  <c r="I4447" i="29"/>
  <c r="I4449" i="29"/>
  <c r="I4450" i="29"/>
  <c r="I4451" i="29"/>
  <c r="I4452" i="29"/>
  <c r="K4410" i="29"/>
  <c r="L4410" i="29"/>
  <c r="M4410" i="29"/>
  <c r="K4411" i="29"/>
  <c r="L4411" i="29"/>
  <c r="M4411" i="29"/>
  <c r="K4412" i="29"/>
  <c r="L4412" i="29"/>
  <c r="M4412" i="29"/>
  <c r="K4413" i="29"/>
  <c r="L4413" i="29"/>
  <c r="M4413" i="29"/>
  <c r="K4414" i="29"/>
  <c r="L4414" i="29"/>
  <c r="M4414" i="29"/>
  <c r="K4415" i="29"/>
  <c r="L4415" i="29"/>
  <c r="M4415" i="29"/>
  <c r="K4416" i="29"/>
  <c r="L4416" i="29" s="1"/>
  <c r="M4416" i="29"/>
  <c r="K4417" i="29"/>
  <c r="L4417" i="29"/>
  <c r="M4417" i="29"/>
  <c r="K4418" i="29"/>
  <c r="L4418" i="29"/>
  <c r="M4418" i="29"/>
  <c r="K4419" i="29"/>
  <c r="L4419" i="29"/>
  <c r="M4419" i="29"/>
  <c r="K4420" i="29"/>
  <c r="L4420" i="29"/>
  <c r="M4420" i="29"/>
  <c r="K4421" i="29"/>
  <c r="L4421" i="29"/>
  <c r="M4421" i="29"/>
  <c r="K4422" i="29"/>
  <c r="L4422" i="29"/>
  <c r="M4422" i="29"/>
  <c r="K4423" i="29"/>
  <c r="L4423" i="29"/>
  <c r="M4423" i="29"/>
  <c r="K4424" i="29"/>
  <c r="L4424" i="29"/>
  <c r="M4424" i="29"/>
  <c r="K4425" i="29"/>
  <c r="K4426" i="29"/>
  <c r="L4426" i="29"/>
  <c r="M4426" i="29"/>
  <c r="K4427" i="29"/>
  <c r="L4427" i="29"/>
  <c r="M4427" i="29"/>
  <c r="K4428" i="29"/>
  <c r="L4428" i="29"/>
  <c r="M4428" i="29"/>
  <c r="K4429" i="29"/>
  <c r="L4429" i="29"/>
  <c r="M4429" i="29"/>
  <c r="K4430" i="29"/>
  <c r="L4430" i="29"/>
  <c r="M4430" i="29"/>
  <c r="K4431" i="29"/>
  <c r="L4431" i="29"/>
  <c r="M4431" i="29"/>
  <c r="K4432" i="29"/>
  <c r="L4432" i="29"/>
  <c r="M4432" i="29"/>
  <c r="K4433" i="29"/>
  <c r="L4433" i="29"/>
  <c r="M4433" i="29"/>
  <c r="I4408" i="29"/>
  <c r="I4409" i="29"/>
  <c r="I4410" i="29"/>
  <c r="I4411" i="29"/>
  <c r="I4412" i="29"/>
  <c r="I4413" i="29"/>
  <c r="I4414" i="29"/>
  <c r="I4415" i="29"/>
  <c r="I4416" i="29"/>
  <c r="I4417" i="29"/>
  <c r="I4418" i="29"/>
  <c r="I4419" i="29"/>
  <c r="I4420" i="29"/>
  <c r="I4421" i="29"/>
  <c r="I4422" i="29"/>
  <c r="I4423" i="29"/>
  <c r="I4424" i="29"/>
  <c r="I4425" i="29"/>
  <c r="I4426" i="29"/>
  <c r="I4427" i="29"/>
  <c r="I4428" i="29"/>
  <c r="I4429" i="29"/>
  <c r="I4430" i="29"/>
  <c r="I4431" i="29"/>
  <c r="I4432" i="29"/>
  <c r="K4409" i="29"/>
  <c r="L4409" i="29"/>
  <c r="M4409" i="29"/>
  <c r="I4400" i="29"/>
  <c r="I4401" i="29"/>
  <c r="I4402" i="29"/>
  <c r="I4403" i="29"/>
  <c r="I4404" i="29"/>
  <c r="K4400" i="29"/>
  <c r="K4401" i="29"/>
  <c r="K4402" i="29"/>
  <c r="K4403" i="29"/>
  <c r="K4404" i="29"/>
  <c r="K4405" i="29"/>
  <c r="L4405" i="29" s="1"/>
  <c r="M4405" i="29"/>
  <c r="K4390" i="29"/>
  <c r="K4391" i="29"/>
  <c r="K4392" i="29"/>
  <c r="K4393" i="29"/>
  <c r="K4394" i="29"/>
  <c r="K4395" i="29"/>
  <c r="K4396" i="29"/>
  <c r="K4397" i="29"/>
  <c r="K4398" i="29"/>
  <c r="K4399" i="29"/>
  <c r="K4406" i="29"/>
  <c r="L4406" i="29" s="1"/>
  <c r="K4407" i="29"/>
  <c r="L4407" i="29" s="1"/>
  <c r="K4408" i="29"/>
  <c r="I4390" i="29"/>
  <c r="I4391" i="29"/>
  <c r="I4392" i="29"/>
  <c r="I4393" i="29"/>
  <c r="I4394" i="29"/>
  <c r="I4395" i="29"/>
  <c r="I4396" i="29"/>
  <c r="I4397" i="29"/>
  <c r="I4398" i="29"/>
  <c r="I4399" i="29"/>
  <c r="I4405" i="29"/>
  <c r="I4406" i="29"/>
  <c r="I4407" i="29"/>
  <c r="I4385" i="29"/>
  <c r="I4386" i="29"/>
  <c r="I4387" i="29"/>
  <c r="I4371" i="29"/>
  <c r="K4371" i="29"/>
  <c r="I4372" i="29"/>
  <c r="K4372" i="29"/>
  <c r="I4373" i="29"/>
  <c r="K4373" i="29"/>
  <c r="I4374" i="29"/>
  <c r="K4374" i="29"/>
  <c r="I4375" i="29"/>
  <c r="K4375" i="29"/>
  <c r="I4376" i="29"/>
  <c r="K4376" i="29"/>
  <c r="I4377" i="29"/>
  <c r="K4377" i="29"/>
  <c r="L4377" i="29" s="1"/>
  <c r="M4377" i="29"/>
  <c r="I4378" i="29"/>
  <c r="K4378" i="29"/>
  <c r="I4379" i="29"/>
  <c r="K4379" i="29"/>
  <c r="I4380" i="29"/>
  <c r="K4380" i="29"/>
  <c r="I4381" i="29"/>
  <c r="K4381" i="29"/>
  <c r="I4382" i="29"/>
  <c r="K4382" i="29"/>
  <c r="L4382" i="29"/>
  <c r="M4382" i="29"/>
  <c r="I4383" i="29"/>
  <c r="K4383" i="29"/>
  <c r="I4384" i="29"/>
  <c r="K4384" i="29"/>
  <c r="L4384" i="29"/>
  <c r="M4384" i="29"/>
  <c r="K4385" i="29"/>
  <c r="L4385" i="29"/>
  <c r="M4385" i="29"/>
  <c r="K4386" i="29"/>
  <c r="L4386" i="29"/>
  <c r="M4386" i="29"/>
  <c r="K4387" i="29"/>
  <c r="L4387" i="29"/>
  <c r="M4387" i="29"/>
  <c r="I4388" i="29"/>
  <c r="K4388" i="29"/>
  <c r="L4388" i="29"/>
  <c r="M4388" i="29"/>
  <c r="I4389" i="29"/>
  <c r="K4389" i="29"/>
  <c r="L4389" i="29"/>
  <c r="M4389" i="29"/>
  <c r="K4366" i="29"/>
  <c r="L4366" i="29" s="1"/>
  <c r="K4367" i="29"/>
  <c r="L4367" i="29" s="1"/>
  <c r="K4368" i="29"/>
  <c r="L4368" i="29" s="1"/>
  <c r="K4369" i="29"/>
  <c r="K4370" i="29"/>
  <c r="I4366" i="29"/>
  <c r="I4367" i="29"/>
  <c r="I4368" i="29"/>
  <c r="I4369" i="29"/>
  <c r="I4370" i="29"/>
  <c r="M4366" i="29"/>
  <c r="M4367" i="29"/>
  <c r="M4368" i="29"/>
  <c r="K4356" i="29"/>
  <c r="L4356" i="29" s="1"/>
  <c r="K4357" i="29"/>
  <c r="K4358" i="29"/>
  <c r="K4359" i="29"/>
  <c r="K4360" i="29"/>
  <c r="K4361" i="29"/>
  <c r="K4362" i="29"/>
  <c r="K4363" i="29"/>
  <c r="K4364" i="29"/>
  <c r="K4365" i="29"/>
  <c r="I4356" i="29"/>
  <c r="I4357" i="29"/>
  <c r="I4358" i="29"/>
  <c r="I4359" i="29"/>
  <c r="I4360" i="29"/>
  <c r="I4361" i="29"/>
  <c r="I4362" i="29"/>
  <c r="I4363" i="29"/>
  <c r="I4364" i="29"/>
  <c r="I4365" i="29"/>
  <c r="M4356" i="29"/>
  <c r="K4351" i="29"/>
  <c r="K4352" i="29"/>
  <c r="K4353" i="29"/>
  <c r="K4354" i="29"/>
  <c r="K4355" i="29"/>
  <c r="I4351" i="29"/>
  <c r="I4352" i="29"/>
  <c r="I4353" i="29"/>
  <c r="I4354" i="29"/>
  <c r="I4355" i="29"/>
  <c r="J4342" i="29"/>
  <c r="H4342" i="29"/>
  <c r="K4259" i="29"/>
  <c r="I4259" i="29"/>
  <c r="L4425" i="29" l="1"/>
  <c r="M4425" i="29"/>
  <c r="L4378" i="29"/>
  <c r="M4378" i="29"/>
  <c r="M4461" i="29"/>
  <c r="L4461" i="29"/>
  <c r="M4460" i="29"/>
  <c r="L4460" i="29"/>
  <c r="M4459" i="29"/>
  <c r="L4459" i="29"/>
  <c r="M4458" i="29"/>
  <c r="L4458" i="29"/>
  <c r="M4457" i="29"/>
  <c r="L4457" i="29"/>
  <c r="M4456" i="29"/>
  <c r="L4456" i="29"/>
  <c r="M4455" i="29"/>
  <c r="L4455" i="29"/>
  <c r="M4454" i="29"/>
  <c r="L4454" i="29"/>
  <c r="M4453" i="29"/>
  <c r="L4453" i="29"/>
  <c r="M4462" i="29"/>
  <c r="L4462" i="29"/>
  <c r="M4463" i="29"/>
  <c r="L4463" i="29"/>
  <c r="M4448" i="29"/>
  <c r="L4448" i="29"/>
  <c r="L4408" i="29"/>
  <c r="M4408" i="29"/>
  <c r="M4404" i="29"/>
  <c r="L4404" i="29"/>
  <c r="L4402" i="29"/>
  <c r="M4402" i="29"/>
  <c r="M4403" i="29"/>
  <c r="L4403" i="29"/>
  <c r="M4401" i="29"/>
  <c r="L4401" i="29"/>
  <c r="M4400" i="29"/>
  <c r="L4400" i="29"/>
  <c r="M4407" i="29"/>
  <c r="M4406" i="29"/>
  <c r="M4391" i="29"/>
  <c r="L4391" i="29"/>
  <c r="M4390" i="29"/>
  <c r="L4390" i="29"/>
  <c r="M4399" i="29"/>
  <c r="L4399" i="29"/>
  <c r="M4398" i="29"/>
  <c r="L4398" i="29"/>
  <c r="M4397" i="29"/>
  <c r="L4397" i="29"/>
  <c r="M4396" i="29"/>
  <c r="L4396" i="29"/>
  <c r="M4395" i="29"/>
  <c r="L4395" i="29"/>
  <c r="M4394" i="29"/>
  <c r="L4394" i="29"/>
  <c r="M4393" i="29"/>
  <c r="L4393" i="29"/>
  <c r="M4392" i="29"/>
  <c r="L4392" i="29"/>
  <c r="L4383" i="29"/>
  <c r="M4383" i="29"/>
  <c r="L4381" i="29"/>
  <c r="M4381" i="29"/>
  <c r="L4380" i="29"/>
  <c r="M4380" i="29"/>
  <c r="L4379" i="29"/>
  <c r="M4379" i="29"/>
  <c r="L4376" i="29"/>
  <c r="M4376" i="29"/>
  <c r="L4374" i="29"/>
  <c r="M4374" i="29"/>
  <c r="L4373" i="29"/>
  <c r="M4373" i="29"/>
  <c r="L4375" i="29"/>
  <c r="M4375" i="29"/>
  <c r="L4372" i="29"/>
  <c r="M4372" i="29"/>
  <c r="L4371" i="29"/>
  <c r="M4371" i="29"/>
  <c r="M4370" i="29"/>
  <c r="L4370" i="29"/>
  <c r="M4369" i="29"/>
  <c r="L4369" i="29"/>
  <c r="M4365" i="29"/>
  <c r="L4365" i="29"/>
  <c r="M4364" i="29"/>
  <c r="L4364" i="29"/>
  <c r="M4363" i="29"/>
  <c r="L4363" i="29"/>
  <c r="M4362" i="29"/>
  <c r="L4362" i="29"/>
  <c r="M4361" i="29"/>
  <c r="L4361" i="29"/>
  <c r="M4360" i="29"/>
  <c r="L4360" i="29"/>
  <c r="M4359" i="29"/>
  <c r="L4359" i="29"/>
  <c r="M4358" i="29"/>
  <c r="L4358" i="29"/>
  <c r="M4357" i="29"/>
  <c r="L4357" i="29"/>
  <c r="M4355" i="29"/>
  <c r="L4355" i="29"/>
  <c r="M4354" i="29"/>
  <c r="L4354" i="29"/>
  <c r="M4353" i="29"/>
  <c r="L4353" i="29"/>
  <c r="M4352" i="29"/>
  <c r="L4352" i="29"/>
  <c r="M4351" i="29"/>
  <c r="L4351" i="29"/>
  <c r="L4259" i="29"/>
  <c r="M4259" i="29"/>
  <c r="I4335" i="29"/>
  <c r="K4335" i="29"/>
  <c r="L4335" i="29" s="1"/>
  <c r="I4336" i="29"/>
  <c r="K4336" i="29"/>
  <c r="M4336" i="29" s="1"/>
  <c r="L4336" i="29"/>
  <c r="I4337" i="29"/>
  <c r="K4337" i="29"/>
  <c r="L4337" i="29"/>
  <c r="M4337" i="29"/>
  <c r="I4338" i="29"/>
  <c r="K4338" i="29"/>
  <c r="L4338" i="29" s="1"/>
  <c r="M4338" i="29"/>
  <c r="I4339" i="29"/>
  <c r="K4339" i="29"/>
  <c r="L4339" i="29"/>
  <c r="M4339" i="29"/>
  <c r="I4340" i="29"/>
  <c r="K4340" i="29"/>
  <c r="L4340" i="29" s="1"/>
  <c r="I4341" i="29"/>
  <c r="K4341" i="29"/>
  <c r="L4341" i="29" s="1"/>
  <c r="I4342" i="29"/>
  <c r="K4342" i="29"/>
  <c r="L4342" i="29" s="1"/>
  <c r="M4342" i="29"/>
  <c r="I4343" i="29"/>
  <c r="K4343" i="29"/>
  <c r="I4344" i="29"/>
  <c r="K4344" i="29"/>
  <c r="I4345" i="29"/>
  <c r="K4345" i="29"/>
  <c r="I4346" i="29"/>
  <c r="K4346" i="29"/>
  <c r="M4346" i="29" s="1"/>
  <c r="I4347" i="29"/>
  <c r="K4347" i="29"/>
  <c r="I4348" i="29"/>
  <c r="K4348" i="29"/>
  <c r="L4348" i="29"/>
  <c r="M4348" i="29"/>
  <c r="I4349" i="29"/>
  <c r="K4349" i="29"/>
  <c r="L4349" i="29"/>
  <c r="M4349" i="29"/>
  <c r="I4350" i="29"/>
  <c r="K4350" i="29"/>
  <c r="L4350" i="29" s="1"/>
  <c r="M4350" i="29"/>
  <c r="I4328" i="29"/>
  <c r="K4328" i="29"/>
  <c r="M4328" i="29" s="1"/>
  <c r="L4328" i="29"/>
  <c r="I4329" i="29"/>
  <c r="K4329" i="29"/>
  <c r="L4329" i="29" s="1"/>
  <c r="I4330" i="29"/>
  <c r="K4330" i="29"/>
  <c r="L4330" i="29" s="1"/>
  <c r="I4331" i="29"/>
  <c r="K4331" i="29"/>
  <c r="L4331" i="29" s="1"/>
  <c r="I4332" i="29"/>
  <c r="K4332" i="29"/>
  <c r="L4332" i="29" s="1"/>
  <c r="M4332" i="29"/>
  <c r="I4333" i="29"/>
  <c r="K4333" i="29"/>
  <c r="M4333" i="29" s="1"/>
  <c r="L4333" i="29"/>
  <c r="I4334" i="29"/>
  <c r="K4334" i="29"/>
  <c r="L4334" i="29" s="1"/>
  <c r="I4299" i="29"/>
  <c r="K4299" i="29"/>
  <c r="L4299" i="29" s="1"/>
  <c r="I4300" i="29"/>
  <c r="K4300" i="29"/>
  <c r="L4300" i="29"/>
  <c r="M4300" i="29"/>
  <c r="I4301" i="29"/>
  <c r="K4301" i="29"/>
  <c r="L4301" i="29" s="1"/>
  <c r="I4302" i="29"/>
  <c r="K4302" i="29"/>
  <c r="I4303" i="29"/>
  <c r="K4303" i="29"/>
  <c r="L4303" i="29"/>
  <c r="M4303" i="29"/>
  <c r="I4304" i="29"/>
  <c r="K4304" i="29"/>
  <c r="L4304" i="29"/>
  <c r="M4304" i="29"/>
  <c r="I4305" i="29"/>
  <c r="K4305" i="29"/>
  <c r="L4305" i="29" s="1"/>
  <c r="I4306" i="29"/>
  <c r="K4306" i="29"/>
  <c r="L4306" i="29" s="1"/>
  <c r="M4306" i="29"/>
  <c r="I4307" i="29"/>
  <c r="K4307" i="29"/>
  <c r="M4307" i="29" s="1"/>
  <c r="I4308" i="29"/>
  <c r="K4308" i="29"/>
  <c r="M4308" i="29" s="1"/>
  <c r="L4308" i="29"/>
  <c r="I4309" i="29"/>
  <c r="K4309" i="29"/>
  <c r="L4309" i="29" s="1"/>
  <c r="I4310" i="29"/>
  <c r="K4310" i="29"/>
  <c r="L4310" i="29" s="1"/>
  <c r="M4310" i="29"/>
  <c r="I4311" i="29"/>
  <c r="K4311" i="29"/>
  <c r="L4311" i="29" s="1"/>
  <c r="I4312" i="29"/>
  <c r="K4312" i="29"/>
  <c r="M4312" i="29" s="1"/>
  <c r="L4312" i="29"/>
  <c r="I4313" i="29"/>
  <c r="K4313" i="29"/>
  <c r="M4313" i="29" s="1"/>
  <c r="L4313" i="29"/>
  <c r="I4314" i="29"/>
  <c r="K4314" i="29"/>
  <c r="L4314" i="29"/>
  <c r="M4314" i="29"/>
  <c r="I4315" i="29"/>
  <c r="K4315" i="29"/>
  <c r="L4315" i="29" s="1"/>
  <c r="I4316" i="29"/>
  <c r="K4316" i="29"/>
  <c r="L4316" i="29" s="1"/>
  <c r="I4317" i="29"/>
  <c r="K4317" i="29"/>
  <c r="I4318" i="29"/>
  <c r="K4318" i="29"/>
  <c r="L4318" i="29"/>
  <c r="M4318" i="29"/>
  <c r="I4319" i="29"/>
  <c r="K4319" i="29"/>
  <c r="L4319" i="29" s="1"/>
  <c r="I4320" i="29"/>
  <c r="K4320" i="29"/>
  <c r="L4320" i="29" s="1"/>
  <c r="I4321" i="29"/>
  <c r="K4321" i="29"/>
  <c r="L4321" i="29" s="1"/>
  <c r="M4321" i="29"/>
  <c r="I4322" i="29"/>
  <c r="K4322" i="29"/>
  <c r="M4322" i="29" s="1"/>
  <c r="I4323" i="29"/>
  <c r="K4323" i="29"/>
  <c r="L4323" i="29" s="1"/>
  <c r="I4324" i="29"/>
  <c r="K4324" i="29"/>
  <c r="L4324" i="29"/>
  <c r="M4324" i="29"/>
  <c r="I4325" i="29"/>
  <c r="K4325" i="29"/>
  <c r="I4326" i="29"/>
  <c r="K4326" i="29"/>
  <c r="L4326" i="29" s="1"/>
  <c r="I4327" i="29"/>
  <c r="K4327" i="29"/>
  <c r="M4327" i="29" s="1"/>
  <c r="L4327" i="29"/>
  <c r="I4288" i="29"/>
  <c r="I4289" i="29"/>
  <c r="I4290" i="29"/>
  <c r="I4291" i="29"/>
  <c r="I4292" i="29"/>
  <c r="I4293" i="29"/>
  <c r="I4294" i="29"/>
  <c r="I4295" i="29"/>
  <c r="I4296" i="29"/>
  <c r="I4297" i="29"/>
  <c r="I4298" i="29"/>
  <c r="K4287" i="29"/>
  <c r="L4287" i="29" s="1"/>
  <c r="K4288" i="29"/>
  <c r="K4289" i="29"/>
  <c r="M4289" i="29" s="1"/>
  <c r="K4290" i="29"/>
  <c r="M4290" i="29" s="1"/>
  <c r="K4291" i="29"/>
  <c r="L4291" i="29"/>
  <c r="M4291" i="29"/>
  <c r="K4292" i="29"/>
  <c r="L4292" i="29"/>
  <c r="M4292" i="29"/>
  <c r="K4293" i="29"/>
  <c r="L4293" i="29" s="1"/>
  <c r="K4294" i="29"/>
  <c r="M4294" i="29" s="1"/>
  <c r="L4294" i="29"/>
  <c r="K4295" i="29"/>
  <c r="L4295" i="29" s="1"/>
  <c r="K4296" i="29"/>
  <c r="L4296" i="29"/>
  <c r="M4296" i="29"/>
  <c r="K4297" i="29"/>
  <c r="L4297" i="29" s="1"/>
  <c r="K4298" i="29"/>
  <c r="L4298" i="29" s="1"/>
  <c r="I4272" i="29"/>
  <c r="I4273" i="29"/>
  <c r="I4274" i="29"/>
  <c r="I4275" i="29"/>
  <c r="I4276" i="29"/>
  <c r="I4277" i="29"/>
  <c r="I4278" i="29"/>
  <c r="I4279" i="29"/>
  <c r="I4280" i="29"/>
  <c r="I4281" i="29"/>
  <c r="I4282" i="29"/>
  <c r="I4283" i="29"/>
  <c r="I4284" i="29"/>
  <c r="I4285" i="29"/>
  <c r="I4286" i="29"/>
  <c r="I4287" i="29"/>
  <c r="K4280" i="29"/>
  <c r="L4280" i="29" s="1"/>
  <c r="K4281" i="29"/>
  <c r="L4281" i="29" s="1"/>
  <c r="K4282" i="29"/>
  <c r="L4282" i="29" s="1"/>
  <c r="K4283" i="29"/>
  <c r="L4283" i="29" s="1"/>
  <c r="K4284" i="29"/>
  <c r="L4284" i="29" s="1"/>
  <c r="K4285" i="29"/>
  <c r="L4285" i="29" s="1"/>
  <c r="K4286" i="29"/>
  <c r="L4286" i="29" s="1"/>
  <c r="K4278" i="29"/>
  <c r="K4279" i="29"/>
  <c r="K4272" i="29"/>
  <c r="M4272" i="29" s="1"/>
  <c r="K4273" i="29"/>
  <c r="M4273" i="29" s="1"/>
  <c r="L4273" i="29"/>
  <c r="K4274" i="29"/>
  <c r="M4274" i="29" s="1"/>
  <c r="L4274" i="29"/>
  <c r="K4275" i="29"/>
  <c r="M4275" i="29" s="1"/>
  <c r="K4276" i="29"/>
  <c r="M4276" i="29" s="1"/>
  <c r="K4277" i="29"/>
  <c r="M4277" i="29" s="1"/>
  <c r="L4277" i="29"/>
  <c r="K4267" i="29"/>
  <c r="M4267" i="29" s="1"/>
  <c r="K4268" i="29"/>
  <c r="K4269" i="29"/>
  <c r="K4270" i="29"/>
  <c r="K4271" i="29"/>
  <c r="K4262" i="29"/>
  <c r="L4262" i="29" s="1"/>
  <c r="K4263" i="29"/>
  <c r="L4263" i="29" s="1"/>
  <c r="K4264" i="29"/>
  <c r="L4264" i="29" s="1"/>
  <c r="K4265" i="29"/>
  <c r="L4265" i="29" s="1"/>
  <c r="K4266" i="29"/>
  <c r="L4266" i="29" s="1"/>
  <c r="I4262" i="29"/>
  <c r="I4263" i="29"/>
  <c r="I4264" i="29"/>
  <c r="I4265" i="29"/>
  <c r="I4266" i="29"/>
  <c r="I4267" i="29"/>
  <c r="I4268" i="29"/>
  <c r="I4269" i="29"/>
  <c r="I4270" i="29"/>
  <c r="I4271" i="29"/>
  <c r="J4258" i="29"/>
  <c r="H4258" i="29"/>
  <c r="K4258" i="29" s="1"/>
  <c r="I4253" i="29"/>
  <c r="K4253" i="29"/>
  <c r="I4254" i="29"/>
  <c r="K4254" i="29"/>
  <c r="I4255" i="29"/>
  <c r="K4255" i="29"/>
  <c r="M4255" i="29" s="1"/>
  <c r="I4256" i="29"/>
  <c r="K4256" i="29"/>
  <c r="M4256" i="29"/>
  <c r="I4257" i="29"/>
  <c r="K4257" i="29"/>
  <c r="I4260" i="29"/>
  <c r="K4260" i="29"/>
  <c r="I4261" i="29"/>
  <c r="K4261" i="29"/>
  <c r="L4261" i="29" s="1"/>
  <c r="K4237" i="29"/>
  <c r="K4238" i="29"/>
  <c r="L4238" i="29"/>
  <c r="M4238" i="29"/>
  <c r="I4237" i="29"/>
  <c r="I4238" i="29"/>
  <c r="K4235" i="29"/>
  <c r="I4235" i="29"/>
  <c r="I4230" i="29"/>
  <c r="I4231" i="29"/>
  <c r="I4227" i="29"/>
  <c r="K4227" i="29"/>
  <c r="M4227" i="29" s="1"/>
  <c r="I4228" i="29"/>
  <c r="K4228" i="29"/>
  <c r="L4228" i="29"/>
  <c r="M4228" i="29"/>
  <c r="I4229" i="29"/>
  <c r="K4229" i="29"/>
  <c r="M4229" i="29" s="1"/>
  <c r="K4230" i="29"/>
  <c r="L4230" i="29" s="1"/>
  <c r="K4231" i="29"/>
  <c r="M4231" i="29" s="1"/>
  <c r="I4232" i="29"/>
  <c r="K4232" i="29"/>
  <c r="M4232" i="29"/>
  <c r="I4233" i="29"/>
  <c r="K4233" i="29"/>
  <c r="I4234" i="29"/>
  <c r="K4234" i="29"/>
  <c r="L4234" i="29" s="1"/>
  <c r="M4234" i="29"/>
  <c r="I4239" i="29"/>
  <c r="K4239" i="29"/>
  <c r="I4240" i="29"/>
  <c r="K4240" i="29"/>
  <c r="I4241" i="29"/>
  <c r="K4241" i="29"/>
  <c r="I4236" i="29"/>
  <c r="K4236" i="29"/>
  <c r="I4242" i="29"/>
  <c r="K4242" i="29"/>
  <c r="I4243" i="29"/>
  <c r="K4243" i="29"/>
  <c r="I4244" i="29"/>
  <c r="K4244" i="29"/>
  <c r="I4245" i="29"/>
  <c r="K4245" i="29"/>
  <c r="M4245" i="29" s="1"/>
  <c r="I4246" i="29"/>
  <c r="K4246" i="29"/>
  <c r="I4247" i="29"/>
  <c r="K4247" i="29"/>
  <c r="I4248" i="29"/>
  <c r="K4248" i="29"/>
  <c r="M4248" i="29"/>
  <c r="I4249" i="29"/>
  <c r="K4249" i="29"/>
  <c r="I4250" i="29"/>
  <c r="K4250" i="29"/>
  <c r="I4251" i="29"/>
  <c r="K4251" i="29"/>
  <c r="I4252" i="29"/>
  <c r="K4252" i="29"/>
  <c r="L4252" i="29" s="1"/>
  <c r="I4206" i="29"/>
  <c r="K4206" i="29"/>
  <c r="M4206" i="29"/>
  <c r="I4207" i="29"/>
  <c r="K4207" i="29"/>
  <c r="L4207" i="29" s="1"/>
  <c r="I4208" i="29"/>
  <c r="K4208" i="29"/>
  <c r="L4208" i="29" s="1"/>
  <c r="I4209" i="29"/>
  <c r="K4209" i="29"/>
  <c r="M4209" i="29" s="1"/>
  <c r="I4210" i="29"/>
  <c r="K4210" i="29"/>
  <c r="I4211" i="29"/>
  <c r="K4211" i="29"/>
  <c r="I4212" i="29"/>
  <c r="K4212" i="29"/>
  <c r="M4212" i="29"/>
  <c r="I4213" i="29"/>
  <c r="K4213" i="29"/>
  <c r="M4213" i="29" s="1"/>
  <c r="L4213" i="29"/>
  <c r="I4214" i="29"/>
  <c r="K4214" i="29"/>
  <c r="L4214" i="29" s="1"/>
  <c r="I4215" i="29"/>
  <c r="K4215" i="29"/>
  <c r="I4216" i="29"/>
  <c r="K4216" i="29"/>
  <c r="L4216" i="29" s="1"/>
  <c r="I4217" i="29"/>
  <c r="K4217" i="29"/>
  <c r="M4217" i="29"/>
  <c r="I4218" i="29"/>
  <c r="K4218" i="29"/>
  <c r="L4218" i="29"/>
  <c r="M4218" i="29"/>
  <c r="I4219" i="29"/>
  <c r="K4219" i="29"/>
  <c r="I4220" i="29"/>
  <c r="K4220" i="29"/>
  <c r="M4220" i="29" s="1"/>
  <c r="I4221" i="29"/>
  <c r="K4221" i="29"/>
  <c r="L4221" i="29" s="1"/>
  <c r="I4222" i="29"/>
  <c r="K4222" i="29"/>
  <c r="L4222" i="29" s="1"/>
  <c r="I4223" i="29"/>
  <c r="K4223" i="29"/>
  <c r="I4224" i="29"/>
  <c r="K4224" i="29"/>
  <c r="M4224" i="29" s="1"/>
  <c r="I4225" i="29"/>
  <c r="K4225" i="29"/>
  <c r="L4225" i="29"/>
  <c r="M4225" i="29"/>
  <c r="I4226" i="29"/>
  <c r="K4226" i="29"/>
  <c r="L4226" i="29"/>
  <c r="M4226" i="29"/>
  <c r="K4183" i="29"/>
  <c r="L4183" i="29"/>
  <c r="M4183" i="29"/>
  <c r="K4184" i="29"/>
  <c r="K4185" i="29"/>
  <c r="M4185" i="29" s="1"/>
  <c r="K4186" i="29"/>
  <c r="K4187" i="29"/>
  <c r="K4188" i="29"/>
  <c r="M4188" i="29"/>
  <c r="K4189" i="29"/>
  <c r="K4190" i="29"/>
  <c r="K4191" i="29"/>
  <c r="M4191" i="29" s="1"/>
  <c r="K4192" i="29"/>
  <c r="M4192" i="29"/>
  <c r="K4193" i="29"/>
  <c r="L4193" i="29"/>
  <c r="M4193" i="29"/>
  <c r="K4194" i="29"/>
  <c r="K4195" i="29"/>
  <c r="M4195" i="29"/>
  <c r="K4196" i="29"/>
  <c r="M4196" i="29" s="1"/>
  <c r="K4197" i="29"/>
  <c r="M4197" i="29" s="1"/>
  <c r="K4198" i="29"/>
  <c r="L4198" i="29" s="1"/>
  <c r="K4199" i="29"/>
  <c r="M4199" i="29" s="1"/>
  <c r="K4200" i="29"/>
  <c r="M4200" i="29" s="1"/>
  <c r="K4201" i="29"/>
  <c r="L4201" i="29" s="1"/>
  <c r="K4202" i="29"/>
  <c r="L4202" i="29" s="1"/>
  <c r="M4202" i="29"/>
  <c r="K4203" i="29"/>
  <c r="L4203" i="29" s="1"/>
  <c r="M4203" i="29"/>
  <c r="K4204" i="29"/>
  <c r="M4204" i="29" s="1"/>
  <c r="L4204" i="29"/>
  <c r="K4205" i="29"/>
  <c r="M4205" i="29" s="1"/>
  <c r="I4183" i="29"/>
  <c r="I4184" i="29"/>
  <c r="I4185" i="29"/>
  <c r="I4186" i="29"/>
  <c r="I4187" i="29"/>
  <c r="I4188" i="29"/>
  <c r="I4189" i="29"/>
  <c r="I4190" i="29"/>
  <c r="I4191" i="29"/>
  <c r="I4192" i="29"/>
  <c r="I4193" i="29"/>
  <c r="I4194" i="29"/>
  <c r="I4195" i="29"/>
  <c r="I4196" i="29"/>
  <c r="I4197" i="29"/>
  <c r="I4198" i="29"/>
  <c r="I4199" i="29"/>
  <c r="I4200" i="29"/>
  <c r="I4201" i="29"/>
  <c r="I4202" i="29"/>
  <c r="I4203" i="29"/>
  <c r="I4204" i="29"/>
  <c r="I4205" i="29"/>
  <c r="I4159" i="29"/>
  <c r="K4159" i="29"/>
  <c r="M4159" i="29" s="1"/>
  <c r="I4160" i="29"/>
  <c r="K4160" i="29"/>
  <c r="L4160" i="29"/>
  <c r="M4160" i="29"/>
  <c r="I4161" i="29"/>
  <c r="K4161" i="29"/>
  <c r="L4161" i="29" s="1"/>
  <c r="I4162" i="29"/>
  <c r="K4162" i="29"/>
  <c r="M4162" i="29" s="1"/>
  <c r="L4162" i="29"/>
  <c r="I4163" i="29"/>
  <c r="K4163" i="29"/>
  <c r="M4163" i="29" s="1"/>
  <c r="I4164" i="29"/>
  <c r="K4164" i="29"/>
  <c r="L4164" i="29" s="1"/>
  <c r="I4165" i="29"/>
  <c r="K4165" i="29"/>
  <c r="I4166" i="29"/>
  <c r="K4166" i="29"/>
  <c r="M4166" i="29" s="1"/>
  <c r="I4167" i="29"/>
  <c r="K4167" i="29"/>
  <c r="L4167" i="29" s="1"/>
  <c r="I4168" i="29"/>
  <c r="K4168" i="29"/>
  <c r="L4168" i="29" s="1"/>
  <c r="M4168" i="29"/>
  <c r="I4156" i="29"/>
  <c r="K4156" i="29"/>
  <c r="L4156" i="29" s="1"/>
  <c r="I4157" i="29"/>
  <c r="K4157" i="29"/>
  <c r="L4157" i="29" s="1"/>
  <c r="I4158" i="29"/>
  <c r="K4158" i="29"/>
  <c r="M4158" i="29" s="1"/>
  <c r="I4169" i="29"/>
  <c r="K4169" i="29"/>
  <c r="L4169" i="29" s="1"/>
  <c r="I4170" i="29"/>
  <c r="K4170" i="29"/>
  <c r="L4170" i="29" s="1"/>
  <c r="I4171" i="29"/>
  <c r="K4171" i="29"/>
  <c r="I4172" i="29"/>
  <c r="K4172" i="29"/>
  <c r="L4172" i="29" s="1"/>
  <c r="I4173" i="29"/>
  <c r="K4173" i="29"/>
  <c r="M4173" i="29" s="1"/>
  <c r="L4173" i="29"/>
  <c r="I4174" i="29"/>
  <c r="K4174" i="29"/>
  <c r="I4175" i="29"/>
  <c r="K4175" i="29"/>
  <c r="L4175" i="29" s="1"/>
  <c r="I4176" i="29"/>
  <c r="K4176" i="29"/>
  <c r="L4176" i="29" s="1"/>
  <c r="I4177" i="29"/>
  <c r="K4177" i="29"/>
  <c r="L4177" i="29" s="1"/>
  <c r="I4178" i="29"/>
  <c r="K4178" i="29"/>
  <c r="L4178" i="29" s="1"/>
  <c r="I4179" i="29"/>
  <c r="K4179" i="29"/>
  <c r="L4179" i="29"/>
  <c r="M4179" i="29"/>
  <c r="I4180" i="29"/>
  <c r="K4180" i="29"/>
  <c r="L4180" i="29" s="1"/>
  <c r="I4181" i="29"/>
  <c r="K4181" i="29"/>
  <c r="L4181" i="29"/>
  <c r="I4182" i="29"/>
  <c r="K4182" i="29"/>
  <c r="L4182" i="29" s="1"/>
  <c r="L4325" i="29" l="1"/>
  <c r="M4325" i="29"/>
  <c r="L4343" i="29"/>
  <c r="M4343" i="29"/>
  <c r="L4344" i="29"/>
  <c r="M4344" i="29"/>
  <c r="L4345" i="29"/>
  <c r="M4345" i="29"/>
  <c r="L4347" i="29"/>
  <c r="M4347" i="29"/>
  <c r="M4302" i="29"/>
  <c r="L4302" i="29"/>
  <c r="M4317" i="29"/>
  <c r="L4317" i="29"/>
  <c r="M4315" i="29"/>
  <c r="M4331" i="29"/>
  <c r="L4276" i="29"/>
  <c r="L4322" i="29"/>
  <c r="M4335" i="29"/>
  <c r="M4198" i="29"/>
  <c r="L4159" i="29"/>
  <c r="L4275" i="29"/>
  <c r="M4301" i="29"/>
  <c r="L4290" i="29"/>
  <c r="M4326" i="29"/>
  <c r="M4319" i="29"/>
  <c r="L4307" i="29"/>
  <c r="M4330" i="29"/>
  <c r="M4284" i="29"/>
  <c r="M4283" i="29"/>
  <c r="M4282" i="29"/>
  <c r="M4281" i="29"/>
  <c r="L4346" i="29"/>
  <c r="L4272" i="29"/>
  <c r="M4323" i="29"/>
  <c r="M4305" i="29"/>
  <c r="M4207" i="29"/>
  <c r="M4293" i="29"/>
  <c r="M4311" i="29"/>
  <c r="L4166" i="29"/>
  <c r="M4221" i="29"/>
  <c r="M4214" i="29"/>
  <c r="L4267" i="29"/>
  <c r="M4299" i="29"/>
  <c r="M4329" i="29"/>
  <c r="M4316" i="29"/>
  <c r="M4208" i="29"/>
  <c r="M4298" i="29"/>
  <c r="M4320" i="29"/>
  <c r="M4309" i="29"/>
  <c r="M4334" i="29"/>
  <c r="M4340" i="29"/>
  <c r="I4258" i="29"/>
  <c r="M4178" i="29"/>
  <c r="M4252" i="29"/>
  <c r="M4263" i="29"/>
  <c r="M4297" i="29"/>
  <c r="M4262" i="29"/>
  <c r="M4341" i="29"/>
  <c r="M4222" i="29"/>
  <c r="M4216" i="29"/>
  <c r="M4230" i="29"/>
  <c r="M4176" i="29"/>
  <c r="M4280" i="29"/>
  <c r="M4295" i="29"/>
  <c r="M4286" i="29"/>
  <c r="M4287" i="29"/>
  <c r="M4266" i="29"/>
  <c r="M4265" i="29"/>
  <c r="M4264" i="29"/>
  <c r="M4285" i="29"/>
  <c r="L4289" i="29"/>
  <c r="M4288" i="29"/>
  <c r="L4288" i="29"/>
  <c r="M4279" i="29"/>
  <c r="L4279" i="29"/>
  <c r="M4278" i="29"/>
  <c r="L4278" i="29"/>
  <c r="L4271" i="29"/>
  <c r="M4271" i="29"/>
  <c r="L4270" i="29"/>
  <c r="M4270" i="29"/>
  <c r="L4269" i="29"/>
  <c r="M4269" i="29"/>
  <c r="L4268" i="29"/>
  <c r="M4268" i="29"/>
  <c r="L4232" i="29"/>
  <c r="M4261" i="29"/>
  <c r="L4251" i="29"/>
  <c r="M4251" i="29"/>
  <c r="M4171" i="29"/>
  <c r="L4165" i="29"/>
  <c r="M4156" i="29"/>
  <c r="M4165" i="29"/>
  <c r="L4257" i="29"/>
  <c r="L4256" i="29"/>
  <c r="M4257" i="29"/>
  <c r="L4217" i="29"/>
  <c r="L4187" i="29"/>
  <c r="M4194" i="29"/>
  <c r="L4199" i="29"/>
  <c r="L4205" i="29"/>
  <c r="L4237" i="29"/>
  <c r="L4227" i="29"/>
  <c r="M4210" i="29"/>
  <c r="M4184" i="29"/>
  <c r="M4181" i="29"/>
  <c r="L4255" i="29"/>
  <c r="M4237" i="29"/>
  <c r="L4184" i="29"/>
  <c r="L4196" i="29"/>
  <c r="L4210" i="29"/>
  <c r="M4219" i="29"/>
  <c r="L4220" i="29"/>
  <c r="L4248" i="29"/>
  <c r="M4249" i="29"/>
  <c r="L4224" i="29"/>
  <c r="M4186" i="29"/>
  <c r="M4187" i="29"/>
  <c r="L4190" i="29"/>
  <c r="M4190" i="29"/>
  <c r="M4161" i="29"/>
  <c r="M4254" i="29"/>
  <c r="M4239" i="29"/>
  <c r="L4245" i="29"/>
  <c r="M4246" i="29"/>
  <c r="M4250" i="29"/>
  <c r="L4219" i="29"/>
  <c r="L4186" i="29"/>
  <c r="M4258" i="29"/>
  <c r="L4246" i="29"/>
  <c r="L4244" i="29"/>
  <c r="M4244" i="29"/>
  <c r="L4260" i="29"/>
  <c r="L4253" i="29"/>
  <c r="M4253" i="29"/>
  <c r="L4254" i="29"/>
  <c r="M4260" i="29"/>
  <c r="L4258" i="29"/>
  <c r="M4243" i="29"/>
  <c r="M4242" i="29"/>
  <c r="M4233" i="29"/>
  <c r="L4243" i="29"/>
  <c r="M4247" i="29"/>
  <c r="L4223" i="29"/>
  <c r="M4223" i="29"/>
  <c r="L4231" i="29"/>
  <c r="L4242" i="29"/>
  <c r="L4206" i="29"/>
  <c r="L4209" i="29"/>
  <c r="L4233" i="29"/>
  <c r="L4247" i="29"/>
  <c r="L4249" i="29"/>
  <c r="L4250" i="29"/>
  <c r="L4212" i="29"/>
  <c r="L4236" i="29"/>
  <c r="M4236" i="29"/>
  <c r="L4215" i="29"/>
  <c r="M4215" i="29"/>
  <c r="L4174" i="29"/>
  <c r="L4189" i="29"/>
  <c r="M4189" i="29"/>
  <c r="M4201" i="29"/>
  <c r="L4171" i="29"/>
  <c r="M4174" i="29"/>
  <c r="M4235" i="29"/>
  <c r="L4235" i="29"/>
  <c r="L4194" i="29"/>
  <c r="L4211" i="29"/>
  <c r="M4211" i="29"/>
  <c r="L4191" i="29"/>
  <c r="L4192" i="29"/>
  <c r="L4195" i="29"/>
  <c r="L4200" i="29"/>
  <c r="L4185" i="29"/>
  <c r="L4188" i="29"/>
  <c r="L4197" i="29"/>
  <c r="L4229" i="29"/>
  <c r="M4240" i="29"/>
  <c r="M4241" i="29"/>
  <c r="L4241" i="29"/>
  <c r="L4240" i="29"/>
  <c r="L4239" i="29"/>
  <c r="M4167" i="29"/>
  <c r="M4164" i="29"/>
  <c r="L4163" i="29"/>
  <c r="L4158" i="29"/>
  <c r="M4180" i="29"/>
  <c r="M4175" i="29"/>
  <c r="M4170" i="29"/>
  <c r="M4169" i="29"/>
  <c r="M4182" i="29"/>
  <c r="M4177" i="29"/>
  <c r="M4172" i="29"/>
  <c r="M4157" i="29"/>
  <c r="I4144" i="29"/>
  <c r="K4144" i="29"/>
  <c r="I4145" i="29"/>
  <c r="K4145" i="29"/>
  <c r="I4146" i="29"/>
  <c r="K4146" i="29"/>
  <c r="L4146" i="29"/>
  <c r="I4147" i="29"/>
  <c r="K4147" i="29"/>
  <c r="I4148" i="29"/>
  <c r="K4148" i="29"/>
  <c r="L4148" i="29" s="1"/>
  <c r="M4148" i="29"/>
  <c r="I4149" i="29"/>
  <c r="K4149" i="29"/>
  <c r="L4149" i="29"/>
  <c r="M4149" i="29"/>
  <c r="I4150" i="29"/>
  <c r="K4150" i="29"/>
  <c r="M4150" i="29" s="1"/>
  <c r="I4151" i="29"/>
  <c r="K4151" i="29"/>
  <c r="L4151" i="29" s="1"/>
  <c r="I4152" i="29"/>
  <c r="K4152" i="29"/>
  <c r="L4152" i="29"/>
  <c r="M4152" i="29"/>
  <c r="I4153" i="29"/>
  <c r="K4153" i="29"/>
  <c r="M4153" i="29" s="1"/>
  <c r="I4154" i="29"/>
  <c r="K4154" i="29"/>
  <c r="M4154" i="29" s="1"/>
  <c r="I4155" i="29"/>
  <c r="K4155" i="29"/>
  <c r="M4155" i="29" s="1"/>
  <c r="I4128" i="29"/>
  <c r="K4128" i="29"/>
  <c r="M4128" i="29"/>
  <c r="I4129" i="29"/>
  <c r="K4129" i="29"/>
  <c r="M4129" i="29" s="1"/>
  <c r="I4130" i="29"/>
  <c r="K4130" i="29"/>
  <c r="M4130" i="29" s="1"/>
  <c r="I4131" i="29"/>
  <c r="K4131" i="29"/>
  <c r="L4131" i="29" s="1"/>
  <c r="I4132" i="29"/>
  <c r="K4132" i="29"/>
  <c r="M4132" i="29" s="1"/>
  <c r="I4133" i="29"/>
  <c r="K4133" i="29"/>
  <c r="M4133" i="29" s="1"/>
  <c r="I4134" i="29"/>
  <c r="K4134" i="29"/>
  <c r="L4134" i="29" s="1"/>
  <c r="I4135" i="29"/>
  <c r="K4135" i="29"/>
  <c r="L4135" i="29" s="1"/>
  <c r="I4136" i="29"/>
  <c r="K4136" i="29"/>
  <c r="M4136" i="29" s="1"/>
  <c r="I4137" i="29"/>
  <c r="K4137" i="29"/>
  <c r="L4137" i="29" s="1"/>
  <c r="I4138" i="29"/>
  <c r="K4138" i="29"/>
  <c r="L4138" i="29" s="1"/>
  <c r="I4139" i="29"/>
  <c r="K4139" i="29"/>
  <c r="L4139" i="29" s="1"/>
  <c r="I4140" i="29"/>
  <c r="K4140" i="29"/>
  <c r="I4141" i="29"/>
  <c r="K4141" i="29"/>
  <c r="L4141" i="29" s="1"/>
  <c r="M4141" i="29"/>
  <c r="I4142" i="29"/>
  <c r="K4142" i="29"/>
  <c r="I4143" i="29"/>
  <c r="K4143" i="29"/>
  <c r="M4143" i="29" s="1"/>
  <c r="L4154" i="29" l="1"/>
  <c r="M4135" i="29"/>
  <c r="L4143" i="29"/>
  <c r="L4153" i="29"/>
  <c r="L4128" i="29"/>
  <c r="L4155" i="29"/>
  <c r="M4146" i="29"/>
  <c r="M4151" i="29"/>
  <c r="L4150" i="29"/>
  <c r="M4147" i="29"/>
  <c r="L4147" i="29"/>
  <c r="L4145" i="29"/>
  <c r="M4145" i="29"/>
  <c r="M4144" i="29"/>
  <c r="L4144" i="29"/>
  <c r="L4142" i="29"/>
  <c r="M4142" i="29"/>
  <c r="M4140" i="29"/>
  <c r="L4140" i="29"/>
  <c r="M4139" i="29"/>
  <c r="M4138" i="29"/>
  <c r="M4137" i="29"/>
  <c r="L4136" i="29"/>
  <c r="M4134" i="29"/>
  <c r="L4132" i="29"/>
  <c r="L4133" i="29"/>
  <c r="M4131" i="29"/>
  <c r="L4130" i="29"/>
  <c r="L4129" i="29"/>
  <c r="I4098" i="29"/>
  <c r="I4099" i="29"/>
  <c r="I4100" i="29"/>
  <c r="I4101" i="29"/>
  <c r="I4102" i="29"/>
  <c r="I4103" i="29"/>
  <c r="I4104" i="29"/>
  <c r="I4105" i="29"/>
  <c r="I4106" i="29"/>
  <c r="I4107" i="29"/>
  <c r="I4108" i="29"/>
  <c r="I4109" i="29"/>
  <c r="I4110" i="29"/>
  <c r="I4111" i="29"/>
  <c r="I4112" i="29"/>
  <c r="I4113" i="29"/>
  <c r="I4114" i="29"/>
  <c r="I4115" i="29"/>
  <c r="I4116" i="29"/>
  <c r="I4117" i="29"/>
  <c r="I4118" i="29"/>
  <c r="I4119" i="29"/>
  <c r="I4120" i="29"/>
  <c r="I4121" i="29"/>
  <c r="I4122" i="29"/>
  <c r="I4123" i="29"/>
  <c r="I4124" i="29"/>
  <c r="I4125" i="29"/>
  <c r="I4126" i="29"/>
  <c r="I4127" i="29"/>
  <c r="K4108" i="29"/>
  <c r="L4108" i="29" s="1"/>
  <c r="K4109" i="29"/>
  <c r="L4109" i="29" s="1"/>
  <c r="K4110" i="29"/>
  <c r="L4110" i="29" s="1"/>
  <c r="K4111" i="29"/>
  <c r="K4112" i="29"/>
  <c r="M4112" i="29" s="1"/>
  <c r="K4113" i="29"/>
  <c r="L4113" i="29" s="1"/>
  <c r="K4114" i="29"/>
  <c r="M4114" i="29" s="1"/>
  <c r="K4115" i="29"/>
  <c r="L4115" i="29" s="1"/>
  <c r="K4098" i="29"/>
  <c r="L4098" i="29" s="1"/>
  <c r="K4099" i="29"/>
  <c r="M4099" i="29" s="1"/>
  <c r="K4100" i="29"/>
  <c r="L4100" i="29" s="1"/>
  <c r="K4101" i="29"/>
  <c r="L4101" i="29" s="1"/>
  <c r="K4102" i="29"/>
  <c r="M4102" i="29" s="1"/>
  <c r="K4103" i="29"/>
  <c r="L4103" i="29" s="1"/>
  <c r="K4104" i="29"/>
  <c r="M4104" i="29" s="1"/>
  <c r="K4105" i="29"/>
  <c r="M4105" i="29" s="1"/>
  <c r="K4106" i="29"/>
  <c r="M4106" i="29" s="1"/>
  <c r="K4107" i="29"/>
  <c r="M4107" i="29" s="1"/>
  <c r="K4116" i="29"/>
  <c r="M4116" i="29" s="1"/>
  <c r="K4117" i="29"/>
  <c r="M4117" i="29" s="1"/>
  <c r="K4118" i="29"/>
  <c r="M4118" i="29" s="1"/>
  <c r="K4119" i="29"/>
  <c r="M4119" i="29" s="1"/>
  <c r="K4120" i="29"/>
  <c r="M4120" i="29" s="1"/>
  <c r="K4121" i="29"/>
  <c r="M4121" i="29" s="1"/>
  <c r="K4122" i="29"/>
  <c r="M4122" i="29" s="1"/>
  <c r="K4123" i="29"/>
  <c r="M4123" i="29" s="1"/>
  <c r="K4124" i="29"/>
  <c r="M4124" i="29" s="1"/>
  <c r="K4125" i="29"/>
  <c r="L4125" i="29" s="1"/>
  <c r="K4126" i="29"/>
  <c r="L4126" i="29" s="1"/>
  <c r="K4127" i="29"/>
  <c r="L4127" i="29" s="1"/>
  <c r="M4101" i="29" l="1"/>
  <c r="M4113" i="29"/>
  <c r="M4110" i="29"/>
  <c r="L4111" i="29"/>
  <c r="M4111" i="29"/>
  <c r="M4125" i="29"/>
  <c r="L4112" i="29"/>
  <c r="M4100" i="29"/>
  <c r="M4115" i="29"/>
  <c r="L4119" i="29"/>
  <c r="L4118" i="29"/>
  <c r="M4127" i="29"/>
  <c r="M4126" i="29"/>
  <c r="L4124" i="29"/>
  <c r="L4123" i="29"/>
  <c r="L4122" i="29"/>
  <c r="L4121" i="29"/>
  <c r="L4120" i="29"/>
  <c r="G7" i="23" s="1"/>
  <c r="L4117" i="29"/>
  <c r="L4116" i="29"/>
  <c r="L4114" i="29"/>
  <c r="M4109" i="29"/>
  <c r="L4107" i="29"/>
  <c r="M4098" i="29"/>
  <c r="L4102" i="29"/>
  <c r="M4103" i="29"/>
  <c r="L4106" i="29"/>
  <c r="L4105" i="29"/>
  <c r="L4104" i="29"/>
  <c r="L4099" i="29"/>
  <c r="M4108" i="29"/>
  <c r="I4087" i="29"/>
  <c r="I4088" i="29"/>
  <c r="I4089" i="29"/>
  <c r="I4090" i="29"/>
  <c r="I4091" i="29"/>
  <c r="I4092" i="29"/>
  <c r="I4093" i="29"/>
  <c r="I4094" i="29"/>
  <c r="I4095" i="29"/>
  <c r="I4096" i="29"/>
  <c r="I4097" i="29"/>
  <c r="K4080" i="29"/>
  <c r="M4080" i="29" s="1"/>
  <c r="K4081" i="29"/>
  <c r="L4081" i="29" s="1"/>
  <c r="K4082" i="29"/>
  <c r="L4082" i="29" s="1"/>
  <c r="M4082" i="29"/>
  <c r="K4083" i="29"/>
  <c r="L4083" i="29" s="1"/>
  <c r="K4084" i="29"/>
  <c r="M4084" i="29" s="1"/>
  <c r="K4085" i="29"/>
  <c r="L4085" i="29" s="1"/>
  <c r="K4086" i="29"/>
  <c r="L4086" i="29" s="1"/>
  <c r="M4086" i="29"/>
  <c r="K4087" i="29"/>
  <c r="M4087" i="29" s="1"/>
  <c r="K4088" i="29"/>
  <c r="M4088" i="29" s="1"/>
  <c r="K4089" i="29"/>
  <c r="L4089" i="29" s="1"/>
  <c r="K4090" i="29"/>
  <c r="L4090" i="29" s="1"/>
  <c r="K4091" i="29"/>
  <c r="L4091" i="29"/>
  <c r="M4091" i="29"/>
  <c r="K4092" i="29"/>
  <c r="L4092" i="29" s="1"/>
  <c r="K4093" i="29"/>
  <c r="L4093" i="29" s="1"/>
  <c r="K4094" i="29"/>
  <c r="L4094" i="29" s="1"/>
  <c r="K4095" i="29"/>
  <c r="L4095" i="29" s="1"/>
  <c r="K4096" i="29"/>
  <c r="L4096" i="29" s="1"/>
  <c r="K4097" i="29"/>
  <c r="M4097" i="29" s="1"/>
  <c r="L4097" i="29"/>
  <c r="I4070" i="29"/>
  <c r="I4071" i="29"/>
  <c r="I4072" i="29"/>
  <c r="I4073" i="29"/>
  <c r="I4074" i="29"/>
  <c r="I4075" i="29"/>
  <c r="I4076" i="29"/>
  <c r="I4077" i="29"/>
  <c r="I4078" i="29"/>
  <c r="I4079" i="29"/>
  <c r="I4080" i="29"/>
  <c r="I4081" i="29"/>
  <c r="I4082" i="29"/>
  <c r="I4083" i="29"/>
  <c r="I4084" i="29"/>
  <c r="I4085" i="29"/>
  <c r="I4086" i="29"/>
  <c r="I4052" i="29"/>
  <c r="I4053" i="29"/>
  <c r="I4054" i="29"/>
  <c r="I4055" i="29"/>
  <c r="I4056" i="29"/>
  <c r="I4057" i="29"/>
  <c r="I4058" i="29"/>
  <c r="I4059" i="29"/>
  <c r="I4060" i="29"/>
  <c r="I4061" i="29"/>
  <c r="I4062" i="29"/>
  <c r="I4063" i="29"/>
  <c r="I4064" i="29"/>
  <c r="I4065" i="29"/>
  <c r="I4066" i="29"/>
  <c r="I4067" i="29"/>
  <c r="I4068" i="29"/>
  <c r="I4069" i="29"/>
  <c r="I4051" i="29"/>
  <c r="I4050" i="29"/>
  <c r="I4049" i="29"/>
  <c r="I4048" i="29"/>
  <c r="K4068" i="29"/>
  <c r="L4068" i="29" s="1"/>
  <c r="K4069" i="29"/>
  <c r="L4069" i="29" s="1"/>
  <c r="K4070" i="29"/>
  <c r="L4070" i="29" s="1"/>
  <c r="K4071" i="29"/>
  <c r="M4071" i="29" s="1"/>
  <c r="K4072" i="29"/>
  <c r="K4073" i="29"/>
  <c r="L4073" i="29" s="1"/>
  <c r="K4074" i="29"/>
  <c r="L4074" i="29"/>
  <c r="M4074" i="29"/>
  <c r="K4075" i="29"/>
  <c r="M4075" i="29" s="1"/>
  <c r="K4076" i="29"/>
  <c r="K4077" i="29"/>
  <c r="M4077" i="29" s="1"/>
  <c r="K4078" i="29"/>
  <c r="L4078" i="29" s="1"/>
  <c r="K4079" i="29"/>
  <c r="M4079" i="29" s="1"/>
  <c r="K4056" i="29"/>
  <c r="L4056" i="29" s="1"/>
  <c r="K4057" i="29"/>
  <c r="L4057" i="29" s="1"/>
  <c r="K4058" i="29"/>
  <c r="L4058" i="29" s="1"/>
  <c r="M4058" i="29"/>
  <c r="K4059" i="29"/>
  <c r="M4059" i="29" s="1"/>
  <c r="K4060" i="29"/>
  <c r="L4060" i="29" s="1"/>
  <c r="K4061" i="29"/>
  <c r="L4061" i="29" s="1"/>
  <c r="K4062" i="29"/>
  <c r="M4062" i="29" s="1"/>
  <c r="L4062" i="29"/>
  <c r="K4063" i="29"/>
  <c r="M4063" i="29" s="1"/>
  <c r="K4064" i="29"/>
  <c r="L4064" i="29" s="1"/>
  <c r="K4065" i="29"/>
  <c r="L4065" i="29" s="1"/>
  <c r="K4066" i="29"/>
  <c r="L4066" i="29" s="1"/>
  <c r="K4067" i="29"/>
  <c r="M4067" i="29" s="1"/>
  <c r="K4048" i="29"/>
  <c r="L4048" i="29" s="1"/>
  <c r="K4049" i="29"/>
  <c r="L4049" i="29" s="1"/>
  <c r="K4050" i="29"/>
  <c r="L4050" i="29" s="1"/>
  <c r="K4051" i="29"/>
  <c r="M4051" i="29" s="1"/>
  <c r="K4052" i="29"/>
  <c r="L4052" i="29" s="1"/>
  <c r="K4053" i="29"/>
  <c r="L4053" i="29" s="1"/>
  <c r="K4054" i="29"/>
  <c r="M4054" i="29" s="1"/>
  <c r="K4055" i="29"/>
  <c r="M4055" i="29" s="1"/>
  <c r="K4036" i="29"/>
  <c r="K4037" i="29"/>
  <c r="K4038" i="29"/>
  <c r="K4039" i="29"/>
  <c r="K4040" i="29"/>
  <c r="K4041" i="29"/>
  <c r="K4042" i="29"/>
  <c r="M4042" i="29" s="1"/>
  <c r="K4043" i="29"/>
  <c r="M4043" i="29" s="1"/>
  <c r="K4044" i="29"/>
  <c r="M4044" i="29" s="1"/>
  <c r="K4045" i="29"/>
  <c r="L4045" i="29" s="1"/>
  <c r="K4046" i="29"/>
  <c r="L4046" i="29" s="1"/>
  <c r="K4047" i="29"/>
  <c r="L4047" i="29" s="1"/>
  <c r="I4036" i="29"/>
  <c r="I4037" i="29"/>
  <c r="I4038" i="29"/>
  <c r="I4039" i="29"/>
  <c r="I4040" i="29"/>
  <c r="I4041" i="29"/>
  <c r="I4042" i="29"/>
  <c r="I4043" i="29"/>
  <c r="I4044" i="29"/>
  <c r="I4045" i="29"/>
  <c r="I4046" i="29"/>
  <c r="I4047" i="29"/>
  <c r="K4010" i="29"/>
  <c r="K4011" i="29"/>
  <c r="K4012" i="29"/>
  <c r="K4013" i="29"/>
  <c r="K4014" i="29"/>
  <c r="K4015" i="29"/>
  <c r="K4016" i="29"/>
  <c r="K4017" i="29"/>
  <c r="K4018" i="29"/>
  <c r="K4019" i="29"/>
  <c r="K4020" i="29"/>
  <c r="K4021" i="29"/>
  <c r="K4022" i="29"/>
  <c r="K4023" i="29"/>
  <c r="K4024" i="29"/>
  <c r="K4025" i="29"/>
  <c r="K4026" i="29"/>
  <c r="K4027" i="29"/>
  <c r="K4028" i="29"/>
  <c r="K4029" i="29"/>
  <c r="K4030" i="29"/>
  <c r="K4031" i="29"/>
  <c r="K4032" i="29"/>
  <c r="K4033" i="29"/>
  <c r="K4034" i="29"/>
  <c r="K4035" i="29"/>
  <c r="I4010" i="29"/>
  <c r="I4011" i="29"/>
  <c r="I4012" i="29"/>
  <c r="I4013" i="29"/>
  <c r="I4014" i="29"/>
  <c r="I4015" i="29"/>
  <c r="I4016" i="29"/>
  <c r="I4017" i="29"/>
  <c r="I4018" i="29"/>
  <c r="I4019" i="29"/>
  <c r="I4020" i="29"/>
  <c r="I4021" i="29"/>
  <c r="I4022" i="29"/>
  <c r="I4023" i="29"/>
  <c r="I4024" i="29"/>
  <c r="I4025" i="29"/>
  <c r="I4026" i="29"/>
  <c r="I4027" i="29"/>
  <c r="I4028" i="29"/>
  <c r="I4029" i="29"/>
  <c r="I4030" i="29"/>
  <c r="I4031" i="29"/>
  <c r="I4032" i="29"/>
  <c r="I4033" i="29"/>
  <c r="I4034" i="29"/>
  <c r="I4035" i="29"/>
  <c r="I3997" i="29"/>
  <c r="K3997" i="29"/>
  <c r="L3997" i="29" s="1"/>
  <c r="I3998" i="29"/>
  <c r="K3998" i="29"/>
  <c r="M3998" i="29" s="1"/>
  <c r="I3999" i="29"/>
  <c r="K3999" i="29"/>
  <c r="M3999" i="29" s="1"/>
  <c r="I4000" i="29"/>
  <c r="K4000" i="29"/>
  <c r="M4000" i="29" s="1"/>
  <c r="I4001" i="29"/>
  <c r="K4001" i="29"/>
  <c r="M4001" i="29" s="1"/>
  <c r="I4002" i="29"/>
  <c r="K4002" i="29"/>
  <c r="M4002" i="29" s="1"/>
  <c r="I4003" i="29"/>
  <c r="K4003" i="29"/>
  <c r="L4003" i="29" s="1"/>
  <c r="I4004" i="29"/>
  <c r="K4004" i="29"/>
  <c r="M4004" i="29" s="1"/>
  <c r="I4005" i="29"/>
  <c r="K4005" i="29"/>
  <c r="M4005" i="29" s="1"/>
  <c r="L4005" i="29"/>
  <c r="I4006" i="29"/>
  <c r="K4006" i="29"/>
  <c r="L4006" i="29" s="1"/>
  <c r="I4007" i="29"/>
  <c r="K4007" i="29"/>
  <c r="M4007" i="29" s="1"/>
  <c r="I4008" i="29"/>
  <c r="K4008" i="29"/>
  <c r="M4008" i="29" s="1"/>
  <c r="I4009" i="29"/>
  <c r="K4009" i="29"/>
  <c r="M4009" i="29" s="1"/>
  <c r="L4087" i="29" l="1"/>
  <c r="L4071" i="29"/>
  <c r="L4001" i="29"/>
  <c r="M4072" i="29"/>
  <c r="L4076" i="29"/>
  <c r="M4076" i="29"/>
  <c r="L4072" i="29"/>
  <c r="M4068" i="29"/>
  <c r="L4004" i="29"/>
  <c r="M4066" i="29"/>
  <c r="L4054" i="29"/>
  <c r="M4073" i="29"/>
  <c r="M4090" i="29"/>
  <c r="M4083" i="29"/>
  <c r="L4051" i="29"/>
  <c r="L4009" i="29"/>
  <c r="L4067" i="29"/>
  <c r="L4063" i="29"/>
  <c r="L4059" i="29"/>
  <c r="L4077" i="29"/>
  <c r="L4088" i="29"/>
  <c r="L4084" i="29"/>
  <c r="L4080" i="29"/>
  <c r="L4008" i="29"/>
  <c r="M4065" i="29"/>
  <c r="M4061" i="29"/>
  <c r="L4075" i="29"/>
  <c r="L4079" i="29"/>
  <c r="M4070" i="29"/>
  <c r="M4064" i="29"/>
  <c r="M4060" i="29"/>
  <c r="M4078" i="29"/>
  <c r="M4094" i="29"/>
  <c r="M4089" i="29"/>
  <c r="M4085" i="29"/>
  <c r="M4081" i="29"/>
  <c r="L4055" i="29"/>
  <c r="M4093" i="29"/>
  <c r="M4095" i="29"/>
  <c r="M4092" i="29"/>
  <c r="M4096" i="29"/>
  <c r="L4041" i="29"/>
  <c r="M4041" i="29"/>
  <c r="L4040" i="29"/>
  <c r="M4040" i="29"/>
  <c r="M4037" i="29"/>
  <c r="L4037" i="29"/>
  <c r="L4036" i="29"/>
  <c r="M4036" i="29"/>
  <c r="M4069" i="29"/>
  <c r="M4057" i="29"/>
  <c r="M4056" i="29"/>
  <c r="M4047" i="29"/>
  <c r="M4046" i="29"/>
  <c r="M4045" i="29"/>
  <c r="L4044" i="29"/>
  <c r="L4043" i="29"/>
  <c r="M4050" i="29"/>
  <c r="M4053" i="29"/>
  <c r="M4049" i="29"/>
  <c r="M4052" i="29"/>
  <c r="M4048" i="29"/>
  <c r="L4042" i="29"/>
  <c r="G6" i="23" s="1"/>
  <c r="L4039" i="29"/>
  <c r="M4039" i="29"/>
  <c r="L4038" i="29"/>
  <c r="M4038" i="29"/>
  <c r="M4035" i="29"/>
  <c r="L4035" i="29"/>
  <c r="M4034" i="29"/>
  <c r="L4034" i="29"/>
  <c r="M4033" i="29"/>
  <c r="L4033" i="29"/>
  <c r="M4032" i="29"/>
  <c r="L4032" i="29"/>
  <c r="M4031" i="29"/>
  <c r="L4031" i="29"/>
  <c r="M4030" i="29"/>
  <c r="L4030" i="29"/>
  <c r="M4029" i="29"/>
  <c r="L4029" i="29"/>
  <c r="M4028" i="29"/>
  <c r="L4028" i="29"/>
  <c r="M4027" i="29"/>
  <c r="L4027" i="29"/>
  <c r="M4026" i="29"/>
  <c r="L4026" i="29"/>
  <c r="M4025" i="29"/>
  <c r="L4025" i="29"/>
  <c r="M4024" i="29"/>
  <c r="L4024" i="29"/>
  <c r="M4023" i="29"/>
  <c r="L4023" i="29"/>
  <c r="M4022" i="29"/>
  <c r="L4022" i="29"/>
  <c r="M4021" i="29"/>
  <c r="L4021" i="29"/>
  <c r="M4020" i="29"/>
  <c r="L4020" i="29"/>
  <c r="M4019" i="29"/>
  <c r="L4019" i="29"/>
  <c r="M4018" i="29"/>
  <c r="L4018" i="29"/>
  <c r="M4017" i="29"/>
  <c r="L4017" i="29"/>
  <c r="M4016" i="29"/>
  <c r="L4016" i="29"/>
  <c r="M4015" i="29"/>
  <c r="L4015" i="29"/>
  <c r="M4014" i="29"/>
  <c r="L4014" i="29"/>
  <c r="M4013" i="29"/>
  <c r="L4013" i="29"/>
  <c r="M4012" i="29"/>
  <c r="L4012" i="29"/>
  <c r="M4011" i="29"/>
  <c r="L4011" i="29"/>
  <c r="M4010" i="29"/>
  <c r="L4010" i="29"/>
  <c r="L4000" i="29"/>
  <c r="M3997" i="29"/>
  <c r="L3999" i="29"/>
  <c r="L4007" i="29"/>
  <c r="M4006" i="29"/>
  <c r="L4002" i="29"/>
  <c r="L3998" i="29"/>
  <c r="M4003" i="29"/>
  <c r="F3" i="23"/>
  <c r="F4" i="23"/>
  <c r="I3973" i="29" l="1"/>
  <c r="K3973" i="29"/>
  <c r="L3973" i="29" s="1"/>
  <c r="I3974" i="29"/>
  <c r="K3974" i="29"/>
  <c r="M3974" i="29" s="1"/>
  <c r="I3975" i="29"/>
  <c r="K3975" i="29"/>
  <c r="L3975" i="29" s="1"/>
  <c r="I3976" i="29"/>
  <c r="K3976" i="29"/>
  <c r="L3976" i="29" s="1"/>
  <c r="I3977" i="29"/>
  <c r="K3977" i="29"/>
  <c r="L3977" i="29" s="1"/>
  <c r="I3978" i="29"/>
  <c r="K3978" i="29"/>
  <c r="L3978" i="29" s="1"/>
  <c r="I3979" i="29"/>
  <c r="K3979" i="29"/>
  <c r="L3979" i="29" s="1"/>
  <c r="I3980" i="29"/>
  <c r="K3980" i="29"/>
  <c r="L3980" i="29" s="1"/>
  <c r="I3981" i="29"/>
  <c r="K3981" i="29"/>
  <c r="M3981" i="29" s="1"/>
  <c r="I3982" i="29"/>
  <c r="K3982" i="29"/>
  <c r="M3982" i="29" s="1"/>
  <c r="I3983" i="29"/>
  <c r="K3983" i="29"/>
  <c r="L3983" i="29" s="1"/>
  <c r="I3984" i="29"/>
  <c r="K3984" i="29"/>
  <c r="L3984" i="29" s="1"/>
  <c r="I3985" i="29"/>
  <c r="K3985" i="29"/>
  <c r="L3985" i="29" s="1"/>
  <c r="I3986" i="29"/>
  <c r="K3986" i="29"/>
  <c r="L3986" i="29" s="1"/>
  <c r="I3987" i="29"/>
  <c r="K3987" i="29"/>
  <c r="M3987" i="29" s="1"/>
  <c r="I3988" i="29"/>
  <c r="K3988" i="29"/>
  <c r="L3988" i="29" s="1"/>
  <c r="I3989" i="29"/>
  <c r="K3989" i="29"/>
  <c r="M3989" i="29" s="1"/>
  <c r="I3990" i="29"/>
  <c r="K3990" i="29"/>
  <c r="L3990" i="29" s="1"/>
  <c r="I3991" i="29"/>
  <c r="K3991" i="29"/>
  <c r="L3991" i="29" s="1"/>
  <c r="I3992" i="29"/>
  <c r="K3992" i="29"/>
  <c r="L3992" i="29" s="1"/>
  <c r="I3993" i="29"/>
  <c r="K3993" i="29"/>
  <c r="L3993" i="29" s="1"/>
  <c r="I3994" i="29"/>
  <c r="K3994" i="29"/>
  <c r="L3994" i="29" s="1"/>
  <c r="I3995" i="29"/>
  <c r="K3995" i="29"/>
  <c r="L3995" i="29" s="1"/>
  <c r="I3996" i="29"/>
  <c r="K3996" i="29"/>
  <c r="L3996" i="29" s="1"/>
  <c r="I3927" i="29"/>
  <c r="K3927" i="29"/>
  <c r="L3927" i="29" s="1"/>
  <c r="I3928" i="29"/>
  <c r="K3928" i="29"/>
  <c r="L3928" i="29" s="1"/>
  <c r="I3929" i="29"/>
  <c r="K3929" i="29"/>
  <c r="L3929" i="29" s="1"/>
  <c r="I3930" i="29"/>
  <c r="K3930" i="29"/>
  <c r="L3930" i="29" s="1"/>
  <c r="I3931" i="29"/>
  <c r="K3931" i="29"/>
  <c r="L3931" i="29" s="1"/>
  <c r="I3932" i="29"/>
  <c r="K3932" i="29"/>
  <c r="L3932" i="29" s="1"/>
  <c r="I3933" i="29"/>
  <c r="K3933" i="29"/>
  <c r="L3933" i="29" s="1"/>
  <c r="I3934" i="29"/>
  <c r="K3934" i="29"/>
  <c r="L3934" i="29" s="1"/>
  <c r="I3935" i="29"/>
  <c r="K3935" i="29"/>
  <c r="M3935" i="29" s="1"/>
  <c r="L3935" i="29"/>
  <c r="I3936" i="29"/>
  <c r="K3936" i="29"/>
  <c r="L3936" i="29" s="1"/>
  <c r="I3937" i="29"/>
  <c r="K3937" i="29"/>
  <c r="L3937" i="29" s="1"/>
  <c r="I3938" i="29"/>
  <c r="K3938" i="29"/>
  <c r="L3938" i="29" s="1"/>
  <c r="I3939" i="29"/>
  <c r="K3939" i="29"/>
  <c r="L3939" i="29" s="1"/>
  <c r="I3940" i="29"/>
  <c r="K3940" i="29"/>
  <c r="L3940" i="29" s="1"/>
  <c r="I3941" i="29"/>
  <c r="K3941" i="29"/>
  <c r="M3941" i="29" s="1"/>
  <c r="I3942" i="29"/>
  <c r="K3942" i="29"/>
  <c r="L3942" i="29" s="1"/>
  <c r="I3943" i="29"/>
  <c r="K3943" i="29"/>
  <c r="I3944" i="29"/>
  <c r="K3944" i="29"/>
  <c r="L3944" i="29" s="1"/>
  <c r="I3945" i="29"/>
  <c r="K3945" i="29"/>
  <c r="L3945" i="29" s="1"/>
  <c r="I3946" i="29"/>
  <c r="K3946" i="29"/>
  <c r="L3946" i="29" s="1"/>
  <c r="I3947" i="29"/>
  <c r="K3947" i="29"/>
  <c r="M3947" i="29" s="1"/>
  <c r="L3947" i="29"/>
  <c r="I3948" i="29"/>
  <c r="K3948" i="29"/>
  <c r="L3948" i="29" s="1"/>
  <c r="I3949" i="29"/>
  <c r="K3949" i="29"/>
  <c r="M3949" i="29" s="1"/>
  <c r="I3950" i="29"/>
  <c r="K3950" i="29"/>
  <c r="M3950" i="29" s="1"/>
  <c r="I3951" i="29"/>
  <c r="K3951" i="29"/>
  <c r="L3951" i="29" s="1"/>
  <c r="I3952" i="29"/>
  <c r="K3952" i="29"/>
  <c r="L3952" i="29" s="1"/>
  <c r="I3953" i="29"/>
  <c r="K3953" i="29"/>
  <c r="L3953" i="29" s="1"/>
  <c r="I3954" i="29"/>
  <c r="K3954" i="29"/>
  <c r="L3954" i="29" s="1"/>
  <c r="I3955" i="29"/>
  <c r="K3955" i="29"/>
  <c r="L3955" i="29" s="1"/>
  <c r="I3956" i="29"/>
  <c r="K3956" i="29"/>
  <c r="L3956" i="29" s="1"/>
  <c r="I3957" i="29"/>
  <c r="K3957" i="29"/>
  <c r="L3957" i="29" s="1"/>
  <c r="I3958" i="29"/>
  <c r="K3958" i="29"/>
  <c r="M3958" i="29" s="1"/>
  <c r="I3959" i="29"/>
  <c r="K3959" i="29"/>
  <c r="L3959" i="29" s="1"/>
  <c r="I3960" i="29"/>
  <c r="K3960" i="29"/>
  <c r="L3960" i="29" s="1"/>
  <c r="I3961" i="29"/>
  <c r="K3961" i="29"/>
  <c r="L3961" i="29" s="1"/>
  <c r="I3962" i="29"/>
  <c r="K3962" i="29"/>
  <c r="L3962" i="29" s="1"/>
  <c r="I3963" i="29"/>
  <c r="K3963" i="29"/>
  <c r="L3963" i="29" s="1"/>
  <c r="I3964" i="29"/>
  <c r="K3964" i="29"/>
  <c r="M3964" i="29" s="1"/>
  <c r="I3965" i="29"/>
  <c r="K3965" i="29"/>
  <c r="M3965" i="29" s="1"/>
  <c r="I3966" i="29"/>
  <c r="K3966" i="29"/>
  <c r="M3966" i="29" s="1"/>
  <c r="I3967" i="29"/>
  <c r="K3967" i="29"/>
  <c r="L3967" i="29" s="1"/>
  <c r="I3968" i="29"/>
  <c r="K3968" i="29"/>
  <c r="L3968" i="29" s="1"/>
  <c r="I3969" i="29"/>
  <c r="K3969" i="29"/>
  <c r="M3969" i="29" s="1"/>
  <c r="I3970" i="29"/>
  <c r="K3970" i="29"/>
  <c r="L3970" i="29" s="1"/>
  <c r="I3971" i="29"/>
  <c r="K3971" i="29"/>
  <c r="L3971" i="29" s="1"/>
  <c r="I3972" i="29"/>
  <c r="K3972" i="29"/>
  <c r="M3972" i="29" s="1"/>
  <c r="K3848" i="29"/>
  <c r="L3848" i="29" s="1"/>
  <c r="I3848" i="29"/>
  <c r="K3847" i="29"/>
  <c r="M3847" i="29" s="1"/>
  <c r="I3847" i="29"/>
  <c r="I3846" i="29"/>
  <c r="K3846" i="29"/>
  <c r="L3846" i="29" s="1"/>
  <c r="K3845" i="29"/>
  <c r="L3845" i="29" s="1"/>
  <c r="I3845" i="29"/>
  <c r="M3943" i="29" l="1"/>
  <c r="L3943" i="29"/>
  <c r="L3950" i="29"/>
  <c r="M3933" i="29"/>
  <c r="M3930" i="29"/>
  <c r="M3956" i="29"/>
  <c r="M3939" i="29"/>
  <c r="L3964" i="29"/>
  <c r="M3954" i="29"/>
  <c r="M3942" i="29"/>
  <c r="M3937" i="29"/>
  <c r="M3963" i="29"/>
  <c r="L3958" i="29"/>
  <c r="M3953" i="29"/>
  <c r="L3941" i="29"/>
  <c r="M3944" i="29"/>
  <c r="M3931" i="29"/>
  <c r="M3984" i="29"/>
  <c r="M3979" i="29"/>
  <c r="M3962" i="29"/>
  <c r="M3948" i="29"/>
  <c r="M3957" i="29"/>
  <c r="M3934" i="29"/>
  <c r="M3985" i="29"/>
  <c r="M3994" i="29"/>
  <c r="L3949" i="29"/>
  <c r="L3989" i="29"/>
  <c r="M3980" i="29"/>
  <c r="M3960" i="29"/>
  <c r="M3952" i="29"/>
  <c r="M3940" i="29"/>
  <c r="M3992" i="29"/>
  <c r="L3987" i="29"/>
  <c r="M3996" i="29"/>
  <c r="M3961" i="29"/>
  <c r="M3938" i="29"/>
  <c r="M3951" i="29"/>
  <c r="M3959" i="29"/>
  <c r="M3946" i="29"/>
  <c r="M3936" i="29"/>
  <c r="M3990" i="29"/>
  <c r="M3995" i="29"/>
  <c r="M3955" i="29"/>
  <c r="M3932" i="29"/>
  <c r="M3986" i="29"/>
  <c r="M3983" i="29"/>
  <c r="M3945" i="29"/>
  <c r="M3978" i="29"/>
  <c r="M3993" i="29"/>
  <c r="M3991" i="29"/>
  <c r="M3988" i="29"/>
  <c r="L3982" i="29"/>
  <c r="L3981" i="29"/>
  <c r="M3977" i="29"/>
  <c r="M3976" i="29"/>
  <c r="M3975" i="29"/>
  <c r="M3973" i="29"/>
  <c r="L3972" i="29"/>
  <c r="L3969" i="29"/>
  <c r="L3966" i="29"/>
  <c r="M3929" i="29"/>
  <c r="M3971" i="29"/>
  <c r="M3968" i="29"/>
  <c r="M3846" i="29"/>
  <c r="M3928" i="29"/>
  <c r="M3970" i="29"/>
  <c r="M3967" i="29"/>
  <c r="M3927" i="29"/>
  <c r="L3965" i="29"/>
  <c r="M3848" i="29"/>
  <c r="L3847" i="29"/>
  <c r="M3845" i="29"/>
  <c r="H3844" i="29"/>
  <c r="H3843" i="29"/>
  <c r="J3844" i="29"/>
  <c r="J3843" i="29"/>
  <c r="I3807" i="29"/>
  <c r="I3814" i="29"/>
  <c r="K3814" i="29"/>
  <c r="I3815" i="29"/>
  <c r="K3815" i="29"/>
  <c r="M3815" i="29" s="1"/>
  <c r="I3816" i="29"/>
  <c r="K3816" i="29"/>
  <c r="M3816" i="29" s="1"/>
  <c r="L3814" i="29" l="1"/>
  <c r="M3814" i="29"/>
  <c r="L3816" i="29"/>
  <c r="L3815" i="29"/>
  <c r="I3806" i="29"/>
  <c r="I3808" i="29"/>
  <c r="I3809" i="29"/>
  <c r="I3646" i="29" l="1"/>
  <c r="I3647" i="29"/>
  <c r="I3648" i="29"/>
  <c r="I3649" i="29"/>
  <c r="I3650" i="29"/>
  <c r="I3651" i="29"/>
  <c r="I3652" i="29"/>
  <c r="I3653" i="29"/>
  <c r="I3654" i="29"/>
  <c r="I3655" i="29"/>
  <c r="I3656" i="29"/>
  <c r="I3657" i="29"/>
  <c r="I3658" i="29"/>
  <c r="I3659" i="29"/>
  <c r="I3660" i="29"/>
  <c r="I3661" i="29"/>
  <c r="I3662" i="29"/>
  <c r="I3663" i="29"/>
  <c r="I3664" i="29"/>
  <c r="I3665" i="29"/>
  <c r="I3666" i="29"/>
  <c r="I3667" i="29"/>
  <c r="I3668" i="29"/>
  <c r="I3669" i="29"/>
  <c r="I3670" i="29"/>
  <c r="I3671" i="29"/>
  <c r="I3672" i="29"/>
  <c r="I3673" i="29"/>
  <c r="I3674" i="29"/>
  <c r="I3675" i="29"/>
  <c r="I3676" i="29"/>
  <c r="I3677" i="29"/>
  <c r="I3678" i="29"/>
  <c r="I3679" i="29"/>
  <c r="I3680" i="29"/>
  <c r="I3681" i="29"/>
  <c r="I3682" i="29"/>
  <c r="I3683" i="29"/>
  <c r="I3684" i="29"/>
  <c r="I3685" i="29"/>
  <c r="I3686" i="29"/>
  <c r="I3687" i="29"/>
  <c r="I3688" i="29"/>
  <c r="I3689" i="29"/>
  <c r="I3690" i="29"/>
  <c r="I3691" i="29"/>
  <c r="I3692" i="29"/>
  <c r="I3693" i="29"/>
  <c r="I3694" i="29"/>
  <c r="I3695" i="29"/>
  <c r="I3696" i="29"/>
  <c r="I3697" i="29"/>
  <c r="I3698" i="29"/>
  <c r="I3699" i="29"/>
  <c r="I3700" i="29"/>
  <c r="I3701" i="29"/>
  <c r="I3702" i="29"/>
  <c r="I3703" i="29"/>
  <c r="I3704" i="29"/>
  <c r="I3705" i="29"/>
  <c r="I3706" i="29"/>
  <c r="I3707" i="29"/>
  <c r="I3708" i="29"/>
  <c r="I3709" i="29"/>
  <c r="I3710" i="29"/>
  <c r="I3711" i="29"/>
  <c r="I3712" i="29"/>
  <c r="I3713" i="29"/>
  <c r="I3714" i="29"/>
  <c r="I3715" i="29"/>
  <c r="I3716" i="29"/>
  <c r="I3717" i="29"/>
  <c r="I3718" i="29"/>
  <c r="I3719" i="29"/>
  <c r="I3720" i="29"/>
  <c r="I3721" i="29"/>
  <c r="I3722" i="29"/>
  <c r="I3723" i="29"/>
  <c r="I3724" i="29"/>
  <c r="I3725" i="29"/>
  <c r="I3726" i="29"/>
  <c r="I3727" i="29"/>
  <c r="I3728" i="29"/>
  <c r="I3729" i="29"/>
  <c r="I3730" i="29"/>
  <c r="I3731" i="29"/>
  <c r="I3732" i="29"/>
  <c r="I3733" i="29"/>
  <c r="I3734" i="29"/>
  <c r="I3735" i="29"/>
  <c r="I3736" i="29"/>
  <c r="I3737" i="29"/>
  <c r="I3738" i="29"/>
  <c r="I3739" i="29"/>
  <c r="I3740" i="29"/>
  <c r="I3741" i="29"/>
  <c r="I3742" i="29"/>
  <c r="I3743" i="29"/>
  <c r="I3744" i="29"/>
  <c r="I3745" i="29"/>
  <c r="I3746" i="29"/>
  <c r="I3747" i="29"/>
  <c r="I3748" i="29"/>
  <c r="I3749" i="29"/>
  <c r="I3750" i="29"/>
  <c r="I3751" i="29"/>
  <c r="I3752" i="29"/>
  <c r="I3753" i="29"/>
  <c r="I3754" i="29"/>
  <c r="I3755" i="29"/>
  <c r="I3756" i="29"/>
  <c r="I3757" i="29"/>
  <c r="I3758" i="29"/>
  <c r="I3759" i="29"/>
  <c r="I3760" i="29"/>
  <c r="I3761" i="29"/>
  <c r="I3762" i="29"/>
  <c r="I3763" i="29"/>
  <c r="I3764" i="29"/>
  <c r="I3765" i="29"/>
  <c r="I3766" i="29"/>
  <c r="I3767" i="29"/>
  <c r="I3768" i="29"/>
  <c r="I3769" i="29"/>
  <c r="I3770" i="29"/>
  <c r="I3771" i="29"/>
  <c r="I3772" i="29"/>
  <c r="I3773" i="29"/>
  <c r="I3774" i="29"/>
  <c r="I3775" i="29"/>
  <c r="I3776" i="29"/>
  <c r="I3777" i="29"/>
  <c r="I3778" i="29"/>
  <c r="I3779" i="29"/>
  <c r="I3780" i="29"/>
  <c r="I3781" i="29"/>
  <c r="I3782" i="29"/>
  <c r="I3783" i="29"/>
  <c r="I3784" i="29"/>
  <c r="I3785" i="29"/>
  <c r="I3786" i="29"/>
  <c r="I3787" i="29"/>
  <c r="I3788" i="29"/>
  <c r="I3789" i="29"/>
  <c r="I3790" i="29"/>
  <c r="I3791" i="29"/>
  <c r="I3792" i="29"/>
  <c r="I3793" i="29"/>
  <c r="I3794" i="29"/>
  <c r="I3795" i="29"/>
  <c r="I3796" i="29"/>
  <c r="I3797" i="29"/>
  <c r="I3798" i="29"/>
  <c r="I3799" i="29"/>
  <c r="I3800" i="29"/>
  <c r="I3801" i="29"/>
  <c r="I3802" i="29"/>
  <c r="I3803" i="29"/>
  <c r="I3804" i="29"/>
  <c r="I3805" i="29"/>
  <c r="I3810" i="29"/>
  <c r="I3811" i="29"/>
  <c r="I3812" i="29"/>
  <c r="I3813" i="29"/>
  <c r="I3817" i="29"/>
  <c r="I3818" i="29"/>
  <c r="I3819" i="29"/>
  <c r="I3820" i="29"/>
  <c r="I3821" i="29"/>
  <c r="I3822" i="29"/>
  <c r="I3823" i="29"/>
  <c r="I3824" i="29"/>
  <c r="I3825" i="29"/>
  <c r="I3826" i="29"/>
  <c r="I3827" i="29"/>
  <c r="I3828" i="29"/>
  <c r="I3829" i="29"/>
  <c r="I3830" i="29"/>
  <c r="I3831" i="29"/>
  <c r="I3832" i="29"/>
  <c r="I3833" i="29"/>
  <c r="I3834" i="29"/>
  <c r="I3835" i="29"/>
  <c r="I3836" i="29"/>
  <c r="I3837" i="29"/>
  <c r="I3838" i="29"/>
  <c r="I3839" i="29"/>
  <c r="I3840" i="29"/>
  <c r="I3841" i="29"/>
  <c r="I3842" i="29"/>
  <c r="I3843" i="29"/>
  <c r="I3844" i="29"/>
  <c r="I3849" i="29"/>
  <c r="I3850" i="29"/>
  <c r="I3851" i="29"/>
  <c r="I3852" i="29"/>
  <c r="I3853" i="29"/>
  <c r="I3854" i="29"/>
  <c r="I3855" i="29"/>
  <c r="I3856" i="29"/>
  <c r="I3857" i="29"/>
  <c r="I3858" i="29"/>
  <c r="I3859" i="29"/>
  <c r="I3860" i="29"/>
  <c r="I3861" i="29"/>
  <c r="I3862" i="29"/>
  <c r="I3863" i="29"/>
  <c r="I3864" i="29"/>
  <c r="I3865" i="29"/>
  <c r="I3866" i="29"/>
  <c r="I3867" i="29"/>
  <c r="I3868" i="29"/>
  <c r="I3869" i="29"/>
  <c r="I3870" i="29"/>
  <c r="I3871" i="29"/>
  <c r="I3872" i="29"/>
  <c r="I3873" i="29"/>
  <c r="I3874" i="29"/>
  <c r="I3875" i="29"/>
  <c r="I3876" i="29"/>
  <c r="I3877" i="29"/>
  <c r="I3878" i="29"/>
  <c r="I3879" i="29"/>
  <c r="I3880" i="29"/>
  <c r="I3881" i="29"/>
  <c r="I3882" i="29"/>
  <c r="I3883" i="29"/>
  <c r="I3884" i="29"/>
  <c r="I3885" i="29"/>
  <c r="I3886" i="29"/>
  <c r="I3887" i="29"/>
  <c r="I3888" i="29"/>
  <c r="I3889" i="29"/>
  <c r="I3890" i="29"/>
  <c r="I3891" i="29"/>
  <c r="I3892" i="29"/>
  <c r="I3893" i="29"/>
  <c r="I3894" i="29"/>
  <c r="I3895" i="29"/>
  <c r="I3896" i="29"/>
  <c r="I3897" i="29"/>
  <c r="I3898" i="29"/>
  <c r="I3899" i="29"/>
  <c r="I3900" i="29"/>
  <c r="I3901" i="29"/>
  <c r="I3902" i="29"/>
  <c r="I3903" i="29"/>
  <c r="I3904" i="29"/>
  <c r="I3905" i="29"/>
  <c r="I3906" i="29"/>
  <c r="I3907" i="29"/>
  <c r="I3908" i="29"/>
  <c r="I3909" i="29"/>
  <c r="I3910" i="29"/>
  <c r="I3911" i="29"/>
  <c r="I3912" i="29"/>
  <c r="I3913" i="29"/>
  <c r="I3914" i="29"/>
  <c r="I3915" i="29"/>
  <c r="I3916" i="29"/>
  <c r="I3917" i="29"/>
  <c r="I3918" i="29"/>
  <c r="I3919" i="29"/>
  <c r="I3920" i="29"/>
  <c r="I3921" i="29"/>
  <c r="I3922" i="29"/>
  <c r="I3923" i="29"/>
  <c r="I3924" i="29"/>
  <c r="I3925" i="29"/>
  <c r="I3926" i="29"/>
  <c r="K3588" i="29"/>
  <c r="K3589" i="29"/>
  <c r="L3589" i="29" s="1"/>
  <c r="K3590" i="29"/>
  <c r="L3590" i="29" s="1"/>
  <c r="K3591" i="29"/>
  <c r="L3591" i="29" s="1"/>
  <c r="K3592" i="29"/>
  <c r="M3592" i="29" s="1"/>
  <c r="K3593" i="29"/>
  <c r="M3593" i="29" s="1"/>
  <c r="K3594" i="29"/>
  <c r="K3595" i="29"/>
  <c r="K3596" i="29"/>
  <c r="L3596" i="29" s="1"/>
  <c r="K3597" i="29"/>
  <c r="M3597" i="29" s="1"/>
  <c r="K3598" i="29"/>
  <c r="M3598" i="29" s="1"/>
  <c r="K3599" i="29"/>
  <c r="L3599" i="29" s="1"/>
  <c r="K3600" i="29"/>
  <c r="L3600" i="29" s="1"/>
  <c r="K3601" i="29"/>
  <c r="L3601" i="29" s="1"/>
  <c r="K3602" i="29"/>
  <c r="L3602" i="29" s="1"/>
  <c r="K3603" i="29"/>
  <c r="L3603" i="29" s="1"/>
  <c r="K3604" i="29"/>
  <c r="K3605" i="29"/>
  <c r="M3605" i="29" s="1"/>
  <c r="K3606" i="29"/>
  <c r="L3606" i="29" s="1"/>
  <c r="K3607" i="29"/>
  <c r="L3607" i="29" s="1"/>
  <c r="K3608" i="29"/>
  <c r="K3609" i="29"/>
  <c r="K3610" i="29"/>
  <c r="L3610" i="29" s="1"/>
  <c r="K3611" i="29"/>
  <c r="M3611" i="29" s="1"/>
  <c r="K3612" i="29"/>
  <c r="L3612" i="29" s="1"/>
  <c r="K3613" i="29"/>
  <c r="L3613" i="29" s="1"/>
  <c r="K3614" i="29"/>
  <c r="K3615" i="29"/>
  <c r="L3615" i="29" s="1"/>
  <c r="K3616" i="29"/>
  <c r="L3616" i="29" s="1"/>
  <c r="K3617" i="29"/>
  <c r="M3617" i="29" s="1"/>
  <c r="K3618" i="29"/>
  <c r="M3618" i="29" s="1"/>
  <c r="K3619" i="29"/>
  <c r="L3619" i="29" s="1"/>
  <c r="K3620" i="29"/>
  <c r="L3620" i="29" s="1"/>
  <c r="K3621" i="29"/>
  <c r="L3621" i="29" s="1"/>
  <c r="K3622" i="29"/>
  <c r="L3622" i="29" s="1"/>
  <c r="K3623" i="29"/>
  <c r="L3623" i="29" s="1"/>
  <c r="K3624" i="29"/>
  <c r="M3624" i="29" s="1"/>
  <c r="K3625" i="29"/>
  <c r="K3626" i="29"/>
  <c r="K3627" i="29"/>
  <c r="L3627" i="29" s="1"/>
  <c r="K3628" i="29"/>
  <c r="M3628" i="29" s="1"/>
  <c r="K3629" i="29"/>
  <c r="L3629" i="29" s="1"/>
  <c r="K3630" i="29"/>
  <c r="K3631" i="29"/>
  <c r="K3632" i="29"/>
  <c r="K3633" i="29"/>
  <c r="L3633" i="29" s="1"/>
  <c r="K3634" i="29"/>
  <c r="L3634" i="29" s="1"/>
  <c r="K3635" i="29"/>
  <c r="K3636" i="29"/>
  <c r="K3637" i="29"/>
  <c r="K3638" i="29"/>
  <c r="L3638" i="29" s="1"/>
  <c r="K3639" i="29"/>
  <c r="L3639" i="29" s="1"/>
  <c r="K3640" i="29"/>
  <c r="K3641" i="29"/>
  <c r="K3642" i="29"/>
  <c r="K3643" i="29"/>
  <c r="L3643" i="29" s="1"/>
  <c r="K3644" i="29"/>
  <c r="K3645" i="29"/>
  <c r="L3645" i="29" s="1"/>
  <c r="K3646" i="29"/>
  <c r="L3646" i="29" s="1"/>
  <c r="K3647" i="29"/>
  <c r="L3647" i="29" s="1"/>
  <c r="K3648" i="29"/>
  <c r="K3649" i="29"/>
  <c r="K3650" i="29"/>
  <c r="K3651" i="29"/>
  <c r="K3652" i="29"/>
  <c r="K3653" i="29"/>
  <c r="L3653" i="29" s="1"/>
  <c r="K3654" i="29"/>
  <c r="L3654" i="29" s="1"/>
  <c r="K3655" i="29"/>
  <c r="K3656" i="29"/>
  <c r="L3656" i="29" s="1"/>
  <c r="K3657" i="29"/>
  <c r="L3657" i="29" s="1"/>
  <c r="K3658" i="29"/>
  <c r="L3658" i="29" s="1"/>
  <c r="K3659" i="29"/>
  <c r="K3660" i="29"/>
  <c r="K3661" i="29"/>
  <c r="M3661" i="29" s="1"/>
  <c r="K3662" i="29"/>
  <c r="L3662" i="29" s="1"/>
  <c r="K3663" i="29"/>
  <c r="L3663" i="29" s="1"/>
  <c r="K3664" i="29"/>
  <c r="K3665" i="29"/>
  <c r="L3665" i="29" s="1"/>
  <c r="K3666" i="29"/>
  <c r="K3667" i="29"/>
  <c r="L3667" i="29" s="1"/>
  <c r="K3668" i="29"/>
  <c r="K3669" i="29"/>
  <c r="L3669" i="29" s="1"/>
  <c r="K3670" i="29"/>
  <c r="K3671" i="29"/>
  <c r="K3672" i="29"/>
  <c r="K3673" i="29"/>
  <c r="L3673" i="29" s="1"/>
  <c r="K3674" i="29"/>
  <c r="L3674" i="29" s="1"/>
  <c r="K3675" i="29"/>
  <c r="K3676" i="29"/>
  <c r="K3677" i="29"/>
  <c r="L3677" i="29" s="1"/>
  <c r="K3678" i="29"/>
  <c r="L3678" i="29" s="1"/>
  <c r="K3679" i="29"/>
  <c r="L3679" i="29" s="1"/>
  <c r="K3680" i="29"/>
  <c r="M3680" i="29" s="1"/>
  <c r="K3681" i="29"/>
  <c r="K3682" i="29"/>
  <c r="K3683" i="29"/>
  <c r="L3683" i="29" s="1"/>
  <c r="K3684" i="29"/>
  <c r="L3684" i="29" s="1"/>
  <c r="K3685" i="29"/>
  <c r="L3685" i="29" s="1"/>
  <c r="K3686" i="29"/>
  <c r="L3686" i="29" s="1"/>
  <c r="K3687" i="29"/>
  <c r="M3687" i="29" s="1"/>
  <c r="K3688" i="29"/>
  <c r="M3688" i="29" s="1"/>
  <c r="K3689" i="29"/>
  <c r="K3690" i="29"/>
  <c r="K3691" i="29"/>
  <c r="K3692" i="29"/>
  <c r="M3692" i="29" s="1"/>
  <c r="K3693" i="29"/>
  <c r="L3693" i="29" s="1"/>
  <c r="K3694" i="29"/>
  <c r="L3694" i="29" s="1"/>
  <c r="K3695" i="29"/>
  <c r="K3696" i="29"/>
  <c r="K3697" i="29"/>
  <c r="K3698" i="29"/>
  <c r="M3698" i="29" s="1"/>
  <c r="K3699" i="29"/>
  <c r="K3700" i="29"/>
  <c r="K3701" i="29"/>
  <c r="L3701" i="29" s="1"/>
  <c r="K3702" i="29"/>
  <c r="L3702" i="29" s="1"/>
  <c r="K3703" i="29"/>
  <c r="K3704" i="29"/>
  <c r="K3705" i="29"/>
  <c r="L3705" i="29" s="1"/>
  <c r="K3706" i="29"/>
  <c r="L3706" i="29" s="1"/>
  <c r="K3707" i="29"/>
  <c r="K3708" i="29"/>
  <c r="L3708" i="29" s="1"/>
  <c r="K3709" i="29"/>
  <c r="K3710" i="29"/>
  <c r="K3711" i="29"/>
  <c r="L3711" i="29" s="1"/>
  <c r="K3712" i="29"/>
  <c r="K3713" i="29"/>
  <c r="K3714" i="29"/>
  <c r="K3715" i="29"/>
  <c r="K3716" i="29"/>
  <c r="L3716" i="29" s="1"/>
  <c r="K3717" i="29"/>
  <c r="L3717" i="29" s="1"/>
  <c r="K3718" i="29"/>
  <c r="K3719" i="29"/>
  <c r="K3720" i="29"/>
  <c r="K3721" i="29"/>
  <c r="K3722" i="29"/>
  <c r="L3722" i="29" s="1"/>
  <c r="K3723" i="29"/>
  <c r="M3723" i="29" s="1"/>
  <c r="K3724" i="29"/>
  <c r="K3725" i="29"/>
  <c r="L3725" i="29" s="1"/>
  <c r="K3726" i="29"/>
  <c r="K3727" i="29"/>
  <c r="K3728" i="29"/>
  <c r="L3728" i="29" s="1"/>
  <c r="K3729" i="29"/>
  <c r="K3730" i="29"/>
  <c r="L3730" i="29" s="1"/>
  <c r="K3731" i="29"/>
  <c r="L3731" i="29" s="1"/>
  <c r="K3732" i="29"/>
  <c r="L3732" i="29" s="1"/>
  <c r="K3733" i="29"/>
  <c r="L3733" i="29" s="1"/>
  <c r="K3734" i="29"/>
  <c r="M3734" i="29" s="1"/>
  <c r="K3735" i="29"/>
  <c r="L3735" i="29" s="1"/>
  <c r="K3736" i="29"/>
  <c r="M3736" i="29" s="1"/>
  <c r="K3737" i="29"/>
  <c r="L3737" i="29" s="1"/>
  <c r="K3738" i="29"/>
  <c r="L3738" i="29" s="1"/>
  <c r="K3739" i="29"/>
  <c r="M3739" i="29" s="1"/>
  <c r="K3740" i="29"/>
  <c r="L3740" i="29" s="1"/>
  <c r="K3741" i="29"/>
  <c r="L3741" i="29" s="1"/>
  <c r="K3742" i="29"/>
  <c r="K3743" i="29"/>
  <c r="M3743" i="29" s="1"/>
  <c r="K3744" i="29"/>
  <c r="L3744" i="29" s="1"/>
  <c r="K3745" i="29"/>
  <c r="K3746" i="29"/>
  <c r="K3747" i="29"/>
  <c r="K3748" i="29"/>
  <c r="L3748" i="29" s="1"/>
  <c r="K3749" i="29"/>
  <c r="K3750" i="29"/>
  <c r="K3751" i="29"/>
  <c r="L3751" i="29" s="1"/>
  <c r="K3752" i="29"/>
  <c r="K3753" i="29"/>
  <c r="L3753" i="29" s="1"/>
  <c r="K3754" i="29"/>
  <c r="K3755" i="29"/>
  <c r="K3756" i="29"/>
  <c r="K3757" i="29"/>
  <c r="K3758" i="29"/>
  <c r="K3759" i="29"/>
  <c r="K3760" i="29"/>
  <c r="L3760" i="29" s="1"/>
  <c r="K3761" i="29"/>
  <c r="K3762" i="29"/>
  <c r="L3762" i="29" s="1"/>
  <c r="K3763" i="29"/>
  <c r="K3764" i="29"/>
  <c r="K3765" i="29"/>
  <c r="K3766" i="29"/>
  <c r="L3766" i="29" s="1"/>
  <c r="K3767" i="29"/>
  <c r="M3767" i="29" s="1"/>
  <c r="K3768" i="29"/>
  <c r="M3768" i="29" s="1"/>
  <c r="K3769" i="29"/>
  <c r="K3770" i="29"/>
  <c r="L3770" i="29" s="1"/>
  <c r="K3771" i="29"/>
  <c r="L3771" i="29" s="1"/>
  <c r="K3772" i="29"/>
  <c r="K3773" i="29"/>
  <c r="L3773" i="29" s="1"/>
  <c r="K3774" i="29"/>
  <c r="K3775" i="29"/>
  <c r="L3775" i="29" s="1"/>
  <c r="K3776" i="29"/>
  <c r="L3776" i="29" s="1"/>
  <c r="K3777" i="29"/>
  <c r="M3777" i="29" s="1"/>
  <c r="K3778" i="29"/>
  <c r="K3779" i="29"/>
  <c r="L3779" i="29" s="1"/>
  <c r="K3780" i="29"/>
  <c r="K3781" i="29"/>
  <c r="K3782" i="29"/>
  <c r="L3782" i="29" s="1"/>
  <c r="K3783" i="29"/>
  <c r="L3783" i="29" s="1"/>
  <c r="K3784" i="29"/>
  <c r="K3785" i="29"/>
  <c r="M3785" i="29" s="1"/>
  <c r="K3786" i="29"/>
  <c r="K3787" i="29"/>
  <c r="K3788" i="29"/>
  <c r="K3789" i="29"/>
  <c r="K3790" i="29"/>
  <c r="K3791" i="29"/>
  <c r="M3791" i="29" s="1"/>
  <c r="K3792" i="29"/>
  <c r="L3792" i="29" s="1"/>
  <c r="K3793" i="29"/>
  <c r="K3794" i="29"/>
  <c r="L3794" i="29" s="1"/>
  <c r="K3795" i="29"/>
  <c r="L3795" i="29" s="1"/>
  <c r="K3796" i="29"/>
  <c r="M3796" i="29" s="1"/>
  <c r="K3797" i="29"/>
  <c r="L3797" i="29" s="1"/>
  <c r="K3798" i="29"/>
  <c r="L3798" i="29" s="1"/>
  <c r="K3799" i="29"/>
  <c r="K3800" i="29"/>
  <c r="L3800" i="29" s="1"/>
  <c r="K3801" i="29"/>
  <c r="L3801" i="29" s="1"/>
  <c r="K3802" i="29"/>
  <c r="K3803" i="29"/>
  <c r="L3803" i="29" s="1"/>
  <c r="K3804" i="29"/>
  <c r="K3805" i="29"/>
  <c r="L3805" i="29" s="1"/>
  <c r="K3806" i="29"/>
  <c r="M3806" i="29" s="1"/>
  <c r="K3807" i="29"/>
  <c r="L3807" i="29" s="1"/>
  <c r="K3808" i="29"/>
  <c r="M3808" i="29" s="1"/>
  <c r="K3809" i="29"/>
  <c r="L3809" i="29" s="1"/>
  <c r="K3810" i="29"/>
  <c r="L3810" i="29" s="1"/>
  <c r="K3811" i="29"/>
  <c r="K3812" i="29"/>
  <c r="M3812" i="29" s="1"/>
  <c r="K3813" i="29"/>
  <c r="L3813" i="29" s="1"/>
  <c r="K3817" i="29"/>
  <c r="M3817" i="29" s="1"/>
  <c r="K3818" i="29"/>
  <c r="K3819" i="29"/>
  <c r="M3819" i="29" s="1"/>
  <c r="K3820" i="29"/>
  <c r="L3820" i="29" s="1"/>
  <c r="K3821" i="29"/>
  <c r="M3821" i="29" s="1"/>
  <c r="K3822" i="29"/>
  <c r="K3823" i="29"/>
  <c r="L3823" i="29" s="1"/>
  <c r="K3824" i="29"/>
  <c r="L3824" i="29" s="1"/>
  <c r="K3825" i="29"/>
  <c r="L3825" i="29" s="1"/>
  <c r="K3826" i="29"/>
  <c r="L3826" i="29" s="1"/>
  <c r="K3827" i="29"/>
  <c r="L3827" i="29" s="1"/>
  <c r="K3828" i="29"/>
  <c r="L3828" i="29" s="1"/>
  <c r="K3829" i="29"/>
  <c r="K3830" i="29"/>
  <c r="L3830" i="29" s="1"/>
  <c r="K3831" i="29"/>
  <c r="L3831" i="29" s="1"/>
  <c r="K3832" i="29"/>
  <c r="L3832" i="29" s="1"/>
  <c r="K3833" i="29"/>
  <c r="M3833" i="29" s="1"/>
  <c r="K3834" i="29"/>
  <c r="L3834" i="29" s="1"/>
  <c r="K3835" i="29"/>
  <c r="L3835" i="29" s="1"/>
  <c r="K3836" i="29"/>
  <c r="K3837" i="29"/>
  <c r="L3837" i="29" s="1"/>
  <c r="K3838" i="29"/>
  <c r="M3838" i="29" s="1"/>
  <c r="K3839" i="29"/>
  <c r="L3839" i="29" s="1"/>
  <c r="K3840" i="29"/>
  <c r="M3840" i="29" s="1"/>
  <c r="K3841" i="29"/>
  <c r="L3841" i="29" s="1"/>
  <c r="K3842" i="29"/>
  <c r="L3842" i="29" s="1"/>
  <c r="K3843" i="29"/>
  <c r="M3843" i="29" s="1"/>
  <c r="K3844" i="29"/>
  <c r="L3844" i="29" s="1"/>
  <c r="K3849" i="29"/>
  <c r="K3850" i="29"/>
  <c r="L3850" i="29" s="1"/>
  <c r="K3851" i="29"/>
  <c r="K3852" i="29"/>
  <c r="L3852" i="29" s="1"/>
  <c r="K3853" i="29"/>
  <c r="L3853" i="29" s="1"/>
  <c r="K3854" i="29"/>
  <c r="L3854" i="29" s="1"/>
  <c r="K3855" i="29"/>
  <c r="K3856" i="29"/>
  <c r="K3857" i="29"/>
  <c r="M3857" i="29" s="1"/>
  <c r="K3858" i="29"/>
  <c r="L3858" i="29" s="1"/>
  <c r="K3859" i="29"/>
  <c r="M3859" i="29" s="1"/>
  <c r="K3860" i="29"/>
  <c r="L3860" i="29" s="1"/>
  <c r="K3861" i="29"/>
  <c r="L3861" i="29" s="1"/>
  <c r="K3862" i="29"/>
  <c r="L3862" i="29" s="1"/>
  <c r="K3863" i="29"/>
  <c r="K3864" i="29"/>
  <c r="K3865" i="29"/>
  <c r="K3866" i="29"/>
  <c r="L3866" i="29" s="1"/>
  <c r="K3867" i="29"/>
  <c r="L3867" i="29" s="1"/>
  <c r="K3868" i="29"/>
  <c r="L3868" i="29" s="1"/>
  <c r="K3869" i="29"/>
  <c r="L3869" i="29" s="1"/>
  <c r="K3870" i="29"/>
  <c r="K3871" i="29"/>
  <c r="K3872" i="29"/>
  <c r="L3872" i="29" s="1"/>
  <c r="K3873" i="29"/>
  <c r="K3874" i="29"/>
  <c r="L3874" i="29" s="1"/>
  <c r="K3875" i="29"/>
  <c r="K3876" i="29"/>
  <c r="L3876" i="29" s="1"/>
  <c r="K3877" i="29"/>
  <c r="M3877" i="29" s="1"/>
  <c r="K3878" i="29"/>
  <c r="M3878" i="29" s="1"/>
  <c r="K3879" i="29"/>
  <c r="K3880" i="29"/>
  <c r="L3880" i="29" s="1"/>
  <c r="K3881" i="29"/>
  <c r="K3882" i="29"/>
  <c r="L3882" i="29" s="1"/>
  <c r="K3883" i="29"/>
  <c r="L3883" i="29" s="1"/>
  <c r="K3884" i="29"/>
  <c r="L3884" i="29" s="1"/>
  <c r="K3885" i="29"/>
  <c r="M3885" i="29" s="1"/>
  <c r="K3886" i="29"/>
  <c r="L3886" i="29" s="1"/>
  <c r="K3887" i="29"/>
  <c r="L3887" i="29" s="1"/>
  <c r="K3888" i="29"/>
  <c r="L3888" i="29" s="1"/>
  <c r="K3889" i="29"/>
  <c r="M3889" i="29" s="1"/>
  <c r="K3890" i="29"/>
  <c r="K3891" i="29"/>
  <c r="L3891" i="29" s="1"/>
  <c r="K3892" i="29"/>
  <c r="K3893" i="29"/>
  <c r="L3893" i="29" s="1"/>
  <c r="K3894" i="29"/>
  <c r="K3895" i="29"/>
  <c r="L3895" i="29" s="1"/>
  <c r="K3896" i="29"/>
  <c r="K3897" i="29"/>
  <c r="L3897" i="29" s="1"/>
  <c r="K3898" i="29"/>
  <c r="K3899" i="29"/>
  <c r="L3899" i="29" s="1"/>
  <c r="K3900" i="29"/>
  <c r="L3900" i="29" s="1"/>
  <c r="K3901" i="29"/>
  <c r="M3901" i="29" s="1"/>
  <c r="K3902" i="29"/>
  <c r="K3903" i="29"/>
  <c r="K3904" i="29"/>
  <c r="L3904" i="29" s="1"/>
  <c r="K3905" i="29"/>
  <c r="M3905" i="29" s="1"/>
  <c r="K3906" i="29"/>
  <c r="M3906" i="29" s="1"/>
  <c r="K3907" i="29"/>
  <c r="K3908" i="29"/>
  <c r="L3908" i="29" s="1"/>
  <c r="K3909" i="29"/>
  <c r="L3909" i="29" s="1"/>
  <c r="K3910" i="29"/>
  <c r="M3910" i="29" s="1"/>
  <c r="K3911" i="29"/>
  <c r="K3912" i="29"/>
  <c r="K3913" i="29"/>
  <c r="K3914" i="29"/>
  <c r="L3914" i="29" s="1"/>
  <c r="K3915" i="29"/>
  <c r="L3915" i="29" s="1"/>
  <c r="K3916" i="29"/>
  <c r="L3916" i="29" s="1"/>
  <c r="K3917" i="29"/>
  <c r="L3917" i="29" s="1"/>
  <c r="K3918" i="29"/>
  <c r="K3919" i="29"/>
  <c r="K3920" i="29"/>
  <c r="M3920" i="29" s="1"/>
  <c r="K3921" i="29"/>
  <c r="L3921" i="29" s="1"/>
  <c r="K3922" i="29"/>
  <c r="K3923" i="29"/>
  <c r="L3923" i="29" s="1"/>
  <c r="K3924" i="29"/>
  <c r="L3924" i="29" s="1"/>
  <c r="K3925" i="29"/>
  <c r="L3925" i="29" s="1"/>
  <c r="K3926" i="29"/>
  <c r="I3596" i="29"/>
  <c r="I3597" i="29"/>
  <c r="I3598" i="29"/>
  <c r="I3599" i="29"/>
  <c r="I3600" i="29"/>
  <c r="I3601" i="29"/>
  <c r="I3602" i="29"/>
  <c r="I3603" i="29"/>
  <c r="I3604" i="29"/>
  <c r="I3605" i="29"/>
  <c r="I3606" i="29"/>
  <c r="I3607" i="29"/>
  <c r="I3608" i="29"/>
  <c r="I3609" i="29"/>
  <c r="I3610" i="29"/>
  <c r="I3611" i="29"/>
  <c r="I3612" i="29"/>
  <c r="I3613" i="29"/>
  <c r="I3614" i="29"/>
  <c r="I3615" i="29"/>
  <c r="I3616" i="29"/>
  <c r="I3617" i="29"/>
  <c r="I3618" i="29"/>
  <c r="I3619" i="29"/>
  <c r="I3620" i="29"/>
  <c r="I3621" i="29"/>
  <c r="I3622" i="29"/>
  <c r="I3623" i="29"/>
  <c r="I3624" i="29"/>
  <c r="I3625" i="29"/>
  <c r="I3626" i="29"/>
  <c r="I3627" i="29"/>
  <c r="I3628" i="29"/>
  <c r="I3629" i="29"/>
  <c r="I3630" i="29"/>
  <c r="I3631" i="29"/>
  <c r="I3632" i="29"/>
  <c r="I3633" i="29"/>
  <c r="I3634" i="29"/>
  <c r="I3635" i="29"/>
  <c r="I3636" i="29"/>
  <c r="I3637" i="29"/>
  <c r="I3638" i="29"/>
  <c r="I3639" i="29"/>
  <c r="I3640" i="29"/>
  <c r="I3641" i="29"/>
  <c r="I3642" i="29"/>
  <c r="I3643" i="29"/>
  <c r="I3644" i="29"/>
  <c r="I3645" i="29"/>
  <c r="I3588" i="29"/>
  <c r="I3589" i="29"/>
  <c r="I3590" i="29"/>
  <c r="I3591" i="29"/>
  <c r="I3592" i="29"/>
  <c r="I3593" i="29"/>
  <c r="I3594" i="29"/>
  <c r="I3595" i="29"/>
  <c r="K3587" i="29"/>
  <c r="I3587" i="29"/>
  <c r="K3586" i="29"/>
  <c r="M3586" i="29" s="1"/>
  <c r="I3586" i="29"/>
  <c r="C4" i="30"/>
  <c r="E6" i="30"/>
  <c r="E7" i="30"/>
  <c r="E8" i="30"/>
  <c r="E9" i="30"/>
  <c r="E10" i="30"/>
  <c r="C3" i="30"/>
  <c r="K3585" i="29"/>
  <c r="I3585" i="29"/>
  <c r="K3584" i="29"/>
  <c r="I3584" i="29"/>
  <c r="C5" i="30"/>
  <c r="F14" i="23"/>
  <c r="F13" i="23"/>
  <c r="H13" i="23" s="1"/>
  <c r="F12" i="23"/>
  <c r="F11" i="23"/>
  <c r="F10" i="23"/>
  <c r="F15" i="23"/>
  <c r="K3583" i="29"/>
  <c r="I3583" i="29"/>
  <c r="K3582" i="29"/>
  <c r="I3582" i="29"/>
  <c r="K3574" i="29"/>
  <c r="K3575" i="29"/>
  <c r="K3576" i="29"/>
  <c r="K3577" i="29"/>
  <c r="L3577" i="29" s="1"/>
  <c r="K3578" i="29"/>
  <c r="L3578" i="29" s="1"/>
  <c r="K3579" i="29"/>
  <c r="K3580" i="29"/>
  <c r="L3580" i="29" s="1"/>
  <c r="K3581" i="29"/>
  <c r="I3574" i="29"/>
  <c r="I3575" i="29"/>
  <c r="I3576" i="29"/>
  <c r="I3577" i="29"/>
  <c r="I3578" i="29"/>
  <c r="I3579" i="29"/>
  <c r="I3580" i="29"/>
  <c r="I3581" i="29"/>
  <c r="K3573" i="29"/>
  <c r="L3573" i="29" s="1"/>
  <c r="I3573" i="29"/>
  <c r="K3572" i="29"/>
  <c r="I3572" i="29"/>
  <c r="K3571" i="29"/>
  <c r="L3571" i="29" s="1"/>
  <c r="I3571" i="29"/>
  <c r="K3570" i="29"/>
  <c r="I3570" i="29"/>
  <c r="K3568" i="29"/>
  <c r="K3569" i="29"/>
  <c r="M3569" i="29" s="1"/>
  <c r="I3569" i="29"/>
  <c r="K946" i="29"/>
  <c r="I946" i="29"/>
  <c r="K945" i="29"/>
  <c r="I945" i="29"/>
  <c r="K944" i="29"/>
  <c r="I944" i="29"/>
  <c r="K943" i="29"/>
  <c r="I943" i="29"/>
  <c r="K942" i="29"/>
  <c r="I942" i="29"/>
  <c r="K941" i="29"/>
  <c r="I941" i="29"/>
  <c r="K940" i="29"/>
  <c r="I940" i="29"/>
  <c r="K939" i="29"/>
  <c r="I939" i="29"/>
  <c r="K938" i="29"/>
  <c r="I938" i="29"/>
  <c r="K937" i="29"/>
  <c r="I937" i="29"/>
  <c r="K936" i="29"/>
  <c r="I936" i="29"/>
  <c r="K935" i="29"/>
  <c r="I935" i="29"/>
  <c r="K934" i="29"/>
  <c r="I934" i="29"/>
  <c r="K933" i="29"/>
  <c r="I933" i="29"/>
  <c r="K932" i="29"/>
  <c r="I932" i="29"/>
  <c r="K931" i="29"/>
  <c r="I931" i="29"/>
  <c r="K930" i="29"/>
  <c r="I930" i="29"/>
  <c r="K929" i="29"/>
  <c r="I929" i="29"/>
  <c r="K928" i="29"/>
  <c r="I928" i="29"/>
  <c r="K927" i="29"/>
  <c r="I927" i="29"/>
  <c r="K926" i="29"/>
  <c r="I926" i="29"/>
  <c r="K925" i="29"/>
  <c r="I925" i="29"/>
  <c r="K924" i="29"/>
  <c r="I924" i="29"/>
  <c r="K923" i="29"/>
  <c r="I923" i="29"/>
  <c r="K922" i="29"/>
  <c r="I922" i="29"/>
  <c r="K921" i="29"/>
  <c r="I921" i="29"/>
  <c r="K920" i="29"/>
  <c r="I920" i="29"/>
  <c r="K919" i="29"/>
  <c r="I919" i="29"/>
  <c r="K918" i="29"/>
  <c r="I918" i="29"/>
  <c r="K917" i="29"/>
  <c r="I917" i="29"/>
  <c r="K916" i="29"/>
  <c r="I916" i="29"/>
  <c r="K915" i="29"/>
  <c r="I915" i="29"/>
  <c r="K914" i="29"/>
  <c r="I914" i="29"/>
  <c r="K913" i="29"/>
  <c r="I913" i="29"/>
  <c r="K912" i="29"/>
  <c r="I912" i="29"/>
  <c r="K911" i="29"/>
  <c r="I911" i="29"/>
  <c r="K910" i="29"/>
  <c r="I910" i="29"/>
  <c r="K909" i="29"/>
  <c r="I909" i="29"/>
  <c r="K908" i="29"/>
  <c r="I908" i="29"/>
  <c r="K907" i="29"/>
  <c r="I907" i="29"/>
  <c r="K906" i="29"/>
  <c r="I906" i="29"/>
  <c r="K905" i="29"/>
  <c r="I905" i="29"/>
  <c r="K904" i="29"/>
  <c r="I904" i="29"/>
  <c r="K903" i="29"/>
  <c r="I903" i="29"/>
  <c r="K902" i="29"/>
  <c r="I902" i="29"/>
  <c r="K901" i="29"/>
  <c r="I901" i="29"/>
  <c r="K900" i="29"/>
  <c r="I900" i="29"/>
  <c r="K899" i="29"/>
  <c r="I899" i="29"/>
  <c r="K898" i="29"/>
  <c r="I898" i="29"/>
  <c r="K897" i="29"/>
  <c r="I897" i="29"/>
  <c r="K896" i="29"/>
  <c r="I896" i="29"/>
  <c r="K895" i="29"/>
  <c r="I895" i="29"/>
  <c r="K894" i="29"/>
  <c r="M894" i="29" s="1"/>
  <c r="I894" i="29"/>
  <c r="K893" i="29"/>
  <c r="M893" i="29" s="1"/>
  <c r="I893" i="29"/>
  <c r="K892" i="29"/>
  <c r="M892" i="29" s="1"/>
  <c r="I892" i="29"/>
  <c r="K891" i="29"/>
  <c r="I891" i="29"/>
  <c r="K890" i="29"/>
  <c r="I890" i="29"/>
  <c r="K889" i="29"/>
  <c r="I889" i="29"/>
  <c r="K888" i="29"/>
  <c r="I888" i="29"/>
  <c r="K887" i="29"/>
  <c r="I887" i="29"/>
  <c r="K886" i="29"/>
  <c r="I886" i="29"/>
  <c r="K885" i="29"/>
  <c r="I885" i="29"/>
  <c r="K884" i="29"/>
  <c r="I884" i="29"/>
  <c r="K883" i="29"/>
  <c r="I883" i="29"/>
  <c r="K882" i="29"/>
  <c r="I882" i="29"/>
  <c r="K881" i="29"/>
  <c r="I881" i="29"/>
  <c r="K880" i="29"/>
  <c r="I880" i="29"/>
  <c r="K879" i="29"/>
  <c r="I879" i="29"/>
  <c r="K878" i="29"/>
  <c r="I878" i="29"/>
  <c r="K877" i="29"/>
  <c r="I877" i="29"/>
  <c r="K876" i="29"/>
  <c r="I876" i="29"/>
  <c r="K875" i="29"/>
  <c r="I875" i="29"/>
  <c r="K874" i="29"/>
  <c r="I874" i="29"/>
  <c r="K873" i="29"/>
  <c r="I873" i="29"/>
  <c r="K872" i="29"/>
  <c r="I872" i="29"/>
  <c r="K871" i="29"/>
  <c r="I871" i="29"/>
  <c r="K870" i="29"/>
  <c r="I870" i="29"/>
  <c r="K869" i="29"/>
  <c r="I869" i="29"/>
  <c r="K868" i="29"/>
  <c r="I868" i="29"/>
  <c r="K867" i="29"/>
  <c r="I867" i="29"/>
  <c r="K866" i="29"/>
  <c r="I866" i="29"/>
  <c r="K865" i="29"/>
  <c r="I865" i="29"/>
  <c r="K864" i="29"/>
  <c r="I864" i="29"/>
  <c r="K863" i="29"/>
  <c r="I863" i="29"/>
  <c r="K862" i="29"/>
  <c r="I862" i="29"/>
  <c r="K861" i="29"/>
  <c r="I861" i="29"/>
  <c r="K860" i="29"/>
  <c r="I860" i="29"/>
  <c r="K859" i="29"/>
  <c r="I859" i="29"/>
  <c r="K858" i="29"/>
  <c r="I858" i="29"/>
  <c r="K857" i="29"/>
  <c r="I857" i="29"/>
  <c r="K856" i="29"/>
  <c r="I856" i="29"/>
  <c r="K855" i="29"/>
  <c r="I855" i="29"/>
  <c r="K854" i="29"/>
  <c r="I854" i="29"/>
  <c r="K853" i="29"/>
  <c r="I853" i="29"/>
  <c r="K852" i="29"/>
  <c r="I852" i="29"/>
  <c r="K851" i="29"/>
  <c r="I851" i="29"/>
  <c r="K850" i="29"/>
  <c r="I850" i="29"/>
  <c r="K849" i="29"/>
  <c r="I849" i="29"/>
  <c r="K848" i="29"/>
  <c r="I848" i="29"/>
  <c r="K847" i="29"/>
  <c r="I847" i="29"/>
  <c r="K846" i="29"/>
  <c r="I846" i="29"/>
  <c r="K845" i="29"/>
  <c r="I845" i="29"/>
  <c r="K844" i="29"/>
  <c r="I844" i="29"/>
  <c r="K843" i="29"/>
  <c r="I843" i="29"/>
  <c r="K842" i="29"/>
  <c r="I842" i="29"/>
  <c r="K841" i="29"/>
  <c r="I841" i="29"/>
  <c r="K840" i="29"/>
  <c r="I840" i="29"/>
  <c r="K839" i="29"/>
  <c r="I839" i="29"/>
  <c r="K838" i="29"/>
  <c r="I838" i="29"/>
  <c r="K837" i="29"/>
  <c r="I837" i="29"/>
  <c r="K836" i="29"/>
  <c r="I836" i="29"/>
  <c r="K835" i="29"/>
  <c r="I835" i="29"/>
  <c r="K834" i="29"/>
  <c r="I834" i="29"/>
  <c r="K833" i="29"/>
  <c r="I833" i="29"/>
  <c r="K832" i="29"/>
  <c r="I832" i="29"/>
  <c r="K831" i="29"/>
  <c r="I831" i="29"/>
  <c r="K830" i="29"/>
  <c r="I830" i="29"/>
  <c r="K829" i="29"/>
  <c r="I829" i="29"/>
  <c r="K828" i="29"/>
  <c r="I828" i="29"/>
  <c r="K827" i="29"/>
  <c r="I827" i="29"/>
  <c r="K826" i="29"/>
  <c r="I826" i="29"/>
  <c r="K825" i="29"/>
  <c r="I825" i="29"/>
  <c r="K824" i="29"/>
  <c r="I824" i="29"/>
  <c r="K823" i="29"/>
  <c r="I823" i="29"/>
  <c r="K822" i="29"/>
  <c r="I822" i="29"/>
  <c r="K821" i="29"/>
  <c r="I821" i="29"/>
  <c r="K820" i="29"/>
  <c r="I820" i="29"/>
  <c r="K819" i="29"/>
  <c r="I819" i="29"/>
  <c r="K818" i="29"/>
  <c r="I818" i="29"/>
  <c r="H817" i="29"/>
  <c r="K816" i="29"/>
  <c r="I816" i="29"/>
  <c r="H815" i="29"/>
  <c r="K814" i="29"/>
  <c r="I814" i="29"/>
  <c r="K813" i="29"/>
  <c r="I813" i="29"/>
  <c r="K812" i="29"/>
  <c r="I812" i="29"/>
  <c r="K811" i="29"/>
  <c r="I811" i="29"/>
  <c r="K810" i="29"/>
  <c r="I810" i="29"/>
  <c r="K809" i="29"/>
  <c r="I809" i="29"/>
  <c r="K808" i="29"/>
  <c r="I808" i="29"/>
  <c r="K807" i="29"/>
  <c r="I807" i="29"/>
  <c r="K806" i="29"/>
  <c r="I806" i="29"/>
  <c r="K805" i="29"/>
  <c r="I805" i="29"/>
  <c r="K804" i="29"/>
  <c r="I804" i="29"/>
  <c r="K803" i="29"/>
  <c r="I803" i="29"/>
  <c r="K802" i="29"/>
  <c r="I802" i="29"/>
  <c r="K801" i="29"/>
  <c r="I801" i="29"/>
  <c r="K800" i="29"/>
  <c r="I800" i="29"/>
  <c r="K799" i="29"/>
  <c r="I799" i="29"/>
  <c r="K798" i="29"/>
  <c r="I798" i="29"/>
  <c r="K797" i="29"/>
  <c r="I797" i="29"/>
  <c r="K796" i="29"/>
  <c r="I796" i="29"/>
  <c r="K795" i="29"/>
  <c r="I795" i="29"/>
  <c r="K794" i="29"/>
  <c r="I794" i="29"/>
  <c r="K793" i="29"/>
  <c r="I793" i="29"/>
  <c r="K792" i="29"/>
  <c r="I792" i="29"/>
  <c r="K791" i="29"/>
  <c r="I791" i="29"/>
  <c r="K790" i="29"/>
  <c r="I790" i="29"/>
  <c r="K789" i="29"/>
  <c r="I789" i="29"/>
  <c r="K788" i="29"/>
  <c r="I788" i="29"/>
  <c r="K787" i="29"/>
  <c r="I787" i="29"/>
  <c r="K786" i="29"/>
  <c r="I786" i="29"/>
  <c r="K785" i="29"/>
  <c r="I785" i="29"/>
  <c r="K784" i="29"/>
  <c r="I784" i="29"/>
  <c r="K783" i="29"/>
  <c r="I783" i="29"/>
  <c r="K782" i="29"/>
  <c r="I782" i="29"/>
  <c r="K781" i="29"/>
  <c r="I781" i="29"/>
  <c r="K780" i="29"/>
  <c r="I780" i="29"/>
  <c r="K779" i="29"/>
  <c r="I779" i="29"/>
  <c r="K778" i="29"/>
  <c r="I778" i="29"/>
  <c r="K777" i="29"/>
  <c r="I777" i="29"/>
  <c r="K776" i="29"/>
  <c r="I776" i="29"/>
  <c r="K775" i="29"/>
  <c r="I775" i="29"/>
  <c r="K774" i="29"/>
  <c r="I774" i="29"/>
  <c r="K773" i="29"/>
  <c r="I773" i="29"/>
  <c r="K772" i="29"/>
  <c r="I772" i="29"/>
  <c r="K771" i="29"/>
  <c r="I771" i="29"/>
  <c r="K770" i="29"/>
  <c r="I770" i="29"/>
  <c r="K769" i="29"/>
  <c r="I769" i="29"/>
  <c r="K768" i="29"/>
  <c r="I768" i="29"/>
  <c r="K767" i="29"/>
  <c r="I767" i="29"/>
  <c r="K766" i="29"/>
  <c r="I766" i="29"/>
  <c r="K765" i="29"/>
  <c r="I765" i="29"/>
  <c r="K764" i="29"/>
  <c r="I764" i="29"/>
  <c r="K763" i="29"/>
  <c r="I763" i="29"/>
  <c r="K762" i="29"/>
  <c r="I762" i="29"/>
  <c r="K761" i="29"/>
  <c r="I761" i="29"/>
  <c r="K760" i="29"/>
  <c r="I760" i="29"/>
  <c r="K759" i="29"/>
  <c r="I759" i="29"/>
  <c r="K758" i="29"/>
  <c r="I758" i="29"/>
  <c r="K757" i="29"/>
  <c r="I757" i="29"/>
  <c r="K756" i="29"/>
  <c r="I756" i="29"/>
  <c r="K755" i="29"/>
  <c r="I755" i="29"/>
  <c r="K754" i="29"/>
  <c r="I754" i="29"/>
  <c r="K753" i="29"/>
  <c r="I753" i="29"/>
  <c r="K752" i="29"/>
  <c r="I752" i="29"/>
  <c r="K751" i="29"/>
  <c r="I751" i="29"/>
  <c r="K750" i="29"/>
  <c r="I750" i="29"/>
  <c r="K749" i="29"/>
  <c r="I749" i="29"/>
  <c r="K748" i="29"/>
  <c r="I748" i="29"/>
  <c r="K747" i="29"/>
  <c r="I747" i="29"/>
  <c r="K746" i="29"/>
  <c r="I746" i="29"/>
  <c r="K745" i="29"/>
  <c r="I745" i="29"/>
  <c r="K744" i="29"/>
  <c r="I744" i="29"/>
  <c r="K743" i="29"/>
  <c r="I743" i="29"/>
  <c r="K742" i="29"/>
  <c r="I742" i="29"/>
  <c r="K741" i="29"/>
  <c r="I741" i="29"/>
  <c r="K740" i="29"/>
  <c r="I740" i="29"/>
  <c r="K739" i="29"/>
  <c r="I739" i="29"/>
  <c r="J738" i="29"/>
  <c r="H738" i="29"/>
  <c r="K737" i="29"/>
  <c r="I737" i="29"/>
  <c r="K736" i="29"/>
  <c r="I736" i="29"/>
  <c r="K735" i="29"/>
  <c r="I735" i="29"/>
  <c r="K734" i="29"/>
  <c r="I734" i="29"/>
  <c r="K733" i="29"/>
  <c r="I733" i="29"/>
  <c r="K732" i="29"/>
  <c r="I732" i="29"/>
  <c r="K731" i="29"/>
  <c r="I731" i="29"/>
  <c r="K730" i="29"/>
  <c r="I730" i="29"/>
  <c r="K729" i="29"/>
  <c r="I729" i="29"/>
  <c r="K728" i="29"/>
  <c r="I728" i="29"/>
  <c r="K727" i="29"/>
  <c r="I727" i="29"/>
  <c r="K726" i="29"/>
  <c r="I726" i="29"/>
  <c r="K725" i="29"/>
  <c r="I725" i="29"/>
  <c r="K724" i="29"/>
  <c r="I724" i="29"/>
  <c r="K723" i="29"/>
  <c r="I723" i="29"/>
  <c r="K722" i="29"/>
  <c r="I722" i="29"/>
  <c r="K721" i="29"/>
  <c r="I721" i="29"/>
  <c r="K720" i="29"/>
  <c r="I720" i="29"/>
  <c r="K719" i="29"/>
  <c r="I719" i="29"/>
  <c r="K718" i="29"/>
  <c r="I718" i="29"/>
  <c r="K717" i="29"/>
  <c r="I717" i="29"/>
  <c r="K716" i="29"/>
  <c r="I716" i="29"/>
  <c r="K715" i="29"/>
  <c r="I715" i="29"/>
  <c r="K714" i="29"/>
  <c r="I714" i="29"/>
  <c r="K713" i="29"/>
  <c r="I713" i="29"/>
  <c r="K712" i="29"/>
  <c r="I712" i="29"/>
  <c r="K711" i="29"/>
  <c r="I711" i="29"/>
  <c r="K710" i="29"/>
  <c r="I710" i="29"/>
  <c r="K709" i="29"/>
  <c r="I709" i="29"/>
  <c r="K708" i="29"/>
  <c r="I708" i="29"/>
  <c r="K707" i="29"/>
  <c r="I707" i="29"/>
  <c r="K706" i="29"/>
  <c r="I706" i="29"/>
  <c r="K705" i="29"/>
  <c r="I705" i="29"/>
  <c r="K704" i="29"/>
  <c r="I704" i="29"/>
  <c r="K703" i="29"/>
  <c r="I703" i="29"/>
  <c r="K702" i="29"/>
  <c r="I702" i="29"/>
  <c r="K701" i="29"/>
  <c r="I701" i="29"/>
  <c r="K700" i="29"/>
  <c r="I700" i="29"/>
  <c r="K699" i="29"/>
  <c r="I699" i="29"/>
  <c r="K698" i="29"/>
  <c r="I698" i="29"/>
  <c r="K697" i="29"/>
  <c r="I697" i="29"/>
  <c r="K696" i="29"/>
  <c r="I696" i="29"/>
  <c r="K695" i="29"/>
  <c r="I695" i="29"/>
  <c r="K694" i="29"/>
  <c r="I694" i="29"/>
  <c r="K693" i="29"/>
  <c r="I693" i="29"/>
  <c r="K692" i="29"/>
  <c r="I692" i="29"/>
  <c r="K691" i="29"/>
  <c r="I691" i="29"/>
  <c r="K690" i="29"/>
  <c r="I690" i="29"/>
  <c r="K689" i="29"/>
  <c r="I689" i="29"/>
  <c r="K688" i="29"/>
  <c r="I688" i="29"/>
  <c r="K687" i="29"/>
  <c r="I687" i="29"/>
  <c r="K686" i="29"/>
  <c r="I686" i="29"/>
  <c r="K685" i="29"/>
  <c r="I685" i="29"/>
  <c r="K684" i="29"/>
  <c r="I684" i="29"/>
  <c r="K683" i="29"/>
  <c r="I683" i="29"/>
  <c r="K682" i="29"/>
  <c r="I682" i="29"/>
  <c r="K681" i="29"/>
  <c r="I681" i="29"/>
  <c r="K680" i="29"/>
  <c r="I680" i="29"/>
  <c r="K679" i="29"/>
  <c r="I679" i="29"/>
  <c r="K678" i="29"/>
  <c r="I678" i="29"/>
  <c r="K677" i="29"/>
  <c r="I677" i="29"/>
  <c r="K676" i="29"/>
  <c r="I676" i="29"/>
  <c r="K675" i="29"/>
  <c r="I675" i="29"/>
  <c r="K674" i="29"/>
  <c r="I674" i="29"/>
  <c r="K673" i="29"/>
  <c r="I673" i="29"/>
  <c r="K672" i="29"/>
  <c r="I672" i="29"/>
  <c r="K671" i="29"/>
  <c r="I671" i="29"/>
  <c r="K670" i="29"/>
  <c r="I670" i="29"/>
  <c r="K669" i="29"/>
  <c r="I669" i="29"/>
  <c r="K668" i="29"/>
  <c r="I668" i="29"/>
  <c r="K667" i="29"/>
  <c r="I667" i="29"/>
  <c r="K666" i="29"/>
  <c r="I666" i="29"/>
  <c r="K665" i="29"/>
  <c r="I665" i="29"/>
  <c r="K664" i="29"/>
  <c r="I664" i="29"/>
  <c r="K663" i="29"/>
  <c r="I663" i="29"/>
  <c r="K662" i="29"/>
  <c r="I662" i="29"/>
  <c r="K661" i="29"/>
  <c r="I661" i="29"/>
  <c r="K660" i="29"/>
  <c r="I660" i="29"/>
  <c r="K659" i="29"/>
  <c r="I659" i="29"/>
  <c r="K658" i="29"/>
  <c r="I658" i="29"/>
  <c r="K657" i="29"/>
  <c r="I657" i="29"/>
  <c r="K656" i="29"/>
  <c r="I656" i="29"/>
  <c r="K655" i="29"/>
  <c r="I655" i="29"/>
  <c r="K654" i="29"/>
  <c r="I654" i="29"/>
  <c r="K653" i="29"/>
  <c r="I653" i="29"/>
  <c r="K652" i="29"/>
  <c r="I652" i="29"/>
  <c r="K651" i="29"/>
  <c r="I651" i="29"/>
  <c r="K650" i="29"/>
  <c r="I650" i="29"/>
  <c r="K649" i="29"/>
  <c r="I649" i="29"/>
  <c r="K648" i="29"/>
  <c r="I648" i="29"/>
  <c r="K647" i="29"/>
  <c r="I647" i="29"/>
  <c r="K646" i="29"/>
  <c r="I646" i="29"/>
  <c r="K645" i="29"/>
  <c r="I645" i="29"/>
  <c r="K644" i="29"/>
  <c r="I644" i="29"/>
  <c r="K643" i="29"/>
  <c r="I643" i="29"/>
  <c r="K642" i="29"/>
  <c r="I642" i="29"/>
  <c r="K641" i="29"/>
  <c r="I641" i="29"/>
  <c r="K640" i="29"/>
  <c r="I640" i="29"/>
  <c r="K639" i="29"/>
  <c r="I639" i="29"/>
  <c r="K638" i="29"/>
  <c r="I638" i="29"/>
  <c r="K637" i="29"/>
  <c r="I637" i="29"/>
  <c r="K636" i="29"/>
  <c r="I636" i="29"/>
  <c r="K635" i="29"/>
  <c r="I635" i="29"/>
  <c r="K634" i="29"/>
  <c r="I634" i="29"/>
  <c r="K633" i="29"/>
  <c r="I633" i="29"/>
  <c r="K632" i="29"/>
  <c r="I632" i="29"/>
  <c r="K631" i="29"/>
  <c r="I631" i="29"/>
  <c r="K630" i="29"/>
  <c r="I630" i="29"/>
  <c r="K629" i="29"/>
  <c r="I629" i="29"/>
  <c r="K628" i="29"/>
  <c r="I628" i="29"/>
  <c r="K627" i="29"/>
  <c r="I627" i="29"/>
  <c r="K626" i="29"/>
  <c r="I626" i="29"/>
  <c r="K625" i="29"/>
  <c r="I625" i="29"/>
  <c r="K624" i="29"/>
  <c r="I624" i="29"/>
  <c r="K623" i="29"/>
  <c r="I623" i="29"/>
  <c r="K622" i="29"/>
  <c r="I622" i="29"/>
  <c r="K621" i="29"/>
  <c r="I621" i="29"/>
  <c r="K620" i="29"/>
  <c r="I620" i="29"/>
  <c r="K619" i="29"/>
  <c r="I619" i="29"/>
  <c r="K618" i="29"/>
  <c r="I618" i="29"/>
  <c r="K617" i="29"/>
  <c r="I617" i="29"/>
  <c r="K616" i="29"/>
  <c r="I616" i="29"/>
  <c r="K615" i="29"/>
  <c r="I615" i="29"/>
  <c r="K614" i="29"/>
  <c r="I614" i="29"/>
  <c r="K613" i="29"/>
  <c r="I613" i="29"/>
  <c r="K612" i="29"/>
  <c r="I612" i="29"/>
  <c r="K611" i="29"/>
  <c r="I611" i="29"/>
  <c r="K610" i="29"/>
  <c r="I610" i="29"/>
  <c r="K609" i="29"/>
  <c r="I609" i="29"/>
  <c r="K608" i="29"/>
  <c r="I608" i="29"/>
  <c r="K607" i="29"/>
  <c r="I607" i="29"/>
  <c r="K606" i="29"/>
  <c r="I606" i="29"/>
  <c r="K605" i="29"/>
  <c r="I605" i="29"/>
  <c r="K604" i="29"/>
  <c r="I604" i="29"/>
  <c r="K603" i="29"/>
  <c r="I603" i="29"/>
  <c r="K602" i="29"/>
  <c r="I602" i="29"/>
  <c r="K601" i="29"/>
  <c r="I601" i="29"/>
  <c r="K600" i="29"/>
  <c r="I600" i="29"/>
  <c r="K599" i="29"/>
  <c r="I599" i="29"/>
  <c r="K598" i="29"/>
  <c r="I598" i="29"/>
  <c r="K597" i="29"/>
  <c r="I597" i="29"/>
  <c r="K596" i="29"/>
  <c r="I596" i="29"/>
  <c r="K595" i="29"/>
  <c r="I595" i="29"/>
  <c r="K594" i="29"/>
  <c r="I594" i="29"/>
  <c r="K593" i="29"/>
  <c r="I593" i="29"/>
  <c r="K592" i="29"/>
  <c r="I592" i="29"/>
  <c r="K591" i="29"/>
  <c r="I591" i="29"/>
  <c r="K590" i="29"/>
  <c r="I590" i="29"/>
  <c r="K589" i="29"/>
  <c r="I589" i="29"/>
  <c r="K588" i="29"/>
  <c r="I588" i="29"/>
  <c r="K587" i="29"/>
  <c r="I587" i="29"/>
  <c r="K586" i="29"/>
  <c r="I586" i="29"/>
  <c r="K585" i="29"/>
  <c r="I585" i="29"/>
  <c r="K584" i="29"/>
  <c r="I584" i="29"/>
  <c r="K583" i="29"/>
  <c r="I583" i="29"/>
  <c r="K582" i="29"/>
  <c r="I582" i="29"/>
  <c r="K581" i="29"/>
  <c r="I581" i="29"/>
  <c r="K580" i="29"/>
  <c r="I580" i="29"/>
  <c r="K579" i="29"/>
  <c r="I579" i="29"/>
  <c r="K578" i="29"/>
  <c r="I578" i="29"/>
  <c r="K577" i="29"/>
  <c r="I577" i="29"/>
  <c r="K576" i="29"/>
  <c r="I576" i="29"/>
  <c r="K575" i="29"/>
  <c r="I575" i="29"/>
  <c r="K574" i="29"/>
  <c r="I574" i="29"/>
  <c r="K573" i="29"/>
  <c r="I573" i="29"/>
  <c r="K572" i="29"/>
  <c r="I572" i="29"/>
  <c r="K571" i="29"/>
  <c r="I571" i="29"/>
  <c r="K570" i="29"/>
  <c r="I570" i="29"/>
  <c r="K569" i="29"/>
  <c r="I569" i="29"/>
  <c r="K568" i="29"/>
  <c r="I568" i="29"/>
  <c r="K567" i="29"/>
  <c r="I567" i="29"/>
  <c r="K566" i="29"/>
  <c r="I566" i="29"/>
  <c r="K565" i="29"/>
  <c r="I565" i="29"/>
  <c r="K564" i="29"/>
  <c r="I564" i="29"/>
  <c r="K563" i="29"/>
  <c r="I563" i="29"/>
  <c r="K562" i="29"/>
  <c r="I562" i="29"/>
  <c r="K561" i="29"/>
  <c r="I561" i="29"/>
  <c r="K560" i="29"/>
  <c r="I560" i="29"/>
  <c r="K559" i="29"/>
  <c r="I559" i="29"/>
  <c r="K558" i="29"/>
  <c r="I558" i="29"/>
  <c r="K557" i="29"/>
  <c r="I557" i="29"/>
  <c r="K556" i="29"/>
  <c r="I556" i="29"/>
  <c r="K555" i="29"/>
  <c r="I555" i="29"/>
  <c r="K554" i="29"/>
  <c r="I554" i="29"/>
  <c r="K553" i="29"/>
  <c r="I553" i="29"/>
  <c r="K552" i="29"/>
  <c r="I552" i="29"/>
  <c r="K551" i="29"/>
  <c r="I551" i="29"/>
  <c r="K550" i="29"/>
  <c r="I550" i="29"/>
  <c r="K549" i="29"/>
  <c r="I549" i="29"/>
  <c r="K548" i="29"/>
  <c r="I548" i="29"/>
  <c r="K547" i="29"/>
  <c r="I547" i="29"/>
  <c r="K546" i="29"/>
  <c r="I546" i="29"/>
  <c r="K545" i="29"/>
  <c r="I545" i="29"/>
  <c r="K544" i="29"/>
  <c r="I544" i="29"/>
  <c r="K543" i="29"/>
  <c r="I543" i="29"/>
  <c r="K542" i="29"/>
  <c r="I542" i="29"/>
  <c r="K541" i="29"/>
  <c r="I541" i="29"/>
  <c r="K540" i="29"/>
  <c r="I540" i="29"/>
  <c r="K539" i="29"/>
  <c r="I539" i="29"/>
  <c r="K538" i="29"/>
  <c r="I538" i="29"/>
  <c r="K537" i="29"/>
  <c r="I537" i="29"/>
  <c r="K536" i="29"/>
  <c r="I536" i="29"/>
  <c r="K535" i="29"/>
  <c r="I535" i="29"/>
  <c r="K534" i="29"/>
  <c r="I534" i="29"/>
  <c r="K533" i="29"/>
  <c r="I533" i="29"/>
  <c r="K532" i="29"/>
  <c r="I532" i="29"/>
  <c r="K531" i="29"/>
  <c r="I531" i="29"/>
  <c r="K530" i="29"/>
  <c r="I530" i="29"/>
  <c r="K529" i="29"/>
  <c r="I529" i="29"/>
  <c r="K528" i="29"/>
  <c r="I528" i="29"/>
  <c r="K527" i="29"/>
  <c r="I527" i="29"/>
  <c r="K526" i="29"/>
  <c r="I526" i="29"/>
  <c r="K525" i="29"/>
  <c r="I525" i="29"/>
  <c r="K524" i="29"/>
  <c r="I524" i="29"/>
  <c r="K523" i="29"/>
  <c r="I523" i="29"/>
  <c r="K522" i="29"/>
  <c r="I522" i="29"/>
  <c r="K521" i="29"/>
  <c r="I521" i="29"/>
  <c r="K520" i="29"/>
  <c r="I520" i="29"/>
  <c r="K519" i="29"/>
  <c r="I519" i="29"/>
  <c r="K518" i="29"/>
  <c r="I518" i="29"/>
  <c r="K517" i="29"/>
  <c r="I517" i="29"/>
  <c r="K516" i="29"/>
  <c r="I516" i="29"/>
  <c r="K515" i="29"/>
  <c r="I515" i="29"/>
  <c r="K514" i="29"/>
  <c r="I514" i="29"/>
  <c r="K513" i="29"/>
  <c r="I513" i="29"/>
  <c r="K512" i="29"/>
  <c r="I512" i="29"/>
  <c r="K511" i="29"/>
  <c r="I511" i="29"/>
  <c r="K510" i="29"/>
  <c r="I510" i="29"/>
  <c r="K509" i="29"/>
  <c r="I509" i="29"/>
  <c r="K508" i="29"/>
  <c r="I508" i="29"/>
  <c r="K507" i="29"/>
  <c r="I507" i="29"/>
  <c r="K506" i="29"/>
  <c r="I506" i="29"/>
  <c r="K505" i="29"/>
  <c r="I505" i="29"/>
  <c r="K504" i="29"/>
  <c r="I504" i="29"/>
  <c r="K503" i="29"/>
  <c r="I503" i="29"/>
  <c r="K502" i="29"/>
  <c r="I502" i="29"/>
  <c r="K501" i="29"/>
  <c r="I501" i="29"/>
  <c r="K500" i="29"/>
  <c r="I500" i="29"/>
  <c r="K499" i="29"/>
  <c r="I499" i="29"/>
  <c r="K498" i="29"/>
  <c r="I498" i="29"/>
  <c r="K497" i="29"/>
  <c r="I497" i="29"/>
  <c r="K496" i="29"/>
  <c r="I496" i="29"/>
  <c r="K495" i="29"/>
  <c r="I495" i="29"/>
  <c r="K494" i="29"/>
  <c r="I494" i="29"/>
  <c r="K493" i="29"/>
  <c r="I493" i="29"/>
  <c r="K492" i="29"/>
  <c r="I492" i="29"/>
  <c r="K491" i="29"/>
  <c r="I491" i="29"/>
  <c r="K490" i="29"/>
  <c r="I490" i="29"/>
  <c r="K489" i="29"/>
  <c r="I489" i="29"/>
  <c r="K488" i="29"/>
  <c r="I488" i="29"/>
  <c r="K487" i="29"/>
  <c r="I487" i="29"/>
  <c r="K486" i="29"/>
  <c r="I486" i="29"/>
  <c r="K485" i="29"/>
  <c r="I485" i="29"/>
  <c r="K484" i="29"/>
  <c r="I484" i="29"/>
  <c r="K483" i="29"/>
  <c r="I483" i="29"/>
  <c r="K482" i="29"/>
  <c r="I482" i="29"/>
  <c r="K481" i="29"/>
  <c r="I481" i="29"/>
  <c r="K480" i="29"/>
  <c r="I480" i="29"/>
  <c r="K479" i="29"/>
  <c r="I479" i="29"/>
  <c r="K478" i="29"/>
  <c r="I478" i="29"/>
  <c r="K477" i="29"/>
  <c r="I477" i="29"/>
  <c r="K476" i="29"/>
  <c r="I476" i="29"/>
  <c r="K475" i="29"/>
  <c r="I475" i="29"/>
  <c r="K474" i="29"/>
  <c r="I474" i="29"/>
  <c r="K473" i="29"/>
  <c r="I473" i="29"/>
  <c r="K472" i="29"/>
  <c r="I472" i="29"/>
  <c r="K471" i="29"/>
  <c r="I471" i="29"/>
  <c r="K470" i="29"/>
  <c r="I470" i="29"/>
  <c r="K469" i="29"/>
  <c r="I469" i="29"/>
  <c r="K468" i="29"/>
  <c r="I468" i="29"/>
  <c r="K467" i="29"/>
  <c r="I467" i="29"/>
  <c r="K466" i="29"/>
  <c r="I466" i="29"/>
  <c r="K465" i="29"/>
  <c r="I465" i="29"/>
  <c r="K464" i="29"/>
  <c r="I464" i="29"/>
  <c r="K463" i="29"/>
  <c r="I463" i="29"/>
  <c r="K462" i="29"/>
  <c r="I462" i="29"/>
  <c r="K461" i="29"/>
  <c r="I461" i="29"/>
  <c r="K460" i="29"/>
  <c r="I460" i="29"/>
  <c r="J459" i="29"/>
  <c r="K459" i="29" s="1"/>
  <c r="I459" i="29"/>
  <c r="J458" i="29"/>
  <c r="K458" i="29" s="1"/>
  <c r="I458" i="29"/>
  <c r="J457" i="29"/>
  <c r="K457" i="29" s="1"/>
  <c r="I457" i="29"/>
  <c r="J456" i="29"/>
  <c r="K456" i="29" s="1"/>
  <c r="I456" i="29"/>
  <c r="J455" i="29"/>
  <c r="I455" i="29"/>
  <c r="K454" i="29"/>
  <c r="I454" i="29"/>
  <c r="K453" i="29"/>
  <c r="I453" i="29"/>
  <c r="K452" i="29"/>
  <c r="I452" i="29"/>
  <c r="K451" i="29"/>
  <c r="I451" i="29"/>
  <c r="K450" i="29"/>
  <c r="I450" i="29"/>
  <c r="K449" i="29"/>
  <c r="I449" i="29"/>
  <c r="K448" i="29"/>
  <c r="I448" i="29"/>
  <c r="K447" i="29"/>
  <c r="I447" i="29"/>
  <c r="K446" i="29"/>
  <c r="I446" i="29"/>
  <c r="K445" i="29"/>
  <c r="I445" i="29"/>
  <c r="K444" i="29"/>
  <c r="I444" i="29"/>
  <c r="K443" i="29"/>
  <c r="I443" i="29"/>
  <c r="K442" i="29"/>
  <c r="I442" i="29"/>
  <c r="K441" i="29"/>
  <c r="I441" i="29"/>
  <c r="K440" i="29"/>
  <c r="I440" i="29"/>
  <c r="K439" i="29"/>
  <c r="I439" i="29"/>
  <c r="K438" i="29"/>
  <c r="I438" i="29"/>
  <c r="K437" i="29"/>
  <c r="I437" i="29"/>
  <c r="K436" i="29"/>
  <c r="I436" i="29"/>
  <c r="K435" i="29"/>
  <c r="I435" i="29"/>
  <c r="K434" i="29"/>
  <c r="I434" i="29"/>
  <c r="K433" i="29"/>
  <c r="I433" i="29"/>
  <c r="K432" i="29"/>
  <c r="I432" i="29"/>
  <c r="K431" i="29"/>
  <c r="I431" i="29"/>
  <c r="K430" i="29"/>
  <c r="I430" i="29"/>
  <c r="K429" i="29"/>
  <c r="I429" i="29"/>
  <c r="K428" i="29"/>
  <c r="I428" i="29"/>
  <c r="K427" i="29"/>
  <c r="I427" i="29"/>
  <c r="K426" i="29"/>
  <c r="I426" i="29"/>
  <c r="K425" i="29"/>
  <c r="I425" i="29"/>
  <c r="K424" i="29"/>
  <c r="I424" i="29"/>
  <c r="K423" i="29"/>
  <c r="I423" i="29"/>
  <c r="K422" i="29"/>
  <c r="I422" i="29"/>
  <c r="K421" i="29"/>
  <c r="I421" i="29"/>
  <c r="K420" i="29"/>
  <c r="I420" i="29"/>
  <c r="K419" i="29"/>
  <c r="I419" i="29"/>
  <c r="K418" i="29"/>
  <c r="I418" i="29"/>
  <c r="K417" i="29"/>
  <c r="I417" i="29"/>
  <c r="K416" i="29"/>
  <c r="I416" i="29"/>
  <c r="K415" i="29"/>
  <c r="I415" i="29"/>
  <c r="K414" i="29"/>
  <c r="I414" i="29"/>
  <c r="K413" i="29"/>
  <c r="I413" i="29"/>
  <c r="K412" i="29"/>
  <c r="I412" i="29"/>
  <c r="K411" i="29"/>
  <c r="I411" i="29"/>
  <c r="K410" i="29"/>
  <c r="I410" i="29"/>
  <c r="K409" i="29"/>
  <c r="I409" i="29"/>
  <c r="K408" i="29"/>
  <c r="I408" i="29"/>
  <c r="K407" i="29"/>
  <c r="I407" i="29"/>
  <c r="K406" i="29"/>
  <c r="I406" i="29"/>
  <c r="K405" i="29"/>
  <c r="I405" i="29"/>
  <c r="K404" i="29"/>
  <c r="I404" i="29"/>
  <c r="K403" i="29"/>
  <c r="I403" i="29"/>
  <c r="K402" i="29"/>
  <c r="I402" i="29"/>
  <c r="K401" i="29"/>
  <c r="I401" i="29"/>
  <c r="K400" i="29"/>
  <c r="I400" i="29"/>
  <c r="K399" i="29"/>
  <c r="I399" i="29"/>
  <c r="K398" i="29"/>
  <c r="I398" i="29"/>
  <c r="K397" i="29"/>
  <c r="I397" i="29"/>
  <c r="K396" i="29"/>
  <c r="I396" i="29"/>
  <c r="K395" i="29"/>
  <c r="I395" i="29"/>
  <c r="K394" i="29"/>
  <c r="I394" i="29"/>
  <c r="K393" i="29"/>
  <c r="I393" i="29"/>
  <c r="K392" i="29"/>
  <c r="I392" i="29"/>
  <c r="K391" i="29"/>
  <c r="I391" i="29"/>
  <c r="K390" i="29"/>
  <c r="I390" i="29"/>
  <c r="K389" i="29"/>
  <c r="I389" i="29"/>
  <c r="K388" i="29"/>
  <c r="I388" i="29"/>
  <c r="K387" i="29"/>
  <c r="I387" i="29"/>
  <c r="K386" i="29"/>
  <c r="I386" i="29"/>
  <c r="K385" i="29"/>
  <c r="I385" i="29"/>
  <c r="K384" i="29"/>
  <c r="I384" i="29"/>
  <c r="K383" i="29"/>
  <c r="I383" i="29"/>
  <c r="K382" i="29"/>
  <c r="I382" i="29"/>
  <c r="K381" i="29"/>
  <c r="I381" i="29"/>
  <c r="K380" i="29"/>
  <c r="I380" i="29"/>
  <c r="K379" i="29"/>
  <c r="I379" i="29"/>
  <c r="K378" i="29"/>
  <c r="I378" i="29"/>
  <c r="K377" i="29"/>
  <c r="I377" i="29"/>
  <c r="K376" i="29"/>
  <c r="I376" i="29"/>
  <c r="K375" i="29"/>
  <c r="I375" i="29"/>
  <c r="K374" i="29"/>
  <c r="I374" i="29"/>
  <c r="K373" i="29"/>
  <c r="I373" i="29"/>
  <c r="K372" i="29"/>
  <c r="I372" i="29"/>
  <c r="K371" i="29"/>
  <c r="I371" i="29"/>
  <c r="K370" i="29"/>
  <c r="I370" i="29"/>
  <c r="K369" i="29"/>
  <c r="I369" i="29"/>
  <c r="K368" i="29"/>
  <c r="I368" i="29"/>
  <c r="K367" i="29"/>
  <c r="I367" i="29"/>
  <c r="K366" i="29"/>
  <c r="I366" i="29"/>
  <c r="K365" i="29"/>
  <c r="I365" i="29"/>
  <c r="K364" i="29"/>
  <c r="I364" i="29"/>
  <c r="K363" i="29"/>
  <c r="I363" i="29"/>
  <c r="K362" i="29"/>
  <c r="I362" i="29"/>
  <c r="K361" i="29"/>
  <c r="I361" i="29"/>
  <c r="K360" i="29"/>
  <c r="I360" i="29"/>
  <c r="K359" i="29"/>
  <c r="I359" i="29"/>
  <c r="K358" i="29"/>
  <c r="I358" i="29"/>
  <c r="K357" i="29"/>
  <c r="I357" i="29"/>
  <c r="K356" i="29"/>
  <c r="I356" i="29"/>
  <c r="K355" i="29"/>
  <c r="I355" i="29"/>
  <c r="K354" i="29"/>
  <c r="I354" i="29"/>
  <c r="K353" i="29"/>
  <c r="I353" i="29"/>
  <c r="K352" i="29"/>
  <c r="I352" i="29"/>
  <c r="K351" i="29"/>
  <c r="I351" i="29"/>
  <c r="K350" i="29"/>
  <c r="I350" i="29"/>
  <c r="K349" i="29"/>
  <c r="I349" i="29"/>
  <c r="K348" i="29"/>
  <c r="I348" i="29"/>
  <c r="K347" i="29"/>
  <c r="I347" i="29"/>
  <c r="K346" i="29"/>
  <c r="I346" i="29"/>
  <c r="K345" i="29"/>
  <c r="I345" i="29"/>
  <c r="K344" i="29"/>
  <c r="I344" i="29"/>
  <c r="K343" i="29"/>
  <c r="I343" i="29"/>
  <c r="K342" i="29"/>
  <c r="I342" i="29"/>
  <c r="K341" i="29"/>
  <c r="I341" i="29"/>
  <c r="K340" i="29"/>
  <c r="I340" i="29"/>
  <c r="K339" i="29"/>
  <c r="I339" i="29"/>
  <c r="K338" i="29"/>
  <c r="I338" i="29"/>
  <c r="K337" i="29"/>
  <c r="I337" i="29"/>
  <c r="K336" i="29"/>
  <c r="I336" i="29"/>
  <c r="K335" i="29"/>
  <c r="I335" i="29"/>
  <c r="K334" i="29"/>
  <c r="I334" i="29"/>
  <c r="K333" i="29"/>
  <c r="I333" i="29"/>
  <c r="K332" i="29"/>
  <c r="I332" i="29"/>
  <c r="K331" i="29"/>
  <c r="I331" i="29"/>
  <c r="K330" i="29"/>
  <c r="I330" i="29"/>
  <c r="K329" i="29"/>
  <c r="I329" i="29"/>
  <c r="K328" i="29"/>
  <c r="I328" i="29"/>
  <c r="K327" i="29"/>
  <c r="I327" i="29"/>
  <c r="K326" i="29"/>
  <c r="I326" i="29"/>
  <c r="K325" i="29"/>
  <c r="I325" i="29"/>
  <c r="K324" i="29"/>
  <c r="I324" i="29"/>
  <c r="K323" i="29"/>
  <c r="I323" i="29"/>
  <c r="K322" i="29"/>
  <c r="I322" i="29"/>
  <c r="K321" i="29"/>
  <c r="I321" i="29"/>
  <c r="K320" i="29"/>
  <c r="I320" i="29"/>
  <c r="K319" i="29"/>
  <c r="I319" i="29"/>
  <c r="K318" i="29"/>
  <c r="I318" i="29"/>
  <c r="K317" i="29"/>
  <c r="I317" i="29"/>
  <c r="K316" i="29"/>
  <c r="I316" i="29"/>
  <c r="K315" i="29"/>
  <c r="I315" i="29"/>
  <c r="K314" i="29"/>
  <c r="I314" i="29"/>
  <c r="K313" i="29"/>
  <c r="I313" i="29"/>
  <c r="K312" i="29"/>
  <c r="I312" i="29"/>
  <c r="K311" i="29"/>
  <c r="I311" i="29"/>
  <c r="K310" i="29"/>
  <c r="I310" i="29"/>
  <c r="K309" i="29"/>
  <c r="I309" i="29"/>
  <c r="K308" i="29"/>
  <c r="I308" i="29"/>
  <c r="K307" i="29"/>
  <c r="I307" i="29"/>
  <c r="K306" i="29"/>
  <c r="I306" i="29"/>
  <c r="K305" i="29"/>
  <c r="I305" i="29"/>
  <c r="K304" i="29"/>
  <c r="I304" i="29"/>
  <c r="K303" i="29"/>
  <c r="I303" i="29"/>
  <c r="K302" i="29"/>
  <c r="I302" i="29"/>
  <c r="K301" i="29"/>
  <c r="I301" i="29"/>
  <c r="K300" i="29"/>
  <c r="I300" i="29"/>
  <c r="K299" i="29"/>
  <c r="I299" i="29"/>
  <c r="K298" i="29"/>
  <c r="I298" i="29"/>
  <c r="K297" i="29"/>
  <c r="I297" i="29"/>
  <c r="K296" i="29"/>
  <c r="I296" i="29"/>
  <c r="K295" i="29"/>
  <c r="I295" i="29"/>
  <c r="K294" i="29"/>
  <c r="I294" i="29"/>
  <c r="K293" i="29"/>
  <c r="I293" i="29"/>
  <c r="K292" i="29"/>
  <c r="I292" i="29"/>
  <c r="K291" i="29"/>
  <c r="I291" i="29"/>
  <c r="K290" i="29"/>
  <c r="I290" i="29"/>
  <c r="K289" i="29"/>
  <c r="I289" i="29"/>
  <c r="K288" i="29"/>
  <c r="I288" i="29"/>
  <c r="K287" i="29"/>
  <c r="I287" i="29"/>
  <c r="K286" i="29"/>
  <c r="I286" i="29"/>
  <c r="K285" i="29"/>
  <c r="I285" i="29"/>
  <c r="K284" i="29"/>
  <c r="I284" i="29"/>
  <c r="K283" i="29"/>
  <c r="I283" i="29"/>
  <c r="K282" i="29"/>
  <c r="I282" i="29"/>
  <c r="K281" i="29"/>
  <c r="I281" i="29"/>
  <c r="K280" i="29"/>
  <c r="I280" i="29"/>
  <c r="K279" i="29"/>
  <c r="I279" i="29"/>
  <c r="K278" i="29"/>
  <c r="I278" i="29"/>
  <c r="K277" i="29"/>
  <c r="I277" i="29"/>
  <c r="K276" i="29"/>
  <c r="I276" i="29"/>
  <c r="K275" i="29"/>
  <c r="I275" i="29"/>
  <c r="K274" i="29"/>
  <c r="I274" i="29"/>
  <c r="K273" i="29"/>
  <c r="I273" i="29"/>
  <c r="K272" i="29"/>
  <c r="I272" i="29"/>
  <c r="K271" i="29"/>
  <c r="I271" i="29"/>
  <c r="K270" i="29"/>
  <c r="I270" i="29"/>
  <c r="K269" i="29"/>
  <c r="I269" i="29"/>
  <c r="K268" i="29"/>
  <c r="I268" i="29"/>
  <c r="K267" i="29"/>
  <c r="I267" i="29"/>
  <c r="K266" i="29"/>
  <c r="I266" i="29"/>
  <c r="K265" i="29"/>
  <c r="I265" i="29"/>
  <c r="K264" i="29"/>
  <c r="I264" i="29"/>
  <c r="K263" i="29"/>
  <c r="I263" i="29"/>
  <c r="K262" i="29"/>
  <c r="I262" i="29"/>
  <c r="K261" i="29"/>
  <c r="I261" i="29"/>
  <c r="K260" i="29"/>
  <c r="I260" i="29"/>
  <c r="K259" i="29"/>
  <c r="I259" i="29"/>
  <c r="K258" i="29"/>
  <c r="I258" i="29"/>
  <c r="K257" i="29"/>
  <c r="I257" i="29"/>
  <c r="K256" i="29"/>
  <c r="I256" i="29"/>
  <c r="K255" i="29"/>
  <c r="I255" i="29"/>
  <c r="K254" i="29"/>
  <c r="I254" i="29"/>
  <c r="K253" i="29"/>
  <c r="I253" i="29"/>
  <c r="K252" i="29"/>
  <c r="I252" i="29"/>
  <c r="K251" i="29"/>
  <c r="I251" i="29"/>
  <c r="K250" i="29"/>
  <c r="I250" i="29"/>
  <c r="K249" i="29"/>
  <c r="I249" i="29"/>
  <c r="K248" i="29"/>
  <c r="I248" i="29"/>
  <c r="K247" i="29"/>
  <c r="I247" i="29"/>
  <c r="K246" i="29"/>
  <c r="I246" i="29"/>
  <c r="K245" i="29"/>
  <c r="I245" i="29"/>
  <c r="K244" i="29"/>
  <c r="I244" i="29"/>
  <c r="K243" i="29"/>
  <c r="I243" i="29"/>
  <c r="K242" i="29"/>
  <c r="I242" i="29"/>
  <c r="K241" i="29"/>
  <c r="I241" i="29"/>
  <c r="K240" i="29"/>
  <c r="I240" i="29"/>
  <c r="K239" i="29"/>
  <c r="I239" i="29"/>
  <c r="K238" i="29"/>
  <c r="I238" i="29"/>
  <c r="K237" i="29"/>
  <c r="I237" i="29"/>
  <c r="K236" i="29"/>
  <c r="I236" i="29"/>
  <c r="K235" i="29"/>
  <c r="I235" i="29"/>
  <c r="K234" i="29"/>
  <c r="I234" i="29"/>
  <c r="K233" i="29"/>
  <c r="I233" i="29"/>
  <c r="K232" i="29"/>
  <c r="I232" i="29"/>
  <c r="K231" i="29"/>
  <c r="I231" i="29"/>
  <c r="K230" i="29"/>
  <c r="I230" i="29"/>
  <c r="K229" i="29"/>
  <c r="I229" i="29"/>
  <c r="K228" i="29"/>
  <c r="I228" i="29"/>
  <c r="K227" i="29"/>
  <c r="I227" i="29"/>
  <c r="K226" i="29"/>
  <c r="I226" i="29"/>
  <c r="K225" i="29"/>
  <c r="I225" i="29"/>
  <c r="K224" i="29"/>
  <c r="I224" i="29"/>
  <c r="K223" i="29"/>
  <c r="I223" i="29"/>
  <c r="K222" i="29"/>
  <c r="I222" i="29"/>
  <c r="K221" i="29"/>
  <c r="I221" i="29"/>
  <c r="K220" i="29"/>
  <c r="I220" i="29"/>
  <c r="K219" i="29"/>
  <c r="I219" i="29"/>
  <c r="K218" i="29"/>
  <c r="I218" i="29"/>
  <c r="K217" i="29"/>
  <c r="I217" i="29"/>
  <c r="K216" i="29"/>
  <c r="I216" i="29"/>
  <c r="K215" i="29"/>
  <c r="I215" i="29"/>
  <c r="K214" i="29"/>
  <c r="I214" i="29"/>
  <c r="K213" i="29"/>
  <c r="I213" i="29"/>
  <c r="K212" i="29"/>
  <c r="I212" i="29"/>
  <c r="K211" i="29"/>
  <c r="I211" i="29"/>
  <c r="K210" i="29"/>
  <c r="I210" i="29"/>
  <c r="K209" i="29"/>
  <c r="I209" i="29"/>
  <c r="K208" i="29"/>
  <c r="I208" i="29"/>
  <c r="K207" i="29"/>
  <c r="I207" i="29"/>
  <c r="K206" i="29"/>
  <c r="I206" i="29"/>
  <c r="K205" i="29"/>
  <c r="I205" i="29"/>
  <c r="K204" i="29"/>
  <c r="I204" i="29"/>
  <c r="K203" i="29"/>
  <c r="I203" i="29"/>
  <c r="K202" i="29"/>
  <c r="I202" i="29"/>
  <c r="K201" i="29"/>
  <c r="I201" i="29"/>
  <c r="K200" i="29"/>
  <c r="I200" i="29"/>
  <c r="K199" i="29"/>
  <c r="I199" i="29"/>
  <c r="K198" i="29"/>
  <c r="I198" i="29"/>
  <c r="K197" i="29"/>
  <c r="I197" i="29"/>
  <c r="K196" i="29"/>
  <c r="I196" i="29"/>
  <c r="K195" i="29"/>
  <c r="I195" i="29"/>
  <c r="K194" i="29"/>
  <c r="I194" i="29"/>
  <c r="K193" i="29"/>
  <c r="I193" i="29"/>
  <c r="K192" i="29"/>
  <c r="I192" i="29"/>
  <c r="K191" i="29"/>
  <c r="I191" i="29"/>
  <c r="K190" i="29"/>
  <c r="I190" i="29"/>
  <c r="K189" i="29"/>
  <c r="I189" i="29"/>
  <c r="K188" i="29"/>
  <c r="I188" i="29"/>
  <c r="K187" i="29"/>
  <c r="I187" i="29"/>
  <c r="K186" i="29"/>
  <c r="I186" i="29"/>
  <c r="K185" i="29"/>
  <c r="I185" i="29"/>
  <c r="K184" i="29"/>
  <c r="I184" i="29"/>
  <c r="K183" i="29"/>
  <c r="I183" i="29"/>
  <c r="K182" i="29"/>
  <c r="I182" i="29"/>
  <c r="K181" i="29"/>
  <c r="I181" i="29"/>
  <c r="K180" i="29"/>
  <c r="I180" i="29"/>
  <c r="K179" i="29"/>
  <c r="I179" i="29"/>
  <c r="K178" i="29"/>
  <c r="I178" i="29"/>
  <c r="K177" i="29"/>
  <c r="I177" i="29"/>
  <c r="K176" i="29"/>
  <c r="I176" i="29"/>
  <c r="K175" i="29"/>
  <c r="I175" i="29"/>
  <c r="K174" i="29"/>
  <c r="I174" i="29"/>
  <c r="K173" i="29"/>
  <c r="I173" i="29"/>
  <c r="K172" i="29"/>
  <c r="I172" i="29"/>
  <c r="K171" i="29"/>
  <c r="I171" i="29"/>
  <c r="K170" i="29"/>
  <c r="I170" i="29"/>
  <c r="K169" i="29"/>
  <c r="I169" i="29"/>
  <c r="K168" i="29"/>
  <c r="I168" i="29"/>
  <c r="K167" i="29"/>
  <c r="I167" i="29"/>
  <c r="K166" i="29"/>
  <c r="I166" i="29"/>
  <c r="K165" i="29"/>
  <c r="I165" i="29"/>
  <c r="K164" i="29"/>
  <c r="I164" i="29"/>
  <c r="K163" i="29"/>
  <c r="I163" i="29"/>
  <c r="K162" i="29"/>
  <c r="I162" i="29"/>
  <c r="K161" i="29"/>
  <c r="I161" i="29"/>
  <c r="K160" i="29"/>
  <c r="I160" i="29"/>
  <c r="K159" i="29"/>
  <c r="I159" i="29"/>
  <c r="K158" i="29"/>
  <c r="I158" i="29"/>
  <c r="K157" i="29"/>
  <c r="I157" i="29"/>
  <c r="K156" i="29"/>
  <c r="I156" i="29"/>
  <c r="K155" i="29"/>
  <c r="I155" i="29"/>
  <c r="K154" i="29"/>
  <c r="I154" i="29"/>
  <c r="K153" i="29"/>
  <c r="I153" i="29"/>
  <c r="K152" i="29"/>
  <c r="I152" i="29"/>
  <c r="K151" i="29"/>
  <c r="I151" i="29"/>
  <c r="K150" i="29"/>
  <c r="I150" i="29"/>
  <c r="K149" i="29"/>
  <c r="I149" i="29"/>
  <c r="K148" i="29"/>
  <c r="I148" i="29"/>
  <c r="K147" i="29"/>
  <c r="I147" i="29"/>
  <c r="K146" i="29"/>
  <c r="I146" i="29"/>
  <c r="K145" i="29"/>
  <c r="I145" i="29"/>
  <c r="K144" i="29"/>
  <c r="I144" i="29"/>
  <c r="K143" i="29"/>
  <c r="I143" i="29"/>
  <c r="K142" i="29"/>
  <c r="I142" i="29"/>
  <c r="K141" i="29"/>
  <c r="I141" i="29"/>
  <c r="K140" i="29"/>
  <c r="I140" i="29"/>
  <c r="K139" i="29"/>
  <c r="I139" i="29"/>
  <c r="K138" i="29"/>
  <c r="I138" i="29"/>
  <c r="K137" i="29"/>
  <c r="I137" i="29"/>
  <c r="K136" i="29"/>
  <c r="I136" i="29"/>
  <c r="K135" i="29"/>
  <c r="I135" i="29"/>
  <c r="K134" i="29"/>
  <c r="I134" i="29"/>
  <c r="K133" i="29"/>
  <c r="I133" i="29"/>
  <c r="K132" i="29"/>
  <c r="I132" i="29"/>
  <c r="K131" i="29"/>
  <c r="I131" i="29"/>
  <c r="K130" i="29"/>
  <c r="I130" i="29"/>
  <c r="K129" i="29"/>
  <c r="I129" i="29"/>
  <c r="K128" i="29"/>
  <c r="I128" i="29"/>
  <c r="K127" i="29"/>
  <c r="I127" i="29"/>
  <c r="K126" i="29"/>
  <c r="I126" i="29"/>
  <c r="K125" i="29"/>
  <c r="I125" i="29"/>
  <c r="K124" i="29"/>
  <c r="I124" i="29"/>
  <c r="K123" i="29"/>
  <c r="I123" i="29"/>
  <c r="K122" i="29"/>
  <c r="I122" i="29"/>
  <c r="K121" i="29"/>
  <c r="I121" i="29"/>
  <c r="K120" i="29"/>
  <c r="I120" i="29"/>
  <c r="K119" i="29"/>
  <c r="I119" i="29"/>
  <c r="K118" i="29"/>
  <c r="I118" i="29"/>
  <c r="K117" i="29"/>
  <c r="I117" i="29"/>
  <c r="K116" i="29"/>
  <c r="I116" i="29"/>
  <c r="K115" i="29"/>
  <c r="I115" i="29"/>
  <c r="K114" i="29"/>
  <c r="I114" i="29"/>
  <c r="K113" i="29"/>
  <c r="I113" i="29"/>
  <c r="K112" i="29"/>
  <c r="I112" i="29"/>
  <c r="K111" i="29"/>
  <c r="I111" i="29"/>
  <c r="K110" i="29"/>
  <c r="I110" i="29"/>
  <c r="K109" i="29"/>
  <c r="I109" i="29"/>
  <c r="K108" i="29"/>
  <c r="I108" i="29"/>
  <c r="K107" i="29"/>
  <c r="I107" i="29"/>
  <c r="K106" i="29"/>
  <c r="I106" i="29"/>
  <c r="K105" i="29"/>
  <c r="I105" i="29"/>
  <c r="K104" i="29"/>
  <c r="I104" i="29"/>
  <c r="K103" i="29"/>
  <c r="I103" i="29"/>
  <c r="K102" i="29"/>
  <c r="I102" i="29"/>
  <c r="K101" i="29"/>
  <c r="I101" i="29"/>
  <c r="K100" i="29"/>
  <c r="I100" i="29"/>
  <c r="K99" i="29"/>
  <c r="I99" i="29"/>
  <c r="K98" i="29"/>
  <c r="I98" i="29"/>
  <c r="K97" i="29"/>
  <c r="I97" i="29"/>
  <c r="K96" i="29"/>
  <c r="I96" i="29"/>
  <c r="K95" i="29"/>
  <c r="I95" i="29"/>
  <c r="K94" i="29"/>
  <c r="I94" i="29"/>
  <c r="K93" i="29"/>
  <c r="I93" i="29"/>
  <c r="K92" i="29"/>
  <c r="I92" i="29"/>
  <c r="K91" i="29"/>
  <c r="I91" i="29"/>
  <c r="K90" i="29"/>
  <c r="I90" i="29"/>
  <c r="K89" i="29"/>
  <c r="I89" i="29"/>
  <c r="K88" i="29"/>
  <c r="I88" i="29"/>
  <c r="K87" i="29"/>
  <c r="I87" i="29"/>
  <c r="K86" i="29"/>
  <c r="I86" i="29"/>
  <c r="K85" i="29"/>
  <c r="I85" i="29"/>
  <c r="K84" i="29"/>
  <c r="I84" i="29"/>
  <c r="K83" i="29"/>
  <c r="I83" i="29"/>
  <c r="K82" i="29"/>
  <c r="I82" i="29"/>
  <c r="K81" i="29"/>
  <c r="I81" i="29"/>
  <c r="K80" i="29"/>
  <c r="I80" i="29"/>
  <c r="K79" i="29"/>
  <c r="I79" i="29"/>
  <c r="K78" i="29"/>
  <c r="I78" i="29"/>
  <c r="K77" i="29"/>
  <c r="I77" i="29"/>
  <c r="K76" i="29"/>
  <c r="I76" i="29"/>
  <c r="K75" i="29"/>
  <c r="I75" i="29"/>
  <c r="K74" i="29"/>
  <c r="I74" i="29"/>
  <c r="K73" i="29"/>
  <c r="I73" i="29"/>
  <c r="K72" i="29"/>
  <c r="I72" i="29"/>
  <c r="K71" i="29"/>
  <c r="I71" i="29"/>
  <c r="K70" i="29"/>
  <c r="I70" i="29"/>
  <c r="K69" i="29"/>
  <c r="I69" i="29"/>
  <c r="K68" i="29"/>
  <c r="I68" i="29"/>
  <c r="K67" i="29"/>
  <c r="I67" i="29"/>
  <c r="K66" i="29"/>
  <c r="I66" i="29"/>
  <c r="K65" i="29"/>
  <c r="I65" i="29"/>
  <c r="K64" i="29"/>
  <c r="I64" i="29"/>
  <c r="K63" i="29"/>
  <c r="I63" i="29"/>
  <c r="K62" i="29"/>
  <c r="I62" i="29"/>
  <c r="K61" i="29"/>
  <c r="I61" i="29"/>
  <c r="K60" i="29"/>
  <c r="I60" i="29"/>
  <c r="K59" i="29"/>
  <c r="I59" i="29"/>
  <c r="K58" i="29"/>
  <c r="I58" i="29"/>
  <c r="K57" i="29"/>
  <c r="I57" i="29"/>
  <c r="K56" i="29"/>
  <c r="I56" i="29"/>
  <c r="K55" i="29"/>
  <c r="I55" i="29"/>
  <c r="K54" i="29"/>
  <c r="I54" i="29"/>
  <c r="K53" i="29"/>
  <c r="I53" i="29"/>
  <c r="K52" i="29"/>
  <c r="I52" i="29"/>
  <c r="K51" i="29"/>
  <c r="I51" i="29"/>
  <c r="K50" i="29"/>
  <c r="I50" i="29"/>
  <c r="K49" i="29"/>
  <c r="I49" i="29"/>
  <c r="K48" i="29"/>
  <c r="I48" i="29"/>
  <c r="K47" i="29"/>
  <c r="I47" i="29"/>
  <c r="K46" i="29"/>
  <c r="I46" i="29"/>
  <c r="K45" i="29"/>
  <c r="I45" i="29"/>
  <c r="K44" i="29"/>
  <c r="I44" i="29"/>
  <c r="K43" i="29"/>
  <c r="I43" i="29"/>
  <c r="K42" i="29"/>
  <c r="I42" i="29"/>
  <c r="K41" i="29"/>
  <c r="I41" i="29"/>
  <c r="K40" i="29"/>
  <c r="I40" i="29"/>
  <c r="K39" i="29"/>
  <c r="I39" i="29"/>
  <c r="K38" i="29"/>
  <c r="I38" i="29"/>
  <c r="K37" i="29"/>
  <c r="I37" i="29"/>
  <c r="K36" i="29"/>
  <c r="I36" i="29"/>
  <c r="K35" i="29"/>
  <c r="I35" i="29"/>
  <c r="K34" i="29"/>
  <c r="I34" i="29"/>
  <c r="K33" i="29"/>
  <c r="I33" i="29"/>
  <c r="K32" i="29"/>
  <c r="I32" i="29"/>
  <c r="K31" i="29"/>
  <c r="I31" i="29"/>
  <c r="K30" i="29"/>
  <c r="I30" i="29"/>
  <c r="K29" i="29"/>
  <c r="I29" i="29"/>
  <c r="K28" i="29"/>
  <c r="I28" i="29"/>
  <c r="K27" i="29"/>
  <c r="I27" i="29"/>
  <c r="K26" i="29"/>
  <c r="I26" i="29"/>
  <c r="K25" i="29"/>
  <c r="I25" i="29"/>
  <c r="K24" i="29"/>
  <c r="I24" i="29"/>
  <c r="K23" i="29"/>
  <c r="I23" i="29"/>
  <c r="K22" i="29"/>
  <c r="I22" i="29"/>
  <c r="K21" i="29"/>
  <c r="I21" i="29"/>
  <c r="K20" i="29"/>
  <c r="I20" i="29"/>
  <c r="K19" i="29"/>
  <c r="I19" i="29"/>
  <c r="K18" i="29"/>
  <c r="I18" i="29"/>
  <c r="K17" i="29"/>
  <c r="I17" i="29"/>
  <c r="K16" i="29"/>
  <c r="I16" i="29"/>
  <c r="K15" i="29"/>
  <c r="I15" i="29"/>
  <c r="K14" i="29"/>
  <c r="I14" i="29"/>
  <c r="K13" i="29"/>
  <c r="I13" i="29"/>
  <c r="K12" i="29"/>
  <c r="I12" i="29"/>
  <c r="K11" i="29"/>
  <c r="I11" i="29"/>
  <c r="K10" i="29"/>
  <c r="I10" i="29"/>
  <c r="K9" i="29"/>
  <c r="I9" i="29"/>
  <c r="K8" i="29"/>
  <c r="I8" i="29"/>
  <c r="K7" i="29"/>
  <c r="I7" i="29"/>
  <c r="K6" i="29"/>
  <c r="I6" i="29"/>
  <c r="K5" i="29"/>
  <c r="I5" i="29"/>
  <c r="K4" i="29"/>
  <c r="I4" i="29"/>
  <c r="K3" i="29"/>
  <c r="I3" i="29"/>
  <c r="K2171" i="29"/>
  <c r="I2171" i="29"/>
  <c r="K2170" i="29"/>
  <c r="M2170" i="29" s="1"/>
  <c r="I2170" i="29"/>
  <c r="J2169" i="29"/>
  <c r="H2169" i="29"/>
  <c r="K2168" i="29"/>
  <c r="I2168" i="29"/>
  <c r="K2167" i="29"/>
  <c r="I2167" i="29"/>
  <c r="K2166" i="29"/>
  <c r="I2166" i="29"/>
  <c r="K2165" i="29"/>
  <c r="I2165" i="29"/>
  <c r="K2164" i="29"/>
  <c r="I2164" i="29"/>
  <c r="K2163" i="29"/>
  <c r="I2163" i="29"/>
  <c r="K2162" i="29"/>
  <c r="I2162" i="29"/>
  <c r="K2161" i="29"/>
  <c r="I2161" i="29"/>
  <c r="K2160" i="29"/>
  <c r="I2160" i="29"/>
  <c r="K2159" i="29"/>
  <c r="I2159" i="29"/>
  <c r="K2158" i="29"/>
  <c r="I2158" i="29"/>
  <c r="K2157" i="29"/>
  <c r="I2157" i="29"/>
  <c r="K2156" i="29"/>
  <c r="I2156" i="29"/>
  <c r="K2155" i="29"/>
  <c r="I2155" i="29"/>
  <c r="K2154" i="29"/>
  <c r="I2154" i="29"/>
  <c r="K2153" i="29"/>
  <c r="I2153" i="29"/>
  <c r="K2152" i="29"/>
  <c r="I2152" i="29"/>
  <c r="K2151" i="29"/>
  <c r="I2151" i="29"/>
  <c r="K2150" i="29"/>
  <c r="I2150" i="29"/>
  <c r="K2149" i="29"/>
  <c r="I2149" i="29"/>
  <c r="K2148" i="29"/>
  <c r="I2148" i="29"/>
  <c r="K2147" i="29"/>
  <c r="I2147" i="29"/>
  <c r="K2146" i="29"/>
  <c r="I2146" i="29"/>
  <c r="K2145" i="29"/>
  <c r="I2145" i="29"/>
  <c r="K2144" i="29"/>
  <c r="I2144" i="29"/>
  <c r="K2143" i="29"/>
  <c r="I2143" i="29"/>
  <c r="K2142" i="29"/>
  <c r="I2142" i="29"/>
  <c r="K2141" i="29"/>
  <c r="I2141" i="29"/>
  <c r="K2140" i="29"/>
  <c r="I2140" i="29"/>
  <c r="K2139" i="29"/>
  <c r="I2139" i="29"/>
  <c r="K2138" i="29"/>
  <c r="I2138" i="29"/>
  <c r="K2137" i="29"/>
  <c r="I2137" i="29"/>
  <c r="K2136" i="29"/>
  <c r="I2136" i="29"/>
  <c r="K2135" i="29"/>
  <c r="I2135" i="29"/>
  <c r="K2134" i="29"/>
  <c r="I2134" i="29"/>
  <c r="K2133" i="29"/>
  <c r="I2133" i="29"/>
  <c r="K2132" i="29"/>
  <c r="I2132" i="29"/>
  <c r="K2131" i="29"/>
  <c r="I2131" i="29"/>
  <c r="K2130" i="29"/>
  <c r="I2130" i="29"/>
  <c r="K2129" i="29"/>
  <c r="I2129" i="29"/>
  <c r="K2128" i="29"/>
  <c r="I2128" i="29"/>
  <c r="K2127" i="29"/>
  <c r="I2127" i="29"/>
  <c r="K2126" i="29"/>
  <c r="I2126" i="29"/>
  <c r="K2125" i="29"/>
  <c r="I2125" i="29"/>
  <c r="K2124" i="29"/>
  <c r="I2124" i="29"/>
  <c r="K2123" i="29"/>
  <c r="I2123" i="29"/>
  <c r="K2122" i="29"/>
  <c r="I2122" i="29"/>
  <c r="J2121" i="29"/>
  <c r="H2121" i="29"/>
  <c r="J2120" i="29"/>
  <c r="H2120" i="29"/>
  <c r="J2119" i="29"/>
  <c r="H2119" i="29"/>
  <c r="K2118" i="29"/>
  <c r="I2118" i="29"/>
  <c r="K2117" i="29"/>
  <c r="I2117" i="29"/>
  <c r="K2116" i="29"/>
  <c r="I2116" i="29"/>
  <c r="K2115" i="29"/>
  <c r="I2115" i="29"/>
  <c r="K2114" i="29"/>
  <c r="I2114" i="29"/>
  <c r="K2113" i="29"/>
  <c r="I2113" i="29"/>
  <c r="K2112" i="29"/>
  <c r="I2112" i="29"/>
  <c r="K2111" i="29"/>
  <c r="I2111" i="29"/>
  <c r="K2110" i="29"/>
  <c r="I2110" i="29"/>
  <c r="K2109" i="29"/>
  <c r="I2109" i="29"/>
  <c r="K2108" i="29"/>
  <c r="I2108" i="29"/>
  <c r="K2107" i="29"/>
  <c r="I2107" i="29"/>
  <c r="K2106" i="29"/>
  <c r="I2106" i="29"/>
  <c r="K2105" i="29"/>
  <c r="I2105" i="29"/>
  <c r="K2104" i="29"/>
  <c r="I2104" i="29"/>
  <c r="K2103" i="29"/>
  <c r="I2103" i="29"/>
  <c r="K2102" i="29"/>
  <c r="I2102" i="29"/>
  <c r="K2101" i="29"/>
  <c r="I2101" i="29"/>
  <c r="G2101" i="29"/>
  <c r="K2100" i="29"/>
  <c r="I2100" i="29"/>
  <c r="K2099" i="29"/>
  <c r="I2099" i="29"/>
  <c r="K2098" i="29"/>
  <c r="I2098" i="29"/>
  <c r="K2097" i="29"/>
  <c r="I2097" i="29"/>
  <c r="K2096" i="29"/>
  <c r="I2096" i="29"/>
  <c r="K2095" i="29"/>
  <c r="I2095" i="29"/>
  <c r="K2094" i="29"/>
  <c r="I2094" i="29"/>
  <c r="K2093" i="29"/>
  <c r="I2093" i="29"/>
  <c r="K2092" i="29"/>
  <c r="I2092" i="29"/>
  <c r="K2091" i="29"/>
  <c r="I2091" i="29"/>
  <c r="K2090" i="29"/>
  <c r="I2090" i="29"/>
  <c r="K2089" i="29"/>
  <c r="I2089" i="29"/>
  <c r="K2088" i="29"/>
  <c r="I2088" i="29"/>
  <c r="K2087" i="29"/>
  <c r="I2087" i="29"/>
  <c r="K2086" i="29"/>
  <c r="I2086" i="29"/>
  <c r="K2085" i="29"/>
  <c r="I2085" i="29"/>
  <c r="K2084" i="29"/>
  <c r="I2084" i="29"/>
  <c r="K2083" i="29"/>
  <c r="I2083" i="29"/>
  <c r="K2082" i="29"/>
  <c r="I2082" i="29"/>
  <c r="K2081" i="29"/>
  <c r="I2081" i="29"/>
  <c r="K2080" i="29"/>
  <c r="I2080" i="29"/>
  <c r="K2079" i="29"/>
  <c r="I2079" i="29"/>
  <c r="K2078" i="29"/>
  <c r="I2078" i="29"/>
  <c r="K2077" i="29"/>
  <c r="I2077" i="29"/>
  <c r="K2076" i="29"/>
  <c r="I2076" i="29"/>
  <c r="K2075" i="29"/>
  <c r="I2075" i="29"/>
  <c r="K2074" i="29"/>
  <c r="I2074" i="29"/>
  <c r="K2073" i="29"/>
  <c r="I2073" i="29"/>
  <c r="K2072" i="29"/>
  <c r="I2072" i="29"/>
  <c r="K2071" i="29"/>
  <c r="I2071" i="29"/>
  <c r="K2070" i="29"/>
  <c r="I2070" i="29"/>
  <c r="K2069" i="29"/>
  <c r="I2069" i="29"/>
  <c r="K2068" i="29"/>
  <c r="I2068" i="29"/>
  <c r="K2067" i="29"/>
  <c r="I2067" i="29"/>
  <c r="K2066" i="29"/>
  <c r="I2066" i="29"/>
  <c r="K2065" i="29"/>
  <c r="I2065" i="29"/>
  <c r="K2064" i="29"/>
  <c r="I2064" i="29"/>
  <c r="K2063" i="29"/>
  <c r="I2063" i="29"/>
  <c r="K2062" i="29"/>
  <c r="I2062" i="29"/>
  <c r="K2061" i="29"/>
  <c r="I2061" i="29"/>
  <c r="K2060" i="29"/>
  <c r="I2060" i="29"/>
  <c r="K2059" i="29"/>
  <c r="I2059" i="29"/>
  <c r="K2058" i="29"/>
  <c r="I2058" i="29"/>
  <c r="K2057" i="29"/>
  <c r="I2057" i="29"/>
  <c r="K2056" i="29"/>
  <c r="I2056" i="29"/>
  <c r="K2055" i="29"/>
  <c r="I2055" i="29"/>
  <c r="K2054" i="29"/>
  <c r="I2054" i="29"/>
  <c r="K2053" i="29"/>
  <c r="I2053" i="29"/>
  <c r="K2052" i="29"/>
  <c r="I2052" i="29"/>
  <c r="K2051" i="29"/>
  <c r="I2051" i="29"/>
  <c r="K2050" i="29"/>
  <c r="I2050" i="29"/>
  <c r="K2049" i="29"/>
  <c r="I2049" i="29"/>
  <c r="K2048" i="29"/>
  <c r="I2048" i="29"/>
  <c r="K2047" i="29"/>
  <c r="I2047" i="29"/>
  <c r="K2046" i="29"/>
  <c r="I2046" i="29"/>
  <c r="K2045" i="29"/>
  <c r="I2045" i="29"/>
  <c r="K2044" i="29"/>
  <c r="I2044" i="29"/>
  <c r="K2043" i="29"/>
  <c r="I2043" i="29"/>
  <c r="K2042" i="29"/>
  <c r="I2042" i="29"/>
  <c r="K2041" i="29"/>
  <c r="I2041" i="29"/>
  <c r="K2040" i="29"/>
  <c r="I2040" i="29"/>
  <c r="K2039" i="29"/>
  <c r="I2039" i="29"/>
  <c r="K2038" i="29"/>
  <c r="I2038" i="29"/>
  <c r="K2037" i="29"/>
  <c r="I2037" i="29"/>
  <c r="K2036" i="29"/>
  <c r="I2036" i="29"/>
  <c r="K2035" i="29"/>
  <c r="I2035" i="29"/>
  <c r="K2034" i="29"/>
  <c r="I2034" i="29"/>
  <c r="K2033" i="29"/>
  <c r="I2033" i="29"/>
  <c r="K2032" i="29"/>
  <c r="I2032" i="29"/>
  <c r="K2031" i="29"/>
  <c r="I2031" i="29"/>
  <c r="K2030" i="29"/>
  <c r="I2030" i="29"/>
  <c r="K2029" i="29"/>
  <c r="I2029" i="29"/>
  <c r="K2028" i="29"/>
  <c r="I2028" i="29"/>
  <c r="K2027" i="29"/>
  <c r="I2027" i="29"/>
  <c r="K2026" i="29"/>
  <c r="I2026" i="29"/>
  <c r="K2025" i="29"/>
  <c r="I2025" i="29"/>
  <c r="K2024" i="29"/>
  <c r="I2024" i="29"/>
  <c r="K2023" i="29"/>
  <c r="I2023" i="29"/>
  <c r="K2022" i="29"/>
  <c r="I2022" i="29"/>
  <c r="K2021" i="29"/>
  <c r="I2021" i="29"/>
  <c r="K2020" i="29"/>
  <c r="I2020" i="29"/>
  <c r="K2019" i="29"/>
  <c r="I2019" i="29"/>
  <c r="K2018" i="29"/>
  <c r="I2018" i="29"/>
  <c r="K2017" i="29"/>
  <c r="I2017" i="29"/>
  <c r="K2016" i="29"/>
  <c r="I2016" i="29"/>
  <c r="K2015" i="29"/>
  <c r="I2015" i="29"/>
  <c r="K2014" i="29"/>
  <c r="I2014" i="29"/>
  <c r="K2013" i="29"/>
  <c r="I2013" i="29"/>
  <c r="K2012" i="29"/>
  <c r="I2012" i="29"/>
  <c r="K2011" i="29"/>
  <c r="I2011" i="29"/>
  <c r="K2010" i="29"/>
  <c r="I2010" i="29"/>
  <c r="K2009" i="29"/>
  <c r="I2009" i="29"/>
  <c r="K2008" i="29"/>
  <c r="I2008" i="29"/>
  <c r="K2007" i="29"/>
  <c r="I2007" i="29"/>
  <c r="K2006" i="29"/>
  <c r="I2006" i="29"/>
  <c r="K2005" i="29"/>
  <c r="I2005" i="29"/>
  <c r="K2004" i="29"/>
  <c r="I2004" i="29"/>
  <c r="K2003" i="29"/>
  <c r="I2003" i="29"/>
  <c r="K2002" i="29"/>
  <c r="I2002" i="29"/>
  <c r="K2001" i="29"/>
  <c r="I2001" i="29"/>
  <c r="K2000" i="29"/>
  <c r="I2000" i="29"/>
  <c r="K1999" i="29"/>
  <c r="I1999" i="29"/>
  <c r="K1998" i="29"/>
  <c r="I1998" i="29"/>
  <c r="K1997" i="29"/>
  <c r="I1997" i="29"/>
  <c r="K1996" i="29"/>
  <c r="I1996" i="29"/>
  <c r="K1995" i="29"/>
  <c r="I1995" i="29"/>
  <c r="K1994" i="29"/>
  <c r="I1994" i="29"/>
  <c r="K1993" i="29"/>
  <c r="I1993" i="29"/>
  <c r="K1992" i="29"/>
  <c r="I1992" i="29"/>
  <c r="K1991" i="29"/>
  <c r="I1991" i="29"/>
  <c r="K1990" i="29"/>
  <c r="I1990" i="29"/>
  <c r="K1989" i="29"/>
  <c r="I1989" i="29"/>
  <c r="K1988" i="29"/>
  <c r="I1988" i="29"/>
  <c r="K1987" i="29"/>
  <c r="I1987" i="29"/>
  <c r="K1986" i="29"/>
  <c r="I1986" i="29"/>
  <c r="K1985" i="29"/>
  <c r="I1985" i="29"/>
  <c r="K1984" i="29"/>
  <c r="I1984" i="29"/>
  <c r="K1983" i="29"/>
  <c r="I1983" i="29"/>
  <c r="K1982" i="29"/>
  <c r="I1982" i="29"/>
  <c r="K1981" i="29"/>
  <c r="I1981" i="29"/>
  <c r="K1980" i="29"/>
  <c r="I1980" i="29"/>
  <c r="K1979" i="29"/>
  <c r="I1979" i="29"/>
  <c r="K1978" i="29"/>
  <c r="I1978" i="29"/>
  <c r="K1977" i="29"/>
  <c r="I1977" i="29"/>
  <c r="K1976" i="29"/>
  <c r="I1976" i="29"/>
  <c r="K1975" i="29"/>
  <c r="I1975" i="29"/>
  <c r="K1974" i="29"/>
  <c r="I1974" i="29"/>
  <c r="K1973" i="29"/>
  <c r="I1973" i="29"/>
  <c r="K1972" i="29"/>
  <c r="I1972" i="29"/>
  <c r="K1971" i="29"/>
  <c r="I1971" i="29"/>
  <c r="K1970" i="29"/>
  <c r="I1970" i="29"/>
  <c r="K1969" i="29"/>
  <c r="I1969" i="29"/>
  <c r="K1968" i="29"/>
  <c r="I1968" i="29"/>
  <c r="K1967" i="29"/>
  <c r="I1967" i="29"/>
  <c r="K1966" i="29"/>
  <c r="I1966" i="29"/>
  <c r="K1965" i="29"/>
  <c r="I1965" i="29"/>
  <c r="K1964" i="29"/>
  <c r="I1964" i="29"/>
  <c r="K1963" i="29"/>
  <c r="I1963" i="29"/>
  <c r="K1962" i="29"/>
  <c r="I1962" i="29"/>
  <c r="K1961" i="29"/>
  <c r="I1961" i="29"/>
  <c r="K1960" i="29"/>
  <c r="I1960" i="29"/>
  <c r="K1959" i="29"/>
  <c r="I1959" i="29"/>
  <c r="K1958" i="29"/>
  <c r="I1958" i="29"/>
  <c r="K1957" i="29"/>
  <c r="I1957" i="29"/>
  <c r="K1956" i="29"/>
  <c r="I1956" i="29"/>
  <c r="K1955" i="29"/>
  <c r="I1955" i="29"/>
  <c r="K1954" i="29"/>
  <c r="I1954" i="29"/>
  <c r="K1953" i="29"/>
  <c r="I1953" i="29"/>
  <c r="K1952" i="29"/>
  <c r="I1952" i="29"/>
  <c r="K1951" i="29"/>
  <c r="I1951" i="29"/>
  <c r="K1950" i="29"/>
  <c r="I1950" i="29"/>
  <c r="K1949" i="29"/>
  <c r="I1949" i="29"/>
  <c r="K1948" i="29"/>
  <c r="I1948" i="29"/>
  <c r="K1947" i="29"/>
  <c r="I1947" i="29"/>
  <c r="K1946" i="29"/>
  <c r="I1946" i="29"/>
  <c r="K1945" i="29"/>
  <c r="I1945" i="29"/>
  <c r="K1944" i="29"/>
  <c r="I1944" i="29"/>
  <c r="K1943" i="29"/>
  <c r="I1943" i="29"/>
  <c r="K1942" i="29"/>
  <c r="I1942" i="29"/>
  <c r="K1941" i="29"/>
  <c r="I1941" i="29"/>
  <c r="K1940" i="29"/>
  <c r="I1940" i="29"/>
  <c r="K1939" i="29"/>
  <c r="I1939" i="29"/>
  <c r="K1938" i="29"/>
  <c r="I1938" i="29"/>
  <c r="K1937" i="29"/>
  <c r="I1937" i="29"/>
  <c r="K1936" i="29"/>
  <c r="I1936" i="29"/>
  <c r="K1935" i="29"/>
  <c r="I1935" i="29"/>
  <c r="K1934" i="29"/>
  <c r="I1934" i="29"/>
  <c r="K1933" i="29"/>
  <c r="I1933" i="29"/>
  <c r="K1932" i="29"/>
  <c r="I1932" i="29"/>
  <c r="K1931" i="29"/>
  <c r="I1931" i="29"/>
  <c r="K1930" i="29"/>
  <c r="I1930" i="29"/>
  <c r="K1929" i="29"/>
  <c r="I1929" i="29"/>
  <c r="K1928" i="29"/>
  <c r="I1928" i="29"/>
  <c r="K1927" i="29"/>
  <c r="I1927" i="29"/>
  <c r="K1926" i="29"/>
  <c r="I1926" i="29"/>
  <c r="K1925" i="29"/>
  <c r="I1925" i="29"/>
  <c r="K1924" i="29"/>
  <c r="I1924" i="29"/>
  <c r="K1923" i="29"/>
  <c r="I1923" i="29"/>
  <c r="K1922" i="29"/>
  <c r="I1922" i="29"/>
  <c r="K1921" i="29"/>
  <c r="I1921" i="29"/>
  <c r="K1920" i="29"/>
  <c r="I1920" i="29"/>
  <c r="K1919" i="29"/>
  <c r="I1919" i="29"/>
  <c r="K1918" i="29"/>
  <c r="I1918" i="29"/>
  <c r="K1917" i="29"/>
  <c r="I1917" i="29"/>
  <c r="K1916" i="29"/>
  <c r="I1916" i="29"/>
  <c r="K1915" i="29"/>
  <c r="I1915" i="29"/>
  <c r="K1914" i="29"/>
  <c r="I1914" i="29"/>
  <c r="K1913" i="29"/>
  <c r="I1913" i="29"/>
  <c r="K1912" i="29"/>
  <c r="I1912" i="29"/>
  <c r="K1911" i="29"/>
  <c r="I1911" i="29"/>
  <c r="K1910" i="29"/>
  <c r="I1910" i="29"/>
  <c r="K1909" i="29"/>
  <c r="I1909" i="29"/>
  <c r="K1908" i="29"/>
  <c r="I1908" i="29"/>
  <c r="K1907" i="29"/>
  <c r="I1907" i="29"/>
  <c r="K1906" i="29"/>
  <c r="I1906" i="29"/>
  <c r="K1905" i="29"/>
  <c r="I1905" i="29"/>
  <c r="K1904" i="29"/>
  <c r="I1904" i="29"/>
  <c r="K1903" i="29"/>
  <c r="I1903" i="29"/>
  <c r="K1902" i="29"/>
  <c r="I1902" i="29"/>
  <c r="K1901" i="29"/>
  <c r="I1901" i="29"/>
  <c r="K1900" i="29"/>
  <c r="I1900" i="29"/>
  <c r="K1899" i="29"/>
  <c r="I1899" i="29"/>
  <c r="K1898" i="29"/>
  <c r="I1898" i="29"/>
  <c r="K1897" i="29"/>
  <c r="I1897" i="29"/>
  <c r="K1896" i="29"/>
  <c r="I1896" i="29"/>
  <c r="K1895" i="29"/>
  <c r="I1895" i="29"/>
  <c r="K1894" i="29"/>
  <c r="I1894" i="29"/>
  <c r="K1893" i="29"/>
  <c r="I1893" i="29"/>
  <c r="K1892" i="29"/>
  <c r="I1892" i="29"/>
  <c r="K1891" i="29"/>
  <c r="I1891" i="29"/>
  <c r="K1890" i="29"/>
  <c r="I1890" i="29"/>
  <c r="K1889" i="29"/>
  <c r="I1889" i="29"/>
  <c r="K1888" i="29"/>
  <c r="I1888" i="29"/>
  <c r="K1887" i="29"/>
  <c r="I1887" i="29"/>
  <c r="K1886" i="29"/>
  <c r="I1886" i="29"/>
  <c r="K1885" i="29"/>
  <c r="I1885" i="29"/>
  <c r="K1884" i="29"/>
  <c r="I1884" i="29"/>
  <c r="K1883" i="29"/>
  <c r="I1883" i="29"/>
  <c r="K1882" i="29"/>
  <c r="I1882" i="29"/>
  <c r="K1881" i="29"/>
  <c r="I1881" i="29"/>
  <c r="K1880" i="29"/>
  <c r="I1880" i="29"/>
  <c r="K1879" i="29"/>
  <c r="I1879" i="29"/>
  <c r="K1878" i="29"/>
  <c r="I1878" i="29"/>
  <c r="K1877" i="29"/>
  <c r="I1877" i="29"/>
  <c r="K1876" i="29"/>
  <c r="I1876" i="29"/>
  <c r="K1875" i="29"/>
  <c r="I1875" i="29"/>
  <c r="K1874" i="29"/>
  <c r="I1874" i="29"/>
  <c r="K1873" i="29"/>
  <c r="I1873" i="29"/>
  <c r="K1872" i="29"/>
  <c r="I1872" i="29"/>
  <c r="K1871" i="29"/>
  <c r="I1871" i="29"/>
  <c r="K1870" i="29"/>
  <c r="I1870" i="29"/>
  <c r="K1869" i="29"/>
  <c r="I1869" i="29"/>
  <c r="K1868" i="29"/>
  <c r="I1868" i="29"/>
  <c r="K1867" i="29"/>
  <c r="I1867" i="29"/>
  <c r="K1866" i="29"/>
  <c r="I1866" i="29"/>
  <c r="K1865" i="29"/>
  <c r="I1865" i="29"/>
  <c r="K1864" i="29"/>
  <c r="I1864" i="29"/>
  <c r="K1863" i="29"/>
  <c r="I1863" i="29"/>
  <c r="K1862" i="29"/>
  <c r="I1862" i="29"/>
  <c r="K1861" i="29"/>
  <c r="I1861" i="29"/>
  <c r="K1860" i="29"/>
  <c r="I1860" i="29"/>
  <c r="K1859" i="29"/>
  <c r="I1859" i="29"/>
  <c r="K1858" i="29"/>
  <c r="I1858" i="29"/>
  <c r="K1857" i="29"/>
  <c r="I1857" i="29"/>
  <c r="K1856" i="29"/>
  <c r="I1856" i="29"/>
  <c r="K1855" i="29"/>
  <c r="I1855" i="29"/>
  <c r="K1854" i="29"/>
  <c r="I1854" i="29"/>
  <c r="K1853" i="29"/>
  <c r="I1853" i="29"/>
  <c r="K1852" i="29"/>
  <c r="I1852" i="29"/>
  <c r="K1851" i="29"/>
  <c r="I1851" i="29"/>
  <c r="K1850" i="29"/>
  <c r="I1850" i="29"/>
  <c r="K1849" i="29"/>
  <c r="I1849" i="29"/>
  <c r="K1848" i="29"/>
  <c r="I1848" i="29"/>
  <c r="K1847" i="29"/>
  <c r="I1847" i="29"/>
  <c r="K1846" i="29"/>
  <c r="I1846" i="29"/>
  <c r="K1845" i="29"/>
  <c r="I1845" i="29"/>
  <c r="K1844" i="29"/>
  <c r="I1844" i="29"/>
  <c r="K1843" i="29"/>
  <c r="I1843" i="29"/>
  <c r="K1842" i="29"/>
  <c r="I1842" i="29"/>
  <c r="K1841" i="29"/>
  <c r="I1841" i="29"/>
  <c r="K1840" i="29"/>
  <c r="I1840" i="29"/>
  <c r="K1839" i="29"/>
  <c r="I1839" i="29"/>
  <c r="K1838" i="29"/>
  <c r="I1838" i="29"/>
  <c r="K1837" i="29"/>
  <c r="I1837" i="29"/>
  <c r="K1836" i="29"/>
  <c r="I1836" i="29"/>
  <c r="K1835" i="29"/>
  <c r="I1835" i="29"/>
  <c r="K1834" i="29"/>
  <c r="I1834" i="29"/>
  <c r="K1833" i="29"/>
  <c r="I1833" i="29"/>
  <c r="K1832" i="29"/>
  <c r="I1832" i="29"/>
  <c r="K1831" i="29"/>
  <c r="I1831" i="29"/>
  <c r="K1830" i="29"/>
  <c r="I1830" i="29"/>
  <c r="K1829" i="29"/>
  <c r="I1829" i="29"/>
  <c r="K1828" i="29"/>
  <c r="I1828" i="29"/>
  <c r="K1827" i="29"/>
  <c r="L1827" i="29" s="1"/>
  <c r="I1827" i="29"/>
  <c r="K1826" i="29"/>
  <c r="I1826" i="29"/>
  <c r="K1825" i="29"/>
  <c r="I1825" i="29"/>
  <c r="K1824" i="29"/>
  <c r="I1824" i="29"/>
  <c r="K1823" i="29"/>
  <c r="I1823" i="29"/>
  <c r="K1822" i="29"/>
  <c r="I1822" i="29"/>
  <c r="K1821" i="29"/>
  <c r="I1821" i="29"/>
  <c r="K1820" i="29"/>
  <c r="I1820" i="29"/>
  <c r="K1819" i="29"/>
  <c r="I1819" i="29"/>
  <c r="K1818" i="29"/>
  <c r="I1818" i="29"/>
  <c r="K1817" i="29"/>
  <c r="I1817" i="29"/>
  <c r="K1816" i="29"/>
  <c r="I1816" i="29"/>
  <c r="K1815" i="29"/>
  <c r="I1815" i="29"/>
  <c r="K1814" i="29"/>
  <c r="I1814" i="29"/>
  <c r="K1813" i="29"/>
  <c r="I1813" i="29"/>
  <c r="K1812" i="29"/>
  <c r="I1812" i="29"/>
  <c r="K1811" i="29"/>
  <c r="I1811" i="29"/>
  <c r="K1810" i="29"/>
  <c r="I1810" i="29"/>
  <c r="K1809" i="29"/>
  <c r="I1809" i="29"/>
  <c r="K1808" i="29"/>
  <c r="I1808" i="29"/>
  <c r="K1807" i="29"/>
  <c r="I1807" i="29"/>
  <c r="K1806" i="29"/>
  <c r="I1806" i="29"/>
  <c r="K1805" i="29"/>
  <c r="I1805" i="29"/>
  <c r="K1804" i="29"/>
  <c r="I1804" i="29"/>
  <c r="K1803" i="29"/>
  <c r="I1803" i="29"/>
  <c r="K1802" i="29"/>
  <c r="I1802" i="29"/>
  <c r="K1801" i="29"/>
  <c r="I1801" i="29"/>
  <c r="K1800" i="29"/>
  <c r="I1800" i="29"/>
  <c r="K1799" i="29"/>
  <c r="I1799" i="29"/>
  <c r="K1798" i="29"/>
  <c r="I1798" i="29"/>
  <c r="K1797" i="29"/>
  <c r="I1797" i="29"/>
  <c r="K1796" i="29"/>
  <c r="I1796" i="29"/>
  <c r="K1795" i="29"/>
  <c r="I1795" i="29"/>
  <c r="K1794" i="29"/>
  <c r="I1794" i="29"/>
  <c r="K1793" i="29"/>
  <c r="I1793" i="29"/>
  <c r="K1792" i="29"/>
  <c r="I1792" i="29"/>
  <c r="K1791" i="29"/>
  <c r="I1791" i="29"/>
  <c r="K1790" i="29"/>
  <c r="I1790" i="29"/>
  <c r="K1789" i="29"/>
  <c r="I1789" i="29"/>
  <c r="K1788" i="29"/>
  <c r="I1788" i="29"/>
  <c r="K1787" i="29"/>
  <c r="I1787" i="29"/>
  <c r="K1786" i="29"/>
  <c r="I1786" i="29"/>
  <c r="K1785" i="29"/>
  <c r="I1785" i="29"/>
  <c r="K1784" i="29"/>
  <c r="I1784" i="29"/>
  <c r="K1783" i="29"/>
  <c r="I1783" i="29"/>
  <c r="K1782" i="29"/>
  <c r="I1782" i="29"/>
  <c r="K1781" i="29"/>
  <c r="I1781" i="29"/>
  <c r="K1780" i="29"/>
  <c r="I1780" i="29"/>
  <c r="K1779" i="29"/>
  <c r="I1779" i="29"/>
  <c r="K1778" i="29"/>
  <c r="I1778" i="29"/>
  <c r="K1777" i="29"/>
  <c r="I1777" i="29"/>
  <c r="K1776" i="29"/>
  <c r="I1776" i="29"/>
  <c r="K1775" i="29"/>
  <c r="I1775" i="29"/>
  <c r="K1774" i="29"/>
  <c r="I1774" i="29"/>
  <c r="K1773" i="29"/>
  <c r="I1773" i="29"/>
  <c r="K1772" i="29"/>
  <c r="I1772" i="29"/>
  <c r="K1771" i="29"/>
  <c r="I1771" i="29"/>
  <c r="K1770" i="29"/>
  <c r="I1770" i="29"/>
  <c r="K1769" i="29"/>
  <c r="I1769" i="29"/>
  <c r="K1768" i="29"/>
  <c r="I1768" i="29"/>
  <c r="K1767" i="29"/>
  <c r="I1767" i="29"/>
  <c r="K1766" i="29"/>
  <c r="I1766" i="29"/>
  <c r="K1765" i="29"/>
  <c r="I1765" i="29"/>
  <c r="K1764" i="29"/>
  <c r="I1764" i="29"/>
  <c r="K1763" i="29"/>
  <c r="I1763" i="29"/>
  <c r="K1762" i="29"/>
  <c r="I1762" i="29"/>
  <c r="K1761" i="29"/>
  <c r="I1761" i="29"/>
  <c r="K1760" i="29"/>
  <c r="I1760" i="29"/>
  <c r="K1759" i="29"/>
  <c r="I1759" i="29"/>
  <c r="K1758" i="29"/>
  <c r="I1758" i="29"/>
  <c r="K1757" i="29"/>
  <c r="I1757" i="29"/>
  <c r="K1756" i="29"/>
  <c r="I1756" i="29"/>
  <c r="K1755" i="29"/>
  <c r="I1755" i="29"/>
  <c r="K1754" i="29"/>
  <c r="I1754" i="29"/>
  <c r="K1753" i="29"/>
  <c r="I1753" i="29"/>
  <c r="K1752" i="29"/>
  <c r="I1752" i="29"/>
  <c r="K1751" i="29"/>
  <c r="I1751" i="29"/>
  <c r="K1750" i="29"/>
  <c r="I1750" i="29"/>
  <c r="K1749" i="29"/>
  <c r="I1749" i="29"/>
  <c r="K1748" i="29"/>
  <c r="I1748" i="29"/>
  <c r="K1747" i="29"/>
  <c r="I1747" i="29"/>
  <c r="K1746" i="29"/>
  <c r="I1746" i="29"/>
  <c r="K1745" i="29"/>
  <c r="I1745" i="29"/>
  <c r="K1744" i="29"/>
  <c r="I1744" i="29"/>
  <c r="K1743" i="29"/>
  <c r="I1743" i="29"/>
  <c r="K1742" i="29"/>
  <c r="I1742" i="29"/>
  <c r="K1741" i="29"/>
  <c r="I1741" i="29"/>
  <c r="K1740" i="29"/>
  <c r="I1740" i="29"/>
  <c r="K1739" i="29"/>
  <c r="I1739" i="29"/>
  <c r="K1738" i="29"/>
  <c r="I1738" i="29"/>
  <c r="K1737" i="29"/>
  <c r="I1737" i="29"/>
  <c r="K1736" i="29"/>
  <c r="I1736" i="29"/>
  <c r="K1735" i="29"/>
  <c r="I1735" i="29"/>
  <c r="K1734" i="29"/>
  <c r="I1734" i="29"/>
  <c r="K1733" i="29"/>
  <c r="I1733" i="29"/>
  <c r="K1732" i="29"/>
  <c r="I1732" i="29"/>
  <c r="K1731" i="29"/>
  <c r="I1731" i="29"/>
  <c r="K1730" i="29"/>
  <c r="I1730" i="29"/>
  <c r="K1729" i="29"/>
  <c r="I1729" i="29"/>
  <c r="K1728" i="29"/>
  <c r="I1728" i="29"/>
  <c r="K1727" i="29"/>
  <c r="I1727" i="29"/>
  <c r="K1726" i="29"/>
  <c r="I1726" i="29"/>
  <c r="K1725" i="29"/>
  <c r="I1725" i="29"/>
  <c r="K1724" i="29"/>
  <c r="I1724" i="29"/>
  <c r="K1723" i="29"/>
  <c r="I1723" i="29"/>
  <c r="K1722" i="29"/>
  <c r="I1722" i="29"/>
  <c r="K1721" i="29"/>
  <c r="I1721" i="29"/>
  <c r="K1720" i="29"/>
  <c r="I1720" i="29"/>
  <c r="K1719" i="29"/>
  <c r="I1719" i="29"/>
  <c r="K1718" i="29"/>
  <c r="I1718" i="29"/>
  <c r="K1717" i="29"/>
  <c r="I1717" i="29"/>
  <c r="K1716" i="29"/>
  <c r="I1716" i="29"/>
  <c r="K1715" i="29"/>
  <c r="I1715" i="29"/>
  <c r="K1714" i="29"/>
  <c r="I1714" i="29"/>
  <c r="K1713" i="29"/>
  <c r="I1713" i="29"/>
  <c r="K1712" i="29"/>
  <c r="I1712" i="29"/>
  <c r="K1711" i="29"/>
  <c r="I1711" i="29"/>
  <c r="K1710" i="29"/>
  <c r="I1710" i="29"/>
  <c r="K1709" i="29"/>
  <c r="I1709" i="29"/>
  <c r="K1708" i="29"/>
  <c r="I1708" i="29"/>
  <c r="K1707" i="29"/>
  <c r="I1707" i="29"/>
  <c r="K1706" i="29"/>
  <c r="I1706" i="29"/>
  <c r="K1705" i="29"/>
  <c r="I1705" i="29"/>
  <c r="K1704" i="29"/>
  <c r="I1704" i="29"/>
  <c r="K1703" i="29"/>
  <c r="I1703" i="29"/>
  <c r="K1702" i="29"/>
  <c r="I1702" i="29"/>
  <c r="K1701" i="29"/>
  <c r="I1701" i="29"/>
  <c r="K1700" i="29"/>
  <c r="I1700" i="29"/>
  <c r="K1699" i="29"/>
  <c r="I1699" i="29"/>
  <c r="K1698" i="29"/>
  <c r="I1698" i="29"/>
  <c r="K1697" i="29"/>
  <c r="I1697" i="29"/>
  <c r="K1696" i="29"/>
  <c r="I1696" i="29"/>
  <c r="K1695" i="29"/>
  <c r="I1695" i="29"/>
  <c r="K1694" i="29"/>
  <c r="I1694" i="29"/>
  <c r="K1693" i="29"/>
  <c r="I1693" i="29"/>
  <c r="K1692" i="29"/>
  <c r="I1692" i="29"/>
  <c r="K1691" i="29"/>
  <c r="I1691" i="29"/>
  <c r="K1690" i="29"/>
  <c r="I1690" i="29"/>
  <c r="K1689" i="29"/>
  <c r="I1689" i="29"/>
  <c r="K1688" i="29"/>
  <c r="I1688" i="29"/>
  <c r="K1687" i="29"/>
  <c r="I1687" i="29"/>
  <c r="K1686" i="29"/>
  <c r="I1686" i="29"/>
  <c r="K1685" i="29"/>
  <c r="I1685" i="29"/>
  <c r="K1684" i="29"/>
  <c r="I1684" i="29"/>
  <c r="K1683" i="29"/>
  <c r="I1683" i="29"/>
  <c r="K1682" i="29"/>
  <c r="I1682" i="29"/>
  <c r="K1681" i="29"/>
  <c r="I1681" i="29"/>
  <c r="K1680" i="29"/>
  <c r="I1680" i="29"/>
  <c r="K1679" i="29"/>
  <c r="I1679" i="29"/>
  <c r="K1678" i="29"/>
  <c r="I1678" i="29"/>
  <c r="K1677" i="29"/>
  <c r="I1677" i="29"/>
  <c r="K1676" i="29"/>
  <c r="I1676" i="29"/>
  <c r="K1675" i="29"/>
  <c r="I1675" i="29"/>
  <c r="K1674" i="29"/>
  <c r="I1674" i="29"/>
  <c r="K1673" i="29"/>
  <c r="I1673" i="29"/>
  <c r="K1672" i="29"/>
  <c r="I1672" i="29"/>
  <c r="K1671" i="29"/>
  <c r="I1671" i="29"/>
  <c r="K1670" i="29"/>
  <c r="I1670" i="29"/>
  <c r="K1669" i="29"/>
  <c r="I1669" i="29"/>
  <c r="K1668" i="29"/>
  <c r="I1668" i="29"/>
  <c r="K1667" i="29"/>
  <c r="I1667" i="29"/>
  <c r="K1666" i="29"/>
  <c r="I1666" i="29"/>
  <c r="K1665" i="29"/>
  <c r="I1665" i="29"/>
  <c r="K1664" i="29"/>
  <c r="I1664" i="29"/>
  <c r="K1663" i="29"/>
  <c r="I1663" i="29"/>
  <c r="K1662" i="29"/>
  <c r="I1662" i="29"/>
  <c r="K1661" i="29"/>
  <c r="I1661" i="29"/>
  <c r="K1660" i="29"/>
  <c r="I1660" i="29"/>
  <c r="K1659" i="29"/>
  <c r="I1659" i="29"/>
  <c r="K1658" i="29"/>
  <c r="I1658" i="29"/>
  <c r="K1657" i="29"/>
  <c r="I1657" i="29"/>
  <c r="K1656" i="29"/>
  <c r="I1656" i="29"/>
  <c r="K1655" i="29"/>
  <c r="I1655" i="29"/>
  <c r="K1654" i="29"/>
  <c r="I1654" i="29"/>
  <c r="K1653" i="29"/>
  <c r="I1653" i="29"/>
  <c r="K1652" i="29"/>
  <c r="I1652" i="29"/>
  <c r="K1651" i="29"/>
  <c r="I1651" i="29"/>
  <c r="K1650" i="29"/>
  <c r="I1650" i="29"/>
  <c r="K1649" i="29"/>
  <c r="I1649" i="29"/>
  <c r="K1648" i="29"/>
  <c r="I1648" i="29"/>
  <c r="K1647" i="29"/>
  <c r="I1647" i="29"/>
  <c r="K1646" i="29"/>
  <c r="I1646" i="29"/>
  <c r="K1645" i="29"/>
  <c r="I1645" i="29"/>
  <c r="K1644" i="29"/>
  <c r="I1644" i="29"/>
  <c r="K1643" i="29"/>
  <c r="I1643" i="29"/>
  <c r="K1642" i="29"/>
  <c r="I1642" i="29"/>
  <c r="K1641" i="29"/>
  <c r="I1641" i="29"/>
  <c r="K1640" i="29"/>
  <c r="I1640" i="29"/>
  <c r="K1639" i="29"/>
  <c r="I1639" i="29"/>
  <c r="K1638" i="29"/>
  <c r="I1638" i="29"/>
  <c r="K1637" i="29"/>
  <c r="I1637" i="29"/>
  <c r="K1636" i="29"/>
  <c r="I1636" i="29"/>
  <c r="K1635" i="29"/>
  <c r="I1635" i="29"/>
  <c r="K1634" i="29"/>
  <c r="I1634" i="29"/>
  <c r="K1633" i="29"/>
  <c r="I1633" i="29"/>
  <c r="K1632" i="29"/>
  <c r="I1632" i="29"/>
  <c r="K1631" i="29"/>
  <c r="I1631" i="29"/>
  <c r="K1630" i="29"/>
  <c r="I1630" i="29"/>
  <c r="K1629" i="29"/>
  <c r="I1629" i="29"/>
  <c r="K1628" i="29"/>
  <c r="I1628" i="29"/>
  <c r="K1627" i="29"/>
  <c r="I1627" i="29"/>
  <c r="K1626" i="29"/>
  <c r="I1626" i="29"/>
  <c r="K1625" i="29"/>
  <c r="I1625" i="29"/>
  <c r="K1624" i="29"/>
  <c r="I1624" i="29"/>
  <c r="K1623" i="29"/>
  <c r="I1623" i="29"/>
  <c r="K1622" i="29"/>
  <c r="I1622" i="29"/>
  <c r="K1621" i="29"/>
  <c r="I1621" i="29"/>
  <c r="K1620" i="29"/>
  <c r="I1620" i="29"/>
  <c r="K1619" i="29"/>
  <c r="I1619" i="29"/>
  <c r="K1618" i="29"/>
  <c r="I1618" i="29"/>
  <c r="K1617" i="29"/>
  <c r="I1617" i="29"/>
  <c r="K1616" i="29"/>
  <c r="I1616" i="29"/>
  <c r="K1615" i="29"/>
  <c r="I1615" i="29"/>
  <c r="K1614" i="29"/>
  <c r="I1614" i="29"/>
  <c r="K1613" i="29"/>
  <c r="I1613" i="29"/>
  <c r="K1612" i="29"/>
  <c r="I1612" i="29"/>
  <c r="K1611" i="29"/>
  <c r="I1611" i="29"/>
  <c r="K1610" i="29"/>
  <c r="I1610" i="29"/>
  <c r="K1609" i="29"/>
  <c r="I1609" i="29"/>
  <c r="K1608" i="29"/>
  <c r="I1608" i="29"/>
  <c r="K1607" i="29"/>
  <c r="I1607" i="29"/>
  <c r="K1606" i="29"/>
  <c r="I1606" i="29"/>
  <c r="K1605" i="29"/>
  <c r="I1605" i="29"/>
  <c r="K1604" i="29"/>
  <c r="I1604" i="29"/>
  <c r="K1603" i="29"/>
  <c r="I1603" i="29"/>
  <c r="K1602" i="29"/>
  <c r="I1602" i="29"/>
  <c r="K1601" i="29"/>
  <c r="I1601" i="29"/>
  <c r="K1600" i="29"/>
  <c r="I1600" i="29"/>
  <c r="K1599" i="29"/>
  <c r="I1599" i="29"/>
  <c r="K1598" i="29"/>
  <c r="I1598" i="29"/>
  <c r="K1597" i="29"/>
  <c r="I1597" i="29"/>
  <c r="K1596" i="29"/>
  <c r="I1596" i="29"/>
  <c r="K1595" i="29"/>
  <c r="I1595" i="29"/>
  <c r="K1594" i="29"/>
  <c r="I1594" i="29"/>
  <c r="K1593" i="29"/>
  <c r="I1593" i="29"/>
  <c r="K1592" i="29"/>
  <c r="I1592" i="29"/>
  <c r="K1591" i="29"/>
  <c r="I1591" i="29"/>
  <c r="K1590" i="29"/>
  <c r="I1590" i="29"/>
  <c r="K1589" i="29"/>
  <c r="I1589" i="29"/>
  <c r="K1588" i="29"/>
  <c r="I1588" i="29"/>
  <c r="K1587" i="29"/>
  <c r="I1587" i="29"/>
  <c r="K1586" i="29"/>
  <c r="I1586" i="29"/>
  <c r="K1585" i="29"/>
  <c r="I1585" i="29"/>
  <c r="K1584" i="29"/>
  <c r="I1584" i="29"/>
  <c r="J1583" i="29"/>
  <c r="H1583" i="29"/>
  <c r="K1582" i="29"/>
  <c r="I1582" i="29"/>
  <c r="K1581" i="29"/>
  <c r="I1581" i="29"/>
  <c r="K1580" i="29"/>
  <c r="I1580" i="29"/>
  <c r="K1579" i="29"/>
  <c r="I1579" i="29"/>
  <c r="K1578" i="29"/>
  <c r="I1578" i="29"/>
  <c r="K1577" i="29"/>
  <c r="I1577" i="29"/>
  <c r="K1576" i="29"/>
  <c r="I1576" i="29"/>
  <c r="K1575" i="29"/>
  <c r="I1575" i="29"/>
  <c r="K1574" i="29"/>
  <c r="I1574" i="29"/>
  <c r="K1573" i="29"/>
  <c r="I1573" i="29"/>
  <c r="K1572" i="29"/>
  <c r="I1572" i="29"/>
  <c r="K1571" i="29"/>
  <c r="I1571" i="29"/>
  <c r="K1570" i="29"/>
  <c r="I1570" i="29"/>
  <c r="K1569" i="29"/>
  <c r="I1569" i="29"/>
  <c r="K1568" i="29"/>
  <c r="I1568" i="29"/>
  <c r="K1567" i="29"/>
  <c r="I1567" i="29"/>
  <c r="K1566" i="29"/>
  <c r="I1566" i="29"/>
  <c r="K1565" i="29"/>
  <c r="I1565" i="29"/>
  <c r="K1564" i="29"/>
  <c r="I1564" i="29"/>
  <c r="K1563" i="29"/>
  <c r="I1563" i="29"/>
  <c r="K1562" i="29"/>
  <c r="I1562" i="29"/>
  <c r="K1561" i="29"/>
  <c r="I1561" i="29"/>
  <c r="K1560" i="29"/>
  <c r="I1560" i="29"/>
  <c r="K1559" i="29"/>
  <c r="I1559" i="29"/>
  <c r="K1558" i="29"/>
  <c r="I1558" i="29"/>
  <c r="K1557" i="29"/>
  <c r="I1557" i="29"/>
  <c r="K1556" i="29"/>
  <c r="I1556" i="29"/>
  <c r="K1555" i="29"/>
  <c r="I1555" i="29"/>
  <c r="K1554" i="29"/>
  <c r="I1554" i="29"/>
  <c r="K1553" i="29"/>
  <c r="I1553" i="29"/>
  <c r="K1552" i="29"/>
  <c r="I1552" i="29"/>
  <c r="K1551" i="29"/>
  <c r="I1551" i="29"/>
  <c r="K1550" i="29"/>
  <c r="I1550" i="29"/>
  <c r="K1549" i="29"/>
  <c r="I1549" i="29"/>
  <c r="K1548" i="29"/>
  <c r="I1548" i="29"/>
  <c r="K1547" i="29"/>
  <c r="I1547" i="29"/>
  <c r="K1546" i="29"/>
  <c r="I1546" i="29"/>
  <c r="K1545" i="29"/>
  <c r="I1545" i="29"/>
  <c r="K1544" i="29"/>
  <c r="I1544" i="29"/>
  <c r="K1543" i="29"/>
  <c r="I1543" i="29"/>
  <c r="K1542" i="29"/>
  <c r="I1542" i="29"/>
  <c r="K1541" i="29"/>
  <c r="I1541" i="29"/>
  <c r="K1540" i="29"/>
  <c r="I1540" i="29"/>
  <c r="J1539" i="29"/>
  <c r="H1539" i="29"/>
  <c r="K1538" i="29"/>
  <c r="I1538" i="29"/>
  <c r="K1537" i="29"/>
  <c r="I1537" i="29"/>
  <c r="K1536" i="29"/>
  <c r="I1536" i="29"/>
  <c r="K1535" i="29"/>
  <c r="I1535" i="29"/>
  <c r="K1534" i="29"/>
  <c r="I1534" i="29"/>
  <c r="K1533" i="29"/>
  <c r="I1533" i="29"/>
  <c r="K1532" i="29"/>
  <c r="I1532" i="29"/>
  <c r="K1531" i="29"/>
  <c r="I1531" i="29"/>
  <c r="K1530" i="29"/>
  <c r="I1530" i="29"/>
  <c r="K1529" i="29"/>
  <c r="I1529" i="29"/>
  <c r="K1528" i="29"/>
  <c r="I1528" i="29"/>
  <c r="K1527" i="29"/>
  <c r="I1527" i="29"/>
  <c r="K1526" i="29"/>
  <c r="I1526" i="29"/>
  <c r="K1525" i="29"/>
  <c r="I1525" i="29"/>
  <c r="K1524" i="29"/>
  <c r="I1524" i="29"/>
  <c r="K1523" i="29"/>
  <c r="I1523" i="29"/>
  <c r="K1522" i="29"/>
  <c r="I1522" i="29"/>
  <c r="K1521" i="29"/>
  <c r="I1521" i="29"/>
  <c r="K1520" i="29"/>
  <c r="I1520" i="29"/>
  <c r="K1519" i="29"/>
  <c r="I1519" i="29"/>
  <c r="K1518" i="29"/>
  <c r="I1518" i="29"/>
  <c r="K1517" i="29"/>
  <c r="I1517" i="29"/>
  <c r="K1516" i="29"/>
  <c r="I1516" i="29"/>
  <c r="J1515" i="29"/>
  <c r="H1515" i="29"/>
  <c r="K1514" i="29"/>
  <c r="I1514" i="29"/>
  <c r="K1513" i="29"/>
  <c r="I1513" i="29"/>
  <c r="K1512" i="29"/>
  <c r="I1512" i="29"/>
  <c r="K1511" i="29"/>
  <c r="I1511" i="29"/>
  <c r="K1510" i="29"/>
  <c r="I1510" i="29"/>
  <c r="K1509" i="29"/>
  <c r="I1509" i="29"/>
  <c r="K1508" i="29"/>
  <c r="I1508" i="29"/>
  <c r="K1507" i="29"/>
  <c r="I1507" i="29"/>
  <c r="K1506" i="29"/>
  <c r="I1506" i="29"/>
  <c r="K1505" i="29"/>
  <c r="I1505" i="29"/>
  <c r="K1504" i="29"/>
  <c r="I1504" i="29"/>
  <c r="K1503" i="29"/>
  <c r="I1503" i="29"/>
  <c r="K1502" i="29"/>
  <c r="I1502" i="29"/>
  <c r="K1501" i="29"/>
  <c r="I1501" i="29"/>
  <c r="K1500" i="29"/>
  <c r="I1500" i="29"/>
  <c r="K1499" i="29"/>
  <c r="I1499" i="29"/>
  <c r="K1498" i="29"/>
  <c r="I1498" i="29"/>
  <c r="K1497" i="29"/>
  <c r="I1497" i="29"/>
  <c r="K1496" i="29"/>
  <c r="I1496" i="29"/>
  <c r="K1495" i="29"/>
  <c r="I1495" i="29"/>
  <c r="K1494" i="29"/>
  <c r="I1494" i="29"/>
  <c r="K1493" i="29"/>
  <c r="K1492" i="29"/>
  <c r="I1492" i="29"/>
  <c r="J1491" i="29"/>
  <c r="H1491" i="29"/>
  <c r="J1490" i="29"/>
  <c r="H1490" i="29"/>
  <c r="K1489" i="29"/>
  <c r="I1489" i="29"/>
  <c r="K1488" i="29"/>
  <c r="I1488" i="29"/>
  <c r="K1487" i="29"/>
  <c r="I1487" i="29"/>
  <c r="K1486" i="29"/>
  <c r="I1486" i="29"/>
  <c r="K1485" i="29"/>
  <c r="I1485" i="29"/>
  <c r="K1484" i="29"/>
  <c r="I1484" i="29"/>
  <c r="K1483" i="29"/>
  <c r="I1483" i="29"/>
  <c r="K1482" i="29"/>
  <c r="I1482" i="29"/>
  <c r="K1481" i="29"/>
  <c r="I1481" i="29"/>
  <c r="K1480" i="29"/>
  <c r="I1480" i="29"/>
  <c r="K1479" i="29"/>
  <c r="I1479" i="29"/>
  <c r="K1478" i="29"/>
  <c r="I1478" i="29"/>
  <c r="K1477" i="29"/>
  <c r="I1477" i="29"/>
  <c r="K1476" i="29"/>
  <c r="I1476" i="29"/>
  <c r="K1475" i="29"/>
  <c r="I1475" i="29"/>
  <c r="K1474" i="29"/>
  <c r="I1474" i="29"/>
  <c r="K1473" i="29"/>
  <c r="I1473" i="29"/>
  <c r="K1472" i="29"/>
  <c r="I1472" i="29"/>
  <c r="K1471" i="29"/>
  <c r="I1471" i="29"/>
  <c r="K1470" i="29"/>
  <c r="I1470" i="29"/>
  <c r="K1469" i="29"/>
  <c r="I1469" i="29"/>
  <c r="K1468" i="29"/>
  <c r="I1468" i="29"/>
  <c r="K1467" i="29"/>
  <c r="I1467" i="29"/>
  <c r="K1466" i="29"/>
  <c r="I1466" i="29"/>
  <c r="K1465" i="29"/>
  <c r="I1465" i="29"/>
  <c r="K1464" i="29"/>
  <c r="I1464" i="29"/>
  <c r="K1463" i="29"/>
  <c r="I1463" i="29"/>
  <c r="K1462" i="29"/>
  <c r="I1462" i="29"/>
  <c r="K1461" i="29"/>
  <c r="I1461" i="29"/>
  <c r="K1460" i="29"/>
  <c r="I1460" i="29"/>
  <c r="K1459" i="29"/>
  <c r="I1459" i="29"/>
  <c r="K1458" i="29"/>
  <c r="I1458" i="29"/>
  <c r="K1457" i="29"/>
  <c r="I1457" i="29"/>
  <c r="K1456" i="29"/>
  <c r="I1456" i="29"/>
  <c r="K1455" i="29"/>
  <c r="I1455" i="29"/>
  <c r="K1454" i="29"/>
  <c r="I1454" i="29"/>
  <c r="K1453" i="29"/>
  <c r="I1453" i="29"/>
  <c r="K1452" i="29"/>
  <c r="I1452" i="29"/>
  <c r="K1451" i="29"/>
  <c r="I1451" i="29"/>
  <c r="K1450" i="29"/>
  <c r="I1450" i="29"/>
  <c r="K1449" i="29"/>
  <c r="I1449" i="29"/>
  <c r="K1448" i="29"/>
  <c r="I1448" i="29"/>
  <c r="K1447" i="29"/>
  <c r="I1447" i="29"/>
  <c r="K1446" i="29"/>
  <c r="I1446" i="29"/>
  <c r="K1445" i="29"/>
  <c r="I1445" i="29"/>
  <c r="K1444" i="29"/>
  <c r="I1444" i="29"/>
  <c r="K1443" i="29"/>
  <c r="I1443" i="29"/>
  <c r="K1442" i="29"/>
  <c r="I1442" i="29"/>
  <c r="K1441" i="29"/>
  <c r="I1441" i="29"/>
  <c r="K1440" i="29"/>
  <c r="I1440" i="29"/>
  <c r="K1439" i="29"/>
  <c r="I1439" i="29"/>
  <c r="K1438" i="29"/>
  <c r="I1438" i="29"/>
  <c r="K1437" i="29"/>
  <c r="I1437" i="29"/>
  <c r="K1436" i="29"/>
  <c r="I1436" i="29"/>
  <c r="K1435" i="29"/>
  <c r="I1435" i="29"/>
  <c r="K1434" i="29"/>
  <c r="I1434" i="29"/>
  <c r="K1433" i="29"/>
  <c r="I1433" i="29"/>
  <c r="K1432" i="29"/>
  <c r="I1432" i="29"/>
  <c r="K1431" i="29"/>
  <c r="I1431" i="29"/>
  <c r="K1430" i="29"/>
  <c r="I1430" i="29"/>
  <c r="K1429" i="29"/>
  <c r="I1429" i="29"/>
  <c r="K1428" i="29"/>
  <c r="I1428" i="29"/>
  <c r="K1427" i="29"/>
  <c r="I1427" i="29"/>
  <c r="K1426" i="29"/>
  <c r="I1426" i="29"/>
  <c r="K1425" i="29"/>
  <c r="I1425" i="29"/>
  <c r="K1424" i="29"/>
  <c r="I1424" i="29"/>
  <c r="K1423" i="29"/>
  <c r="I1423" i="29"/>
  <c r="K1422" i="29"/>
  <c r="I1422" i="29"/>
  <c r="K1421" i="29"/>
  <c r="I1421" i="29"/>
  <c r="K1420" i="29"/>
  <c r="I1420" i="29"/>
  <c r="K1419" i="29"/>
  <c r="I1419" i="29"/>
  <c r="K1418" i="29"/>
  <c r="I1418" i="29"/>
  <c r="K1417" i="29"/>
  <c r="I1417" i="29"/>
  <c r="K1416" i="29"/>
  <c r="I1416" i="29"/>
  <c r="K1415" i="29"/>
  <c r="I1415" i="29"/>
  <c r="K1414" i="29"/>
  <c r="I1414" i="29"/>
  <c r="K1413" i="29"/>
  <c r="I1413" i="29"/>
  <c r="K1412" i="29"/>
  <c r="I1412" i="29"/>
  <c r="K1411" i="29"/>
  <c r="I1411" i="29"/>
  <c r="K1410" i="29"/>
  <c r="I1410" i="29"/>
  <c r="K1409" i="29"/>
  <c r="I1409" i="29"/>
  <c r="K1408" i="29"/>
  <c r="I1408" i="29"/>
  <c r="K1407" i="29"/>
  <c r="I1407" i="29"/>
  <c r="K1406" i="29"/>
  <c r="I1406" i="29"/>
  <c r="K1405" i="29"/>
  <c r="I1405" i="29"/>
  <c r="K1404" i="29"/>
  <c r="I1404" i="29"/>
  <c r="K1403" i="29"/>
  <c r="I1403" i="29"/>
  <c r="K1402" i="29"/>
  <c r="I1402" i="29"/>
  <c r="K1401" i="29"/>
  <c r="I1401" i="29"/>
  <c r="K1400" i="29"/>
  <c r="I1400" i="29"/>
  <c r="K1399" i="29"/>
  <c r="I1399" i="29"/>
  <c r="K1398" i="29"/>
  <c r="I1398" i="29"/>
  <c r="J1397" i="29"/>
  <c r="H1397" i="29"/>
  <c r="J1396" i="29"/>
  <c r="H1396" i="29"/>
  <c r="K1395" i="29"/>
  <c r="I1395" i="29"/>
  <c r="K1394" i="29"/>
  <c r="I1394" i="29"/>
  <c r="K1393" i="29"/>
  <c r="I1393" i="29"/>
  <c r="K1392" i="29"/>
  <c r="I1392" i="29"/>
  <c r="K1391" i="29"/>
  <c r="I1391" i="29"/>
  <c r="K1390" i="29"/>
  <c r="I1390" i="29"/>
  <c r="K1389" i="29"/>
  <c r="I1389" i="29"/>
  <c r="K1388" i="29"/>
  <c r="I1388" i="29"/>
  <c r="K1387" i="29"/>
  <c r="I1387" i="29"/>
  <c r="K1386" i="29"/>
  <c r="I1386" i="29"/>
  <c r="K1385" i="29"/>
  <c r="I1385" i="29"/>
  <c r="K1384" i="29"/>
  <c r="I1384" i="29"/>
  <c r="K1383" i="29"/>
  <c r="I1383" i="29"/>
  <c r="K1382" i="29"/>
  <c r="I1382" i="29"/>
  <c r="K1381" i="29"/>
  <c r="I1381" i="29"/>
  <c r="K1380" i="29"/>
  <c r="I1380" i="29"/>
  <c r="K1379" i="29"/>
  <c r="I1379" i="29"/>
  <c r="K1378" i="29"/>
  <c r="I1378" i="29"/>
  <c r="K1377" i="29"/>
  <c r="I1377" i="29"/>
  <c r="K1376" i="29"/>
  <c r="I1376" i="29"/>
  <c r="K1375" i="29"/>
  <c r="I1375" i="29"/>
  <c r="K1374" i="29"/>
  <c r="I1374" i="29"/>
  <c r="J1373" i="29"/>
  <c r="H1373" i="29"/>
  <c r="K1372" i="29"/>
  <c r="I1372" i="29"/>
  <c r="K1371" i="29"/>
  <c r="I1371" i="29"/>
  <c r="K1370" i="29"/>
  <c r="I1370" i="29"/>
  <c r="K1369" i="29"/>
  <c r="I1369" i="29"/>
  <c r="K1368" i="29"/>
  <c r="I1368" i="29"/>
  <c r="K1367" i="29"/>
  <c r="I1367" i="29"/>
  <c r="K1366" i="29"/>
  <c r="I1366" i="29"/>
  <c r="K1365" i="29"/>
  <c r="I1365" i="29"/>
  <c r="K1364" i="29"/>
  <c r="I1364" i="29"/>
  <c r="K1363" i="29"/>
  <c r="I1363" i="29"/>
  <c r="K1362" i="29"/>
  <c r="I1362" i="29"/>
  <c r="K1361" i="29"/>
  <c r="I1361" i="29"/>
  <c r="K1360" i="29"/>
  <c r="I1360" i="29"/>
  <c r="K1359" i="29"/>
  <c r="I1359" i="29"/>
  <c r="K1358" i="29"/>
  <c r="I1358" i="29"/>
  <c r="K1357" i="29"/>
  <c r="I1357" i="29"/>
  <c r="K1356" i="29"/>
  <c r="I1356" i="29"/>
  <c r="K1355" i="29"/>
  <c r="I1355" i="29"/>
  <c r="J1354" i="29"/>
  <c r="H1354" i="29"/>
  <c r="K1353" i="29"/>
  <c r="I1353" i="29"/>
  <c r="K1352" i="29"/>
  <c r="I1352" i="29"/>
  <c r="K1351" i="29"/>
  <c r="I1351" i="29"/>
  <c r="K1350" i="29"/>
  <c r="I1350" i="29"/>
  <c r="K1349" i="29"/>
  <c r="I1349" i="29"/>
  <c r="K1348" i="29"/>
  <c r="I1348" i="29"/>
  <c r="K1347" i="29"/>
  <c r="I1347" i="29"/>
  <c r="K1346" i="29"/>
  <c r="I1346" i="29"/>
  <c r="K1345" i="29"/>
  <c r="I1345" i="29"/>
  <c r="K1344" i="29"/>
  <c r="I1344" i="29"/>
  <c r="K1343" i="29"/>
  <c r="I1343" i="29"/>
  <c r="K1342" i="29"/>
  <c r="I1342" i="29"/>
  <c r="K1341" i="29"/>
  <c r="I1341" i="29"/>
  <c r="K1340" i="29"/>
  <c r="I1340" i="29"/>
  <c r="K1339" i="29"/>
  <c r="I1339" i="29"/>
  <c r="K1338" i="29"/>
  <c r="I1338" i="29"/>
  <c r="K1337" i="29"/>
  <c r="I1337" i="29"/>
  <c r="K1336" i="29"/>
  <c r="I1336" i="29"/>
  <c r="K1335" i="29"/>
  <c r="I1335" i="29"/>
  <c r="K1334" i="29"/>
  <c r="I1334" i="29"/>
  <c r="K1333" i="29"/>
  <c r="I1333" i="29"/>
  <c r="K1332" i="29"/>
  <c r="I1332" i="29"/>
  <c r="K1331" i="29"/>
  <c r="I1331" i="29"/>
  <c r="K1330" i="29"/>
  <c r="I1330" i="29"/>
  <c r="K1329" i="29"/>
  <c r="I1329" i="29"/>
  <c r="K1328" i="29"/>
  <c r="I1328" i="29"/>
  <c r="K1327" i="29"/>
  <c r="I1327" i="29"/>
  <c r="K1326" i="29"/>
  <c r="I1326" i="29"/>
  <c r="K1325" i="29"/>
  <c r="I1325" i="29"/>
  <c r="K1324" i="29"/>
  <c r="I1324" i="29"/>
  <c r="K1323" i="29"/>
  <c r="I1323" i="29"/>
  <c r="K1322" i="29"/>
  <c r="I1322" i="29"/>
  <c r="K1321" i="29"/>
  <c r="I1321" i="29"/>
  <c r="K1320" i="29"/>
  <c r="I1320" i="29"/>
  <c r="K1319" i="29"/>
  <c r="I1319" i="29"/>
  <c r="K1318" i="29"/>
  <c r="I1318" i="29"/>
  <c r="K1317" i="29"/>
  <c r="I1317" i="29"/>
  <c r="K1316" i="29"/>
  <c r="I1316" i="29"/>
  <c r="K1315" i="29"/>
  <c r="I1315" i="29"/>
  <c r="K1314" i="29"/>
  <c r="I1314" i="29"/>
  <c r="K1313" i="29"/>
  <c r="I1313" i="29"/>
  <c r="K1312" i="29"/>
  <c r="I1312" i="29"/>
  <c r="K1311" i="29"/>
  <c r="I1311" i="29"/>
  <c r="K1310" i="29"/>
  <c r="I1310" i="29"/>
  <c r="K1309" i="29"/>
  <c r="I1309" i="29"/>
  <c r="K1308" i="29"/>
  <c r="I1308" i="29"/>
  <c r="K1307" i="29"/>
  <c r="I1307" i="29"/>
  <c r="K1306" i="29"/>
  <c r="I1306" i="29"/>
  <c r="K1305" i="29"/>
  <c r="I1305" i="29"/>
  <c r="K1304" i="29"/>
  <c r="I1304" i="29"/>
  <c r="K1303" i="29"/>
  <c r="I1303" i="29"/>
  <c r="K1302" i="29"/>
  <c r="I1302" i="29"/>
  <c r="K1301" i="29"/>
  <c r="I1301" i="29"/>
  <c r="K1300" i="29"/>
  <c r="I1300" i="29"/>
  <c r="K1299" i="29"/>
  <c r="I1299" i="29"/>
  <c r="K1298" i="29"/>
  <c r="I1298" i="29"/>
  <c r="K1297" i="29"/>
  <c r="I1297" i="29"/>
  <c r="K1296" i="29"/>
  <c r="I1296" i="29"/>
  <c r="K1295" i="29"/>
  <c r="I1295" i="29"/>
  <c r="K1294" i="29"/>
  <c r="I1294" i="29"/>
  <c r="K1293" i="29"/>
  <c r="I1293" i="29"/>
  <c r="K1292" i="29"/>
  <c r="I1292" i="29"/>
  <c r="K1291" i="29"/>
  <c r="I1291" i="29"/>
  <c r="K1290" i="29"/>
  <c r="I1290" i="29"/>
  <c r="K1289" i="29"/>
  <c r="I1289" i="29"/>
  <c r="K1288" i="29"/>
  <c r="I1288" i="29"/>
  <c r="K1287" i="29"/>
  <c r="I1287" i="29"/>
  <c r="K1286" i="29"/>
  <c r="I1286" i="29"/>
  <c r="K1285" i="29"/>
  <c r="I1285" i="29"/>
  <c r="K1284" i="29"/>
  <c r="I1284" i="29"/>
  <c r="K1283" i="29"/>
  <c r="I1283" i="29"/>
  <c r="K1282" i="29"/>
  <c r="I1282" i="29"/>
  <c r="K1281" i="29"/>
  <c r="I1281" i="29"/>
  <c r="K1280" i="29"/>
  <c r="I1280" i="29"/>
  <c r="K1279" i="29"/>
  <c r="I1279" i="29"/>
  <c r="K1278" i="29"/>
  <c r="I1278" i="29"/>
  <c r="K1277" i="29"/>
  <c r="I1277" i="29"/>
  <c r="K1276" i="29"/>
  <c r="I1276" i="29"/>
  <c r="K1275" i="29"/>
  <c r="I1275" i="29"/>
  <c r="K1274" i="29"/>
  <c r="I1274" i="29"/>
  <c r="K1273" i="29"/>
  <c r="I1273" i="29"/>
  <c r="K1272" i="29"/>
  <c r="I1272" i="29"/>
  <c r="K1271" i="29"/>
  <c r="I1271" i="29"/>
  <c r="K1270" i="29"/>
  <c r="I1270" i="29"/>
  <c r="K1269" i="29"/>
  <c r="I1269" i="29"/>
  <c r="K1268" i="29"/>
  <c r="I1268" i="29"/>
  <c r="K1267" i="29"/>
  <c r="I1267" i="29"/>
  <c r="K1266" i="29"/>
  <c r="I1266" i="29"/>
  <c r="K1265" i="29"/>
  <c r="I1265" i="29"/>
  <c r="K1264" i="29"/>
  <c r="I1264" i="29"/>
  <c r="K1263" i="29"/>
  <c r="I1263" i="29"/>
  <c r="K1262" i="29"/>
  <c r="K1261" i="29"/>
  <c r="I1261" i="29"/>
  <c r="K1260" i="29"/>
  <c r="I1260" i="29"/>
  <c r="K1259" i="29"/>
  <c r="I1259" i="29"/>
  <c r="K1258" i="29"/>
  <c r="I1258" i="29"/>
  <c r="K1257" i="29"/>
  <c r="I1257" i="29"/>
  <c r="K1256" i="29"/>
  <c r="I1256" i="29"/>
  <c r="K1255" i="29"/>
  <c r="I1255" i="29"/>
  <c r="K1254" i="29"/>
  <c r="I1254" i="29"/>
  <c r="K1253" i="29"/>
  <c r="I1253" i="29"/>
  <c r="K1252" i="29"/>
  <c r="I1252" i="29"/>
  <c r="K1251" i="29"/>
  <c r="I1251" i="29"/>
  <c r="K1250" i="29"/>
  <c r="I1250" i="29"/>
  <c r="K1249" i="29"/>
  <c r="I1249" i="29"/>
  <c r="K1248" i="29"/>
  <c r="I1248" i="29"/>
  <c r="K1247" i="29"/>
  <c r="I1247" i="29"/>
  <c r="K1246" i="29"/>
  <c r="I1246" i="29"/>
  <c r="K1245" i="29"/>
  <c r="I1245" i="29"/>
  <c r="K1244" i="29"/>
  <c r="I1244" i="29"/>
  <c r="K1243" i="29"/>
  <c r="I1243" i="29"/>
  <c r="K1242" i="29"/>
  <c r="I1242" i="29"/>
  <c r="K1241" i="29"/>
  <c r="I1241" i="29"/>
  <c r="K1240" i="29"/>
  <c r="I1240" i="29"/>
  <c r="K1239" i="29"/>
  <c r="I1239" i="29"/>
  <c r="K1238" i="29"/>
  <c r="I1238" i="29"/>
  <c r="K1237" i="29"/>
  <c r="I1237" i="29"/>
  <c r="K1236" i="29"/>
  <c r="I1236" i="29"/>
  <c r="K1235" i="29"/>
  <c r="I1235" i="29"/>
  <c r="K1234" i="29"/>
  <c r="I1234" i="29"/>
  <c r="K1233" i="29"/>
  <c r="I1233" i="29"/>
  <c r="K1232" i="29"/>
  <c r="I1232" i="29"/>
  <c r="K1231" i="29"/>
  <c r="I1231" i="29"/>
  <c r="K1230" i="29"/>
  <c r="I1230" i="29"/>
  <c r="K1229" i="29"/>
  <c r="I1229" i="29"/>
  <c r="K1228" i="29"/>
  <c r="I1228" i="29"/>
  <c r="K1227" i="29"/>
  <c r="I1227" i="29"/>
  <c r="K1226" i="29"/>
  <c r="I1226" i="29"/>
  <c r="K1225" i="29"/>
  <c r="I1225" i="29"/>
  <c r="K1224" i="29"/>
  <c r="I1224" i="29"/>
  <c r="K1223" i="29"/>
  <c r="I1223" i="29"/>
  <c r="K1222" i="29"/>
  <c r="I1222" i="29"/>
  <c r="K1221" i="29"/>
  <c r="I1221" i="29"/>
  <c r="K1220" i="29"/>
  <c r="I1220" i="29"/>
  <c r="K1219" i="29"/>
  <c r="I1219" i="29"/>
  <c r="K1218" i="29"/>
  <c r="I1218" i="29"/>
  <c r="K1217" i="29"/>
  <c r="I1217" i="29"/>
  <c r="K1216" i="29"/>
  <c r="I1216" i="29"/>
  <c r="K1215" i="29"/>
  <c r="I1215" i="29"/>
  <c r="K1214" i="29"/>
  <c r="I1214" i="29"/>
  <c r="K1213" i="29"/>
  <c r="I1213" i="29"/>
  <c r="K1212" i="29"/>
  <c r="I1212" i="29"/>
  <c r="K1211" i="29"/>
  <c r="I1211" i="29"/>
  <c r="K1210" i="29"/>
  <c r="I1210" i="29"/>
  <c r="K1209" i="29"/>
  <c r="I1209" i="29"/>
  <c r="K1208" i="29"/>
  <c r="I1208" i="29"/>
  <c r="K1207" i="29"/>
  <c r="I1207" i="29"/>
  <c r="K1206" i="29"/>
  <c r="I1206" i="29"/>
  <c r="K1205" i="29"/>
  <c r="I1205" i="29"/>
  <c r="K1204" i="29"/>
  <c r="I1204" i="29"/>
  <c r="K1203" i="29"/>
  <c r="I1203" i="29"/>
  <c r="K1202" i="29"/>
  <c r="I1202" i="29"/>
  <c r="K1201" i="29"/>
  <c r="I1201" i="29"/>
  <c r="K1200" i="29"/>
  <c r="I1200" i="29"/>
  <c r="K1199" i="29"/>
  <c r="I1199" i="29"/>
  <c r="K1198" i="29"/>
  <c r="I1198" i="29"/>
  <c r="K1197" i="29"/>
  <c r="I1197" i="29"/>
  <c r="K1196" i="29"/>
  <c r="I1196" i="29"/>
  <c r="K1195" i="29"/>
  <c r="I1195" i="29"/>
  <c r="K1194" i="29"/>
  <c r="I1194" i="29"/>
  <c r="K1193" i="29"/>
  <c r="I1193" i="29"/>
  <c r="K1192" i="29"/>
  <c r="I1192" i="29"/>
  <c r="K1191" i="29"/>
  <c r="I1191" i="29"/>
  <c r="K1190" i="29"/>
  <c r="I1190" i="29"/>
  <c r="K1189" i="29"/>
  <c r="I1189" i="29"/>
  <c r="K1188" i="29"/>
  <c r="I1188" i="29"/>
  <c r="K1187" i="29"/>
  <c r="I1187" i="29"/>
  <c r="K1186" i="29"/>
  <c r="I1186" i="29"/>
  <c r="K1185" i="29"/>
  <c r="I1185" i="29"/>
  <c r="K1184" i="29"/>
  <c r="I1184" i="29"/>
  <c r="K1183" i="29"/>
  <c r="I1183" i="29"/>
  <c r="K1182" i="29"/>
  <c r="I1182" i="29"/>
  <c r="K1181" i="29"/>
  <c r="I1181" i="29"/>
  <c r="K1180" i="29"/>
  <c r="I1180" i="29"/>
  <c r="K1179" i="29"/>
  <c r="I1179" i="29"/>
  <c r="K1178" i="29"/>
  <c r="I1178" i="29"/>
  <c r="K1177" i="29"/>
  <c r="I1177" i="29"/>
  <c r="K1176" i="29"/>
  <c r="I1176" i="29"/>
  <c r="K1175" i="29"/>
  <c r="I1175" i="29"/>
  <c r="K1174" i="29"/>
  <c r="I1174" i="29"/>
  <c r="K1173" i="29"/>
  <c r="I1173" i="29"/>
  <c r="K1172" i="29"/>
  <c r="I1172" i="29"/>
  <c r="K1171" i="29"/>
  <c r="K1170" i="29"/>
  <c r="I1170" i="29"/>
  <c r="K1169" i="29"/>
  <c r="I1169" i="29"/>
  <c r="K1168" i="29"/>
  <c r="I1168" i="29"/>
  <c r="K1167" i="29"/>
  <c r="I1167" i="29"/>
  <c r="K1166" i="29"/>
  <c r="I1166" i="29"/>
  <c r="K1165" i="29"/>
  <c r="I1165" i="29"/>
  <c r="K1164" i="29"/>
  <c r="I1164" i="29"/>
  <c r="K1163" i="29"/>
  <c r="I1163" i="29"/>
  <c r="K1162" i="29"/>
  <c r="I1162" i="29"/>
  <c r="K1161" i="29"/>
  <c r="I1161" i="29"/>
  <c r="K1160" i="29"/>
  <c r="I1160" i="29"/>
  <c r="K1159" i="29"/>
  <c r="I1159" i="29"/>
  <c r="K1158" i="29"/>
  <c r="I1158" i="29"/>
  <c r="K1157" i="29"/>
  <c r="I1157" i="29"/>
  <c r="J1156" i="29"/>
  <c r="K1156" i="29" s="1"/>
  <c r="I1156" i="29"/>
  <c r="J1155" i="29"/>
  <c r="I1155" i="29"/>
  <c r="K1154" i="29"/>
  <c r="I1154" i="29"/>
  <c r="K1153" i="29"/>
  <c r="I1153" i="29"/>
  <c r="K1152" i="29"/>
  <c r="I1152" i="29"/>
  <c r="K1151" i="29"/>
  <c r="I1151" i="29"/>
  <c r="K1150" i="29"/>
  <c r="I1150" i="29"/>
  <c r="K1149" i="29"/>
  <c r="I1149" i="29"/>
  <c r="K1148" i="29"/>
  <c r="I1148" i="29"/>
  <c r="K1147" i="29"/>
  <c r="I1147" i="29"/>
  <c r="K1146" i="29"/>
  <c r="I1146" i="29"/>
  <c r="K1145" i="29"/>
  <c r="I1145" i="29"/>
  <c r="K1144" i="29"/>
  <c r="I1144" i="29"/>
  <c r="K1143" i="29"/>
  <c r="I1143" i="29"/>
  <c r="K1142" i="29"/>
  <c r="I1142" i="29"/>
  <c r="K1141" i="29"/>
  <c r="I1141" i="29"/>
  <c r="K1140" i="29"/>
  <c r="I1140" i="29"/>
  <c r="K1139" i="29"/>
  <c r="I1139" i="29"/>
  <c r="K1138" i="29"/>
  <c r="I1138" i="29"/>
  <c r="K1137" i="29"/>
  <c r="I1137" i="29"/>
  <c r="K1136" i="29"/>
  <c r="I1136" i="29"/>
  <c r="K1135" i="29"/>
  <c r="I1135" i="29"/>
  <c r="K1134" i="29"/>
  <c r="I1134" i="29"/>
  <c r="K1133" i="29"/>
  <c r="I1133" i="29"/>
  <c r="K1132" i="29"/>
  <c r="I1132" i="29"/>
  <c r="K1131" i="29"/>
  <c r="I1131" i="29"/>
  <c r="K1130" i="29"/>
  <c r="I1130" i="29"/>
  <c r="K1129" i="29"/>
  <c r="I1129" i="29"/>
  <c r="K1128" i="29"/>
  <c r="I1128" i="29"/>
  <c r="K1127" i="29"/>
  <c r="I1127" i="29"/>
  <c r="K1126" i="29"/>
  <c r="I1126" i="29"/>
  <c r="K1125" i="29"/>
  <c r="I1125" i="29"/>
  <c r="K1124" i="29"/>
  <c r="I1124" i="29"/>
  <c r="K1123" i="29"/>
  <c r="I1123" i="29"/>
  <c r="K1122" i="29"/>
  <c r="I1122" i="29"/>
  <c r="K1121" i="29"/>
  <c r="I1121" i="29"/>
  <c r="K1120" i="29"/>
  <c r="I1120" i="29"/>
  <c r="K1119" i="29"/>
  <c r="I1119" i="29"/>
  <c r="K1118" i="29"/>
  <c r="I1118" i="29"/>
  <c r="K1117" i="29"/>
  <c r="I1117" i="29"/>
  <c r="K1116" i="29"/>
  <c r="I1116" i="29"/>
  <c r="K1115" i="29"/>
  <c r="I1115" i="29"/>
  <c r="K1114" i="29"/>
  <c r="I1114" i="29"/>
  <c r="K1113" i="29"/>
  <c r="I1113" i="29"/>
  <c r="K1112" i="29"/>
  <c r="I1112" i="29"/>
  <c r="K1111" i="29"/>
  <c r="I1111" i="29"/>
  <c r="K1110" i="29"/>
  <c r="I1110" i="29"/>
  <c r="K1109" i="29"/>
  <c r="I1109" i="29"/>
  <c r="K1108" i="29"/>
  <c r="I1108" i="29"/>
  <c r="K1107" i="29"/>
  <c r="I1107" i="29"/>
  <c r="K1106" i="29"/>
  <c r="I1106" i="29"/>
  <c r="K1105" i="29"/>
  <c r="I1105" i="29"/>
  <c r="K1104" i="29"/>
  <c r="I1104" i="29"/>
  <c r="K1103" i="29"/>
  <c r="I1103" i="29"/>
  <c r="K1102" i="29"/>
  <c r="I1102" i="29"/>
  <c r="K1101" i="29"/>
  <c r="I1101" i="29"/>
  <c r="K1100" i="29"/>
  <c r="I1100" i="29"/>
  <c r="K1099" i="29"/>
  <c r="I1099" i="29"/>
  <c r="K1098" i="29"/>
  <c r="I1098" i="29"/>
  <c r="K1097" i="29"/>
  <c r="I1097" i="29"/>
  <c r="K1096" i="29"/>
  <c r="K1095" i="29"/>
  <c r="I1095" i="29"/>
  <c r="K1094" i="29"/>
  <c r="I1094" i="29"/>
  <c r="K1093" i="29"/>
  <c r="I1093" i="29"/>
  <c r="K1092" i="29"/>
  <c r="I1092" i="29"/>
  <c r="K1091" i="29"/>
  <c r="I1091" i="29"/>
  <c r="K1090" i="29"/>
  <c r="I1090" i="29"/>
  <c r="K1089" i="29"/>
  <c r="I1089" i="29"/>
  <c r="K1088" i="29"/>
  <c r="I1088" i="29"/>
  <c r="K1087" i="29"/>
  <c r="I1087" i="29"/>
  <c r="K1086" i="29"/>
  <c r="I1086" i="29"/>
  <c r="K1085" i="29"/>
  <c r="I1085" i="29"/>
  <c r="K1084" i="29"/>
  <c r="I1084" i="29"/>
  <c r="K1083" i="29"/>
  <c r="I1083" i="29"/>
  <c r="K1082" i="29"/>
  <c r="I1082" i="29"/>
  <c r="K1081" i="29"/>
  <c r="I1081" i="29"/>
  <c r="K1080" i="29"/>
  <c r="I1080" i="29"/>
  <c r="K1079" i="29"/>
  <c r="I1079" i="29"/>
  <c r="K1078" i="29"/>
  <c r="I1078" i="29"/>
  <c r="K1077" i="29"/>
  <c r="I1077" i="29"/>
  <c r="K1076" i="29"/>
  <c r="I1076" i="29"/>
  <c r="K1075" i="29"/>
  <c r="I1075" i="29"/>
  <c r="K1074" i="29"/>
  <c r="I1074" i="29"/>
  <c r="K1073" i="29"/>
  <c r="I1073" i="29"/>
  <c r="K1072" i="29"/>
  <c r="I1072" i="29"/>
  <c r="K1071" i="29"/>
  <c r="I1071" i="29"/>
  <c r="K1070" i="29"/>
  <c r="I1070" i="29"/>
  <c r="K1069" i="29"/>
  <c r="I1069" i="29"/>
  <c r="K1068" i="29"/>
  <c r="I1068" i="29"/>
  <c r="K1067" i="29"/>
  <c r="I1067" i="29"/>
  <c r="K1066" i="29"/>
  <c r="I1066" i="29"/>
  <c r="K1065" i="29"/>
  <c r="I1065" i="29"/>
  <c r="K1064" i="29"/>
  <c r="I1064" i="29"/>
  <c r="K1063" i="29"/>
  <c r="I1063" i="29"/>
  <c r="K1062" i="29"/>
  <c r="I1062" i="29"/>
  <c r="K1061" i="29"/>
  <c r="I1061" i="29"/>
  <c r="K1060" i="29"/>
  <c r="I1060" i="29"/>
  <c r="K1059" i="29"/>
  <c r="I1059" i="29"/>
  <c r="K1058" i="29"/>
  <c r="I1058" i="29"/>
  <c r="K1057" i="29"/>
  <c r="I1057" i="29"/>
  <c r="K1056" i="29"/>
  <c r="I1056" i="29"/>
  <c r="K1055" i="29"/>
  <c r="I1055" i="29"/>
  <c r="K1054" i="29"/>
  <c r="I1054" i="29"/>
  <c r="K1053" i="29"/>
  <c r="I1053" i="29"/>
  <c r="K1052" i="29"/>
  <c r="I1052" i="29"/>
  <c r="K1051" i="29"/>
  <c r="I1051" i="29"/>
  <c r="K1050" i="29"/>
  <c r="I1050" i="29"/>
  <c r="K1049" i="29"/>
  <c r="I1049" i="29"/>
  <c r="K1048" i="29"/>
  <c r="I1048" i="29"/>
  <c r="K1047" i="29"/>
  <c r="I1047" i="29"/>
  <c r="K1046" i="29"/>
  <c r="I1046" i="29"/>
  <c r="K1045" i="29"/>
  <c r="I1045" i="29"/>
  <c r="K1044" i="29"/>
  <c r="I1044" i="29"/>
  <c r="K1043" i="29"/>
  <c r="I1043" i="29"/>
  <c r="K1042" i="29"/>
  <c r="I1042" i="29"/>
  <c r="K1041" i="29"/>
  <c r="I1041" i="29"/>
  <c r="K1040" i="29"/>
  <c r="I1040" i="29"/>
  <c r="K1039" i="29"/>
  <c r="I1039" i="29"/>
  <c r="K1038" i="29"/>
  <c r="I1038" i="29"/>
  <c r="K1037" i="29"/>
  <c r="I1037" i="29"/>
  <c r="K1036" i="29"/>
  <c r="I1036" i="29"/>
  <c r="K1035" i="29"/>
  <c r="I1035" i="29"/>
  <c r="K1034" i="29"/>
  <c r="I1034" i="29"/>
  <c r="K1033" i="29"/>
  <c r="I1033" i="29"/>
  <c r="K1032" i="29"/>
  <c r="I1032" i="29"/>
  <c r="K1031" i="29"/>
  <c r="I1031" i="29"/>
  <c r="K1030" i="29"/>
  <c r="I1030" i="29"/>
  <c r="K1029" i="29"/>
  <c r="I1029" i="29"/>
  <c r="K1028" i="29"/>
  <c r="I1028" i="29"/>
  <c r="K1027" i="29"/>
  <c r="I1027" i="29"/>
  <c r="K1026" i="29"/>
  <c r="I1026" i="29"/>
  <c r="K1025" i="29"/>
  <c r="I1025" i="29"/>
  <c r="K1024" i="29"/>
  <c r="I1024" i="29"/>
  <c r="K1023" i="29"/>
  <c r="I1023" i="29"/>
  <c r="K1022" i="29"/>
  <c r="I1022" i="29"/>
  <c r="K1021" i="29"/>
  <c r="I1021" i="29"/>
  <c r="K1020" i="29"/>
  <c r="I1020" i="29"/>
  <c r="K1019" i="29"/>
  <c r="I1019" i="29"/>
  <c r="K1018" i="29"/>
  <c r="I1018" i="29"/>
  <c r="K1017" i="29"/>
  <c r="I1017" i="29"/>
  <c r="K1016" i="29"/>
  <c r="I1016" i="29"/>
  <c r="K1015" i="29"/>
  <c r="I1015" i="29"/>
  <c r="K1014" i="29"/>
  <c r="I1014" i="29"/>
  <c r="K1013" i="29"/>
  <c r="I1013" i="29"/>
  <c r="K1012" i="29"/>
  <c r="I1012" i="29"/>
  <c r="K1011" i="29"/>
  <c r="I1011" i="29"/>
  <c r="K1010" i="29"/>
  <c r="I1010" i="29"/>
  <c r="K1009" i="29"/>
  <c r="I1009" i="29"/>
  <c r="K1008" i="29"/>
  <c r="I1008" i="29"/>
  <c r="K1007" i="29"/>
  <c r="I1007" i="29"/>
  <c r="K1006" i="29"/>
  <c r="I1006" i="29"/>
  <c r="K1005" i="29"/>
  <c r="I1005" i="29"/>
  <c r="K1004" i="29"/>
  <c r="I1004" i="29"/>
  <c r="K1003" i="29"/>
  <c r="I1003" i="29"/>
  <c r="K1002" i="29"/>
  <c r="I1002" i="29"/>
  <c r="K1001" i="29"/>
  <c r="I1001" i="29"/>
  <c r="K1000" i="29"/>
  <c r="I1000" i="29"/>
  <c r="K999" i="29"/>
  <c r="I999" i="29"/>
  <c r="K998" i="29"/>
  <c r="I998" i="29"/>
  <c r="K997" i="29"/>
  <c r="I997" i="29"/>
  <c r="K996" i="29"/>
  <c r="I996" i="29"/>
  <c r="K995" i="29"/>
  <c r="I995" i="29"/>
  <c r="K994" i="29"/>
  <c r="I994" i="29"/>
  <c r="K993" i="29"/>
  <c r="I993" i="29"/>
  <c r="K992" i="29"/>
  <c r="I992" i="29"/>
  <c r="K991" i="29"/>
  <c r="I991" i="29"/>
  <c r="K990" i="29"/>
  <c r="I990" i="29"/>
  <c r="K989" i="29"/>
  <c r="I989" i="29"/>
  <c r="K988" i="29"/>
  <c r="I988" i="29"/>
  <c r="K987" i="29"/>
  <c r="I987" i="29"/>
  <c r="K986" i="29"/>
  <c r="I986" i="29"/>
  <c r="K985" i="29"/>
  <c r="I985" i="29"/>
  <c r="K984" i="29"/>
  <c r="I984" i="29"/>
  <c r="K983" i="29"/>
  <c r="I983" i="29"/>
  <c r="K982" i="29"/>
  <c r="I982" i="29"/>
  <c r="K981" i="29"/>
  <c r="I981" i="29"/>
  <c r="K980" i="29"/>
  <c r="I980" i="29"/>
  <c r="K979" i="29"/>
  <c r="I979" i="29"/>
  <c r="K978" i="29"/>
  <c r="I978" i="29"/>
  <c r="K977" i="29"/>
  <c r="I977" i="29"/>
  <c r="K976" i="29"/>
  <c r="I976" i="29"/>
  <c r="K975" i="29"/>
  <c r="I975" i="29"/>
  <c r="K974" i="29"/>
  <c r="I974" i="29"/>
  <c r="K973" i="29"/>
  <c r="I973" i="29"/>
  <c r="K972" i="29"/>
  <c r="I972" i="29"/>
  <c r="K971" i="29"/>
  <c r="I971" i="29"/>
  <c r="K970" i="29"/>
  <c r="I970" i="29"/>
  <c r="K969" i="29"/>
  <c r="I969" i="29"/>
  <c r="K968" i="29"/>
  <c r="I968" i="29"/>
  <c r="K967" i="29"/>
  <c r="I967" i="29"/>
  <c r="K966" i="29"/>
  <c r="I966" i="29"/>
  <c r="K965" i="29"/>
  <c r="I965" i="29"/>
  <c r="K964" i="29"/>
  <c r="I964" i="29"/>
  <c r="K963" i="29"/>
  <c r="I963" i="29"/>
  <c r="K962" i="29"/>
  <c r="I962" i="29"/>
  <c r="K961" i="29"/>
  <c r="I961" i="29"/>
  <c r="K960" i="29"/>
  <c r="I960" i="29"/>
  <c r="K959" i="29"/>
  <c r="I959" i="29"/>
  <c r="K958" i="29"/>
  <c r="I958" i="29"/>
  <c r="K957" i="29"/>
  <c r="I957" i="29"/>
  <c r="K956" i="29"/>
  <c r="I956" i="29"/>
  <c r="K955" i="29"/>
  <c r="I955" i="29"/>
  <c r="K954" i="29"/>
  <c r="I954" i="29"/>
  <c r="K953" i="29"/>
  <c r="I953" i="29"/>
  <c r="K952" i="29"/>
  <c r="I952" i="29"/>
  <c r="K951" i="29"/>
  <c r="I951" i="29"/>
  <c r="K950" i="29"/>
  <c r="I950" i="29"/>
  <c r="K949" i="29"/>
  <c r="I949" i="29"/>
  <c r="K948" i="29"/>
  <c r="I948" i="29"/>
  <c r="K947" i="29"/>
  <c r="I947" i="29"/>
  <c r="I3568" i="29"/>
  <c r="K3567" i="29"/>
  <c r="I3567" i="29"/>
  <c r="K3566" i="29"/>
  <c r="I3566" i="29"/>
  <c r="K3565" i="29"/>
  <c r="I3565" i="29"/>
  <c r="K3564" i="29"/>
  <c r="I3564" i="29"/>
  <c r="K3563" i="29"/>
  <c r="I3563" i="29"/>
  <c r="K3562" i="29"/>
  <c r="I3562" i="29"/>
  <c r="K3561" i="29"/>
  <c r="I3561" i="29"/>
  <c r="K3560" i="29"/>
  <c r="I3560" i="29"/>
  <c r="K3559" i="29"/>
  <c r="I3559" i="29"/>
  <c r="K3558" i="29"/>
  <c r="I3558" i="29"/>
  <c r="K3557" i="29"/>
  <c r="I3557" i="29"/>
  <c r="K3556" i="29"/>
  <c r="I3556" i="29"/>
  <c r="K3555" i="29"/>
  <c r="I3555" i="29"/>
  <c r="K3554" i="29"/>
  <c r="I3554" i="29"/>
  <c r="K3553" i="29"/>
  <c r="I3553" i="29"/>
  <c r="K3552" i="29"/>
  <c r="I3552" i="29"/>
  <c r="K3551" i="29"/>
  <c r="I3551" i="29"/>
  <c r="K3550" i="29"/>
  <c r="I3550" i="29"/>
  <c r="K3549" i="29"/>
  <c r="I3549" i="29"/>
  <c r="K3548" i="29"/>
  <c r="I3548" i="29"/>
  <c r="K3547" i="29"/>
  <c r="I3547" i="29"/>
  <c r="K3546" i="29"/>
  <c r="I3546" i="29"/>
  <c r="K3545" i="29"/>
  <c r="I3545" i="29"/>
  <c r="K3544" i="29"/>
  <c r="I3544" i="29"/>
  <c r="K3543" i="29"/>
  <c r="I3543" i="29"/>
  <c r="K3542" i="29"/>
  <c r="I3542" i="29"/>
  <c r="K3541" i="29"/>
  <c r="I3541" i="29"/>
  <c r="K3540" i="29"/>
  <c r="I3540" i="29"/>
  <c r="K3539" i="29"/>
  <c r="I3539" i="29"/>
  <c r="K3538" i="29"/>
  <c r="I3538" i="29"/>
  <c r="K3537" i="29"/>
  <c r="I3537" i="29"/>
  <c r="K3536" i="29"/>
  <c r="I3536" i="29"/>
  <c r="K3535" i="29"/>
  <c r="I3535" i="29"/>
  <c r="K3534" i="29"/>
  <c r="I3534" i="29"/>
  <c r="K3533" i="29"/>
  <c r="I3533" i="29"/>
  <c r="K3532" i="29"/>
  <c r="I3532" i="29"/>
  <c r="K3531" i="29"/>
  <c r="I3531" i="29"/>
  <c r="K3530" i="29"/>
  <c r="I3530" i="29"/>
  <c r="K3529" i="29"/>
  <c r="I3529" i="29"/>
  <c r="K3528" i="29"/>
  <c r="I3528" i="29"/>
  <c r="K3527" i="29"/>
  <c r="I3527" i="29"/>
  <c r="K3526" i="29"/>
  <c r="I3526" i="29"/>
  <c r="K3525" i="29"/>
  <c r="I3525" i="29"/>
  <c r="K3524" i="29"/>
  <c r="I3524" i="29"/>
  <c r="K3523" i="29"/>
  <c r="I3523" i="29"/>
  <c r="K3522" i="29"/>
  <c r="I3522" i="29"/>
  <c r="K3521" i="29"/>
  <c r="I3521" i="29"/>
  <c r="K3520" i="29"/>
  <c r="I3520" i="29"/>
  <c r="K3519" i="29"/>
  <c r="I3519" i="29"/>
  <c r="K3518" i="29"/>
  <c r="I3518" i="29"/>
  <c r="K3517" i="29"/>
  <c r="I3517" i="29"/>
  <c r="K3516" i="29"/>
  <c r="I3516" i="29"/>
  <c r="K3515" i="29"/>
  <c r="I3515" i="29"/>
  <c r="K3514" i="29"/>
  <c r="I3514" i="29"/>
  <c r="K3513" i="29"/>
  <c r="I3513" i="29"/>
  <c r="K3512" i="29"/>
  <c r="I3512" i="29"/>
  <c r="K3511" i="29"/>
  <c r="I3511" i="29"/>
  <c r="K3510" i="29"/>
  <c r="I3510" i="29"/>
  <c r="K3509" i="29"/>
  <c r="I3509" i="29"/>
  <c r="K3508" i="29"/>
  <c r="I3508" i="29"/>
  <c r="K3507" i="29"/>
  <c r="I3507" i="29"/>
  <c r="K3506" i="29"/>
  <c r="I3506" i="29"/>
  <c r="K3505" i="29"/>
  <c r="I3505" i="29"/>
  <c r="K3504" i="29"/>
  <c r="I3504" i="29"/>
  <c r="K3503" i="29"/>
  <c r="I3503" i="29"/>
  <c r="K3502" i="29"/>
  <c r="I3502" i="29"/>
  <c r="K3501" i="29"/>
  <c r="I3501" i="29"/>
  <c r="K3500" i="29"/>
  <c r="I3500" i="29"/>
  <c r="K3499" i="29"/>
  <c r="I3499" i="29"/>
  <c r="K3498" i="29"/>
  <c r="I3498" i="29"/>
  <c r="K3497" i="29"/>
  <c r="I3497" i="29"/>
  <c r="K3496" i="29"/>
  <c r="I3496" i="29"/>
  <c r="K3495" i="29"/>
  <c r="I3495" i="29"/>
  <c r="K3494" i="29"/>
  <c r="M3494" i="29" s="1"/>
  <c r="I3494" i="29"/>
  <c r="J3493" i="29"/>
  <c r="H3493" i="29"/>
  <c r="K3492" i="29"/>
  <c r="I3492" i="29"/>
  <c r="K3491" i="29"/>
  <c r="I3491" i="29"/>
  <c r="K3490" i="29"/>
  <c r="I3490" i="29"/>
  <c r="K3489" i="29"/>
  <c r="I3489" i="29"/>
  <c r="K3488" i="29"/>
  <c r="I3488" i="29"/>
  <c r="K3487" i="29"/>
  <c r="I3487" i="29"/>
  <c r="K3486" i="29"/>
  <c r="I3486" i="29"/>
  <c r="K3485" i="29"/>
  <c r="I3485" i="29"/>
  <c r="K3484" i="29"/>
  <c r="I3484" i="29"/>
  <c r="K3483" i="29"/>
  <c r="I3483" i="29"/>
  <c r="K3482" i="29"/>
  <c r="I3482" i="29"/>
  <c r="K3481" i="29"/>
  <c r="I3481" i="29"/>
  <c r="K3480" i="29"/>
  <c r="I3480" i="29"/>
  <c r="K3479" i="29"/>
  <c r="I3479" i="29"/>
  <c r="K3478" i="29"/>
  <c r="I3478" i="29"/>
  <c r="K3477" i="29"/>
  <c r="I3477" i="29"/>
  <c r="K3476" i="29"/>
  <c r="I3476" i="29"/>
  <c r="K3475" i="29"/>
  <c r="I3475" i="29"/>
  <c r="K3474" i="29"/>
  <c r="I3474" i="29"/>
  <c r="K3473" i="29"/>
  <c r="I3473" i="29"/>
  <c r="K3472" i="29"/>
  <c r="I3472" i="29"/>
  <c r="K3471" i="29"/>
  <c r="I3471" i="29"/>
  <c r="K3470" i="29"/>
  <c r="I3470" i="29"/>
  <c r="K3469" i="29"/>
  <c r="I3469" i="29"/>
  <c r="K3468" i="29"/>
  <c r="I3468" i="29"/>
  <c r="K3467" i="29"/>
  <c r="I3467" i="29"/>
  <c r="K3466" i="29"/>
  <c r="I3466" i="29"/>
  <c r="K3465" i="29"/>
  <c r="I3465" i="29"/>
  <c r="K3464" i="29"/>
  <c r="I3464" i="29"/>
  <c r="K3463" i="29"/>
  <c r="I3463" i="29"/>
  <c r="K3462" i="29"/>
  <c r="I3462" i="29"/>
  <c r="K3461" i="29"/>
  <c r="I3461" i="29"/>
  <c r="K3460" i="29"/>
  <c r="I3460" i="29"/>
  <c r="K3459" i="29"/>
  <c r="I3459" i="29"/>
  <c r="K3458" i="29"/>
  <c r="I3458" i="29"/>
  <c r="K3457" i="29"/>
  <c r="I3457" i="29"/>
  <c r="K3456" i="29"/>
  <c r="I3456" i="29"/>
  <c r="K3455" i="29"/>
  <c r="I3455" i="29"/>
  <c r="K3454" i="29"/>
  <c r="I3454" i="29"/>
  <c r="K3453" i="29"/>
  <c r="I3453" i="29"/>
  <c r="K3452" i="29"/>
  <c r="I3452" i="29"/>
  <c r="K3451" i="29"/>
  <c r="I3451" i="29"/>
  <c r="K3450" i="29"/>
  <c r="I3450" i="29"/>
  <c r="K3449" i="29"/>
  <c r="I3449" i="29"/>
  <c r="K3448" i="29"/>
  <c r="I3448" i="29"/>
  <c r="K3447" i="29"/>
  <c r="I3447" i="29"/>
  <c r="K3446" i="29"/>
  <c r="I3446" i="29"/>
  <c r="K3445" i="29"/>
  <c r="I3445" i="29"/>
  <c r="K3444" i="29"/>
  <c r="I3444" i="29"/>
  <c r="K3443" i="29"/>
  <c r="I3443" i="29"/>
  <c r="K3442" i="29"/>
  <c r="I3442" i="29"/>
  <c r="K3441" i="29"/>
  <c r="I3441" i="29"/>
  <c r="K3440" i="29"/>
  <c r="I3440" i="29"/>
  <c r="K3439" i="29"/>
  <c r="I3439" i="29"/>
  <c r="K3438" i="29"/>
  <c r="I3438" i="29"/>
  <c r="K3437" i="29"/>
  <c r="I3437" i="29"/>
  <c r="K3436" i="29"/>
  <c r="I3436" i="29"/>
  <c r="K3435" i="29"/>
  <c r="I3435" i="29"/>
  <c r="K3434" i="29"/>
  <c r="I3434" i="29"/>
  <c r="K3433" i="29"/>
  <c r="I3433" i="29"/>
  <c r="K3432" i="29"/>
  <c r="I3432" i="29"/>
  <c r="K3431" i="29"/>
  <c r="I3431" i="29"/>
  <c r="K3430" i="29"/>
  <c r="I3430" i="29"/>
  <c r="K3429" i="29"/>
  <c r="I3429" i="29"/>
  <c r="K3428" i="29"/>
  <c r="I3428" i="29"/>
  <c r="K3427" i="29"/>
  <c r="I3427" i="29"/>
  <c r="K3426" i="29"/>
  <c r="I3426" i="29"/>
  <c r="K3425" i="29"/>
  <c r="I3425" i="29"/>
  <c r="K3424" i="29"/>
  <c r="I3424" i="29"/>
  <c r="K3423" i="29"/>
  <c r="I3423" i="29"/>
  <c r="K3422" i="29"/>
  <c r="I3422" i="29"/>
  <c r="K3421" i="29"/>
  <c r="I3421" i="29"/>
  <c r="K3420" i="29"/>
  <c r="I3420" i="29"/>
  <c r="K3419" i="29"/>
  <c r="I3419" i="29"/>
  <c r="K3418" i="29"/>
  <c r="I3418" i="29"/>
  <c r="K3417" i="29"/>
  <c r="I3417" i="29"/>
  <c r="K3416" i="29"/>
  <c r="I3416" i="29"/>
  <c r="K3415" i="29"/>
  <c r="I3415" i="29"/>
  <c r="K3414" i="29"/>
  <c r="I3414" i="29"/>
  <c r="K3413" i="29"/>
  <c r="I3413" i="29"/>
  <c r="K3412" i="29"/>
  <c r="I3412" i="29"/>
  <c r="K3411" i="29"/>
  <c r="I3411" i="29"/>
  <c r="K3410" i="29"/>
  <c r="I3410" i="29"/>
  <c r="K3409" i="29"/>
  <c r="I3409" i="29"/>
  <c r="K3408" i="29"/>
  <c r="I3408" i="29"/>
  <c r="K3407" i="29"/>
  <c r="I3407" i="29"/>
  <c r="K3406" i="29"/>
  <c r="I3406" i="29"/>
  <c r="K3405" i="29"/>
  <c r="I3405" i="29"/>
  <c r="K3404" i="29"/>
  <c r="I3404" i="29"/>
  <c r="K3403" i="29"/>
  <c r="I3403" i="29"/>
  <c r="K3402" i="29"/>
  <c r="I3402" i="29"/>
  <c r="K3401" i="29"/>
  <c r="I3401" i="29"/>
  <c r="K3400" i="29"/>
  <c r="I3400" i="29"/>
  <c r="K3399" i="29"/>
  <c r="I3399" i="29"/>
  <c r="K3398" i="29"/>
  <c r="I3398" i="29"/>
  <c r="K3397" i="29"/>
  <c r="I3397" i="29"/>
  <c r="K3396" i="29"/>
  <c r="I3396" i="29"/>
  <c r="K3395" i="29"/>
  <c r="I3395" i="29"/>
  <c r="K3394" i="29"/>
  <c r="I3394" i="29"/>
  <c r="K3393" i="29"/>
  <c r="I3393" i="29"/>
  <c r="K3392" i="29"/>
  <c r="I3392" i="29"/>
  <c r="K3391" i="29"/>
  <c r="I3391" i="29"/>
  <c r="K3390" i="29"/>
  <c r="I3390" i="29"/>
  <c r="K3389" i="29"/>
  <c r="I3389" i="29"/>
  <c r="K3388" i="29"/>
  <c r="I3388" i="29"/>
  <c r="K3387" i="29"/>
  <c r="I3387" i="29"/>
  <c r="K3386" i="29"/>
  <c r="I3386" i="29"/>
  <c r="K3385" i="29"/>
  <c r="I3385" i="29"/>
  <c r="K3384" i="29"/>
  <c r="I3384" i="29"/>
  <c r="K3383" i="29"/>
  <c r="I3383" i="29"/>
  <c r="K3382" i="29"/>
  <c r="I3382" i="29"/>
  <c r="K3381" i="29"/>
  <c r="I3381" i="29"/>
  <c r="K3380" i="29"/>
  <c r="I3380" i="29"/>
  <c r="K3379" i="29"/>
  <c r="I3379" i="29"/>
  <c r="K3378" i="29"/>
  <c r="I3378" i="29"/>
  <c r="K3377" i="29"/>
  <c r="I3377" i="29"/>
  <c r="K3376" i="29"/>
  <c r="I3376" i="29"/>
  <c r="K3375" i="29"/>
  <c r="I3375" i="29"/>
  <c r="K3374" i="29"/>
  <c r="I3374" i="29"/>
  <c r="K3373" i="29"/>
  <c r="I3373" i="29"/>
  <c r="K3372" i="29"/>
  <c r="I3372" i="29"/>
  <c r="K3371" i="29"/>
  <c r="I3371" i="29"/>
  <c r="K3370" i="29"/>
  <c r="I3370" i="29"/>
  <c r="K3369" i="29"/>
  <c r="I3369" i="29"/>
  <c r="K3368" i="29"/>
  <c r="I3368" i="29"/>
  <c r="K3367" i="29"/>
  <c r="I3367" i="29"/>
  <c r="K3366" i="29"/>
  <c r="I3366" i="29"/>
  <c r="K3365" i="29"/>
  <c r="I3365" i="29"/>
  <c r="K3364" i="29"/>
  <c r="I3364" i="29"/>
  <c r="K3363" i="29"/>
  <c r="I3363" i="29"/>
  <c r="K3362" i="29"/>
  <c r="I3362" i="29"/>
  <c r="K3361" i="29"/>
  <c r="I3361" i="29"/>
  <c r="K3360" i="29"/>
  <c r="I3360" i="29"/>
  <c r="K3359" i="29"/>
  <c r="I3359" i="29"/>
  <c r="K3358" i="29"/>
  <c r="I3358" i="29"/>
  <c r="K3357" i="29"/>
  <c r="I3357" i="29"/>
  <c r="K3356" i="29"/>
  <c r="I3356" i="29"/>
  <c r="K3355" i="29"/>
  <c r="I3355" i="29"/>
  <c r="K3354" i="29"/>
  <c r="I3354" i="29"/>
  <c r="K3353" i="29"/>
  <c r="I3353" i="29"/>
  <c r="K3352" i="29"/>
  <c r="I3352" i="29"/>
  <c r="K3351" i="29"/>
  <c r="I3351" i="29"/>
  <c r="K3350" i="29"/>
  <c r="I3350" i="29"/>
  <c r="K3349" i="29"/>
  <c r="I3349" i="29"/>
  <c r="K3348" i="29"/>
  <c r="I3348" i="29"/>
  <c r="K3347" i="29"/>
  <c r="I3347" i="29"/>
  <c r="K3346" i="29"/>
  <c r="I3346" i="29"/>
  <c r="K3345" i="29"/>
  <c r="I3345" i="29"/>
  <c r="K3344" i="29"/>
  <c r="I3344" i="29"/>
  <c r="K3343" i="29"/>
  <c r="I3343" i="29"/>
  <c r="K3342" i="29"/>
  <c r="I3342" i="29"/>
  <c r="K3341" i="29"/>
  <c r="I3341" i="29"/>
  <c r="K3340" i="29"/>
  <c r="I3340" i="29"/>
  <c r="K3339" i="29"/>
  <c r="I3339" i="29"/>
  <c r="K3338" i="29"/>
  <c r="I3338" i="29"/>
  <c r="K3337" i="29"/>
  <c r="I3337" i="29"/>
  <c r="K3336" i="29"/>
  <c r="I3336" i="29"/>
  <c r="K3335" i="29"/>
  <c r="I3335" i="29"/>
  <c r="K3334" i="29"/>
  <c r="I3334" i="29"/>
  <c r="K3333" i="29"/>
  <c r="K3332" i="29"/>
  <c r="I3332" i="29"/>
  <c r="K3331" i="29"/>
  <c r="I3331" i="29"/>
  <c r="K3330" i="29"/>
  <c r="I3330" i="29"/>
  <c r="K3329" i="29"/>
  <c r="I3329" i="29"/>
  <c r="K3328" i="29"/>
  <c r="I3328" i="29"/>
  <c r="K3327" i="29"/>
  <c r="I3327" i="29"/>
  <c r="K3326" i="29"/>
  <c r="I3326" i="29"/>
  <c r="K3325" i="29"/>
  <c r="I3325" i="29"/>
  <c r="K3324" i="29"/>
  <c r="I3324" i="29"/>
  <c r="K3323" i="29"/>
  <c r="I3323" i="29"/>
  <c r="K3322" i="29"/>
  <c r="I3322" i="29"/>
  <c r="K3321" i="29"/>
  <c r="I3321" i="29"/>
  <c r="K3320" i="29"/>
  <c r="I3320" i="29"/>
  <c r="K3319" i="29"/>
  <c r="I3319" i="29"/>
  <c r="K3318" i="29"/>
  <c r="I3318" i="29"/>
  <c r="K3317" i="29"/>
  <c r="I3317" i="29"/>
  <c r="K3316" i="29"/>
  <c r="I3316" i="29"/>
  <c r="K3315" i="29"/>
  <c r="I3315" i="29"/>
  <c r="K3314" i="29"/>
  <c r="I3314" i="29"/>
  <c r="K3313" i="29"/>
  <c r="I3313" i="29"/>
  <c r="K3312" i="29"/>
  <c r="I3312" i="29"/>
  <c r="K3311" i="29"/>
  <c r="I3311" i="29"/>
  <c r="K3310" i="29"/>
  <c r="I3310" i="29"/>
  <c r="K3309" i="29"/>
  <c r="I3309" i="29"/>
  <c r="K3308" i="29"/>
  <c r="I3308" i="29"/>
  <c r="K3307" i="29"/>
  <c r="I3307" i="29"/>
  <c r="K3306" i="29"/>
  <c r="I3306" i="29"/>
  <c r="K3305" i="29"/>
  <c r="I3305" i="29"/>
  <c r="K3304" i="29"/>
  <c r="I3304" i="29"/>
  <c r="K3303" i="29"/>
  <c r="I3303" i="29"/>
  <c r="K3302" i="29"/>
  <c r="I3302" i="29"/>
  <c r="K3301" i="29"/>
  <c r="I3301" i="29"/>
  <c r="K3300" i="29"/>
  <c r="I3300" i="29"/>
  <c r="K3299" i="29"/>
  <c r="I3299" i="29"/>
  <c r="K3298" i="29"/>
  <c r="I3298" i="29"/>
  <c r="K3297" i="29"/>
  <c r="I3297" i="29"/>
  <c r="K3296" i="29"/>
  <c r="I3296" i="29"/>
  <c r="K3295" i="29"/>
  <c r="I3295" i="29"/>
  <c r="K3294" i="29"/>
  <c r="I3294" i="29"/>
  <c r="K3293" i="29"/>
  <c r="I3293" i="29"/>
  <c r="K3292" i="29"/>
  <c r="I3292" i="29"/>
  <c r="K3291" i="29"/>
  <c r="I3291" i="29"/>
  <c r="K3290" i="29"/>
  <c r="I3290" i="29"/>
  <c r="K3289" i="29"/>
  <c r="I3289" i="29"/>
  <c r="K3288" i="29"/>
  <c r="I3288" i="29"/>
  <c r="K3287" i="29"/>
  <c r="I3287" i="29"/>
  <c r="K3286" i="29"/>
  <c r="I3286" i="29"/>
  <c r="K3285" i="29"/>
  <c r="I3285" i="29"/>
  <c r="K3284" i="29"/>
  <c r="I3284" i="29"/>
  <c r="K3283" i="29"/>
  <c r="I3283" i="29"/>
  <c r="K3282" i="29"/>
  <c r="I3282" i="29"/>
  <c r="K3281" i="29"/>
  <c r="I3281" i="29"/>
  <c r="K3280" i="29"/>
  <c r="I3280" i="29"/>
  <c r="K3279" i="29"/>
  <c r="I3279" i="29"/>
  <c r="K3278" i="29"/>
  <c r="I3278" i="29"/>
  <c r="K3277" i="29"/>
  <c r="I3277" i="29"/>
  <c r="K3276" i="29"/>
  <c r="I3276" i="29"/>
  <c r="K3275" i="29"/>
  <c r="I3275" i="29"/>
  <c r="K3274" i="29"/>
  <c r="I3274" i="29"/>
  <c r="K3273" i="29"/>
  <c r="I3273" i="29"/>
  <c r="K3272" i="29"/>
  <c r="I3272" i="29"/>
  <c r="K3271" i="29"/>
  <c r="I3271" i="29"/>
  <c r="K3270" i="29"/>
  <c r="I3270" i="29"/>
  <c r="K3269" i="29"/>
  <c r="I3269" i="29"/>
  <c r="K3268" i="29"/>
  <c r="I3268" i="29"/>
  <c r="K3267" i="29"/>
  <c r="I3267" i="29"/>
  <c r="K3266" i="29"/>
  <c r="I3266" i="29"/>
  <c r="K3265" i="29"/>
  <c r="I3265" i="29"/>
  <c r="K3264" i="29"/>
  <c r="I3264" i="29"/>
  <c r="K3263" i="29"/>
  <c r="I3263" i="29"/>
  <c r="K3262" i="29"/>
  <c r="I3262" i="29"/>
  <c r="K3261" i="29"/>
  <c r="I3261" i="29"/>
  <c r="K3260" i="29"/>
  <c r="I3260" i="29"/>
  <c r="K3259" i="29"/>
  <c r="I3259" i="29"/>
  <c r="K3258" i="29"/>
  <c r="I3258" i="29"/>
  <c r="K3257" i="29"/>
  <c r="I3257" i="29"/>
  <c r="K3256" i="29"/>
  <c r="I3256" i="29"/>
  <c r="K3255" i="29"/>
  <c r="I3255" i="29"/>
  <c r="K3254" i="29"/>
  <c r="I3254" i="29"/>
  <c r="K3253" i="29"/>
  <c r="I3253" i="29"/>
  <c r="K3252" i="29"/>
  <c r="I3252" i="29"/>
  <c r="K3251" i="29"/>
  <c r="I3251" i="29"/>
  <c r="K3250" i="29"/>
  <c r="I3250" i="29"/>
  <c r="K3249" i="29"/>
  <c r="I3249" i="29"/>
  <c r="K3248" i="29"/>
  <c r="I3248" i="29"/>
  <c r="K3247" i="29"/>
  <c r="I3247" i="29"/>
  <c r="K3246" i="29"/>
  <c r="I3246" i="29"/>
  <c r="K3245" i="29"/>
  <c r="I3245" i="29"/>
  <c r="K3244" i="29"/>
  <c r="I3244" i="29"/>
  <c r="K3243" i="29"/>
  <c r="I3243" i="29"/>
  <c r="K3242" i="29"/>
  <c r="I3242" i="29"/>
  <c r="K3241" i="29"/>
  <c r="I3241" i="29"/>
  <c r="K3240" i="29"/>
  <c r="I3240" i="29"/>
  <c r="K3239" i="29"/>
  <c r="I3239" i="29"/>
  <c r="K3238" i="29"/>
  <c r="I3238" i="29"/>
  <c r="K3237" i="29"/>
  <c r="I3237" i="29"/>
  <c r="K3236" i="29"/>
  <c r="I3236" i="29"/>
  <c r="K3235" i="29"/>
  <c r="I3235" i="29"/>
  <c r="K3234" i="29"/>
  <c r="I3234" i="29"/>
  <c r="K3233" i="29"/>
  <c r="I3233" i="29"/>
  <c r="K3232" i="29"/>
  <c r="I3232" i="29"/>
  <c r="K3231" i="29"/>
  <c r="I3231" i="29"/>
  <c r="K3230" i="29"/>
  <c r="I3230" i="29"/>
  <c r="K3229" i="29"/>
  <c r="I3229" i="29"/>
  <c r="K3228" i="29"/>
  <c r="I3228" i="29"/>
  <c r="K3227" i="29"/>
  <c r="I3227" i="29"/>
  <c r="K3226" i="29"/>
  <c r="I3226" i="29"/>
  <c r="K3225" i="29"/>
  <c r="I3225" i="29"/>
  <c r="K3224" i="29"/>
  <c r="I3224" i="29"/>
  <c r="K3223" i="29"/>
  <c r="I3223" i="29"/>
  <c r="K3222" i="29"/>
  <c r="I3222" i="29"/>
  <c r="K3221" i="29"/>
  <c r="I3221" i="29"/>
  <c r="K3220" i="29"/>
  <c r="I3220" i="29"/>
  <c r="K3219" i="29"/>
  <c r="I3219" i="29"/>
  <c r="K3218" i="29"/>
  <c r="I3218" i="29"/>
  <c r="K3217" i="29"/>
  <c r="I3217" i="29"/>
  <c r="K3216" i="29"/>
  <c r="I3216" i="29"/>
  <c r="K3215" i="29"/>
  <c r="I3215" i="29"/>
  <c r="K3214" i="29"/>
  <c r="I3214" i="29"/>
  <c r="K3213" i="29"/>
  <c r="I3213" i="29"/>
  <c r="K3212" i="29"/>
  <c r="I3212" i="29"/>
  <c r="K3211" i="29"/>
  <c r="I3211" i="29"/>
  <c r="K3210" i="29"/>
  <c r="I3210" i="29"/>
  <c r="K3209" i="29"/>
  <c r="I3209" i="29"/>
  <c r="K3208" i="29"/>
  <c r="I3208" i="29"/>
  <c r="K3207" i="29"/>
  <c r="I3207" i="29"/>
  <c r="K3206" i="29"/>
  <c r="I3206" i="29"/>
  <c r="K3205" i="29"/>
  <c r="I3205" i="29"/>
  <c r="K3204" i="29"/>
  <c r="I3204" i="29"/>
  <c r="K3203" i="29"/>
  <c r="I3203" i="29"/>
  <c r="K3202" i="29"/>
  <c r="I3202" i="29"/>
  <c r="K3201" i="29"/>
  <c r="I3201" i="29"/>
  <c r="K3200" i="29"/>
  <c r="I3200" i="29"/>
  <c r="K3199" i="29"/>
  <c r="I3199" i="29"/>
  <c r="K3198" i="29"/>
  <c r="I3198" i="29"/>
  <c r="K3197" i="29"/>
  <c r="I3197" i="29"/>
  <c r="K3196" i="29"/>
  <c r="I3196" i="29"/>
  <c r="K3195" i="29"/>
  <c r="I3195" i="29"/>
  <c r="K3194" i="29"/>
  <c r="I3194" i="29"/>
  <c r="K3193" i="29"/>
  <c r="I3193" i="29"/>
  <c r="K3192" i="29"/>
  <c r="I3192" i="29"/>
  <c r="K3191" i="29"/>
  <c r="I3191" i="29"/>
  <c r="K3190" i="29"/>
  <c r="I3190" i="29"/>
  <c r="K3189" i="29"/>
  <c r="I3189" i="29"/>
  <c r="K3188" i="29"/>
  <c r="I3188" i="29"/>
  <c r="K3187" i="29"/>
  <c r="I3187" i="29"/>
  <c r="K3186" i="29"/>
  <c r="I3186" i="29"/>
  <c r="K3185" i="29"/>
  <c r="I3185" i="29"/>
  <c r="K3184" i="29"/>
  <c r="I3184" i="29"/>
  <c r="K3183" i="29"/>
  <c r="I3183" i="29"/>
  <c r="K3182" i="29"/>
  <c r="I3182" i="29"/>
  <c r="K3181" i="29"/>
  <c r="I3181" i="29"/>
  <c r="K3180" i="29"/>
  <c r="I3180" i="29"/>
  <c r="K3179" i="29"/>
  <c r="I3179" i="29"/>
  <c r="K3178" i="29"/>
  <c r="I3178" i="29"/>
  <c r="K3177" i="29"/>
  <c r="I3177" i="29"/>
  <c r="K3176" i="29"/>
  <c r="I3176" i="29"/>
  <c r="K3175" i="29"/>
  <c r="I3175" i="29"/>
  <c r="K3174" i="29"/>
  <c r="I3174" i="29"/>
  <c r="K3173" i="29"/>
  <c r="I3173" i="29"/>
  <c r="K3172" i="29"/>
  <c r="I3172" i="29"/>
  <c r="K3171" i="29"/>
  <c r="I3171" i="29"/>
  <c r="K3170" i="29"/>
  <c r="I3170" i="29"/>
  <c r="K3169" i="29"/>
  <c r="I3169" i="29"/>
  <c r="K3168" i="29"/>
  <c r="I3168" i="29"/>
  <c r="K3167" i="29"/>
  <c r="I3167" i="29"/>
  <c r="K3166" i="29"/>
  <c r="I3166" i="29"/>
  <c r="K3165" i="29"/>
  <c r="I3165" i="29"/>
  <c r="K3164" i="29"/>
  <c r="I3164" i="29"/>
  <c r="K3163" i="29"/>
  <c r="I3163" i="29"/>
  <c r="K3162" i="29"/>
  <c r="I3162" i="29"/>
  <c r="K3161" i="29"/>
  <c r="I3161" i="29"/>
  <c r="K3160" i="29"/>
  <c r="I3160" i="29"/>
  <c r="K3159" i="29"/>
  <c r="I3159" i="29"/>
  <c r="K3158" i="29"/>
  <c r="I3158" i="29"/>
  <c r="K3157" i="29"/>
  <c r="I3157" i="29"/>
  <c r="K3156" i="29"/>
  <c r="I3156" i="29"/>
  <c r="K3155" i="29"/>
  <c r="I3155" i="29"/>
  <c r="K3154" i="29"/>
  <c r="I3154" i="29"/>
  <c r="K3153" i="29"/>
  <c r="I3153" i="29"/>
  <c r="K3152" i="29"/>
  <c r="I3152" i="29"/>
  <c r="K3151" i="29"/>
  <c r="I3151" i="29"/>
  <c r="K3150" i="29"/>
  <c r="I3150" i="29"/>
  <c r="K3149" i="29"/>
  <c r="I3149" i="29"/>
  <c r="K3148" i="29"/>
  <c r="I3148" i="29"/>
  <c r="K3147" i="29"/>
  <c r="I3147" i="29"/>
  <c r="K3146" i="29"/>
  <c r="I3146" i="29"/>
  <c r="K3145" i="29"/>
  <c r="I3145" i="29"/>
  <c r="K3144" i="29"/>
  <c r="I3144" i="29"/>
  <c r="K3143" i="29"/>
  <c r="I3143" i="29"/>
  <c r="K3142" i="29"/>
  <c r="I3142" i="29"/>
  <c r="K3141" i="29"/>
  <c r="M3141" i="29" s="1"/>
  <c r="I3141" i="29"/>
  <c r="K3140" i="29"/>
  <c r="I3140" i="29"/>
  <c r="K3139" i="29"/>
  <c r="I3139" i="29"/>
  <c r="K3138" i="29"/>
  <c r="I3138" i="29"/>
  <c r="K3137" i="29"/>
  <c r="I3137" i="29"/>
  <c r="K3136" i="29"/>
  <c r="I3136" i="29"/>
  <c r="K3135" i="29"/>
  <c r="I3135" i="29"/>
  <c r="K3134" i="29"/>
  <c r="I3134" i="29"/>
  <c r="K3133" i="29"/>
  <c r="I3133" i="29"/>
  <c r="K3132" i="29"/>
  <c r="I3132" i="29"/>
  <c r="K3131" i="29"/>
  <c r="I3131" i="29"/>
  <c r="K3130" i="29"/>
  <c r="I3130" i="29"/>
  <c r="K3129" i="29"/>
  <c r="I3129" i="29"/>
  <c r="K3128" i="29"/>
  <c r="I3128" i="29"/>
  <c r="K3127" i="29"/>
  <c r="I3127" i="29"/>
  <c r="K3126" i="29"/>
  <c r="I3126" i="29"/>
  <c r="K3125" i="29"/>
  <c r="I3125" i="29"/>
  <c r="K3124" i="29"/>
  <c r="I3124" i="29"/>
  <c r="K3123" i="29"/>
  <c r="I3123" i="29"/>
  <c r="K3122" i="29"/>
  <c r="I3122" i="29"/>
  <c r="K3121" i="29"/>
  <c r="I3121" i="29"/>
  <c r="K3120" i="29"/>
  <c r="I3120" i="29"/>
  <c r="K3119" i="29"/>
  <c r="I3119" i="29"/>
  <c r="K3118" i="29"/>
  <c r="I3118" i="29"/>
  <c r="K3117" i="29"/>
  <c r="I3117" i="29"/>
  <c r="K3116" i="29"/>
  <c r="I3116" i="29"/>
  <c r="K3115" i="29"/>
  <c r="I3115" i="29"/>
  <c r="K3114" i="29"/>
  <c r="I3114" i="29"/>
  <c r="K3113" i="29"/>
  <c r="I3113" i="29"/>
  <c r="K3112" i="29"/>
  <c r="I3112" i="29"/>
  <c r="K3111" i="29"/>
  <c r="I3111" i="29"/>
  <c r="K3110" i="29"/>
  <c r="I3110" i="29"/>
  <c r="K3109" i="29"/>
  <c r="I3109" i="29"/>
  <c r="K3108" i="29"/>
  <c r="I3108" i="29"/>
  <c r="K3107" i="29"/>
  <c r="I3107" i="29"/>
  <c r="K3106" i="29"/>
  <c r="I3106" i="29"/>
  <c r="K3105" i="29"/>
  <c r="I3105" i="29"/>
  <c r="K3104" i="29"/>
  <c r="I3104" i="29"/>
  <c r="K3103" i="29"/>
  <c r="I3103" i="29"/>
  <c r="K3102" i="29"/>
  <c r="I3102" i="29"/>
  <c r="K3101" i="29"/>
  <c r="I3101" i="29"/>
  <c r="K3100" i="29"/>
  <c r="I3100" i="29"/>
  <c r="K3099" i="29"/>
  <c r="I3099" i="29"/>
  <c r="K3098" i="29"/>
  <c r="I3098" i="29"/>
  <c r="K3097" i="29"/>
  <c r="I3097" i="29"/>
  <c r="K3096" i="29"/>
  <c r="I3096" i="29"/>
  <c r="K3095" i="29"/>
  <c r="I3095" i="29"/>
  <c r="K3094" i="29"/>
  <c r="I3094" i="29"/>
  <c r="K3093" i="29"/>
  <c r="I3093" i="29"/>
  <c r="K3092" i="29"/>
  <c r="I3092" i="29"/>
  <c r="K3091" i="29"/>
  <c r="I3091" i="29"/>
  <c r="K3090" i="29"/>
  <c r="I3090" i="29"/>
  <c r="K3089" i="29"/>
  <c r="I3089" i="29"/>
  <c r="K3088" i="29"/>
  <c r="I3088" i="29"/>
  <c r="K3087" i="29"/>
  <c r="I3087" i="29"/>
  <c r="K3086" i="29"/>
  <c r="I3086" i="29"/>
  <c r="K3085" i="29"/>
  <c r="I3085" i="29"/>
  <c r="K3084" i="29"/>
  <c r="I3084" i="29"/>
  <c r="K3083" i="29"/>
  <c r="I3083" i="29"/>
  <c r="K3082" i="29"/>
  <c r="I3082" i="29"/>
  <c r="K3081" i="29"/>
  <c r="I3081" i="29"/>
  <c r="K3080" i="29"/>
  <c r="I3080" i="29"/>
  <c r="K3079" i="29"/>
  <c r="I3079" i="29"/>
  <c r="K3078" i="29"/>
  <c r="I3078" i="29"/>
  <c r="K3077" i="29"/>
  <c r="I3077" i="29"/>
  <c r="K3076" i="29"/>
  <c r="I3076" i="29"/>
  <c r="K3075" i="29"/>
  <c r="I3075" i="29"/>
  <c r="K3074" i="29"/>
  <c r="I3074" i="29"/>
  <c r="K3073" i="29"/>
  <c r="I3073" i="29"/>
  <c r="K3072" i="29"/>
  <c r="I3072" i="29"/>
  <c r="K3071" i="29"/>
  <c r="I3071" i="29"/>
  <c r="K3070" i="29"/>
  <c r="I3070" i="29"/>
  <c r="K3069" i="29"/>
  <c r="I3069" i="29"/>
  <c r="K3068" i="29"/>
  <c r="I3068" i="29"/>
  <c r="K3067" i="29"/>
  <c r="I3067" i="29"/>
  <c r="K3066" i="29"/>
  <c r="I3066" i="29"/>
  <c r="K3065" i="29"/>
  <c r="I3065" i="29"/>
  <c r="K3064" i="29"/>
  <c r="I3064" i="29"/>
  <c r="K3063" i="29"/>
  <c r="I3063" i="29"/>
  <c r="K3062" i="29"/>
  <c r="I3062" i="29"/>
  <c r="K3061" i="29"/>
  <c r="I3061" i="29"/>
  <c r="K3060" i="29"/>
  <c r="I3060" i="29"/>
  <c r="K3059" i="29"/>
  <c r="I3059" i="29"/>
  <c r="K3058" i="29"/>
  <c r="I3058" i="29"/>
  <c r="K3057" i="29"/>
  <c r="I3057" i="29"/>
  <c r="K3056" i="29"/>
  <c r="I3056" i="29"/>
  <c r="K3055" i="29"/>
  <c r="I3055" i="29"/>
  <c r="K3054" i="29"/>
  <c r="I3054" i="29"/>
  <c r="K3053" i="29"/>
  <c r="I3053" i="29"/>
  <c r="K3052" i="29"/>
  <c r="I3052" i="29"/>
  <c r="K3051" i="29"/>
  <c r="I3051" i="29"/>
  <c r="K3050" i="29"/>
  <c r="I3050" i="29"/>
  <c r="K3049" i="29"/>
  <c r="I3049" i="29"/>
  <c r="K3048" i="29"/>
  <c r="I3048" i="29"/>
  <c r="K3047" i="29"/>
  <c r="I3047" i="29"/>
  <c r="K3046" i="29"/>
  <c r="I3046" i="29"/>
  <c r="K3045" i="29"/>
  <c r="I3045" i="29"/>
  <c r="K3044" i="29"/>
  <c r="I3044" i="29"/>
  <c r="K3043" i="29"/>
  <c r="I3043" i="29"/>
  <c r="K3042" i="29"/>
  <c r="I3042" i="29"/>
  <c r="K3041" i="29"/>
  <c r="I3041" i="29"/>
  <c r="K3040" i="29"/>
  <c r="I3040" i="29"/>
  <c r="K3039" i="29"/>
  <c r="I3039" i="29"/>
  <c r="K3038" i="29"/>
  <c r="I3038" i="29"/>
  <c r="K3037" i="29"/>
  <c r="I3037" i="29"/>
  <c r="K3036" i="29"/>
  <c r="I3036" i="29"/>
  <c r="K3035" i="29"/>
  <c r="I3035" i="29"/>
  <c r="K3034" i="29"/>
  <c r="I3034" i="29"/>
  <c r="K3033" i="29"/>
  <c r="I3033" i="29"/>
  <c r="K3032" i="29"/>
  <c r="I3032" i="29"/>
  <c r="K3031" i="29"/>
  <c r="I3031" i="29"/>
  <c r="K3030" i="29"/>
  <c r="I3030" i="29"/>
  <c r="K3029" i="29"/>
  <c r="I3029" i="29"/>
  <c r="K3028" i="29"/>
  <c r="I3028" i="29"/>
  <c r="K3027" i="29"/>
  <c r="I3027" i="29"/>
  <c r="K3026" i="29"/>
  <c r="I3026" i="29"/>
  <c r="K3025" i="29"/>
  <c r="I3025" i="29"/>
  <c r="K3024" i="29"/>
  <c r="I3024" i="29"/>
  <c r="K3023" i="29"/>
  <c r="I3023" i="29"/>
  <c r="K3022" i="29"/>
  <c r="I3022" i="29"/>
  <c r="K3021" i="29"/>
  <c r="I3021" i="29"/>
  <c r="K3020" i="29"/>
  <c r="I3020" i="29"/>
  <c r="K3019" i="29"/>
  <c r="I3019" i="29"/>
  <c r="K3018" i="29"/>
  <c r="I3018" i="29"/>
  <c r="K3017" i="29"/>
  <c r="I3017" i="29"/>
  <c r="K3016" i="29"/>
  <c r="I3016" i="29"/>
  <c r="K3015" i="29"/>
  <c r="I3015" i="29"/>
  <c r="K3014" i="29"/>
  <c r="I3014" i="29"/>
  <c r="K3013" i="29"/>
  <c r="I3013" i="29"/>
  <c r="K3012" i="29"/>
  <c r="I3012" i="29"/>
  <c r="K3011" i="29"/>
  <c r="I3011" i="29"/>
  <c r="K3010" i="29"/>
  <c r="I3010" i="29"/>
  <c r="K3009" i="29"/>
  <c r="I3009" i="29"/>
  <c r="K3008" i="29"/>
  <c r="I3008" i="29"/>
  <c r="K3007" i="29"/>
  <c r="I3007" i="29"/>
  <c r="K3006" i="29"/>
  <c r="I3006" i="29"/>
  <c r="K3005" i="29"/>
  <c r="I3005" i="29"/>
  <c r="K3004" i="29"/>
  <c r="I3004" i="29"/>
  <c r="K3003" i="29"/>
  <c r="I3003" i="29"/>
  <c r="K3002" i="29"/>
  <c r="I3002" i="29"/>
  <c r="K3001" i="29"/>
  <c r="I3001" i="29"/>
  <c r="K3000" i="29"/>
  <c r="I3000" i="29"/>
  <c r="K2999" i="29"/>
  <c r="I2999" i="29"/>
  <c r="K2998" i="29"/>
  <c r="I2998" i="29"/>
  <c r="K2997" i="29"/>
  <c r="I2997" i="29"/>
  <c r="K2996" i="29"/>
  <c r="I2996" i="29"/>
  <c r="K2995" i="29"/>
  <c r="I2995" i="29"/>
  <c r="K2994" i="29"/>
  <c r="I2994" i="29"/>
  <c r="K2993" i="29"/>
  <c r="I2993" i="29"/>
  <c r="K2992" i="29"/>
  <c r="I2992" i="29"/>
  <c r="K2991" i="29"/>
  <c r="I2991" i="29"/>
  <c r="K2990" i="29"/>
  <c r="I2990" i="29"/>
  <c r="K2989" i="29"/>
  <c r="I2989" i="29"/>
  <c r="K2988" i="29"/>
  <c r="I2988" i="29"/>
  <c r="K2987" i="29"/>
  <c r="I2987" i="29"/>
  <c r="K2986" i="29"/>
  <c r="I2986" i="29"/>
  <c r="K2985" i="29"/>
  <c r="I2985" i="29"/>
  <c r="K2984" i="29"/>
  <c r="I2984" i="29"/>
  <c r="K2983" i="29"/>
  <c r="I2983" i="29"/>
  <c r="K2982" i="29"/>
  <c r="I2982" i="29"/>
  <c r="K2981" i="29"/>
  <c r="I2981" i="29"/>
  <c r="K2980" i="29"/>
  <c r="I2980" i="29"/>
  <c r="K2979" i="29"/>
  <c r="I2979" i="29"/>
  <c r="K2978" i="29"/>
  <c r="I2978" i="29"/>
  <c r="K2977" i="29"/>
  <c r="I2977" i="29"/>
  <c r="K2976" i="29"/>
  <c r="I2976" i="29"/>
  <c r="K2975" i="29"/>
  <c r="I2975" i="29"/>
  <c r="K2974" i="29"/>
  <c r="I2974" i="29"/>
  <c r="K2973" i="29"/>
  <c r="I2973" i="29"/>
  <c r="K2972" i="29"/>
  <c r="I2972" i="29"/>
  <c r="K2971" i="29"/>
  <c r="I2971" i="29"/>
  <c r="K2970" i="29"/>
  <c r="I2970" i="29"/>
  <c r="K2969" i="29"/>
  <c r="I2969" i="29"/>
  <c r="K2968" i="29"/>
  <c r="I2968" i="29"/>
  <c r="K2967" i="29"/>
  <c r="I2967" i="29"/>
  <c r="K2966" i="29"/>
  <c r="I2966" i="29"/>
  <c r="K2965" i="29"/>
  <c r="I2965" i="29"/>
  <c r="K2964" i="29"/>
  <c r="I2964" i="29"/>
  <c r="K2963" i="29"/>
  <c r="I2963" i="29"/>
  <c r="K2962" i="29"/>
  <c r="I2962" i="29"/>
  <c r="K2961" i="29"/>
  <c r="K2960" i="29"/>
  <c r="K2959" i="29"/>
  <c r="K2958" i="29"/>
  <c r="I2958" i="29"/>
  <c r="K2957" i="29"/>
  <c r="I2957" i="29"/>
  <c r="K2956" i="29"/>
  <c r="I2956" i="29"/>
  <c r="K2955" i="29"/>
  <c r="I2955" i="29"/>
  <c r="K2954" i="29"/>
  <c r="I2954" i="29"/>
  <c r="K2953" i="29"/>
  <c r="I2953" i="29"/>
  <c r="K2952" i="29"/>
  <c r="I2952" i="29"/>
  <c r="K2951" i="29"/>
  <c r="I2951" i="29"/>
  <c r="K2950" i="29"/>
  <c r="I2950" i="29"/>
  <c r="K2949" i="29"/>
  <c r="I2949" i="29"/>
  <c r="K2948" i="29"/>
  <c r="I2948" i="29"/>
  <c r="K2947" i="29"/>
  <c r="I2947" i="29"/>
  <c r="K2946" i="29"/>
  <c r="I2946" i="29"/>
  <c r="K2945" i="29"/>
  <c r="I2945" i="29"/>
  <c r="K2944" i="29"/>
  <c r="I2944" i="29"/>
  <c r="K2943" i="29"/>
  <c r="I2943" i="29"/>
  <c r="K2942" i="29"/>
  <c r="I2942" i="29"/>
  <c r="K2941" i="29"/>
  <c r="I2941" i="29"/>
  <c r="K2940" i="29"/>
  <c r="I2940" i="29"/>
  <c r="K2939" i="29"/>
  <c r="I2939" i="29"/>
  <c r="K2938" i="29"/>
  <c r="I2938" i="29"/>
  <c r="K2937" i="29"/>
  <c r="I2937" i="29"/>
  <c r="K2936" i="29"/>
  <c r="I2936" i="29"/>
  <c r="K2935" i="29"/>
  <c r="I2935" i="29"/>
  <c r="K2934" i="29"/>
  <c r="I2934" i="29"/>
  <c r="K2933" i="29"/>
  <c r="I2933" i="29"/>
  <c r="K2932" i="29"/>
  <c r="I2932" i="29"/>
  <c r="K2931" i="29"/>
  <c r="I2931" i="29"/>
  <c r="K2930" i="29"/>
  <c r="I2930" i="29"/>
  <c r="K2929" i="29"/>
  <c r="I2929" i="29"/>
  <c r="K2928" i="29"/>
  <c r="I2928" i="29"/>
  <c r="K2927" i="29"/>
  <c r="I2927" i="29"/>
  <c r="K2926" i="29"/>
  <c r="I2926" i="29"/>
  <c r="K2925" i="29"/>
  <c r="I2925" i="29"/>
  <c r="K2924" i="29"/>
  <c r="I2924" i="29"/>
  <c r="K2923" i="29"/>
  <c r="I2923" i="29"/>
  <c r="K2922" i="29"/>
  <c r="I2922" i="29"/>
  <c r="K2921" i="29"/>
  <c r="I2921" i="29"/>
  <c r="K2920" i="29"/>
  <c r="I2920" i="29"/>
  <c r="K2919" i="29"/>
  <c r="I2919" i="29"/>
  <c r="K2918" i="29"/>
  <c r="I2918" i="29"/>
  <c r="H2917" i="29"/>
  <c r="H2916" i="29"/>
  <c r="H2915" i="29"/>
  <c r="H2914" i="29"/>
  <c r="H2913" i="29"/>
  <c r="H2912" i="29"/>
  <c r="K2911" i="29"/>
  <c r="I2911" i="29"/>
  <c r="K2910" i="29"/>
  <c r="I2910" i="29"/>
  <c r="K2909" i="29"/>
  <c r="I2909" i="29"/>
  <c r="K2908" i="29"/>
  <c r="I2908" i="29"/>
  <c r="K2907" i="29"/>
  <c r="I2907" i="29"/>
  <c r="K2906" i="29"/>
  <c r="I2906" i="29"/>
  <c r="K2905" i="29"/>
  <c r="I2905" i="29"/>
  <c r="K2904" i="29"/>
  <c r="I2904" i="29"/>
  <c r="K2903" i="29"/>
  <c r="I2903" i="29"/>
  <c r="K2902" i="29"/>
  <c r="I2902" i="29"/>
  <c r="K2901" i="29"/>
  <c r="I2901" i="29"/>
  <c r="J2900" i="29"/>
  <c r="H2900" i="29"/>
  <c r="K2899" i="29"/>
  <c r="I2899" i="29"/>
  <c r="H2898" i="29"/>
  <c r="H2897" i="29"/>
  <c r="K2896" i="29"/>
  <c r="I2896" i="29"/>
  <c r="K2895" i="29"/>
  <c r="I2895" i="29"/>
  <c r="K2894" i="29"/>
  <c r="I2894" i="29"/>
  <c r="K2893" i="29"/>
  <c r="I2893" i="29"/>
  <c r="K2892" i="29"/>
  <c r="I2892" i="29"/>
  <c r="K2891" i="29"/>
  <c r="I2891" i="29"/>
  <c r="K2890" i="29"/>
  <c r="I2890" i="29"/>
  <c r="K2889" i="29"/>
  <c r="I2889" i="29"/>
  <c r="K2888" i="29"/>
  <c r="I2888" i="29"/>
  <c r="K2887" i="29"/>
  <c r="I2887" i="29"/>
  <c r="K2886" i="29"/>
  <c r="I2886" i="29"/>
  <c r="K2885" i="29"/>
  <c r="I2885" i="29"/>
  <c r="K2884" i="29"/>
  <c r="I2884" i="29"/>
  <c r="K2883" i="29"/>
  <c r="I2883" i="29"/>
  <c r="K2882" i="29"/>
  <c r="I2882" i="29"/>
  <c r="K2881" i="29"/>
  <c r="I2881" i="29"/>
  <c r="K2880" i="29"/>
  <c r="I2880" i="29"/>
  <c r="K2879" i="29"/>
  <c r="I2879" i="29"/>
  <c r="K2878" i="29"/>
  <c r="I2878" i="29"/>
  <c r="K2877" i="29"/>
  <c r="I2877" i="29"/>
  <c r="K2876" i="29"/>
  <c r="I2876" i="29"/>
  <c r="K2875" i="29"/>
  <c r="I2875" i="29"/>
  <c r="K2874" i="29"/>
  <c r="I2874" i="29"/>
  <c r="K2873" i="29"/>
  <c r="I2873" i="29"/>
  <c r="K2872" i="29"/>
  <c r="I2872" i="29"/>
  <c r="K2871" i="29"/>
  <c r="I2871" i="29"/>
  <c r="K2870" i="29"/>
  <c r="I2870" i="29"/>
  <c r="K2869" i="29"/>
  <c r="I2869" i="29"/>
  <c r="K2868" i="29"/>
  <c r="I2868" i="29"/>
  <c r="K2867" i="29"/>
  <c r="I2867" i="29"/>
  <c r="K2866" i="29"/>
  <c r="I2866" i="29"/>
  <c r="K2865" i="29"/>
  <c r="I2865" i="29"/>
  <c r="K2864" i="29"/>
  <c r="I2864" i="29"/>
  <c r="K2863" i="29"/>
  <c r="I2863" i="29"/>
  <c r="K2862" i="29"/>
  <c r="I2862" i="29"/>
  <c r="K2861" i="29"/>
  <c r="I2861" i="29"/>
  <c r="K2860" i="29"/>
  <c r="I2860" i="29"/>
  <c r="K2859" i="29"/>
  <c r="I2859" i="29"/>
  <c r="K2858" i="29"/>
  <c r="I2858" i="29"/>
  <c r="K2857" i="29"/>
  <c r="I2857" i="29"/>
  <c r="K2856" i="29"/>
  <c r="I2856" i="29"/>
  <c r="K2855" i="29"/>
  <c r="I2855" i="29"/>
  <c r="K2854" i="29"/>
  <c r="I2854" i="29"/>
  <c r="K2853" i="29"/>
  <c r="I2853" i="29"/>
  <c r="K2852" i="29"/>
  <c r="I2852" i="29"/>
  <c r="K2851" i="29"/>
  <c r="I2851" i="29"/>
  <c r="K2850" i="29"/>
  <c r="I2850" i="29"/>
  <c r="K2849" i="29"/>
  <c r="I2849" i="29"/>
  <c r="K2848" i="29"/>
  <c r="I2848" i="29"/>
  <c r="K2847" i="29"/>
  <c r="I2847" i="29"/>
  <c r="K2846" i="29"/>
  <c r="I2846" i="29"/>
  <c r="K2845" i="29"/>
  <c r="I2845" i="29"/>
  <c r="K2844" i="29"/>
  <c r="I2844" i="29"/>
  <c r="K2843" i="29"/>
  <c r="I2843" i="29"/>
  <c r="K2842" i="29"/>
  <c r="I2842" i="29"/>
  <c r="K2841" i="29"/>
  <c r="I2841" i="29"/>
  <c r="K2840" i="29"/>
  <c r="I2840" i="29"/>
  <c r="K2839" i="29"/>
  <c r="I2839" i="29"/>
  <c r="K2838" i="29"/>
  <c r="I2838" i="29"/>
  <c r="J2837" i="29"/>
  <c r="H2837" i="29"/>
  <c r="J2836" i="29"/>
  <c r="H2836" i="29"/>
  <c r="J2835" i="29"/>
  <c r="H2835" i="29"/>
  <c r="K2834" i="29"/>
  <c r="I2834" i="29"/>
  <c r="K2833" i="29"/>
  <c r="I2833" i="29"/>
  <c r="K2832" i="29"/>
  <c r="I2832" i="29"/>
  <c r="K2831" i="29"/>
  <c r="I2831" i="29"/>
  <c r="K2830" i="29"/>
  <c r="I2830" i="29"/>
  <c r="K2829" i="29"/>
  <c r="I2829" i="29"/>
  <c r="K2828" i="29"/>
  <c r="I2828" i="29"/>
  <c r="K2827" i="29"/>
  <c r="I2827" i="29"/>
  <c r="K2826" i="29"/>
  <c r="I2826" i="29"/>
  <c r="K2825" i="29"/>
  <c r="I2825" i="29"/>
  <c r="K2824" i="29"/>
  <c r="I2824" i="29"/>
  <c r="K2823" i="29"/>
  <c r="I2823" i="29"/>
  <c r="K2822" i="29"/>
  <c r="I2822" i="29"/>
  <c r="K2821" i="29"/>
  <c r="I2821" i="29"/>
  <c r="K2820" i="29"/>
  <c r="I2820" i="29"/>
  <c r="K2819" i="29"/>
  <c r="I2819" i="29"/>
  <c r="K2818" i="29"/>
  <c r="I2818" i="29"/>
  <c r="K2817" i="29"/>
  <c r="I2817" i="29"/>
  <c r="K2816" i="29"/>
  <c r="I2816" i="29"/>
  <c r="K2815" i="29"/>
  <c r="I2815" i="29"/>
  <c r="K2814" i="29"/>
  <c r="I2814" i="29"/>
  <c r="K2813" i="29"/>
  <c r="I2813" i="29"/>
  <c r="K2812" i="29"/>
  <c r="I2812" i="29"/>
  <c r="K2811" i="29"/>
  <c r="I2811" i="29"/>
  <c r="K2810" i="29"/>
  <c r="I2810" i="29"/>
  <c r="K2809" i="29"/>
  <c r="I2809" i="29"/>
  <c r="K2808" i="29"/>
  <c r="I2808" i="29"/>
  <c r="K2807" i="29"/>
  <c r="K2806" i="29"/>
  <c r="K2805" i="29"/>
  <c r="K2804" i="29"/>
  <c r="K2803" i="29"/>
  <c r="K2802" i="29"/>
  <c r="K2801" i="29"/>
  <c r="K2800" i="29"/>
  <c r="K2799" i="29"/>
  <c r="K2798" i="29"/>
  <c r="K2797" i="29"/>
  <c r="K2796" i="29"/>
  <c r="K2795" i="29"/>
  <c r="K2794" i="29"/>
  <c r="K2793" i="29"/>
  <c r="K2792" i="29"/>
  <c r="K2791" i="29"/>
  <c r="K2790" i="29"/>
  <c r="K2789" i="29"/>
  <c r="K2788" i="29"/>
  <c r="K2787" i="29"/>
  <c r="K2786" i="29"/>
  <c r="K2785" i="29"/>
  <c r="K2784" i="29"/>
  <c r="K2783" i="29"/>
  <c r="K2782" i="29"/>
  <c r="K2781" i="29"/>
  <c r="K2780" i="29"/>
  <c r="K2779" i="29"/>
  <c r="K2778" i="29"/>
  <c r="K2777" i="29"/>
  <c r="K2776" i="29"/>
  <c r="K2775" i="29"/>
  <c r="K2774" i="29"/>
  <c r="K2773" i="29"/>
  <c r="K2772" i="29"/>
  <c r="K2771" i="29"/>
  <c r="K2770" i="29"/>
  <c r="K2769" i="29"/>
  <c r="K2768" i="29"/>
  <c r="K2767" i="29"/>
  <c r="K2766" i="29"/>
  <c r="I2766" i="29"/>
  <c r="K2765" i="29"/>
  <c r="I2765" i="29"/>
  <c r="K2764" i="29"/>
  <c r="I2764" i="29"/>
  <c r="K2763" i="29"/>
  <c r="I2763" i="29"/>
  <c r="K2762" i="29"/>
  <c r="I2762" i="29"/>
  <c r="K2761" i="29"/>
  <c r="I2761" i="29"/>
  <c r="K2760" i="29"/>
  <c r="I2760" i="29"/>
  <c r="K2759" i="29"/>
  <c r="I2759" i="29"/>
  <c r="K2758" i="29"/>
  <c r="I2758" i="29"/>
  <c r="K2757" i="29"/>
  <c r="I2757" i="29"/>
  <c r="K2756" i="29"/>
  <c r="I2756" i="29"/>
  <c r="K2755" i="29"/>
  <c r="I2755" i="29"/>
  <c r="K2754" i="29"/>
  <c r="I2754" i="29"/>
  <c r="K2753" i="29"/>
  <c r="I2753" i="29"/>
  <c r="K2752" i="29"/>
  <c r="I2752" i="29"/>
  <c r="K2751" i="29"/>
  <c r="I2751" i="29"/>
  <c r="K2750" i="29"/>
  <c r="I2750" i="29"/>
  <c r="K2749" i="29"/>
  <c r="I2749" i="29"/>
  <c r="K2748" i="29"/>
  <c r="I2748" i="29"/>
  <c r="K2747" i="29"/>
  <c r="I2747" i="29"/>
  <c r="K2746" i="29"/>
  <c r="I2746" i="29"/>
  <c r="K2745" i="29"/>
  <c r="I2745" i="29"/>
  <c r="K2744" i="29"/>
  <c r="I2744" i="29"/>
  <c r="K2743" i="29"/>
  <c r="I2743" i="29"/>
  <c r="K2742" i="29"/>
  <c r="I2742" i="29"/>
  <c r="K2741" i="29"/>
  <c r="I2741" i="29"/>
  <c r="K2740" i="29"/>
  <c r="I2740" i="29"/>
  <c r="J2739" i="29"/>
  <c r="H2739" i="29"/>
  <c r="K2738" i="29"/>
  <c r="I2738" i="29"/>
  <c r="K2737" i="29"/>
  <c r="I2737" i="29"/>
  <c r="K2736" i="29"/>
  <c r="I2736" i="29"/>
  <c r="K2735" i="29"/>
  <c r="I2735" i="29"/>
  <c r="K2734" i="29"/>
  <c r="I2734" i="29"/>
  <c r="K2733" i="29"/>
  <c r="I2733" i="29"/>
  <c r="K2732" i="29"/>
  <c r="I2732" i="29"/>
  <c r="K2731" i="29"/>
  <c r="I2731" i="29"/>
  <c r="K2730" i="29"/>
  <c r="I2730" i="29"/>
  <c r="K2729" i="29"/>
  <c r="I2729" i="29"/>
  <c r="K2728" i="29"/>
  <c r="I2728" i="29"/>
  <c r="K2727" i="29"/>
  <c r="I2727" i="29"/>
  <c r="K2726" i="29"/>
  <c r="I2726" i="29"/>
  <c r="K2725" i="29"/>
  <c r="I2725" i="29"/>
  <c r="K2724" i="29"/>
  <c r="I2724" i="29"/>
  <c r="K2723" i="29"/>
  <c r="I2723" i="29"/>
  <c r="K2722" i="29"/>
  <c r="I2722" i="29"/>
  <c r="K2721" i="29"/>
  <c r="I2721" i="29"/>
  <c r="K2720" i="29"/>
  <c r="I2720" i="29"/>
  <c r="K2719" i="29"/>
  <c r="I2719" i="29"/>
  <c r="K2718" i="29"/>
  <c r="I2718" i="29"/>
  <c r="K2717" i="29"/>
  <c r="I2717" i="29"/>
  <c r="K2716" i="29"/>
  <c r="I2716" i="29"/>
  <c r="K2715" i="29"/>
  <c r="I2715" i="29"/>
  <c r="K2714" i="29"/>
  <c r="I2714" i="29"/>
  <c r="K2713" i="29"/>
  <c r="I2713" i="29"/>
  <c r="K2712" i="29"/>
  <c r="I2712" i="29"/>
  <c r="K2711" i="29"/>
  <c r="I2711" i="29"/>
  <c r="K2710" i="29"/>
  <c r="I2710" i="29"/>
  <c r="K2709" i="29"/>
  <c r="I2709" i="29"/>
  <c r="K2708" i="29"/>
  <c r="I2708" i="29"/>
  <c r="K2707" i="29"/>
  <c r="I2707" i="29"/>
  <c r="K2706" i="29"/>
  <c r="I2706" i="29"/>
  <c r="K2705" i="29"/>
  <c r="I2705" i="29"/>
  <c r="K2704" i="29"/>
  <c r="I2704" i="29"/>
  <c r="K2703" i="29"/>
  <c r="I2703" i="29"/>
  <c r="K2702" i="29"/>
  <c r="I2702" i="29"/>
  <c r="K2701" i="29"/>
  <c r="I2701" i="29"/>
  <c r="K2700" i="29"/>
  <c r="I2700" i="29"/>
  <c r="K2699" i="29"/>
  <c r="I2699" i="29"/>
  <c r="K2698" i="29"/>
  <c r="I2698" i="29"/>
  <c r="K2697" i="29"/>
  <c r="I2697" i="29"/>
  <c r="K2696" i="29"/>
  <c r="I2696" i="29"/>
  <c r="K2695" i="29"/>
  <c r="I2695" i="29"/>
  <c r="K2694" i="29"/>
  <c r="I2694" i="29"/>
  <c r="K2693" i="29"/>
  <c r="I2693" i="29"/>
  <c r="K2692" i="29"/>
  <c r="I2692" i="29"/>
  <c r="K2691" i="29"/>
  <c r="I2691" i="29"/>
  <c r="K2690" i="29"/>
  <c r="I2690" i="29"/>
  <c r="K2689" i="29"/>
  <c r="I2689" i="29"/>
  <c r="K2688" i="29"/>
  <c r="I2688" i="29"/>
  <c r="K2687" i="29"/>
  <c r="I2687" i="29"/>
  <c r="K2686" i="29"/>
  <c r="I2686" i="29"/>
  <c r="K2685" i="29"/>
  <c r="I2685" i="29"/>
  <c r="K2684" i="29"/>
  <c r="I2684" i="29"/>
  <c r="K2683" i="29"/>
  <c r="I2683" i="29"/>
  <c r="K2682" i="29"/>
  <c r="I2682" i="29"/>
  <c r="K2681" i="29"/>
  <c r="I2681" i="29"/>
  <c r="K2680" i="29"/>
  <c r="I2680" i="29"/>
  <c r="K2679" i="29"/>
  <c r="I2679" i="29"/>
  <c r="K2678" i="29"/>
  <c r="I2678" i="29"/>
  <c r="K2677" i="29"/>
  <c r="I2677" i="29"/>
  <c r="K2676" i="29"/>
  <c r="I2676" i="29"/>
  <c r="K2675" i="29"/>
  <c r="I2675" i="29"/>
  <c r="K2674" i="29"/>
  <c r="I2674" i="29"/>
  <c r="K2673" i="29"/>
  <c r="I2673" i="29"/>
  <c r="K2672" i="29"/>
  <c r="I2672" i="29"/>
  <c r="K2671" i="29"/>
  <c r="I2671" i="29"/>
  <c r="K2670" i="29"/>
  <c r="I2670" i="29"/>
  <c r="K2669" i="29"/>
  <c r="I2669" i="29"/>
  <c r="K2668" i="29"/>
  <c r="I2668" i="29"/>
  <c r="K2667" i="29"/>
  <c r="I2667" i="29"/>
  <c r="K2666" i="29"/>
  <c r="I2666" i="29"/>
  <c r="K2665" i="29"/>
  <c r="I2665" i="29"/>
  <c r="K2664" i="29"/>
  <c r="I2664" i="29"/>
  <c r="K2663" i="29"/>
  <c r="I2663" i="29"/>
  <c r="K2662" i="29"/>
  <c r="I2662" i="29"/>
  <c r="K2661" i="29"/>
  <c r="I2661" i="29"/>
  <c r="K2660" i="29"/>
  <c r="I2660" i="29"/>
  <c r="K2659" i="29"/>
  <c r="I2659" i="29"/>
  <c r="K2658" i="29"/>
  <c r="I2658" i="29"/>
  <c r="K2657" i="29"/>
  <c r="I2657" i="29"/>
  <c r="K2656" i="29"/>
  <c r="I2656" i="29"/>
  <c r="K2655" i="29"/>
  <c r="I2655" i="29"/>
  <c r="K2654" i="29"/>
  <c r="I2654" i="29"/>
  <c r="K2653" i="29"/>
  <c r="I2653" i="29"/>
  <c r="K2652" i="29"/>
  <c r="I2652" i="29"/>
  <c r="K2651" i="29"/>
  <c r="I2651" i="29"/>
  <c r="K2650" i="29"/>
  <c r="I2650" i="29"/>
  <c r="K2649" i="29"/>
  <c r="I2649" i="29"/>
  <c r="K2648" i="29"/>
  <c r="I2648" i="29"/>
  <c r="K2647" i="29"/>
  <c r="I2647" i="29"/>
  <c r="K2646" i="29"/>
  <c r="I2646" i="29"/>
  <c r="K2645" i="29"/>
  <c r="I2645" i="29"/>
  <c r="K2644" i="29"/>
  <c r="I2644" i="29"/>
  <c r="K2643" i="29"/>
  <c r="I2643" i="29"/>
  <c r="K2642" i="29"/>
  <c r="I2642" i="29"/>
  <c r="K2641" i="29"/>
  <c r="I2641" i="29"/>
  <c r="K2640" i="29"/>
  <c r="I2640" i="29"/>
  <c r="K2639" i="29"/>
  <c r="I2639" i="29"/>
  <c r="K2638" i="29"/>
  <c r="I2638" i="29"/>
  <c r="K2637" i="29"/>
  <c r="I2637" i="29"/>
  <c r="K2636" i="29"/>
  <c r="I2636" i="29"/>
  <c r="K2635" i="29"/>
  <c r="I2635" i="29"/>
  <c r="K2634" i="29"/>
  <c r="I2634" i="29"/>
  <c r="K2633" i="29"/>
  <c r="I2633" i="29"/>
  <c r="K2632" i="29"/>
  <c r="I2632" i="29"/>
  <c r="K2631" i="29"/>
  <c r="I2631" i="29"/>
  <c r="K2630" i="29"/>
  <c r="I2630" i="29"/>
  <c r="K2629" i="29"/>
  <c r="I2629" i="29"/>
  <c r="K2628" i="29"/>
  <c r="I2628" i="29"/>
  <c r="K2627" i="29"/>
  <c r="I2627" i="29"/>
  <c r="K2626" i="29"/>
  <c r="I2626" i="29"/>
  <c r="K2625" i="29"/>
  <c r="I2625" i="29"/>
  <c r="K2624" i="29"/>
  <c r="I2624" i="29"/>
  <c r="K2623" i="29"/>
  <c r="I2623" i="29"/>
  <c r="K2622" i="29"/>
  <c r="I2622" i="29"/>
  <c r="K2621" i="29"/>
  <c r="I2621" i="29"/>
  <c r="K2620" i="29"/>
  <c r="I2620" i="29"/>
  <c r="K2619" i="29"/>
  <c r="I2619" i="29"/>
  <c r="K2618" i="29"/>
  <c r="I2618" i="29"/>
  <c r="K2617" i="29"/>
  <c r="I2617" i="29"/>
  <c r="K2616" i="29"/>
  <c r="I2616" i="29"/>
  <c r="K2615" i="29"/>
  <c r="I2615" i="29"/>
  <c r="K2614" i="29"/>
  <c r="I2614" i="29"/>
  <c r="K2613" i="29"/>
  <c r="I2613" i="29"/>
  <c r="K2612" i="29"/>
  <c r="I2612" i="29"/>
  <c r="K2611" i="29"/>
  <c r="I2611" i="29"/>
  <c r="K2610" i="29"/>
  <c r="I2610" i="29"/>
  <c r="K2609" i="29"/>
  <c r="I2609" i="29"/>
  <c r="K2608" i="29"/>
  <c r="I2608" i="29"/>
  <c r="K2607" i="29"/>
  <c r="I2607" i="29"/>
  <c r="K2606" i="29"/>
  <c r="I2606" i="29"/>
  <c r="K2605" i="29"/>
  <c r="I2605" i="29"/>
  <c r="K2604" i="29"/>
  <c r="I2604" i="29"/>
  <c r="K2603" i="29"/>
  <c r="I2603" i="29"/>
  <c r="K2602" i="29"/>
  <c r="I2602" i="29"/>
  <c r="K2601" i="29"/>
  <c r="I2601" i="29"/>
  <c r="K2600" i="29"/>
  <c r="I2600" i="29"/>
  <c r="K2599" i="29"/>
  <c r="I2599" i="29"/>
  <c r="K2598" i="29"/>
  <c r="I2598" i="29"/>
  <c r="K2597" i="29"/>
  <c r="I2597" i="29"/>
  <c r="K2596" i="29"/>
  <c r="I2596" i="29"/>
  <c r="K2595" i="29"/>
  <c r="I2595" i="29"/>
  <c r="K2594" i="29"/>
  <c r="I2594" i="29"/>
  <c r="K2593" i="29"/>
  <c r="I2593" i="29"/>
  <c r="K2592" i="29"/>
  <c r="I2592" i="29"/>
  <c r="K2591" i="29"/>
  <c r="I2591" i="29"/>
  <c r="K2590" i="29"/>
  <c r="I2590" i="29"/>
  <c r="K2589" i="29"/>
  <c r="I2589" i="29"/>
  <c r="K2588" i="29"/>
  <c r="I2588" i="29"/>
  <c r="K2587" i="29"/>
  <c r="I2587" i="29"/>
  <c r="K2586" i="29"/>
  <c r="I2586" i="29"/>
  <c r="K2585" i="29"/>
  <c r="I2585" i="29"/>
  <c r="K2584" i="29"/>
  <c r="I2584" i="29"/>
  <c r="K2583" i="29"/>
  <c r="I2583" i="29"/>
  <c r="K2582" i="29"/>
  <c r="I2582" i="29"/>
  <c r="K2581" i="29"/>
  <c r="I2581" i="29"/>
  <c r="K2580" i="29"/>
  <c r="I2580" i="29"/>
  <c r="K2579" i="29"/>
  <c r="I2579" i="29"/>
  <c r="K2578" i="29"/>
  <c r="I2578" i="29"/>
  <c r="K2577" i="29"/>
  <c r="I2577" i="29"/>
  <c r="K2576" i="29"/>
  <c r="I2576" i="29"/>
  <c r="K2575" i="29"/>
  <c r="I2575" i="29"/>
  <c r="K2574" i="29"/>
  <c r="I2574" i="29"/>
  <c r="K2573" i="29"/>
  <c r="I2573" i="29"/>
  <c r="K2572" i="29"/>
  <c r="I2572" i="29"/>
  <c r="K2571" i="29"/>
  <c r="I2571" i="29"/>
  <c r="K2570" i="29"/>
  <c r="I2570" i="29"/>
  <c r="K2569" i="29"/>
  <c r="I2569" i="29"/>
  <c r="K2568" i="29"/>
  <c r="I2568" i="29"/>
  <c r="K2567" i="29"/>
  <c r="I2567" i="29"/>
  <c r="K2566" i="29"/>
  <c r="I2566" i="29"/>
  <c r="K2565" i="29"/>
  <c r="I2565" i="29"/>
  <c r="K2564" i="29"/>
  <c r="I2564" i="29"/>
  <c r="K2563" i="29"/>
  <c r="I2563" i="29"/>
  <c r="K2562" i="29"/>
  <c r="I2562" i="29"/>
  <c r="K2561" i="29"/>
  <c r="I2561" i="29"/>
  <c r="K2560" i="29"/>
  <c r="I2560" i="29"/>
  <c r="K2559" i="29"/>
  <c r="I2559" i="29"/>
  <c r="K2558" i="29"/>
  <c r="I2558" i="29"/>
  <c r="K2557" i="29"/>
  <c r="I2557" i="29"/>
  <c r="K2556" i="29"/>
  <c r="I2556" i="29"/>
  <c r="K2555" i="29"/>
  <c r="I2555" i="29"/>
  <c r="K2554" i="29"/>
  <c r="I2554" i="29"/>
  <c r="K2553" i="29"/>
  <c r="I2553" i="29"/>
  <c r="K2552" i="29"/>
  <c r="I2552" i="29"/>
  <c r="K2551" i="29"/>
  <c r="I2551" i="29"/>
  <c r="K2550" i="29"/>
  <c r="I2550" i="29"/>
  <c r="K2549" i="29"/>
  <c r="I2549" i="29"/>
  <c r="K2548" i="29"/>
  <c r="I2548" i="29"/>
  <c r="K2547" i="29"/>
  <c r="I2547" i="29"/>
  <c r="K2546" i="29"/>
  <c r="I2546" i="29"/>
  <c r="K2545" i="29"/>
  <c r="I2545" i="29"/>
  <c r="K2544" i="29"/>
  <c r="I2544" i="29"/>
  <c r="K2543" i="29"/>
  <c r="I2543" i="29"/>
  <c r="K2542" i="29"/>
  <c r="I2542" i="29"/>
  <c r="K2541" i="29"/>
  <c r="I2541" i="29"/>
  <c r="K2540" i="29"/>
  <c r="I2540" i="29"/>
  <c r="K2539" i="29"/>
  <c r="I2539" i="29"/>
  <c r="K2538" i="29"/>
  <c r="I2538" i="29"/>
  <c r="K2537" i="29"/>
  <c r="I2537" i="29"/>
  <c r="K2536" i="29"/>
  <c r="I2536" i="29"/>
  <c r="K2535" i="29"/>
  <c r="I2535" i="29"/>
  <c r="K2534" i="29"/>
  <c r="I2534" i="29"/>
  <c r="K2533" i="29"/>
  <c r="I2533" i="29"/>
  <c r="K2532" i="29"/>
  <c r="I2532" i="29"/>
  <c r="K2531" i="29"/>
  <c r="I2531" i="29"/>
  <c r="K2530" i="29"/>
  <c r="I2530" i="29"/>
  <c r="K2529" i="29"/>
  <c r="I2529" i="29"/>
  <c r="K2528" i="29"/>
  <c r="I2528" i="29"/>
  <c r="K2527" i="29"/>
  <c r="I2527" i="29"/>
  <c r="K2526" i="29"/>
  <c r="I2526" i="29"/>
  <c r="K2525" i="29"/>
  <c r="I2525" i="29"/>
  <c r="K2524" i="29"/>
  <c r="I2524" i="29"/>
  <c r="K2523" i="29"/>
  <c r="I2523" i="29"/>
  <c r="K2522" i="29"/>
  <c r="I2522" i="29"/>
  <c r="K2521" i="29"/>
  <c r="I2521" i="29"/>
  <c r="K2520" i="29"/>
  <c r="I2520" i="29"/>
  <c r="K2519" i="29"/>
  <c r="I2519" i="29"/>
  <c r="K2518" i="29"/>
  <c r="I2518" i="29"/>
  <c r="K2517" i="29"/>
  <c r="I2517" i="29"/>
  <c r="K2516" i="29"/>
  <c r="I2516" i="29"/>
  <c r="K2515" i="29"/>
  <c r="I2515" i="29"/>
  <c r="K2514" i="29"/>
  <c r="I2514" i="29"/>
  <c r="K2513" i="29"/>
  <c r="I2513" i="29"/>
  <c r="K2512" i="29"/>
  <c r="I2512" i="29"/>
  <c r="K2511" i="29"/>
  <c r="I2511" i="29"/>
  <c r="K2510" i="29"/>
  <c r="I2510" i="29"/>
  <c r="K2509" i="29"/>
  <c r="I2509" i="29"/>
  <c r="K2508" i="29"/>
  <c r="I2508" i="29"/>
  <c r="K2507" i="29"/>
  <c r="I2507" i="29"/>
  <c r="K2506" i="29"/>
  <c r="I2506" i="29"/>
  <c r="K2505" i="29"/>
  <c r="I2505" i="29"/>
  <c r="K2504" i="29"/>
  <c r="I2504" i="29"/>
  <c r="K2503" i="29"/>
  <c r="I2503" i="29"/>
  <c r="K2502" i="29"/>
  <c r="I2502" i="29"/>
  <c r="K2501" i="29"/>
  <c r="I2501" i="29"/>
  <c r="K2500" i="29"/>
  <c r="I2500" i="29"/>
  <c r="K2499" i="29"/>
  <c r="I2499" i="29"/>
  <c r="K2498" i="29"/>
  <c r="I2498" i="29"/>
  <c r="K2497" i="29"/>
  <c r="I2497" i="29"/>
  <c r="K2496" i="29"/>
  <c r="I2496" i="29"/>
  <c r="K2495" i="29"/>
  <c r="I2495" i="29"/>
  <c r="K2494" i="29"/>
  <c r="I2494" i="29"/>
  <c r="K2493" i="29"/>
  <c r="I2493" i="29"/>
  <c r="K2492" i="29"/>
  <c r="I2492" i="29"/>
  <c r="K2491" i="29"/>
  <c r="I2491" i="29"/>
  <c r="K2490" i="29"/>
  <c r="I2490" i="29"/>
  <c r="K2489" i="29"/>
  <c r="I2489" i="29"/>
  <c r="K2488" i="29"/>
  <c r="I2488" i="29"/>
  <c r="K2487" i="29"/>
  <c r="I2487" i="29"/>
  <c r="K2486" i="29"/>
  <c r="I2486" i="29"/>
  <c r="K2485" i="29"/>
  <c r="I2485" i="29"/>
  <c r="K2484" i="29"/>
  <c r="I2484" i="29"/>
  <c r="K2483" i="29"/>
  <c r="I2483" i="29"/>
  <c r="K2482" i="29"/>
  <c r="I2482" i="29"/>
  <c r="K2481" i="29"/>
  <c r="I2481" i="29"/>
  <c r="K2480" i="29"/>
  <c r="I2480" i="29"/>
  <c r="K2479" i="29"/>
  <c r="I2479" i="29"/>
  <c r="K2478" i="29"/>
  <c r="I2478" i="29"/>
  <c r="K2477" i="29"/>
  <c r="I2477" i="29"/>
  <c r="K2476" i="29"/>
  <c r="I2476" i="29"/>
  <c r="K2475" i="29"/>
  <c r="I2475" i="29"/>
  <c r="K2474" i="29"/>
  <c r="I2474" i="29"/>
  <c r="K2473" i="29"/>
  <c r="I2473" i="29"/>
  <c r="K2472" i="29"/>
  <c r="I2472" i="29"/>
  <c r="K2471" i="29"/>
  <c r="I2471" i="29"/>
  <c r="K2470" i="29"/>
  <c r="F2470" i="29"/>
  <c r="I2470" i="29" s="1"/>
  <c r="K2469" i="29"/>
  <c r="I2469" i="29"/>
  <c r="K2468" i="29"/>
  <c r="I2468" i="29"/>
  <c r="K2467" i="29"/>
  <c r="I2467" i="29"/>
  <c r="K2466" i="29"/>
  <c r="I2466" i="29"/>
  <c r="K2465" i="29"/>
  <c r="I2465" i="29"/>
  <c r="K2464" i="29"/>
  <c r="I2464" i="29"/>
  <c r="K2463" i="29"/>
  <c r="I2463" i="29"/>
  <c r="K2462" i="29"/>
  <c r="I2462" i="29"/>
  <c r="K2461" i="29"/>
  <c r="I2461" i="29"/>
  <c r="K2460" i="29"/>
  <c r="I2460" i="29"/>
  <c r="K2459" i="29"/>
  <c r="I2459" i="29"/>
  <c r="K2458" i="29"/>
  <c r="I2458" i="29"/>
  <c r="K2457" i="29"/>
  <c r="I2457" i="29"/>
  <c r="K2456" i="29"/>
  <c r="I2456" i="29"/>
  <c r="K2455" i="29"/>
  <c r="I2455" i="29"/>
  <c r="K2454" i="29"/>
  <c r="I2454" i="29"/>
  <c r="K2453" i="29"/>
  <c r="I2453" i="29"/>
  <c r="K2452" i="29"/>
  <c r="I2452" i="29"/>
  <c r="K2451" i="29"/>
  <c r="I2451" i="29"/>
  <c r="K2450" i="29"/>
  <c r="I2450" i="29"/>
  <c r="K2449" i="29"/>
  <c r="I2449" i="29"/>
  <c r="K2448" i="29"/>
  <c r="I2448" i="29"/>
  <c r="K2447" i="29"/>
  <c r="I2447" i="29"/>
  <c r="K2446" i="29"/>
  <c r="I2446" i="29"/>
  <c r="K2445" i="29"/>
  <c r="I2445" i="29"/>
  <c r="J2444" i="29"/>
  <c r="H2444" i="29"/>
  <c r="K2443" i="29"/>
  <c r="I2443" i="29"/>
  <c r="K2442" i="29"/>
  <c r="I2442" i="29"/>
  <c r="K2441" i="29"/>
  <c r="I2441" i="29"/>
  <c r="K2440" i="29"/>
  <c r="I2440" i="29"/>
  <c r="K2439" i="29"/>
  <c r="I2439" i="29"/>
  <c r="K2438" i="29"/>
  <c r="I2438" i="29"/>
  <c r="K2437" i="29"/>
  <c r="I2437" i="29"/>
  <c r="K2436" i="29"/>
  <c r="I2436" i="29"/>
  <c r="K2435" i="29"/>
  <c r="I2435" i="29"/>
  <c r="K2434" i="29"/>
  <c r="I2434" i="29"/>
  <c r="K2433" i="29"/>
  <c r="I2433" i="29"/>
  <c r="K2432" i="29"/>
  <c r="I2432" i="29"/>
  <c r="K2431" i="29"/>
  <c r="I2431" i="29"/>
  <c r="K2430" i="29"/>
  <c r="I2430" i="29"/>
  <c r="K2429" i="29"/>
  <c r="I2429" i="29"/>
  <c r="K2428" i="29"/>
  <c r="I2428" i="29"/>
  <c r="K2427" i="29"/>
  <c r="I2427" i="29"/>
  <c r="K2426" i="29"/>
  <c r="I2426" i="29"/>
  <c r="K2425" i="29"/>
  <c r="I2425" i="29"/>
  <c r="K2424" i="29"/>
  <c r="I2424" i="29"/>
  <c r="K2423" i="29"/>
  <c r="I2423" i="29"/>
  <c r="K2422" i="29"/>
  <c r="I2422" i="29"/>
  <c r="K2421" i="29"/>
  <c r="I2421" i="29"/>
  <c r="K2420" i="29"/>
  <c r="I2420" i="29"/>
  <c r="K2419" i="29"/>
  <c r="I2419" i="29"/>
  <c r="K2418" i="29"/>
  <c r="I2418" i="29"/>
  <c r="K2417" i="29"/>
  <c r="I2417" i="29"/>
  <c r="K2416" i="29"/>
  <c r="I2416" i="29"/>
  <c r="K2415" i="29"/>
  <c r="I2415" i="29"/>
  <c r="K2414" i="29"/>
  <c r="I2414" i="29"/>
  <c r="K2413" i="29"/>
  <c r="I2413" i="29"/>
  <c r="K2412" i="29"/>
  <c r="I2412" i="29"/>
  <c r="K2411" i="29"/>
  <c r="I2411" i="29"/>
  <c r="K2410" i="29"/>
  <c r="I2410" i="29"/>
  <c r="K2409" i="29"/>
  <c r="I2409" i="29"/>
  <c r="K2408" i="29"/>
  <c r="I2408" i="29"/>
  <c r="K2407" i="29"/>
  <c r="I2407" i="29"/>
  <c r="K2406" i="29"/>
  <c r="I2406" i="29"/>
  <c r="K2405" i="29"/>
  <c r="I2405" i="29"/>
  <c r="K2404" i="29"/>
  <c r="I2404" i="29"/>
  <c r="K2403" i="29"/>
  <c r="I2403" i="29"/>
  <c r="K2402" i="29"/>
  <c r="I2402" i="29"/>
  <c r="K2401" i="29"/>
  <c r="I2401" i="29"/>
  <c r="K2400" i="29"/>
  <c r="I2400" i="29"/>
  <c r="K2399" i="29"/>
  <c r="I2399" i="29"/>
  <c r="K2398" i="29"/>
  <c r="I2398" i="29"/>
  <c r="K2397" i="29"/>
  <c r="I2397" i="29"/>
  <c r="K2396" i="29"/>
  <c r="I2396" i="29"/>
  <c r="K2395" i="29"/>
  <c r="I2395" i="29"/>
  <c r="K2394" i="29"/>
  <c r="I2394" i="29"/>
  <c r="K2393" i="29"/>
  <c r="I2393" i="29"/>
  <c r="K2392" i="29"/>
  <c r="I2392" i="29"/>
  <c r="K2391" i="29"/>
  <c r="I2391" i="29"/>
  <c r="K2390" i="29"/>
  <c r="I2390" i="29"/>
  <c r="K2389" i="29"/>
  <c r="I2389" i="29"/>
  <c r="K2388" i="29"/>
  <c r="I2388" i="29"/>
  <c r="K2387" i="29"/>
  <c r="I2387" i="29"/>
  <c r="K2386" i="29"/>
  <c r="I2386" i="29"/>
  <c r="K2385" i="29"/>
  <c r="I2385" i="29"/>
  <c r="K2384" i="29"/>
  <c r="I2384" i="29"/>
  <c r="K2383" i="29"/>
  <c r="I2383" i="29"/>
  <c r="K2382" i="29"/>
  <c r="I2382" i="29"/>
  <c r="K2381" i="29"/>
  <c r="I2381" i="29"/>
  <c r="K2380" i="29"/>
  <c r="I2380" i="29"/>
  <c r="K2379" i="29"/>
  <c r="I2379" i="29"/>
  <c r="K2378" i="29"/>
  <c r="I2378" i="29"/>
  <c r="K2377" i="29"/>
  <c r="I2377" i="29"/>
  <c r="K2376" i="29"/>
  <c r="I2376" i="29"/>
  <c r="K2375" i="29"/>
  <c r="I2375" i="29"/>
  <c r="K2374" i="29"/>
  <c r="I2374" i="29"/>
  <c r="K2373" i="29"/>
  <c r="I2373" i="29"/>
  <c r="K2372" i="29"/>
  <c r="I2372" i="29"/>
  <c r="K2371" i="29"/>
  <c r="I2371" i="29"/>
  <c r="K2370" i="29"/>
  <c r="I2370" i="29"/>
  <c r="K2369" i="29"/>
  <c r="I2369" i="29"/>
  <c r="K2368" i="29"/>
  <c r="I2368" i="29"/>
  <c r="K2367" i="29"/>
  <c r="I2367" i="29"/>
  <c r="K2366" i="29"/>
  <c r="I2366" i="29"/>
  <c r="K2365" i="29"/>
  <c r="I2365" i="29"/>
  <c r="K2364" i="29"/>
  <c r="I2364" i="29"/>
  <c r="K2363" i="29"/>
  <c r="I2363" i="29"/>
  <c r="K2362" i="29"/>
  <c r="I2362" i="29"/>
  <c r="K2361" i="29"/>
  <c r="I2361" i="29"/>
  <c r="K2360" i="29"/>
  <c r="I2360" i="29"/>
  <c r="K2359" i="29"/>
  <c r="I2359" i="29"/>
  <c r="H2358" i="29"/>
  <c r="H2357" i="29"/>
  <c r="H2356" i="29"/>
  <c r="H2355" i="29"/>
  <c r="H2354" i="29"/>
  <c r="H2353" i="29"/>
  <c r="H2352" i="29"/>
  <c r="H2351" i="29"/>
  <c r="H2350" i="29"/>
  <c r="H2349" i="29"/>
  <c r="H2348" i="29"/>
  <c r="H2347" i="29"/>
  <c r="H2346" i="29"/>
  <c r="K2345" i="29"/>
  <c r="I2345" i="29"/>
  <c r="K2344" i="29"/>
  <c r="I2344" i="29"/>
  <c r="K2343" i="29"/>
  <c r="I2343" i="29"/>
  <c r="K2342" i="29"/>
  <c r="I2342" i="29"/>
  <c r="K2341" i="29"/>
  <c r="I2341" i="29"/>
  <c r="K2340" i="29"/>
  <c r="I2340" i="29"/>
  <c r="K2339" i="29"/>
  <c r="I2339" i="29"/>
  <c r="K2338" i="29"/>
  <c r="I2338" i="29"/>
  <c r="K2337" i="29"/>
  <c r="I2337" i="29"/>
  <c r="K2336" i="29"/>
  <c r="I2336" i="29"/>
  <c r="K2335" i="29"/>
  <c r="I2335" i="29"/>
  <c r="K2334" i="29"/>
  <c r="I2334" i="29"/>
  <c r="K2333" i="29"/>
  <c r="I2333" i="29"/>
  <c r="K2332" i="29"/>
  <c r="I2332" i="29"/>
  <c r="K2331" i="29"/>
  <c r="I2331" i="29"/>
  <c r="K2330" i="29"/>
  <c r="I2330" i="29"/>
  <c r="K2329" i="29"/>
  <c r="I2329" i="29"/>
  <c r="K2328" i="29"/>
  <c r="I2328" i="29"/>
  <c r="K2327" i="29"/>
  <c r="I2327" i="29"/>
  <c r="K2326" i="29"/>
  <c r="I2326" i="29"/>
  <c r="K2325" i="29"/>
  <c r="I2325" i="29"/>
  <c r="K2324" i="29"/>
  <c r="I2324" i="29"/>
  <c r="K2323" i="29"/>
  <c r="I2323" i="29"/>
  <c r="K2322" i="29"/>
  <c r="I2322" i="29"/>
  <c r="K2321" i="29"/>
  <c r="I2321" i="29"/>
  <c r="K2320" i="29"/>
  <c r="I2320" i="29"/>
  <c r="K2319" i="29"/>
  <c r="I2319" i="29"/>
  <c r="K2318" i="29"/>
  <c r="I2318" i="29"/>
  <c r="K2317" i="29"/>
  <c r="I2317" i="29"/>
  <c r="K2316" i="29"/>
  <c r="I2316" i="29"/>
  <c r="K2315" i="29"/>
  <c r="I2315" i="29"/>
  <c r="K2314" i="29"/>
  <c r="I2314" i="29"/>
  <c r="K2313" i="29"/>
  <c r="I2313" i="29"/>
  <c r="K2312" i="29"/>
  <c r="I2312" i="29"/>
  <c r="K2311" i="29"/>
  <c r="I2311" i="29"/>
  <c r="K2310" i="29"/>
  <c r="I2310" i="29"/>
  <c r="K2309" i="29"/>
  <c r="I2309" i="29"/>
  <c r="K2308" i="29"/>
  <c r="I2308" i="29"/>
  <c r="K2307" i="29"/>
  <c r="I2307" i="29"/>
  <c r="K2306" i="29"/>
  <c r="I2306" i="29"/>
  <c r="K2305" i="29"/>
  <c r="I2305" i="29"/>
  <c r="K2304" i="29"/>
  <c r="I2304" i="29"/>
  <c r="K2303" i="29"/>
  <c r="I2303" i="29"/>
  <c r="K2302" i="29"/>
  <c r="I2302" i="29"/>
  <c r="K2301" i="29"/>
  <c r="I2301" i="29"/>
  <c r="K2300" i="29"/>
  <c r="I2300" i="29"/>
  <c r="K2299" i="29"/>
  <c r="I2299" i="29"/>
  <c r="K2298" i="29"/>
  <c r="I2298" i="29"/>
  <c r="K2297" i="29"/>
  <c r="I2297" i="29"/>
  <c r="K2296" i="29"/>
  <c r="I2296" i="29"/>
  <c r="K2295" i="29"/>
  <c r="I2295" i="29"/>
  <c r="K2294" i="29"/>
  <c r="I2294" i="29"/>
  <c r="K2293" i="29"/>
  <c r="I2293" i="29"/>
  <c r="K2292" i="29"/>
  <c r="I2292" i="29"/>
  <c r="K2291" i="29"/>
  <c r="I2291" i="29"/>
  <c r="K2290" i="29"/>
  <c r="I2290" i="29"/>
  <c r="K2289" i="29"/>
  <c r="I2289" i="29"/>
  <c r="K2288" i="29"/>
  <c r="I2288" i="29"/>
  <c r="K2287" i="29"/>
  <c r="I2287" i="29"/>
  <c r="K2286" i="29"/>
  <c r="I2286" i="29"/>
  <c r="K2285" i="29"/>
  <c r="I2285" i="29"/>
  <c r="K2284" i="29"/>
  <c r="I2284" i="29"/>
  <c r="K2283" i="29"/>
  <c r="I2283" i="29"/>
  <c r="K2282" i="29"/>
  <c r="I2282" i="29"/>
  <c r="K2281" i="29"/>
  <c r="I2281" i="29"/>
  <c r="K2280" i="29"/>
  <c r="I2280" i="29"/>
  <c r="K2279" i="29"/>
  <c r="I2279" i="29"/>
  <c r="K2278" i="29"/>
  <c r="I2278" i="29"/>
  <c r="K2277" i="29"/>
  <c r="I2277" i="29"/>
  <c r="K2276" i="29"/>
  <c r="I2276" i="29"/>
  <c r="K2275" i="29"/>
  <c r="I2275" i="29"/>
  <c r="K2274" i="29"/>
  <c r="I2274" i="29"/>
  <c r="K2273" i="29"/>
  <c r="I2273" i="29"/>
  <c r="K2272" i="29"/>
  <c r="I2272" i="29"/>
  <c r="K2271" i="29"/>
  <c r="I2271" i="29"/>
  <c r="K2270" i="29"/>
  <c r="I2270" i="29"/>
  <c r="K2269" i="29"/>
  <c r="I2269" i="29"/>
  <c r="K2268" i="29"/>
  <c r="I2268" i="29"/>
  <c r="K2267" i="29"/>
  <c r="I2267" i="29"/>
  <c r="K2266" i="29"/>
  <c r="I2266" i="29"/>
  <c r="K2265" i="29"/>
  <c r="I2265" i="29"/>
  <c r="K2264" i="29"/>
  <c r="I2264" i="29"/>
  <c r="K2263" i="29"/>
  <c r="I2263" i="29"/>
  <c r="K2262" i="29"/>
  <c r="I2262" i="29"/>
  <c r="K2261" i="29"/>
  <c r="I2261" i="29"/>
  <c r="K2260" i="29"/>
  <c r="I2260" i="29"/>
  <c r="K2259" i="29"/>
  <c r="I2259" i="29"/>
  <c r="K2258" i="29"/>
  <c r="I2258" i="29"/>
  <c r="K2257" i="29"/>
  <c r="I2257" i="29"/>
  <c r="K2256" i="29"/>
  <c r="I2256" i="29"/>
  <c r="K2255" i="29"/>
  <c r="I2255" i="29"/>
  <c r="K2254" i="29"/>
  <c r="I2254" i="29"/>
  <c r="K2253" i="29"/>
  <c r="I2253" i="29"/>
  <c r="K2252" i="29"/>
  <c r="I2252" i="29"/>
  <c r="K2251" i="29"/>
  <c r="I2251" i="29"/>
  <c r="K2250" i="29"/>
  <c r="I2250" i="29"/>
  <c r="K2249" i="29"/>
  <c r="I2249" i="29"/>
  <c r="K2248" i="29"/>
  <c r="I2248" i="29"/>
  <c r="K2247" i="29"/>
  <c r="I2247" i="29"/>
  <c r="K2246" i="29"/>
  <c r="I2246" i="29"/>
  <c r="K2245" i="29"/>
  <c r="I2245" i="29"/>
  <c r="K2244" i="29"/>
  <c r="I2244" i="29"/>
  <c r="K2243" i="29"/>
  <c r="I2243" i="29"/>
  <c r="K2242" i="29"/>
  <c r="I2242" i="29"/>
  <c r="K2241" i="29"/>
  <c r="I2241" i="29"/>
  <c r="K2240" i="29"/>
  <c r="I2240" i="29"/>
  <c r="K2239" i="29"/>
  <c r="I2239" i="29"/>
  <c r="K2238" i="29"/>
  <c r="I2238" i="29"/>
  <c r="K2237" i="29"/>
  <c r="I2237" i="29"/>
  <c r="K2236" i="29"/>
  <c r="I2236" i="29"/>
  <c r="K2235" i="29"/>
  <c r="I2235" i="29"/>
  <c r="K2234" i="29"/>
  <c r="I2234" i="29"/>
  <c r="K2233" i="29"/>
  <c r="I2233" i="29"/>
  <c r="K2232" i="29"/>
  <c r="I2232" i="29"/>
  <c r="K2231" i="29"/>
  <c r="I2231" i="29"/>
  <c r="K2230" i="29"/>
  <c r="I2230" i="29"/>
  <c r="K2229" i="29"/>
  <c r="I2229" i="29"/>
  <c r="K2228" i="29"/>
  <c r="I2228" i="29"/>
  <c r="K2227" i="29"/>
  <c r="I2227" i="29"/>
  <c r="K2226" i="29"/>
  <c r="I2226" i="29"/>
  <c r="K2225" i="29"/>
  <c r="I2225" i="29"/>
  <c r="K2224" i="29"/>
  <c r="I2224" i="29"/>
  <c r="K2223" i="29"/>
  <c r="I2223" i="29"/>
  <c r="K2222" i="29"/>
  <c r="I2222" i="29"/>
  <c r="K2221" i="29"/>
  <c r="I2221" i="29"/>
  <c r="K2220" i="29"/>
  <c r="I2220" i="29"/>
  <c r="K2219" i="29"/>
  <c r="I2219" i="29"/>
  <c r="K2218" i="29"/>
  <c r="I2218" i="29"/>
  <c r="K2217" i="29"/>
  <c r="I2217" i="29"/>
  <c r="K2216" i="29"/>
  <c r="I2216" i="29"/>
  <c r="K2215" i="29"/>
  <c r="I2215" i="29"/>
  <c r="K2214" i="29"/>
  <c r="I2214" i="29"/>
  <c r="K2213" i="29"/>
  <c r="I2213" i="29"/>
  <c r="K2212" i="29"/>
  <c r="I2212" i="29"/>
  <c r="K2211" i="29"/>
  <c r="I2211" i="29"/>
  <c r="K2210" i="29"/>
  <c r="I2210" i="29"/>
  <c r="K2209" i="29"/>
  <c r="I2209" i="29"/>
  <c r="K2208" i="29"/>
  <c r="I2208" i="29"/>
  <c r="K2207" i="29"/>
  <c r="I2207" i="29"/>
  <c r="K2206" i="29"/>
  <c r="I2206" i="29"/>
  <c r="K2205" i="29"/>
  <c r="I2205" i="29"/>
  <c r="K2204" i="29"/>
  <c r="I2204" i="29"/>
  <c r="K2203" i="29"/>
  <c r="I2203" i="29"/>
  <c r="K2202" i="29"/>
  <c r="I2202" i="29"/>
  <c r="K2201" i="29"/>
  <c r="I2201" i="29"/>
  <c r="K2200" i="29"/>
  <c r="I2200" i="29"/>
  <c r="K2199" i="29"/>
  <c r="I2199" i="29"/>
  <c r="K2198" i="29"/>
  <c r="I2198" i="29"/>
  <c r="K2197" i="29"/>
  <c r="I2197" i="29"/>
  <c r="K2196" i="29"/>
  <c r="I2196" i="29"/>
  <c r="K2195" i="29"/>
  <c r="I2195" i="29"/>
  <c r="K2194" i="29"/>
  <c r="I2194" i="29"/>
  <c r="K2193" i="29"/>
  <c r="I2193" i="29"/>
  <c r="K2192" i="29"/>
  <c r="I2192" i="29"/>
  <c r="K2191" i="29"/>
  <c r="I2191" i="29"/>
  <c r="K2190" i="29"/>
  <c r="I2190" i="29"/>
  <c r="K2189" i="29"/>
  <c r="I2189" i="29"/>
  <c r="K2188" i="29"/>
  <c r="I2188" i="29"/>
  <c r="K2187" i="29"/>
  <c r="I2187" i="29"/>
  <c r="K2186" i="29"/>
  <c r="I2186" i="29"/>
  <c r="K2185" i="29"/>
  <c r="I2185" i="29"/>
  <c r="K2184" i="29"/>
  <c r="I2184" i="29"/>
  <c r="K2183" i="29"/>
  <c r="I2183" i="29"/>
  <c r="K2182" i="29"/>
  <c r="I2182" i="29"/>
  <c r="K2181" i="29"/>
  <c r="I2181" i="29"/>
  <c r="K2180" i="29"/>
  <c r="I2180" i="29"/>
  <c r="K2179" i="29"/>
  <c r="I2179" i="29"/>
  <c r="K2178" i="29"/>
  <c r="I2178" i="29"/>
  <c r="K2177" i="29"/>
  <c r="I2177" i="29"/>
  <c r="K2176" i="29"/>
  <c r="I2176" i="29"/>
  <c r="K2175" i="29"/>
  <c r="I2175" i="29"/>
  <c r="K2174" i="29"/>
  <c r="I2174" i="29"/>
  <c r="K2173" i="29"/>
  <c r="I2173" i="29"/>
  <c r="K2172" i="29"/>
  <c r="I2172" i="29"/>
  <c r="J1400" i="24"/>
  <c r="H1400" i="24"/>
  <c r="J1399" i="24"/>
  <c r="H1399" i="24"/>
  <c r="J1398" i="24"/>
  <c r="H1398" i="24"/>
  <c r="J1397" i="24"/>
  <c r="H1397" i="24"/>
  <c r="J1396" i="24"/>
  <c r="H1396" i="24"/>
  <c r="J1395" i="24"/>
  <c r="H1395" i="24"/>
  <c r="J1394" i="24"/>
  <c r="H1394" i="24"/>
  <c r="J1393" i="24"/>
  <c r="H1393" i="24"/>
  <c r="J1392" i="24"/>
  <c r="H1392" i="24"/>
  <c r="J1391" i="24"/>
  <c r="H1391" i="24"/>
  <c r="J1390" i="24"/>
  <c r="H1390" i="24"/>
  <c r="J1389" i="24"/>
  <c r="H1389" i="24"/>
  <c r="J1388" i="24"/>
  <c r="H1388" i="24"/>
  <c r="J1387" i="24"/>
  <c r="H1387" i="24"/>
  <c r="J1386" i="24"/>
  <c r="H1386" i="24"/>
  <c r="J1385" i="24"/>
  <c r="H1385" i="24"/>
  <c r="J1384" i="24"/>
  <c r="H1384" i="24"/>
  <c r="J1383" i="24"/>
  <c r="H1383" i="24"/>
  <c r="J1382" i="24"/>
  <c r="H1382" i="24"/>
  <c r="J1381" i="24"/>
  <c r="H1381" i="24"/>
  <c r="J1380" i="24"/>
  <c r="H1380" i="24"/>
  <c r="J1379" i="24"/>
  <c r="H1379" i="24"/>
  <c r="J1378" i="24"/>
  <c r="H1378" i="24"/>
  <c r="J1377" i="24"/>
  <c r="H1377" i="24"/>
  <c r="J1376" i="24"/>
  <c r="H1376" i="24"/>
  <c r="J1375" i="24"/>
  <c r="H1375" i="24"/>
  <c r="J1374" i="24"/>
  <c r="H1374" i="24"/>
  <c r="J1373" i="24"/>
  <c r="H1373" i="24"/>
  <c r="J1372" i="24"/>
  <c r="H1372" i="24"/>
  <c r="J1371" i="24"/>
  <c r="H1371" i="24"/>
  <c r="J1370" i="24"/>
  <c r="H1370" i="24"/>
  <c r="J1369" i="24"/>
  <c r="H1369" i="24"/>
  <c r="J1368" i="24"/>
  <c r="H1368" i="24"/>
  <c r="J1367" i="24"/>
  <c r="H1367" i="24"/>
  <c r="J1366" i="24"/>
  <c r="H1366" i="24"/>
  <c r="J1365" i="24"/>
  <c r="H1365" i="24"/>
  <c r="J1364" i="24"/>
  <c r="H1364" i="24"/>
  <c r="J1363" i="24"/>
  <c r="H1363" i="24"/>
  <c r="J1362" i="24"/>
  <c r="H1362" i="24"/>
  <c r="J1361" i="24"/>
  <c r="H1361" i="24"/>
  <c r="J1360" i="24"/>
  <c r="H1360" i="24"/>
  <c r="J1359" i="24"/>
  <c r="H1359" i="24"/>
  <c r="J1358" i="24"/>
  <c r="H1358" i="24"/>
  <c r="J1357" i="24"/>
  <c r="H1357" i="24"/>
  <c r="J1356" i="24"/>
  <c r="H1356" i="24"/>
  <c r="J1355" i="24"/>
  <c r="H1355" i="24"/>
  <c r="J1354" i="24"/>
  <c r="H1354" i="24"/>
  <c r="J1353" i="24"/>
  <c r="H1353" i="24"/>
  <c r="J1352" i="24"/>
  <c r="H1352" i="24"/>
  <c r="J1351" i="24"/>
  <c r="H1351" i="24"/>
  <c r="J1350" i="24"/>
  <c r="H1350" i="24"/>
  <c r="J1349" i="24"/>
  <c r="H1349" i="24"/>
  <c r="J1348" i="24"/>
  <c r="H1348" i="24"/>
  <c r="J1347" i="24"/>
  <c r="H1347" i="24"/>
  <c r="J1346" i="24"/>
  <c r="H1346" i="24"/>
  <c r="J1345" i="24"/>
  <c r="H1345" i="24"/>
  <c r="J1344" i="24"/>
  <c r="H1344" i="24"/>
  <c r="J1343" i="24"/>
  <c r="H1343" i="24"/>
  <c r="J1342" i="24"/>
  <c r="H1342" i="24"/>
  <c r="J1341" i="24"/>
  <c r="H1341" i="24"/>
  <c r="J1340" i="24"/>
  <c r="H1340" i="24"/>
  <c r="J1339" i="24"/>
  <c r="H1339" i="24"/>
  <c r="J1338" i="24"/>
  <c r="H1338" i="24"/>
  <c r="J1337" i="24"/>
  <c r="H1337" i="24"/>
  <c r="J1336" i="24"/>
  <c r="H1336" i="24"/>
  <c r="J1335" i="24"/>
  <c r="H1335" i="24"/>
  <c r="J1334" i="24"/>
  <c r="H1334" i="24"/>
  <c r="J1333" i="24"/>
  <c r="H1333" i="24"/>
  <c r="J1332" i="24"/>
  <c r="H1332" i="24"/>
  <c r="J1331" i="24"/>
  <c r="H1331" i="24"/>
  <c r="J1330" i="24"/>
  <c r="H1330" i="24"/>
  <c r="J1329" i="24"/>
  <c r="H1329" i="24"/>
  <c r="J1328" i="24"/>
  <c r="H1328" i="24"/>
  <c r="J1327" i="24"/>
  <c r="H1327" i="24"/>
  <c r="J1326" i="24"/>
  <c r="L1326" i="24" s="1"/>
  <c r="H1326" i="24"/>
  <c r="I1325" i="24"/>
  <c r="G1325" i="24"/>
  <c r="J1324" i="24"/>
  <c r="H1324" i="24"/>
  <c r="J1323" i="24"/>
  <c r="H1323" i="24"/>
  <c r="J1322" i="24"/>
  <c r="H1322" i="24"/>
  <c r="J1321" i="24"/>
  <c r="H1321" i="24"/>
  <c r="J1320" i="24"/>
  <c r="H1320" i="24"/>
  <c r="J1319" i="24"/>
  <c r="H1319" i="24"/>
  <c r="J1318" i="24"/>
  <c r="H1318" i="24"/>
  <c r="J1317" i="24"/>
  <c r="H1317" i="24"/>
  <c r="J1316" i="24"/>
  <c r="H1316" i="24"/>
  <c r="J1315" i="24"/>
  <c r="H1315" i="24"/>
  <c r="J1314" i="24"/>
  <c r="H1314" i="24"/>
  <c r="J1313" i="24"/>
  <c r="H1313" i="24"/>
  <c r="J1312" i="24"/>
  <c r="H1312" i="24"/>
  <c r="J1311" i="24"/>
  <c r="H1311" i="24"/>
  <c r="J1310" i="24"/>
  <c r="H1310" i="24"/>
  <c r="J1309" i="24"/>
  <c r="H1309" i="24"/>
  <c r="J1308" i="24"/>
  <c r="H1308" i="24"/>
  <c r="J1307" i="24"/>
  <c r="H1307" i="24"/>
  <c r="J1306" i="24"/>
  <c r="H1306" i="24"/>
  <c r="J1305" i="24"/>
  <c r="H1305" i="24"/>
  <c r="J1304" i="24"/>
  <c r="H1304" i="24"/>
  <c r="J1303" i="24"/>
  <c r="H1303" i="24"/>
  <c r="J1302" i="24"/>
  <c r="H1302" i="24"/>
  <c r="J1301" i="24"/>
  <c r="H1301" i="24"/>
  <c r="J1300" i="24"/>
  <c r="H1300" i="24"/>
  <c r="J1299" i="24"/>
  <c r="H1299" i="24"/>
  <c r="J1298" i="24"/>
  <c r="H1298" i="24"/>
  <c r="J1297" i="24"/>
  <c r="H1297" i="24"/>
  <c r="J1296" i="24"/>
  <c r="H1296" i="24"/>
  <c r="J1295" i="24"/>
  <c r="H1295" i="24"/>
  <c r="J1294" i="24"/>
  <c r="H1294" i="24"/>
  <c r="J1293" i="24"/>
  <c r="H1293" i="24"/>
  <c r="J1292" i="24"/>
  <c r="H1292" i="24"/>
  <c r="J1291" i="24"/>
  <c r="H1291" i="24"/>
  <c r="J1290" i="24"/>
  <c r="H1290" i="24"/>
  <c r="J1289" i="24"/>
  <c r="H1289" i="24"/>
  <c r="J1288" i="24"/>
  <c r="H1288" i="24"/>
  <c r="J1287" i="24"/>
  <c r="H1287" i="24"/>
  <c r="J1286" i="24"/>
  <c r="H1286" i="24"/>
  <c r="J1285" i="24"/>
  <c r="H1285" i="24"/>
  <c r="J1284" i="24"/>
  <c r="H1284" i="24"/>
  <c r="J1283" i="24"/>
  <c r="H1283" i="24"/>
  <c r="J1282" i="24"/>
  <c r="H1282" i="24"/>
  <c r="J1281" i="24"/>
  <c r="H1281" i="24"/>
  <c r="J1280" i="24"/>
  <c r="H1280" i="24"/>
  <c r="J1279" i="24"/>
  <c r="H1279" i="24"/>
  <c r="J1278" i="24"/>
  <c r="H1278" i="24"/>
  <c r="J1277" i="24"/>
  <c r="H1277" i="24"/>
  <c r="J1276" i="24"/>
  <c r="H1276" i="24"/>
  <c r="J1275" i="24"/>
  <c r="H1275" i="24"/>
  <c r="J1274" i="24"/>
  <c r="H1274" i="24"/>
  <c r="J1273" i="24"/>
  <c r="H1273" i="24"/>
  <c r="J1272" i="24"/>
  <c r="H1272" i="24"/>
  <c r="J1271" i="24"/>
  <c r="H1271" i="24"/>
  <c r="J1270" i="24"/>
  <c r="H1270" i="24"/>
  <c r="J1269" i="24"/>
  <c r="H1269" i="24"/>
  <c r="J1268" i="24"/>
  <c r="H1268" i="24"/>
  <c r="J1267" i="24"/>
  <c r="H1267" i="24"/>
  <c r="J1266" i="24"/>
  <c r="H1266" i="24"/>
  <c r="J1265" i="24"/>
  <c r="H1265" i="24"/>
  <c r="J1264" i="24"/>
  <c r="H1264" i="24"/>
  <c r="J1263" i="24"/>
  <c r="H1263" i="24"/>
  <c r="J1262" i="24"/>
  <c r="H1262" i="24"/>
  <c r="J1261" i="24"/>
  <c r="H1261" i="24"/>
  <c r="J1260" i="24"/>
  <c r="H1260" i="24"/>
  <c r="J1259" i="24"/>
  <c r="H1259" i="24"/>
  <c r="J1258" i="24"/>
  <c r="H1258" i="24"/>
  <c r="J1257" i="24"/>
  <c r="H1257" i="24"/>
  <c r="J1256" i="24"/>
  <c r="H1256" i="24"/>
  <c r="J1255" i="24"/>
  <c r="H1255" i="24"/>
  <c r="J1254" i="24"/>
  <c r="H1254" i="24"/>
  <c r="J1253" i="24"/>
  <c r="H1253" i="24"/>
  <c r="J1252" i="24"/>
  <c r="H1252" i="24"/>
  <c r="J1251" i="24"/>
  <c r="H1251" i="24"/>
  <c r="J1250" i="24"/>
  <c r="H1250" i="24"/>
  <c r="J1249" i="24"/>
  <c r="H1249" i="24"/>
  <c r="J1248" i="24"/>
  <c r="H1248" i="24"/>
  <c r="J1247" i="24"/>
  <c r="H1247" i="24"/>
  <c r="J1246" i="24"/>
  <c r="H1246" i="24"/>
  <c r="J1245" i="24"/>
  <c r="H1245" i="24"/>
  <c r="J1244" i="24"/>
  <c r="H1244" i="24"/>
  <c r="J1243" i="24"/>
  <c r="H1243" i="24"/>
  <c r="J1242" i="24"/>
  <c r="H1242" i="24"/>
  <c r="J1241" i="24"/>
  <c r="H1241" i="24"/>
  <c r="J1240" i="24"/>
  <c r="H1240" i="24"/>
  <c r="J1239" i="24"/>
  <c r="H1239" i="24"/>
  <c r="J1238" i="24"/>
  <c r="H1238" i="24"/>
  <c r="J1237" i="24"/>
  <c r="H1237" i="24"/>
  <c r="J1236" i="24"/>
  <c r="H1236" i="24"/>
  <c r="J1235" i="24"/>
  <c r="H1235" i="24"/>
  <c r="J1234" i="24"/>
  <c r="H1234" i="24"/>
  <c r="J1233" i="24"/>
  <c r="H1233" i="24"/>
  <c r="J1232" i="24"/>
  <c r="H1232" i="24"/>
  <c r="J1231" i="24"/>
  <c r="H1231" i="24"/>
  <c r="J1230" i="24"/>
  <c r="H1230" i="24"/>
  <c r="J1229" i="24"/>
  <c r="H1229" i="24"/>
  <c r="J1228" i="24"/>
  <c r="H1228" i="24"/>
  <c r="J1227" i="24"/>
  <c r="H1227" i="24"/>
  <c r="J1226" i="24"/>
  <c r="H1226" i="24"/>
  <c r="J1225" i="24"/>
  <c r="H1225" i="24"/>
  <c r="J1224" i="24"/>
  <c r="H1224" i="24"/>
  <c r="J1223" i="24"/>
  <c r="H1223" i="24"/>
  <c r="J1222" i="24"/>
  <c r="H1222" i="24"/>
  <c r="J1221" i="24"/>
  <c r="H1221" i="24"/>
  <c r="J1220" i="24"/>
  <c r="H1220" i="24"/>
  <c r="J1219" i="24"/>
  <c r="H1219" i="24"/>
  <c r="J1218" i="24"/>
  <c r="H1218" i="24"/>
  <c r="J1217" i="24"/>
  <c r="H1217" i="24"/>
  <c r="J1216" i="24"/>
  <c r="H1216" i="24"/>
  <c r="J1215" i="24"/>
  <c r="H1215" i="24"/>
  <c r="J1214" i="24"/>
  <c r="H1214" i="24"/>
  <c r="J1213" i="24"/>
  <c r="H1213" i="24"/>
  <c r="J1212" i="24"/>
  <c r="H1212" i="24"/>
  <c r="J1211" i="24"/>
  <c r="H1211" i="24"/>
  <c r="J1210" i="24"/>
  <c r="H1210" i="24"/>
  <c r="J1209" i="24"/>
  <c r="H1209" i="24"/>
  <c r="J1208" i="24"/>
  <c r="H1208" i="24"/>
  <c r="J1207" i="24"/>
  <c r="L1207" i="24" s="1"/>
  <c r="H1207" i="24"/>
  <c r="J1206" i="24"/>
  <c r="H1206" i="24"/>
  <c r="J1205" i="24"/>
  <c r="K1205" i="24" s="1"/>
  <c r="H1205" i="24"/>
  <c r="J1204" i="24"/>
  <c r="L1204" i="24" s="1"/>
  <c r="H1204" i="24"/>
  <c r="J1203" i="24"/>
  <c r="L1203" i="24" s="1"/>
  <c r="H1203" i="24"/>
  <c r="J1202" i="24"/>
  <c r="L1202" i="24" s="1"/>
  <c r="H1202" i="24"/>
  <c r="J1201" i="24"/>
  <c r="L1201" i="24" s="1"/>
  <c r="H1201" i="24"/>
  <c r="J1200" i="24"/>
  <c r="L1200" i="24" s="1"/>
  <c r="H1200" i="24"/>
  <c r="J1199" i="24"/>
  <c r="L1199" i="24" s="1"/>
  <c r="H1199" i="24"/>
  <c r="J1198" i="24"/>
  <c r="L1198" i="24" s="1"/>
  <c r="H1198" i="24"/>
  <c r="J1197" i="24"/>
  <c r="L1197" i="24" s="1"/>
  <c r="H1197" i="24"/>
  <c r="J1196" i="24"/>
  <c r="L1196" i="24" s="1"/>
  <c r="H1196" i="24"/>
  <c r="J1195" i="24"/>
  <c r="L1195" i="24" s="1"/>
  <c r="H1195" i="24"/>
  <c r="J1194" i="24"/>
  <c r="H1194" i="24"/>
  <c r="J1193" i="24"/>
  <c r="L1193" i="24" s="1"/>
  <c r="H1193" i="24"/>
  <c r="J1192" i="24"/>
  <c r="L1192" i="24" s="1"/>
  <c r="H1192" i="24"/>
  <c r="J1191" i="24"/>
  <c r="L1191" i="24" s="1"/>
  <c r="H1191" i="24"/>
  <c r="J1190" i="24"/>
  <c r="L1190" i="24" s="1"/>
  <c r="H1190" i="24"/>
  <c r="J1189" i="24"/>
  <c r="L1189" i="24" s="1"/>
  <c r="H1189" i="24"/>
  <c r="J1188" i="24"/>
  <c r="L1188" i="24" s="1"/>
  <c r="H1188" i="24"/>
  <c r="J1187" i="24"/>
  <c r="L1187" i="24" s="1"/>
  <c r="H1187" i="24"/>
  <c r="J1186" i="24"/>
  <c r="L1186" i="24" s="1"/>
  <c r="H1186" i="24"/>
  <c r="J1185" i="24"/>
  <c r="L1185" i="24" s="1"/>
  <c r="H1185" i="24"/>
  <c r="J1184" i="24"/>
  <c r="L1184" i="24" s="1"/>
  <c r="H1184" i="24"/>
  <c r="J1183" i="24"/>
  <c r="L1183" i="24" s="1"/>
  <c r="H1183" i="24"/>
  <c r="J1182" i="24"/>
  <c r="H1182" i="24"/>
  <c r="J1181" i="24"/>
  <c r="L1181" i="24" s="1"/>
  <c r="H1181" i="24"/>
  <c r="J1180" i="24"/>
  <c r="L1180" i="24" s="1"/>
  <c r="H1180" i="24"/>
  <c r="J1179" i="24"/>
  <c r="H1179" i="24"/>
  <c r="J1178" i="24"/>
  <c r="L1178" i="24" s="1"/>
  <c r="H1178" i="24"/>
  <c r="J1177" i="24"/>
  <c r="L1177" i="24" s="1"/>
  <c r="H1177" i="24"/>
  <c r="J1176" i="24"/>
  <c r="L1176" i="24" s="1"/>
  <c r="H1176" i="24"/>
  <c r="J1175" i="24"/>
  <c r="L1175" i="24" s="1"/>
  <c r="H1175" i="24"/>
  <c r="J1174" i="24"/>
  <c r="L1174" i="24" s="1"/>
  <c r="H1174" i="24"/>
  <c r="J1173" i="24"/>
  <c r="L1173" i="24" s="1"/>
  <c r="H1173" i="24"/>
  <c r="J1172" i="24"/>
  <c r="L1172" i="24" s="1"/>
  <c r="H1172" i="24"/>
  <c r="J1171" i="24"/>
  <c r="L1171" i="24" s="1"/>
  <c r="H1171" i="24"/>
  <c r="J1170" i="24"/>
  <c r="H1170" i="24"/>
  <c r="J1169" i="24"/>
  <c r="L1169" i="24" s="1"/>
  <c r="H1169" i="24"/>
  <c r="J1168" i="24"/>
  <c r="L1168" i="24" s="1"/>
  <c r="H1168" i="24"/>
  <c r="J1167" i="24"/>
  <c r="L1167" i="24" s="1"/>
  <c r="H1167" i="24"/>
  <c r="J1166" i="24"/>
  <c r="L1166" i="24" s="1"/>
  <c r="H1166" i="24"/>
  <c r="J1165" i="24"/>
  <c r="L1165" i="24" s="1"/>
  <c r="J1164" i="24"/>
  <c r="H1164" i="24"/>
  <c r="J1163" i="24"/>
  <c r="L1163" i="24" s="1"/>
  <c r="H1163" i="24"/>
  <c r="J1162" i="24"/>
  <c r="L1162" i="24" s="1"/>
  <c r="H1162" i="24"/>
  <c r="J1161" i="24"/>
  <c r="H1161" i="24"/>
  <c r="J1160" i="24"/>
  <c r="L1160" i="24" s="1"/>
  <c r="H1160" i="24"/>
  <c r="J1159" i="24"/>
  <c r="L1159" i="24" s="1"/>
  <c r="H1159" i="24"/>
  <c r="J1158" i="24"/>
  <c r="H1158" i="24"/>
  <c r="J1157" i="24"/>
  <c r="L1157" i="24" s="1"/>
  <c r="H1157" i="24"/>
  <c r="J1156" i="24"/>
  <c r="L1156" i="24" s="1"/>
  <c r="H1156" i="24"/>
  <c r="J1155" i="24"/>
  <c r="H1155" i="24"/>
  <c r="J1154" i="24"/>
  <c r="L1154" i="24" s="1"/>
  <c r="H1154" i="24"/>
  <c r="J1153" i="24"/>
  <c r="L1153" i="24" s="1"/>
  <c r="H1153" i="24"/>
  <c r="J1152" i="24"/>
  <c r="H1152" i="24"/>
  <c r="J1151" i="24"/>
  <c r="L1151" i="24" s="1"/>
  <c r="H1151" i="24"/>
  <c r="J1150" i="24"/>
  <c r="L1150" i="24" s="1"/>
  <c r="H1150" i="24"/>
  <c r="J1149" i="24"/>
  <c r="H1149" i="24"/>
  <c r="J1148" i="24"/>
  <c r="L1148" i="24" s="1"/>
  <c r="H1148" i="24"/>
  <c r="J1147" i="24"/>
  <c r="L1147" i="24" s="1"/>
  <c r="H1147" i="24"/>
  <c r="J1146" i="24"/>
  <c r="H1146" i="24"/>
  <c r="J1145" i="24"/>
  <c r="L1145" i="24" s="1"/>
  <c r="H1145" i="24"/>
  <c r="J1144" i="24"/>
  <c r="L1144" i="24" s="1"/>
  <c r="H1144" i="24"/>
  <c r="J1143" i="24"/>
  <c r="H1143" i="24"/>
  <c r="J1142" i="24"/>
  <c r="L1142" i="24" s="1"/>
  <c r="H1142" i="24"/>
  <c r="J1141" i="24"/>
  <c r="L1141" i="24" s="1"/>
  <c r="H1141" i="24"/>
  <c r="J1140" i="24"/>
  <c r="H1140" i="24"/>
  <c r="J1139" i="24"/>
  <c r="L1139" i="24" s="1"/>
  <c r="H1139" i="24"/>
  <c r="J1138" i="24"/>
  <c r="L1138" i="24" s="1"/>
  <c r="H1138" i="24"/>
  <c r="J1137" i="24"/>
  <c r="H1137" i="24"/>
  <c r="J1136" i="24"/>
  <c r="L1136" i="24" s="1"/>
  <c r="H1136" i="24"/>
  <c r="J1135" i="24"/>
  <c r="L1135" i="24" s="1"/>
  <c r="H1135" i="24"/>
  <c r="J1134" i="24"/>
  <c r="H1134" i="24"/>
  <c r="J1133" i="24"/>
  <c r="L1133" i="24" s="1"/>
  <c r="H1133" i="24"/>
  <c r="J1132" i="24"/>
  <c r="L1132" i="24" s="1"/>
  <c r="H1132" i="24"/>
  <c r="J1131" i="24"/>
  <c r="H1131" i="24"/>
  <c r="J1130" i="24"/>
  <c r="L1130" i="24" s="1"/>
  <c r="H1130" i="24"/>
  <c r="J1129" i="24"/>
  <c r="L1129" i="24" s="1"/>
  <c r="H1129" i="24"/>
  <c r="J1128" i="24"/>
  <c r="H1128" i="24"/>
  <c r="J1127" i="24"/>
  <c r="L1127" i="24" s="1"/>
  <c r="H1127" i="24"/>
  <c r="J1126" i="24"/>
  <c r="L1126" i="24" s="1"/>
  <c r="H1126" i="24"/>
  <c r="J1125" i="24"/>
  <c r="L1125" i="24" s="1"/>
  <c r="H1125" i="24"/>
  <c r="J1124" i="24"/>
  <c r="L1124" i="24" s="1"/>
  <c r="H1124" i="24"/>
  <c r="J1123" i="24"/>
  <c r="K1123" i="24" s="1"/>
  <c r="H1123" i="24"/>
  <c r="J1122" i="24"/>
  <c r="L1122" i="24" s="1"/>
  <c r="H1122" i="24"/>
  <c r="J1121" i="24"/>
  <c r="L1121" i="24" s="1"/>
  <c r="H1121" i="24"/>
  <c r="J1120" i="24"/>
  <c r="L1120" i="24" s="1"/>
  <c r="H1120" i="24"/>
  <c r="J1119" i="24"/>
  <c r="H1119" i="24"/>
  <c r="J1118" i="24"/>
  <c r="L1118" i="24" s="1"/>
  <c r="H1118" i="24"/>
  <c r="J1117" i="24"/>
  <c r="L1117" i="24" s="1"/>
  <c r="H1117" i="24"/>
  <c r="J1116" i="24"/>
  <c r="H1116" i="24"/>
  <c r="J1115" i="24"/>
  <c r="L1115" i="24" s="1"/>
  <c r="H1115" i="24"/>
  <c r="J1114" i="24"/>
  <c r="L1114" i="24" s="1"/>
  <c r="H1114" i="24"/>
  <c r="J1113" i="24"/>
  <c r="H1113" i="24"/>
  <c r="J1112" i="24"/>
  <c r="L1112" i="24" s="1"/>
  <c r="H1112" i="24"/>
  <c r="J1111" i="24"/>
  <c r="L1111" i="24" s="1"/>
  <c r="H1111" i="24"/>
  <c r="J1110" i="24"/>
  <c r="H1110" i="24"/>
  <c r="J1109" i="24"/>
  <c r="L1109" i="24" s="1"/>
  <c r="H1109" i="24"/>
  <c r="J1108" i="24"/>
  <c r="L1108" i="24" s="1"/>
  <c r="H1108" i="24"/>
  <c r="J1107" i="24"/>
  <c r="H1107" i="24"/>
  <c r="J1106" i="24"/>
  <c r="L1106" i="24" s="1"/>
  <c r="H1106" i="24"/>
  <c r="J1105" i="24"/>
  <c r="L1105" i="24" s="1"/>
  <c r="H1105" i="24"/>
  <c r="L3736" i="29" l="1"/>
  <c r="M3657" i="29"/>
  <c r="M3590" i="29"/>
  <c r="L3877" i="29"/>
  <c r="M3606" i="29"/>
  <c r="L3906" i="29"/>
  <c r="M3683" i="29"/>
  <c r="M3685" i="29"/>
  <c r="L3593" i="29"/>
  <c r="L3889" i="29"/>
  <c r="M3656" i="29"/>
  <c r="L3920" i="29"/>
  <c r="M3909" i="29"/>
  <c r="M3717" i="29"/>
  <c r="M3773" i="29"/>
  <c r="M3619" i="29"/>
  <c r="M3716" i="29"/>
  <c r="M3693" i="29"/>
  <c r="M3673" i="29"/>
  <c r="L3586" i="29"/>
  <c r="L3617" i="29"/>
  <c r="M3735" i="29"/>
  <c r="M3578" i="29"/>
  <c r="L3680" i="29"/>
  <c r="L3605" i="29"/>
  <c r="M3647" i="29"/>
  <c r="M3868" i="29"/>
  <c r="M3702" i="29"/>
  <c r="M3600" i="29"/>
  <c r="L893" i="29"/>
  <c r="L3812" i="29"/>
  <c r="L3661" i="29"/>
  <c r="M3577" i="29"/>
  <c r="M3893" i="29"/>
  <c r="L3767" i="29"/>
  <c r="L3618" i="29"/>
  <c r="M3701" i="29"/>
  <c r="L3598" i="29"/>
  <c r="M3891" i="29"/>
  <c r="M3882" i="29"/>
  <c r="M3862" i="29"/>
  <c r="M3921" i="29"/>
  <c r="M3571" i="29"/>
  <c r="M3783" i="29"/>
  <c r="M3861" i="29"/>
  <c r="L3859" i="29"/>
  <c r="M3706" i="29"/>
  <c r="M3908" i="29"/>
  <c r="L3878" i="29"/>
  <c r="M3753" i="29"/>
  <c r="M3782" i="29"/>
  <c r="M3916" i="29"/>
  <c r="M3872" i="29"/>
  <c r="L3817" i="29"/>
  <c r="L3885" i="29"/>
  <c r="L3857" i="29"/>
  <c r="M3615" i="29"/>
  <c r="M3915" i="29"/>
  <c r="M3899" i="29"/>
  <c r="M3834" i="29"/>
  <c r="M3794" i="29"/>
  <c r="M3883" i="29"/>
  <c r="M3741" i="29"/>
  <c r="M3613" i="29"/>
  <c r="M3792" i="29"/>
  <c r="M3725" i="29"/>
  <c r="M3867" i="29"/>
  <c r="M3852" i="29"/>
  <c r="L3791" i="29"/>
  <c r="L3692" i="29"/>
  <c r="M3658" i="29"/>
  <c r="M3643" i="29"/>
  <c r="L3624" i="29"/>
  <c r="L894" i="29"/>
  <c r="L3905" i="29"/>
  <c r="M3844" i="29"/>
  <c r="M3827" i="29"/>
  <c r="L3819" i="29"/>
  <c r="M3798" i="29"/>
  <c r="L3739" i="29"/>
  <c r="L3734" i="29"/>
  <c r="M3663" i="29"/>
  <c r="M3925" i="29"/>
  <c r="L3910" i="29"/>
  <c r="L3843" i="29"/>
  <c r="M3744" i="29"/>
  <c r="M3738" i="29"/>
  <c r="M3603" i="29"/>
  <c r="M3886" i="29"/>
  <c r="M3854" i="29"/>
  <c r="L3833" i="29"/>
  <c r="L3806" i="29"/>
  <c r="L3796" i="29"/>
  <c r="M3732" i="29"/>
  <c r="M3646" i="29"/>
  <c r="L3597" i="29"/>
  <c r="M3589" i="29"/>
  <c r="M3923" i="29"/>
  <c r="L3901" i="29"/>
  <c r="M3853" i="29"/>
  <c r="M3832" i="29"/>
  <c r="M3823" i="29"/>
  <c r="M3795" i="29"/>
  <c r="M3779" i="29"/>
  <c r="M3771" i="29"/>
  <c r="L3743" i="29"/>
  <c r="M3731" i="29"/>
  <c r="M3694" i="29"/>
  <c r="M3645" i="29"/>
  <c r="L3840" i="29"/>
  <c r="M3813" i="29"/>
  <c r="M3679" i="29"/>
  <c r="M3653" i="29"/>
  <c r="M3634" i="29"/>
  <c r="M3616" i="29"/>
  <c r="M3607" i="29"/>
  <c r="M3601" i="29"/>
  <c r="M3900" i="29"/>
  <c r="M3573" i="29"/>
  <c r="M3914" i="29"/>
  <c r="M3776" i="29"/>
  <c r="M3684" i="29"/>
  <c r="L3768" i="29"/>
  <c r="M3708" i="29"/>
  <c r="M3599" i="29"/>
  <c r="L1209" i="24"/>
  <c r="K1209" i="24"/>
  <c r="M3580" i="29"/>
  <c r="L3838" i="29"/>
  <c r="M3830" i="29"/>
  <c r="L3821" i="29"/>
  <c r="L3808" i="29"/>
  <c r="L3785" i="29"/>
  <c r="L3723" i="29"/>
  <c r="L3698" i="29"/>
  <c r="L3687" i="29"/>
  <c r="M3639" i="29"/>
  <c r="L3628" i="29"/>
  <c r="L3611" i="29"/>
  <c r="L3592" i="29"/>
  <c r="M3895" i="29"/>
  <c r="M3837" i="29"/>
  <c r="M3820" i="29"/>
  <c r="M3807" i="29"/>
  <c r="M3748" i="29"/>
  <c r="M3722" i="29"/>
  <c r="M3686" i="29"/>
  <c r="M3638" i="29"/>
  <c r="M3627" i="29"/>
  <c r="M3610" i="29"/>
  <c r="M3858" i="29"/>
  <c r="M3828" i="29"/>
  <c r="M3762" i="29"/>
  <c r="M3674" i="29"/>
  <c r="M3662" i="29"/>
  <c r="M3924" i="29"/>
  <c r="M3904" i="29"/>
  <c r="M3876" i="29"/>
  <c r="M3866" i="29"/>
  <c r="M3835" i="29"/>
  <c r="M3805" i="29"/>
  <c r="M3760" i="29"/>
  <c r="M3737" i="29"/>
  <c r="M3730" i="29"/>
  <c r="M3884" i="29"/>
  <c r="M3842" i="29"/>
  <c r="M3826" i="29"/>
  <c r="M3770" i="29"/>
  <c r="M3705" i="29"/>
  <c r="M3874" i="29"/>
  <c r="M3841" i="29"/>
  <c r="M3825" i="29"/>
  <c r="M3728" i="29"/>
  <c r="M3669" i="29"/>
  <c r="M3633" i="29"/>
  <c r="M3623" i="29"/>
  <c r="M3824" i="29"/>
  <c r="L3777" i="29"/>
  <c r="M3622" i="29"/>
  <c r="M3667" i="29"/>
  <c r="M3596" i="29"/>
  <c r="M3888" i="29"/>
  <c r="M3880" i="29"/>
  <c r="M3839" i="29"/>
  <c r="M3711" i="29"/>
  <c r="M3629" i="29"/>
  <c r="M3621" i="29"/>
  <c r="M3860" i="29"/>
  <c r="M3831" i="29"/>
  <c r="M3797" i="29"/>
  <c r="M3766" i="29"/>
  <c r="L3688" i="29"/>
  <c r="M3678" i="29"/>
  <c r="M3665" i="29"/>
  <c r="M3869" i="29"/>
  <c r="M3850" i="29"/>
  <c r="M3775" i="29"/>
  <c r="M3751" i="29"/>
  <c r="M3740" i="29"/>
  <c r="M3733" i="29"/>
  <c r="M3602" i="29"/>
  <c r="M3917" i="29"/>
  <c r="M3897" i="29"/>
  <c r="M3887" i="29"/>
  <c r="M3677" i="29"/>
  <c r="M3654" i="29"/>
  <c r="M3620" i="29"/>
  <c r="M3810" i="29"/>
  <c r="M3809" i="29"/>
  <c r="M3612" i="29"/>
  <c r="M3591" i="29"/>
  <c r="M3803" i="29"/>
  <c r="M3801" i="29"/>
  <c r="M3800" i="29"/>
  <c r="L3799" i="29"/>
  <c r="M3799" i="29"/>
  <c r="L3787" i="29"/>
  <c r="M3787" i="29"/>
  <c r="L3786" i="29"/>
  <c r="M3786" i="29"/>
  <c r="L3788" i="29"/>
  <c r="M3788" i="29"/>
  <c r="L3789" i="29"/>
  <c r="M3789" i="29"/>
  <c r="L3790" i="29"/>
  <c r="M3790" i="29"/>
  <c r="M3784" i="29"/>
  <c r="L3784" i="29"/>
  <c r="L3781" i="29"/>
  <c r="M3781" i="29"/>
  <c r="L3778" i="29"/>
  <c r="M3778" i="29"/>
  <c r="L3765" i="29"/>
  <c r="M3765" i="29"/>
  <c r="M3759" i="29"/>
  <c r="L3759" i="29"/>
  <c r="L3754" i="29"/>
  <c r="M3754" i="29"/>
  <c r="L3756" i="29"/>
  <c r="M3756" i="29"/>
  <c r="M3747" i="29"/>
  <c r="L3747" i="29"/>
  <c r="L3752" i="29"/>
  <c r="M3752" i="29"/>
  <c r="L3727" i="29"/>
  <c r="M3727" i="29"/>
  <c r="L3718" i="29"/>
  <c r="M3718" i="29"/>
  <c r="L3719" i="29"/>
  <c r="M3719" i="29"/>
  <c r="L3724" i="29"/>
  <c r="M3724" i="29"/>
  <c r="M3742" i="29"/>
  <c r="L3742" i="29"/>
  <c r="L3729" i="29"/>
  <c r="M3729" i="29"/>
  <c r="L3726" i="29"/>
  <c r="M3726" i="29"/>
  <c r="L3715" i="29"/>
  <c r="M3715" i="29"/>
  <c r="L3712" i="29"/>
  <c r="M3712" i="29"/>
  <c r="M3713" i="29"/>
  <c r="L3713" i="29"/>
  <c r="L3714" i="29"/>
  <c r="M3714" i="29"/>
  <c r="L3699" i="29"/>
  <c r="M3699" i="29"/>
  <c r="L3703" i="29"/>
  <c r="M3703" i="29"/>
  <c r="L3709" i="29"/>
  <c r="M3709" i="29"/>
  <c r="L3659" i="29"/>
  <c r="M3659" i="29"/>
  <c r="L3664" i="29"/>
  <c r="M3664" i="29"/>
  <c r="L3668" i="29"/>
  <c r="M3668" i="29"/>
  <c r="L3672" i="29"/>
  <c r="M3672" i="29"/>
  <c r="M3675" i="29"/>
  <c r="L3675" i="29"/>
  <c r="L3676" i="29"/>
  <c r="M3676" i="29"/>
  <c r="L3689" i="29"/>
  <c r="M3689" i="29"/>
  <c r="L3695" i="29"/>
  <c r="M3695" i="29"/>
  <c r="L3635" i="29"/>
  <c r="M3635" i="29"/>
  <c r="L3637" i="29"/>
  <c r="M3637" i="29"/>
  <c r="L3648" i="29"/>
  <c r="M3648" i="29"/>
  <c r="M3649" i="29"/>
  <c r="L3649" i="29"/>
  <c r="L3630" i="29"/>
  <c r="M3630" i="29"/>
  <c r="L3631" i="29"/>
  <c r="M3631" i="29"/>
  <c r="L3632" i="29"/>
  <c r="M3632" i="29"/>
  <c r="L3636" i="29"/>
  <c r="M3636" i="29"/>
  <c r="M3641" i="29"/>
  <c r="L3641" i="29"/>
  <c r="L3642" i="29"/>
  <c r="M3642" i="29"/>
  <c r="L3644" i="29"/>
  <c r="M3644" i="29"/>
  <c r="L3650" i="29"/>
  <c r="M3650" i="29"/>
  <c r="L3652" i="29"/>
  <c r="M3652" i="29"/>
  <c r="L3655" i="29"/>
  <c r="M3655" i="29"/>
  <c r="M3625" i="29"/>
  <c r="L3625" i="29"/>
  <c r="L3626" i="29"/>
  <c r="M3626" i="29"/>
  <c r="L3614" i="29"/>
  <c r="M3614" i="29"/>
  <c r="M3660" i="29"/>
  <c r="L3660" i="29"/>
  <c r="L3666" i="29"/>
  <c r="M3666" i="29"/>
  <c r="L3696" i="29"/>
  <c r="M3696" i="29"/>
  <c r="M3745" i="29"/>
  <c r="L3745" i="29"/>
  <c r="M3746" i="29"/>
  <c r="L3746" i="29"/>
  <c r="L3758" i="29"/>
  <c r="M3758" i="29"/>
  <c r="L3763" i="29"/>
  <c r="M3763" i="29"/>
  <c r="L3793" i="29"/>
  <c r="M3793" i="29"/>
  <c r="L3811" i="29"/>
  <c r="M3811" i="29"/>
  <c r="L3818" i="29"/>
  <c r="M3818" i="29"/>
  <c r="L3849" i="29"/>
  <c r="M3849" i="29"/>
  <c r="L3855" i="29"/>
  <c r="M3855" i="29"/>
  <c r="L3856" i="29"/>
  <c r="M3856" i="29"/>
  <c r="L3863" i="29"/>
  <c r="M3863" i="29"/>
  <c r="L3864" i="29"/>
  <c r="M3864" i="29"/>
  <c r="M3865" i="29"/>
  <c r="L3865" i="29"/>
  <c r="L3871" i="29"/>
  <c r="M3871" i="29"/>
  <c r="L3875" i="29"/>
  <c r="M3875" i="29"/>
  <c r="L3881" i="29"/>
  <c r="M3881" i="29"/>
  <c r="L3890" i="29"/>
  <c r="M3890" i="29"/>
  <c r="L3892" i="29"/>
  <c r="M3892" i="29"/>
  <c r="L3896" i="29"/>
  <c r="M3896" i="29"/>
  <c r="L3903" i="29"/>
  <c r="M3903" i="29"/>
  <c r="M3911" i="29"/>
  <c r="L3911" i="29"/>
  <c r="L3912" i="29"/>
  <c r="M3912" i="29"/>
  <c r="L3919" i="29"/>
  <c r="M3919" i="29"/>
  <c r="M3922" i="29"/>
  <c r="L3922" i="29"/>
  <c r="L3608" i="29"/>
  <c r="M3608" i="29"/>
  <c r="L3609" i="29"/>
  <c r="M3609" i="29"/>
  <c r="M3594" i="29"/>
  <c r="L3594" i="29"/>
  <c r="M3595" i="29"/>
  <c r="L3595" i="29"/>
  <c r="L3604" i="29"/>
  <c r="M3604" i="29"/>
  <c r="M3588" i="29"/>
  <c r="L3588" i="29"/>
  <c r="M3640" i="29"/>
  <c r="L3640" i="29"/>
  <c r="M3651" i="29"/>
  <c r="L3651" i="29"/>
  <c r="M3670" i="29"/>
  <c r="L3670" i="29"/>
  <c r="L3671" i="29"/>
  <c r="M3671" i="29"/>
  <c r="L3681" i="29"/>
  <c r="M3681" i="29"/>
  <c r="M3682" i="29"/>
  <c r="L3682" i="29"/>
  <c r="L3690" i="29"/>
  <c r="M3690" i="29"/>
  <c r="M3691" i="29"/>
  <c r="L3691" i="29"/>
  <c r="M3697" i="29"/>
  <c r="L3697" i="29"/>
  <c r="L3700" i="29"/>
  <c r="M3700" i="29"/>
  <c r="M3704" i="29"/>
  <c r="L3704" i="29"/>
  <c r="M3707" i="29"/>
  <c r="L3707" i="29"/>
  <c r="L3710" i="29"/>
  <c r="M3710" i="29"/>
  <c r="L3720" i="29"/>
  <c r="M3720" i="29"/>
  <c r="L3721" i="29"/>
  <c r="M3721" i="29"/>
  <c r="M3749" i="29"/>
  <c r="L3749" i="29"/>
  <c r="M3750" i="29"/>
  <c r="L3750" i="29"/>
  <c r="M3755" i="29"/>
  <c r="L3755" i="29"/>
  <c r="M3757" i="29"/>
  <c r="L3757" i="29"/>
  <c r="M3761" i="29"/>
  <c r="L3761" i="29"/>
  <c r="M3764" i="29"/>
  <c r="L3764" i="29"/>
  <c r="M3769" i="29"/>
  <c r="L3769" i="29"/>
  <c r="L3772" i="29"/>
  <c r="M3772" i="29"/>
  <c r="M3774" i="29"/>
  <c r="L3774" i="29"/>
  <c r="M3780" i="29"/>
  <c r="L3780" i="29"/>
  <c r="M3802" i="29"/>
  <c r="L3802" i="29"/>
  <c r="M3804" i="29"/>
  <c r="L3804" i="29"/>
  <c r="L3822" i="29"/>
  <c r="M3822" i="29"/>
  <c r="L3829" i="29"/>
  <c r="M3829" i="29"/>
  <c r="L3836" i="29"/>
  <c r="M3836" i="29"/>
  <c r="M3851" i="29"/>
  <c r="L3851" i="29"/>
  <c r="L3870" i="29"/>
  <c r="M3870" i="29"/>
  <c r="L3873" i="29"/>
  <c r="M3873" i="29"/>
  <c r="M3879" i="29"/>
  <c r="L3879" i="29"/>
  <c r="M3894" i="29"/>
  <c r="L3894" i="29"/>
  <c r="L3898" i="29"/>
  <c r="M3898" i="29"/>
  <c r="M3902" i="29"/>
  <c r="L3902" i="29"/>
  <c r="M3907" i="29"/>
  <c r="L3907" i="29"/>
  <c r="M3913" i="29"/>
  <c r="L3913" i="29"/>
  <c r="M3918" i="29"/>
  <c r="L3918" i="29"/>
  <c r="M3926" i="29"/>
  <c r="L3926" i="29"/>
  <c r="M3587" i="29"/>
  <c r="L3587" i="29"/>
  <c r="L3584" i="29"/>
  <c r="M3584" i="29"/>
  <c r="L3583" i="29"/>
  <c r="M3583" i="29"/>
  <c r="L3574" i="29"/>
  <c r="M3574" i="29"/>
  <c r="M3575" i="29"/>
  <c r="L3575" i="29"/>
  <c r="L3579" i="29"/>
  <c r="M3579" i="29"/>
  <c r="L3581" i="29"/>
  <c r="M3581" i="29"/>
  <c r="L1342" i="24"/>
  <c r="K1342" i="24"/>
  <c r="L1339" i="24"/>
  <c r="K1339" i="24"/>
  <c r="L1334" i="24"/>
  <c r="K1334" i="24"/>
  <c r="K1329" i="24"/>
  <c r="L1329" i="24"/>
  <c r="L1328" i="24"/>
  <c r="K1328" i="24"/>
  <c r="L1312" i="24"/>
  <c r="K1312" i="24"/>
  <c r="K1264" i="24"/>
  <c r="L1264" i="24"/>
  <c r="L1256" i="24"/>
  <c r="K1256" i="24"/>
  <c r="L3585" i="29"/>
  <c r="M3585" i="29"/>
  <c r="L3582" i="29"/>
  <c r="M3582" i="29"/>
  <c r="L3576" i="29"/>
  <c r="M3576" i="29"/>
  <c r="L3572" i="29"/>
  <c r="M3572" i="29"/>
  <c r="L3570" i="29"/>
  <c r="M3570" i="29"/>
  <c r="L3569" i="29"/>
  <c r="L892" i="29"/>
  <c r="M937" i="29"/>
  <c r="L937" i="29"/>
  <c r="M934" i="29"/>
  <c r="L934" i="29"/>
  <c r="M932" i="29"/>
  <c r="L932" i="29"/>
  <c r="M930" i="29"/>
  <c r="L930" i="29"/>
  <c r="M922" i="29"/>
  <c r="L922" i="29"/>
  <c r="M916" i="29"/>
  <c r="L916" i="29"/>
  <c r="M910" i="29"/>
  <c r="L910" i="29"/>
  <c r="M907" i="29"/>
  <c r="L907" i="29"/>
  <c r="M895" i="29"/>
  <c r="L895" i="29"/>
  <c r="M861" i="29"/>
  <c r="L861" i="29"/>
  <c r="M852" i="29"/>
  <c r="L852" i="29"/>
  <c r="L838" i="29"/>
  <c r="M838" i="29"/>
  <c r="M827" i="29"/>
  <c r="L827" i="29"/>
  <c r="M822" i="29"/>
  <c r="L822" i="29"/>
  <c r="M819" i="29"/>
  <c r="L819" i="29"/>
  <c r="M809" i="29"/>
  <c r="L809" i="29"/>
  <c r="M806" i="29"/>
  <c r="L806" i="29"/>
  <c r="L801" i="29"/>
  <c r="M801" i="29"/>
  <c r="M799" i="29"/>
  <c r="L799" i="29"/>
  <c r="M780" i="29"/>
  <c r="L780" i="29"/>
  <c r="M768" i="29"/>
  <c r="L768" i="29"/>
  <c r="L767" i="29"/>
  <c r="M767" i="29"/>
  <c r="M763" i="29"/>
  <c r="L763" i="29"/>
  <c r="M759" i="29"/>
  <c r="L759" i="29"/>
  <c r="L758" i="29"/>
  <c r="M758" i="29"/>
  <c r="L749" i="29"/>
  <c r="M749" i="29"/>
  <c r="M617" i="29"/>
  <c r="L617" i="29"/>
  <c r="M615" i="29"/>
  <c r="L615" i="29"/>
  <c r="M583" i="29"/>
  <c r="L583" i="29"/>
  <c r="M582" i="29"/>
  <c r="L582" i="29"/>
  <c r="M578" i="29"/>
  <c r="L578" i="29"/>
  <c r="M573" i="29"/>
  <c r="L573" i="29"/>
  <c r="M567" i="29"/>
  <c r="L567" i="29"/>
  <c r="L562" i="29"/>
  <c r="M562" i="29"/>
  <c r="M550" i="29"/>
  <c r="L550" i="29"/>
  <c r="L375" i="29"/>
  <c r="M375" i="29"/>
  <c r="M374" i="29"/>
  <c r="L374" i="29"/>
  <c r="M371" i="29"/>
  <c r="L371" i="29"/>
  <c r="M370" i="29"/>
  <c r="L370" i="29"/>
  <c r="M367" i="29"/>
  <c r="L367" i="29"/>
  <c r="M366" i="29"/>
  <c r="L366" i="29"/>
  <c r="M364" i="29"/>
  <c r="L364" i="29"/>
  <c r="M361" i="29"/>
  <c r="L361" i="29"/>
  <c r="L359" i="29"/>
  <c r="M359" i="29"/>
  <c r="M356" i="29"/>
  <c r="L356" i="29"/>
  <c r="M946" i="29"/>
  <c r="L946" i="29"/>
  <c r="M945" i="29"/>
  <c r="L945" i="29"/>
  <c r="M944" i="29"/>
  <c r="L944" i="29"/>
  <c r="M943" i="29"/>
  <c r="L943" i="29"/>
  <c r="M942" i="29"/>
  <c r="L942" i="29"/>
  <c r="M941" i="29"/>
  <c r="L941" i="29"/>
  <c r="M940" i="29"/>
  <c r="L940" i="29"/>
  <c r="M939" i="29"/>
  <c r="L939" i="29"/>
  <c r="M938" i="29"/>
  <c r="L938" i="29"/>
  <c r="M936" i="29"/>
  <c r="L936" i="29"/>
  <c r="M935" i="29"/>
  <c r="L935" i="29"/>
  <c r="M933" i="29"/>
  <c r="L933" i="29"/>
  <c r="M931" i="29"/>
  <c r="L931" i="29"/>
  <c r="M929" i="29"/>
  <c r="L929" i="29"/>
  <c r="M928" i="29"/>
  <c r="L928" i="29"/>
  <c r="L927" i="29"/>
  <c r="M927" i="29"/>
  <c r="L926" i="29"/>
  <c r="M926" i="29"/>
  <c r="M925" i="29"/>
  <c r="L925" i="29"/>
  <c r="M924" i="29"/>
  <c r="L924" i="29"/>
  <c r="L923" i="29"/>
  <c r="M923" i="29"/>
  <c r="M921" i="29"/>
  <c r="L921" i="29"/>
  <c r="L920" i="29"/>
  <c r="M920" i="29"/>
  <c r="M919" i="29"/>
  <c r="L919" i="29"/>
  <c r="M918" i="29"/>
  <c r="L918" i="29"/>
  <c r="M917" i="29"/>
  <c r="L917" i="29"/>
  <c r="M915" i="29"/>
  <c r="L915" i="29"/>
  <c r="M914" i="29"/>
  <c r="L914" i="29"/>
  <c r="M913" i="29"/>
  <c r="L913" i="29"/>
  <c r="L912" i="29"/>
  <c r="M912" i="29"/>
  <c r="M911" i="29"/>
  <c r="L911" i="29"/>
  <c r="L909" i="29"/>
  <c r="M909" i="29"/>
  <c r="L908" i="29"/>
  <c r="M908" i="29"/>
  <c r="L906" i="29"/>
  <c r="M906" i="29"/>
  <c r="L905" i="29"/>
  <c r="M905" i="29"/>
  <c r="M904" i="29"/>
  <c r="L904" i="29"/>
  <c r="L903" i="29"/>
  <c r="M903" i="29"/>
  <c r="M902" i="29"/>
  <c r="L902" i="29"/>
  <c r="L901" i="29"/>
  <c r="M901" i="29"/>
  <c r="M900" i="29"/>
  <c r="L900" i="29"/>
  <c r="L899" i="29"/>
  <c r="M899" i="29"/>
  <c r="M898" i="29"/>
  <c r="L898" i="29"/>
  <c r="L897" i="29"/>
  <c r="M897" i="29"/>
  <c r="L896" i="29"/>
  <c r="M896" i="29"/>
  <c r="M891" i="29"/>
  <c r="L891" i="29"/>
  <c r="L890" i="29"/>
  <c r="M890" i="29"/>
  <c r="M889" i="29"/>
  <c r="L889" i="29"/>
  <c r="L888" i="29"/>
  <c r="M888" i="29"/>
  <c r="L887" i="29"/>
  <c r="M887" i="29"/>
  <c r="L886" i="29"/>
  <c r="M886" i="29"/>
  <c r="M885" i="29"/>
  <c r="L885" i="29"/>
  <c r="M884" i="29"/>
  <c r="L884" i="29"/>
  <c r="M883" i="29"/>
  <c r="L883" i="29"/>
  <c r="M882" i="29"/>
  <c r="L882" i="29"/>
  <c r="M881" i="29"/>
  <c r="L881" i="29"/>
  <c r="L880" i="29"/>
  <c r="M880" i="29"/>
  <c r="L879" i="29"/>
  <c r="M879" i="29"/>
  <c r="M878" i="29"/>
  <c r="L878" i="29"/>
  <c r="M877" i="29"/>
  <c r="L877" i="29"/>
  <c r="L876" i="29"/>
  <c r="M876" i="29"/>
  <c r="M875" i="29"/>
  <c r="L875" i="29"/>
  <c r="L874" i="29"/>
  <c r="M874" i="29"/>
  <c r="L873" i="29"/>
  <c r="M873" i="29"/>
  <c r="L872" i="29"/>
  <c r="M872" i="29"/>
  <c r="L871" i="29"/>
  <c r="M871" i="29"/>
  <c r="M870" i="29"/>
  <c r="L870" i="29"/>
  <c r="L869" i="29"/>
  <c r="M869" i="29"/>
  <c r="L868" i="29"/>
  <c r="M868" i="29"/>
  <c r="L867" i="29"/>
  <c r="M867" i="29"/>
  <c r="M866" i="29"/>
  <c r="L866" i="29"/>
  <c r="M865" i="29"/>
  <c r="L865" i="29"/>
  <c r="M864" i="29"/>
  <c r="L864" i="29"/>
  <c r="L863" i="29"/>
  <c r="M863" i="29"/>
  <c r="L862" i="29"/>
  <c r="M862" i="29"/>
  <c r="M860" i="29"/>
  <c r="L860" i="29"/>
  <c r="M859" i="29"/>
  <c r="L859" i="29"/>
  <c r="M858" i="29"/>
  <c r="L858" i="29"/>
  <c r="M857" i="29"/>
  <c r="L857" i="29"/>
  <c r="M856" i="29"/>
  <c r="L856" i="29"/>
  <c r="M855" i="29"/>
  <c r="L855" i="29"/>
  <c r="M854" i="29"/>
  <c r="L854" i="29"/>
  <c r="M853" i="29"/>
  <c r="L853" i="29"/>
  <c r="M851" i="29"/>
  <c r="L851" i="29"/>
  <c r="M850" i="29"/>
  <c r="L850" i="29"/>
  <c r="L849" i="29"/>
  <c r="M849" i="29"/>
  <c r="M848" i="29"/>
  <c r="L848" i="29"/>
  <c r="L847" i="29"/>
  <c r="M847" i="29"/>
  <c r="L846" i="29"/>
  <c r="M846" i="29"/>
  <c r="M845" i="29"/>
  <c r="L845" i="29"/>
  <c r="L844" i="29"/>
  <c r="M844" i="29"/>
  <c r="L843" i="29"/>
  <c r="M843" i="29"/>
  <c r="L842" i="29"/>
  <c r="M842" i="29"/>
  <c r="M841" i="29"/>
  <c r="L841" i="29"/>
  <c r="M840" i="29"/>
  <c r="L840" i="29"/>
  <c r="M839" i="29"/>
  <c r="L839" i="29"/>
  <c r="L837" i="29"/>
  <c r="M837" i="29"/>
  <c r="L836" i="29"/>
  <c r="M836" i="29"/>
  <c r="L835" i="29"/>
  <c r="M835" i="29"/>
  <c r="L834" i="29"/>
  <c r="M834" i="29"/>
  <c r="M833" i="29"/>
  <c r="L833" i="29"/>
  <c r="M832" i="29"/>
  <c r="L832" i="29"/>
  <c r="M831" i="29"/>
  <c r="L831" i="29"/>
  <c r="M830" i="29"/>
  <c r="L830" i="29"/>
  <c r="M829" i="29"/>
  <c r="L829" i="29"/>
  <c r="M828" i="29"/>
  <c r="L828" i="29"/>
  <c r="L826" i="29"/>
  <c r="M826" i="29"/>
  <c r="L825" i="29"/>
  <c r="M825" i="29"/>
  <c r="M824" i="29"/>
  <c r="L824" i="29"/>
  <c r="M823" i="29"/>
  <c r="L823" i="29"/>
  <c r="L821" i="29"/>
  <c r="M821" i="29"/>
  <c r="L820" i="29"/>
  <c r="M820" i="29"/>
  <c r="M818" i="29"/>
  <c r="L818" i="29"/>
  <c r="K817" i="29"/>
  <c r="I817" i="29"/>
  <c r="M816" i="29"/>
  <c r="L816" i="29"/>
  <c r="K815" i="29"/>
  <c r="I815" i="29"/>
  <c r="L814" i="29"/>
  <c r="M814" i="29"/>
  <c r="L813" i="29"/>
  <c r="M813" i="29"/>
  <c r="M812" i="29"/>
  <c r="L812" i="29"/>
  <c r="L811" i="29"/>
  <c r="M811" i="29"/>
  <c r="L810" i="29"/>
  <c r="M810" i="29"/>
  <c r="M808" i="29"/>
  <c r="L808" i="29"/>
  <c r="L807" i="29"/>
  <c r="M807" i="29"/>
  <c r="M805" i="29"/>
  <c r="L805" i="29"/>
  <c r="L804" i="29"/>
  <c r="M804" i="29"/>
  <c r="L803" i="29"/>
  <c r="M803" i="29"/>
  <c r="L802" i="29"/>
  <c r="M802" i="29"/>
  <c r="L800" i="29"/>
  <c r="M800" i="29"/>
  <c r="L798" i="29"/>
  <c r="M798" i="29"/>
  <c r="M797" i="29"/>
  <c r="L797" i="29"/>
  <c r="M796" i="29"/>
  <c r="L796" i="29"/>
  <c r="M795" i="29"/>
  <c r="L795" i="29"/>
  <c r="L794" i="29"/>
  <c r="M794" i="29"/>
  <c r="M793" i="29"/>
  <c r="L793" i="29"/>
  <c r="M792" i="29"/>
  <c r="L792" i="29"/>
  <c r="L791" i="29"/>
  <c r="M791" i="29"/>
  <c r="M790" i="29"/>
  <c r="L790" i="29"/>
  <c r="L789" i="29"/>
  <c r="M789" i="29"/>
  <c r="L788" i="29"/>
  <c r="M788" i="29"/>
  <c r="L787" i="29"/>
  <c r="M787" i="29"/>
  <c r="L786" i="29"/>
  <c r="M786" i="29"/>
  <c r="M785" i="29"/>
  <c r="L785" i="29"/>
  <c r="M784" i="29"/>
  <c r="L784" i="29"/>
  <c r="M783" i="29"/>
  <c r="L783" i="29"/>
  <c r="L782" i="29"/>
  <c r="M782" i="29"/>
  <c r="L781" i="29"/>
  <c r="M781" i="29"/>
  <c r="L779" i="29"/>
  <c r="M779" i="29"/>
  <c r="M778" i="29"/>
  <c r="L778" i="29"/>
  <c r="L777" i="29"/>
  <c r="M777" i="29"/>
  <c r="M776" i="29"/>
  <c r="L776" i="29"/>
  <c r="M775" i="29"/>
  <c r="L775" i="29"/>
  <c r="L774" i="29"/>
  <c r="M774" i="29"/>
  <c r="M773" i="29"/>
  <c r="L773" i="29"/>
  <c r="M772" i="29"/>
  <c r="L772" i="29"/>
  <c r="M771" i="29"/>
  <c r="L771" i="29"/>
  <c r="M770" i="29"/>
  <c r="L770" i="29"/>
  <c r="L769" i="29"/>
  <c r="M769" i="29"/>
  <c r="L766" i="29"/>
  <c r="M766" i="29"/>
  <c r="M765" i="29"/>
  <c r="L765" i="29"/>
  <c r="L764" i="29"/>
  <c r="M764" i="29"/>
  <c r="M762" i="29"/>
  <c r="L762" i="29"/>
  <c r="L761" i="29"/>
  <c r="M761" i="29"/>
  <c r="M760" i="29"/>
  <c r="L760" i="29"/>
  <c r="M757" i="29"/>
  <c r="L757" i="29"/>
  <c r="L756" i="29"/>
  <c r="M756" i="29"/>
  <c r="M755" i="29"/>
  <c r="L755" i="29"/>
  <c r="M754" i="29"/>
  <c r="L754" i="29"/>
  <c r="L753" i="29"/>
  <c r="M753" i="29"/>
  <c r="M752" i="29"/>
  <c r="L752" i="29"/>
  <c r="M751" i="29"/>
  <c r="L751" i="29"/>
  <c r="M750" i="29"/>
  <c r="L750" i="29"/>
  <c r="M748" i="29"/>
  <c r="L748" i="29"/>
  <c r="M747" i="29"/>
  <c r="L747" i="29"/>
  <c r="M746" i="29"/>
  <c r="L746" i="29"/>
  <c r="M745" i="29"/>
  <c r="L745" i="29"/>
  <c r="M744" i="29"/>
  <c r="L744" i="29"/>
  <c r="M743" i="29"/>
  <c r="L743" i="29"/>
  <c r="M742" i="29"/>
  <c r="L742" i="29"/>
  <c r="M741" i="29"/>
  <c r="L741" i="29"/>
  <c r="M740" i="29"/>
  <c r="L740" i="29"/>
  <c r="M739" i="29"/>
  <c r="L739" i="29"/>
  <c r="I738" i="29"/>
  <c r="K738" i="29"/>
  <c r="L737" i="29"/>
  <c r="M737" i="29"/>
  <c r="L736" i="29"/>
  <c r="M736" i="29"/>
  <c r="M735" i="29"/>
  <c r="L735" i="29"/>
  <c r="L734" i="29"/>
  <c r="M734" i="29"/>
  <c r="L733" i="29"/>
  <c r="M733" i="29"/>
  <c r="L732" i="29"/>
  <c r="M732" i="29"/>
  <c r="L731" i="29"/>
  <c r="M731" i="29"/>
  <c r="L730" i="29"/>
  <c r="M730" i="29"/>
  <c r="L729" i="29"/>
  <c r="M729" i="29"/>
  <c r="L728" i="29"/>
  <c r="M728" i="29"/>
  <c r="M727" i="29"/>
  <c r="L727" i="29"/>
  <c r="M726" i="29"/>
  <c r="L726" i="29"/>
  <c r="L725" i="29"/>
  <c r="M725" i="29"/>
  <c r="M724" i="29"/>
  <c r="L724" i="29"/>
  <c r="M723" i="29"/>
  <c r="L723" i="29"/>
  <c r="L722" i="29"/>
  <c r="M722" i="29"/>
  <c r="L721" i="29"/>
  <c r="M721" i="29"/>
  <c r="L720" i="29"/>
  <c r="M720" i="29"/>
  <c r="L719" i="29"/>
  <c r="M719" i="29"/>
  <c r="L718" i="29"/>
  <c r="M718" i="29"/>
  <c r="L717" i="29"/>
  <c r="M717" i="29"/>
  <c r="L716" i="29"/>
  <c r="M716" i="29"/>
  <c r="M715" i="29"/>
  <c r="L715" i="29"/>
  <c r="M714" i="29"/>
  <c r="L714" i="29"/>
  <c r="M713" i="29"/>
  <c r="L713" i="29"/>
  <c r="L712" i="29"/>
  <c r="M712" i="29"/>
  <c r="L711" i="29"/>
  <c r="M711" i="29"/>
  <c r="L710" i="29"/>
  <c r="M710" i="29"/>
  <c r="L709" i="29"/>
  <c r="M709" i="29"/>
  <c r="L708" i="29"/>
  <c r="M708" i="29"/>
  <c r="L707" i="29"/>
  <c r="M707" i="29"/>
  <c r="M706" i="29"/>
  <c r="L706" i="29"/>
  <c r="M705" i="29"/>
  <c r="L705" i="29"/>
  <c r="L704" i="29"/>
  <c r="M704" i="29"/>
  <c r="L703" i="29"/>
  <c r="M703" i="29"/>
  <c r="L702" i="29"/>
  <c r="M702" i="29"/>
  <c r="M701" i="29"/>
  <c r="L701" i="29"/>
  <c r="M700" i="29"/>
  <c r="L700" i="29"/>
  <c r="M699" i="29"/>
  <c r="L699" i="29"/>
  <c r="M698" i="29"/>
  <c r="L698" i="29"/>
  <c r="M697" i="29"/>
  <c r="L697" i="29"/>
  <c r="L696" i="29"/>
  <c r="M696" i="29"/>
  <c r="L695" i="29"/>
  <c r="M695" i="29"/>
  <c r="L694" i="29"/>
  <c r="M694" i="29"/>
  <c r="L693" i="29"/>
  <c r="M693" i="29"/>
  <c r="L692" i="29"/>
  <c r="M692" i="29"/>
  <c r="M691" i="29"/>
  <c r="L691" i="29"/>
  <c r="M690" i="29"/>
  <c r="L690" i="29"/>
  <c r="L689" i="29"/>
  <c r="M689" i="29"/>
  <c r="M688" i="29"/>
  <c r="L688" i="29"/>
  <c r="M687" i="29"/>
  <c r="L687" i="29"/>
  <c r="L686" i="29"/>
  <c r="M686" i="29"/>
  <c r="L685" i="29"/>
  <c r="M685" i="29"/>
  <c r="L684" i="29"/>
  <c r="M684" i="29"/>
  <c r="L683" i="29"/>
  <c r="M683" i="29"/>
  <c r="L682" i="29"/>
  <c r="M682" i="29"/>
  <c r="M681" i="29"/>
  <c r="L681" i="29"/>
  <c r="L680" i="29"/>
  <c r="M680" i="29"/>
  <c r="M679" i="29"/>
  <c r="L679" i="29"/>
  <c r="M678" i="29"/>
  <c r="L678" i="29"/>
  <c r="M677" i="29"/>
  <c r="L677" i="29"/>
  <c r="M676" i="29"/>
  <c r="L676" i="29"/>
  <c r="M675" i="29"/>
  <c r="L675" i="29"/>
  <c r="L674" i="29"/>
  <c r="M674" i="29"/>
  <c r="L673" i="29"/>
  <c r="M673" i="29"/>
  <c r="L672" i="29"/>
  <c r="M672" i="29"/>
  <c r="L671" i="29"/>
  <c r="M671" i="29"/>
  <c r="M670" i="29"/>
  <c r="L670" i="29"/>
  <c r="M669" i="29"/>
  <c r="L669" i="29"/>
  <c r="M668" i="29"/>
  <c r="L668" i="29"/>
  <c r="M667" i="29"/>
  <c r="L667" i="29"/>
  <c r="L666" i="29"/>
  <c r="M666" i="29"/>
  <c r="M665" i="29"/>
  <c r="L665" i="29"/>
  <c r="M664" i="29"/>
  <c r="L664" i="29"/>
  <c r="M663" i="29"/>
  <c r="L663" i="29"/>
  <c r="M662" i="29"/>
  <c r="L662" i="29"/>
  <c r="M661" i="29"/>
  <c r="L661" i="29"/>
  <c r="M660" i="29"/>
  <c r="L660" i="29"/>
  <c r="L659" i="29"/>
  <c r="M659" i="29"/>
  <c r="L658" i="29"/>
  <c r="M658" i="29"/>
  <c r="M657" i="29"/>
  <c r="L657" i="29"/>
  <c r="M656" i="29"/>
  <c r="L656" i="29"/>
  <c r="M655" i="29"/>
  <c r="L655" i="29"/>
  <c r="L654" i="29"/>
  <c r="M654" i="29"/>
  <c r="M653" i="29"/>
  <c r="L653" i="29"/>
  <c r="L652" i="29"/>
  <c r="M652" i="29"/>
  <c r="M651" i="29"/>
  <c r="L651" i="29"/>
  <c r="L650" i="29"/>
  <c r="M650" i="29"/>
  <c r="M649" i="29"/>
  <c r="L649" i="29"/>
  <c r="L648" i="29"/>
  <c r="M648" i="29"/>
  <c r="M647" i="29"/>
  <c r="L647" i="29"/>
  <c r="M646" i="29"/>
  <c r="L646" i="29"/>
  <c r="L645" i="29"/>
  <c r="M645" i="29"/>
  <c r="M644" i="29"/>
  <c r="L644" i="29"/>
  <c r="L643" i="29"/>
  <c r="M643" i="29"/>
  <c r="M642" i="29"/>
  <c r="L642" i="29"/>
  <c r="M641" i="29"/>
  <c r="L641" i="29"/>
  <c r="M640" i="29"/>
  <c r="L640" i="29"/>
  <c r="M639" i="29"/>
  <c r="L639" i="29"/>
  <c r="L638" i="29"/>
  <c r="M638" i="29"/>
  <c r="M637" i="29"/>
  <c r="L637" i="29"/>
  <c r="M636" i="29"/>
  <c r="L636" i="29"/>
  <c r="L635" i="29"/>
  <c r="M635" i="29"/>
  <c r="M634" i="29"/>
  <c r="L634" i="29"/>
  <c r="M633" i="29"/>
  <c r="L633" i="29"/>
  <c r="M632" i="29"/>
  <c r="L632" i="29"/>
  <c r="L631" i="29"/>
  <c r="M631" i="29"/>
  <c r="M630" i="29"/>
  <c r="L630" i="29"/>
  <c r="M629" i="29"/>
  <c r="L629" i="29"/>
  <c r="L628" i="29"/>
  <c r="M628" i="29"/>
  <c r="L627" i="29"/>
  <c r="M627" i="29"/>
  <c r="L626" i="29"/>
  <c r="M626" i="29"/>
  <c r="L625" i="29"/>
  <c r="M625" i="29"/>
  <c r="L624" i="29"/>
  <c r="M624" i="29"/>
  <c r="M623" i="29"/>
  <c r="L623" i="29"/>
  <c r="L622" i="29"/>
  <c r="M622" i="29"/>
  <c r="M621" i="29"/>
  <c r="L621" i="29"/>
  <c r="L620" i="29"/>
  <c r="M620" i="29"/>
  <c r="L619" i="29"/>
  <c r="M619" i="29"/>
  <c r="L618" i="29"/>
  <c r="M618" i="29"/>
  <c r="L616" i="29"/>
  <c r="M616" i="29"/>
  <c r="M614" i="29"/>
  <c r="L614" i="29"/>
  <c r="M613" i="29"/>
  <c r="L613" i="29"/>
  <c r="M612" i="29"/>
  <c r="L612" i="29"/>
  <c r="M611" i="29"/>
  <c r="L611" i="29"/>
  <c r="M610" i="29"/>
  <c r="L610" i="29"/>
  <c r="M609" i="29"/>
  <c r="L609" i="29"/>
  <c r="L608" i="29"/>
  <c r="M608" i="29"/>
  <c r="L607" i="29"/>
  <c r="M607" i="29"/>
  <c r="L606" i="29"/>
  <c r="M606" i="29"/>
  <c r="M605" i="29"/>
  <c r="L605" i="29"/>
  <c r="L604" i="29"/>
  <c r="M604" i="29"/>
  <c r="M603" i="29"/>
  <c r="L603" i="29"/>
  <c r="M602" i="29"/>
  <c r="L602" i="29"/>
  <c r="M601" i="29"/>
  <c r="L601" i="29"/>
  <c r="M600" i="29"/>
  <c r="L600" i="29"/>
  <c r="L599" i="29"/>
  <c r="M599" i="29"/>
  <c r="L598" i="29"/>
  <c r="M598" i="29"/>
  <c r="M597" i="29"/>
  <c r="L597" i="29"/>
  <c r="M596" i="29"/>
  <c r="L596" i="29"/>
  <c r="L595" i="29"/>
  <c r="M595" i="29"/>
  <c r="M594" i="29"/>
  <c r="L594" i="29"/>
  <c r="L593" i="29"/>
  <c r="M593" i="29"/>
  <c r="L592" i="29"/>
  <c r="M592" i="29"/>
  <c r="M591" i="29"/>
  <c r="L591" i="29"/>
  <c r="M590" i="29"/>
  <c r="L590" i="29"/>
  <c r="M589" i="29"/>
  <c r="L589" i="29"/>
  <c r="L588" i="29"/>
  <c r="M588" i="29"/>
  <c r="L587" i="29"/>
  <c r="M587" i="29"/>
  <c r="M586" i="29"/>
  <c r="L586" i="29"/>
  <c r="L585" i="29"/>
  <c r="M585" i="29"/>
  <c r="L584" i="29"/>
  <c r="M584" i="29"/>
  <c r="M581" i="29"/>
  <c r="L581" i="29"/>
  <c r="M580" i="29"/>
  <c r="L580" i="29"/>
  <c r="M579" i="29"/>
  <c r="L579" i="29"/>
  <c r="M577" i="29"/>
  <c r="L577" i="29"/>
  <c r="L576" i="29"/>
  <c r="M576" i="29"/>
  <c r="M575" i="29"/>
  <c r="L575" i="29"/>
  <c r="M574" i="29"/>
  <c r="L574" i="29"/>
  <c r="M572" i="29"/>
  <c r="L572" i="29"/>
  <c r="L571" i="29"/>
  <c r="M571" i="29"/>
  <c r="L570" i="29"/>
  <c r="M570" i="29"/>
  <c r="M569" i="29"/>
  <c r="L569" i="29"/>
  <c r="M568" i="29"/>
  <c r="L568" i="29"/>
  <c r="L566" i="29"/>
  <c r="M566" i="29"/>
  <c r="M565" i="29"/>
  <c r="L565" i="29"/>
  <c r="M564" i="29"/>
  <c r="L564" i="29"/>
  <c r="M563" i="29"/>
  <c r="L563" i="29"/>
  <c r="L561" i="29"/>
  <c r="M561" i="29"/>
  <c r="M560" i="29"/>
  <c r="L560" i="29"/>
  <c r="L559" i="29"/>
  <c r="M559" i="29"/>
  <c r="M558" i="29"/>
  <c r="L558" i="29"/>
  <c r="M557" i="29"/>
  <c r="L557" i="29"/>
  <c r="L556" i="29"/>
  <c r="M556" i="29"/>
  <c r="M555" i="29"/>
  <c r="L555" i="29"/>
  <c r="M554" i="29"/>
  <c r="L554" i="29"/>
  <c r="M553" i="29"/>
  <c r="L553" i="29"/>
  <c r="L552" i="29"/>
  <c r="M552" i="29"/>
  <c r="M551" i="29"/>
  <c r="L551" i="29"/>
  <c r="L549" i="29"/>
  <c r="M549" i="29"/>
  <c r="M548" i="29"/>
  <c r="L548" i="29"/>
  <c r="M547" i="29"/>
  <c r="L547" i="29"/>
  <c r="M546" i="29"/>
  <c r="L546" i="29"/>
  <c r="M545" i="29"/>
  <c r="L545" i="29"/>
  <c r="M544" i="29"/>
  <c r="L544" i="29"/>
  <c r="M543" i="29"/>
  <c r="L543" i="29"/>
  <c r="M542" i="29"/>
  <c r="L542" i="29"/>
  <c r="M541" i="29"/>
  <c r="L541" i="29"/>
  <c r="M540" i="29"/>
  <c r="L540" i="29"/>
  <c r="L539" i="29"/>
  <c r="M539" i="29"/>
  <c r="M538" i="29"/>
  <c r="L538" i="29"/>
  <c r="L537" i="29"/>
  <c r="M537" i="29"/>
  <c r="L536" i="29"/>
  <c r="M536" i="29"/>
  <c r="M535" i="29"/>
  <c r="L535" i="29"/>
  <c r="M534" i="29"/>
  <c r="L534" i="29"/>
  <c r="M533" i="29"/>
  <c r="L533" i="29"/>
  <c r="L532" i="29"/>
  <c r="M532" i="29"/>
  <c r="M531" i="29"/>
  <c r="L531" i="29"/>
  <c r="M530" i="29"/>
  <c r="L530" i="29"/>
  <c r="M529" i="29"/>
  <c r="L529" i="29"/>
  <c r="L528" i="29"/>
  <c r="M528" i="29"/>
  <c r="M527" i="29"/>
  <c r="L527" i="29"/>
  <c r="L526" i="29"/>
  <c r="M526" i="29"/>
  <c r="L525" i="29"/>
  <c r="M525" i="29"/>
  <c r="L524" i="29"/>
  <c r="M524" i="29"/>
  <c r="L523" i="29"/>
  <c r="M523" i="29"/>
  <c r="M522" i="29"/>
  <c r="L522" i="29"/>
  <c r="M521" i="29"/>
  <c r="L521" i="29"/>
  <c r="M520" i="29"/>
  <c r="L520" i="29"/>
  <c r="L519" i="29"/>
  <c r="M519" i="29"/>
  <c r="M518" i="29"/>
  <c r="L518" i="29"/>
  <c r="L517" i="29"/>
  <c r="M517" i="29"/>
  <c r="L516" i="29"/>
  <c r="M516" i="29"/>
  <c r="M515" i="29"/>
  <c r="L515" i="29"/>
  <c r="M514" i="29"/>
  <c r="L514" i="29"/>
  <c r="M513" i="29"/>
  <c r="L513" i="29"/>
  <c r="M512" i="29"/>
  <c r="L512" i="29"/>
  <c r="M511" i="29"/>
  <c r="L511" i="29"/>
  <c r="M510" i="29"/>
  <c r="L510" i="29"/>
  <c r="M509" i="29"/>
  <c r="L509" i="29"/>
  <c r="L508" i="29"/>
  <c r="M508" i="29"/>
  <c r="M507" i="29"/>
  <c r="L507" i="29"/>
  <c r="M506" i="29"/>
  <c r="L506" i="29"/>
  <c r="M505" i="29"/>
  <c r="L505" i="29"/>
  <c r="M504" i="29"/>
  <c r="L504" i="29"/>
  <c r="L503" i="29"/>
  <c r="M503" i="29"/>
  <c r="M502" i="29"/>
  <c r="L502" i="29"/>
  <c r="L501" i="29"/>
  <c r="M501" i="29"/>
  <c r="L500" i="29"/>
  <c r="M500" i="29"/>
  <c r="L499" i="29"/>
  <c r="M499" i="29"/>
  <c r="M498" i="29"/>
  <c r="L498" i="29"/>
  <c r="L497" i="29"/>
  <c r="M497" i="29"/>
  <c r="L496" i="29"/>
  <c r="M496" i="29"/>
  <c r="L495" i="29"/>
  <c r="M495" i="29"/>
  <c r="L494" i="29"/>
  <c r="M494" i="29"/>
  <c r="L493" i="29"/>
  <c r="M493" i="29"/>
  <c r="M492" i="29"/>
  <c r="L492" i="29"/>
  <c r="L491" i="29"/>
  <c r="M491" i="29"/>
  <c r="L490" i="29"/>
  <c r="M490" i="29"/>
  <c r="M489" i="29"/>
  <c r="L489" i="29"/>
  <c r="M488" i="29"/>
  <c r="L488" i="29"/>
  <c r="M487" i="29"/>
  <c r="L487" i="29"/>
  <c r="M486" i="29"/>
  <c r="L486" i="29"/>
  <c r="M485" i="29"/>
  <c r="L485" i="29"/>
  <c r="M484" i="29"/>
  <c r="L484" i="29"/>
  <c r="L483" i="29"/>
  <c r="M483" i="29"/>
  <c r="L482" i="29"/>
  <c r="M482" i="29"/>
  <c r="L481" i="29"/>
  <c r="M481" i="29"/>
  <c r="M480" i="29"/>
  <c r="L480" i="29"/>
  <c r="M479" i="29"/>
  <c r="L479" i="29"/>
  <c r="M478" i="29"/>
  <c r="L478" i="29"/>
  <c r="M477" i="29"/>
  <c r="L477" i="29"/>
  <c r="L476" i="29"/>
  <c r="M476" i="29"/>
  <c r="L475" i="29"/>
  <c r="M475" i="29"/>
  <c r="L474" i="29"/>
  <c r="M474" i="29"/>
  <c r="M473" i="29"/>
  <c r="L473" i="29"/>
  <c r="L472" i="29"/>
  <c r="M472" i="29"/>
  <c r="M471" i="29"/>
  <c r="L471" i="29"/>
  <c r="L470" i="29"/>
  <c r="M470" i="29"/>
  <c r="M469" i="29"/>
  <c r="L469" i="29"/>
  <c r="M468" i="29"/>
  <c r="L468" i="29"/>
  <c r="M467" i="29"/>
  <c r="L467" i="29"/>
  <c r="M466" i="29"/>
  <c r="L466" i="29"/>
  <c r="M465" i="29"/>
  <c r="L465" i="29"/>
  <c r="M464" i="29"/>
  <c r="L464" i="29"/>
  <c r="L463" i="29"/>
  <c r="M463" i="29"/>
  <c r="L462" i="29"/>
  <c r="M462" i="29"/>
  <c r="M461" i="29"/>
  <c r="L461" i="29"/>
  <c r="M460" i="29"/>
  <c r="L460" i="29"/>
  <c r="L459" i="29"/>
  <c r="M459" i="29"/>
  <c r="L458" i="29"/>
  <c r="M458" i="29"/>
  <c r="L457" i="29"/>
  <c r="M457" i="29"/>
  <c r="L456" i="29"/>
  <c r="M456" i="29"/>
  <c r="K455" i="29"/>
  <c r="L454" i="29"/>
  <c r="M454" i="29"/>
  <c r="L453" i="29"/>
  <c r="M453" i="29"/>
  <c r="M452" i="29"/>
  <c r="L452" i="29"/>
  <c r="L451" i="29"/>
  <c r="M451" i="29"/>
  <c r="M450" i="29"/>
  <c r="L450" i="29"/>
  <c r="M449" i="29"/>
  <c r="L449" i="29"/>
  <c r="L448" i="29"/>
  <c r="M448" i="29"/>
  <c r="M447" i="29"/>
  <c r="L447" i="29"/>
  <c r="M446" i="29"/>
  <c r="L446" i="29"/>
  <c r="M445" i="29"/>
  <c r="L445" i="29"/>
  <c r="M444" i="29"/>
  <c r="L444" i="29"/>
  <c r="M443" i="29"/>
  <c r="L443" i="29"/>
  <c r="M442" i="29"/>
  <c r="L442" i="29"/>
  <c r="M441" i="29"/>
  <c r="L441" i="29"/>
  <c r="L440" i="29"/>
  <c r="M440" i="29"/>
  <c r="M439" i="29"/>
  <c r="L439" i="29"/>
  <c r="M438" i="29"/>
  <c r="L438" i="29"/>
  <c r="M437" i="29"/>
  <c r="L437" i="29"/>
  <c r="L436" i="29"/>
  <c r="M436" i="29"/>
  <c r="M435" i="29"/>
  <c r="L435" i="29"/>
  <c r="L434" i="29"/>
  <c r="M434" i="29"/>
  <c r="M433" i="29"/>
  <c r="L433" i="29"/>
  <c r="M432" i="29"/>
  <c r="L432" i="29"/>
  <c r="M431" i="29"/>
  <c r="L431" i="29"/>
  <c r="L430" i="29"/>
  <c r="M430" i="29"/>
  <c r="M429" i="29"/>
  <c r="L429" i="29"/>
  <c r="M428" i="29"/>
  <c r="L428" i="29"/>
  <c r="M427" i="29"/>
  <c r="L427" i="29"/>
  <c r="M426" i="29"/>
  <c r="L426" i="29"/>
  <c r="L425" i="29"/>
  <c r="M425" i="29"/>
  <c r="L424" i="29"/>
  <c r="M424" i="29"/>
  <c r="M423" i="29"/>
  <c r="L423" i="29"/>
  <c r="L422" i="29"/>
  <c r="M422" i="29"/>
  <c r="L421" i="29"/>
  <c r="M421" i="29"/>
  <c r="L420" i="29"/>
  <c r="M420" i="29"/>
  <c r="M419" i="29"/>
  <c r="L419" i="29"/>
  <c r="L418" i="29"/>
  <c r="M418" i="29"/>
  <c r="M417" i="29"/>
  <c r="L417" i="29"/>
  <c r="M416" i="29"/>
  <c r="L416" i="29"/>
  <c r="L415" i="29"/>
  <c r="M415" i="29"/>
  <c r="L414" i="29"/>
  <c r="M414" i="29"/>
  <c r="L413" i="29"/>
  <c r="M413" i="29"/>
  <c r="L412" i="29"/>
  <c r="M412" i="29"/>
  <c r="L411" i="29"/>
  <c r="M411" i="29"/>
  <c r="M410" i="29"/>
  <c r="L410" i="29"/>
  <c r="M409" i="29"/>
  <c r="L409" i="29"/>
  <c r="L408" i="29"/>
  <c r="M408" i="29"/>
  <c r="M407" i="29"/>
  <c r="L407" i="29"/>
  <c r="M406" i="29"/>
  <c r="L406" i="29"/>
  <c r="L405" i="29"/>
  <c r="M405" i="29"/>
  <c r="M404" i="29"/>
  <c r="L404" i="29"/>
  <c r="L403" i="29"/>
  <c r="M403" i="29"/>
  <c r="L402" i="29"/>
  <c r="M402" i="29"/>
  <c r="L401" i="29"/>
  <c r="M401" i="29"/>
  <c r="M400" i="29"/>
  <c r="L400" i="29"/>
  <c r="M399" i="29"/>
  <c r="L399" i="29"/>
  <c r="M398" i="29"/>
  <c r="L398" i="29"/>
  <c r="M397" i="29"/>
  <c r="L397" i="29"/>
  <c r="L396" i="29"/>
  <c r="M396" i="29"/>
  <c r="L395" i="29"/>
  <c r="M395" i="29"/>
  <c r="L394" i="29"/>
  <c r="M394" i="29"/>
  <c r="L393" i="29"/>
  <c r="M393" i="29"/>
  <c r="L392" i="29"/>
  <c r="M392" i="29"/>
  <c r="L391" i="29"/>
  <c r="M391" i="29"/>
  <c r="M390" i="29"/>
  <c r="L390" i="29"/>
  <c r="M389" i="29"/>
  <c r="L389" i="29"/>
  <c r="M388" i="29"/>
  <c r="L388" i="29"/>
  <c r="M387" i="29"/>
  <c r="L387" i="29"/>
  <c r="L386" i="29"/>
  <c r="M386" i="29"/>
  <c r="M385" i="29"/>
  <c r="L385" i="29"/>
  <c r="L384" i="29"/>
  <c r="M384" i="29"/>
  <c r="M383" i="29"/>
  <c r="L383" i="29"/>
  <c r="M382" i="29"/>
  <c r="L382" i="29"/>
  <c r="M381" i="29"/>
  <c r="L381" i="29"/>
  <c r="M380" i="29"/>
  <c r="L380" i="29"/>
  <c r="M379" i="29"/>
  <c r="L379" i="29"/>
  <c r="L378" i="29"/>
  <c r="M378" i="29"/>
  <c r="M377" i="29"/>
  <c r="L377" i="29"/>
  <c r="L376" i="29"/>
  <c r="M376" i="29"/>
  <c r="L373" i="29"/>
  <c r="M373" i="29"/>
  <c r="L372" i="29"/>
  <c r="M372" i="29"/>
  <c r="M369" i="29"/>
  <c r="L369" i="29"/>
  <c r="M368" i="29"/>
  <c r="L368" i="29"/>
  <c r="L365" i="29"/>
  <c r="M365" i="29"/>
  <c r="M363" i="29"/>
  <c r="L363" i="29"/>
  <c r="M362" i="29"/>
  <c r="L362" i="29"/>
  <c r="L360" i="29"/>
  <c r="M360" i="29"/>
  <c r="L358" i="29"/>
  <c r="M358" i="29"/>
  <c r="L357" i="29"/>
  <c r="M357" i="29"/>
  <c r="L355" i="29"/>
  <c r="M355" i="29"/>
  <c r="L354" i="29"/>
  <c r="M354" i="29"/>
  <c r="L353" i="29"/>
  <c r="M353" i="29"/>
  <c r="L352" i="29"/>
  <c r="M352" i="29"/>
  <c r="L351" i="29"/>
  <c r="M351" i="29"/>
  <c r="L350" i="29"/>
  <c r="M350" i="29"/>
  <c r="M349" i="29"/>
  <c r="L349" i="29"/>
  <c r="M348" i="29"/>
  <c r="L348" i="29"/>
  <c r="L347" i="29"/>
  <c r="M347" i="29"/>
  <c r="L346" i="29"/>
  <c r="M346" i="29"/>
  <c r="L345" i="29"/>
  <c r="M345" i="29"/>
  <c r="M344" i="29"/>
  <c r="L344" i="29"/>
  <c r="M343" i="29"/>
  <c r="L343" i="29"/>
  <c r="L342" i="29"/>
  <c r="M342" i="29"/>
  <c r="M341" i="29"/>
  <c r="L341" i="29"/>
  <c r="M340" i="29"/>
  <c r="L340" i="29"/>
  <c r="L339" i="29"/>
  <c r="M339" i="29"/>
  <c r="M338" i="29"/>
  <c r="L338" i="29"/>
  <c r="M337" i="29"/>
  <c r="L337" i="29"/>
  <c r="M336" i="29"/>
  <c r="L336" i="29"/>
  <c r="M335" i="29"/>
  <c r="L335" i="29"/>
  <c r="M334" i="29"/>
  <c r="L334" i="29"/>
  <c r="M333" i="29"/>
  <c r="L333" i="29"/>
  <c r="L332" i="29"/>
  <c r="M332" i="29"/>
  <c r="L331" i="29"/>
  <c r="M331" i="29"/>
  <c r="L330" i="29"/>
  <c r="M330" i="29"/>
  <c r="L329" i="29"/>
  <c r="M329" i="29"/>
  <c r="L328" i="29"/>
  <c r="M328" i="29"/>
  <c r="L327" i="29"/>
  <c r="M327" i="29"/>
  <c r="L326" i="29"/>
  <c r="M326" i="29"/>
  <c r="M325" i="29"/>
  <c r="L325" i="29"/>
  <c r="M324" i="29"/>
  <c r="L324" i="29"/>
  <c r="M323" i="29"/>
  <c r="L323" i="29"/>
  <c r="M322" i="29"/>
  <c r="L322" i="29"/>
  <c r="M321" i="29"/>
  <c r="L321" i="29"/>
  <c r="M320" i="29"/>
  <c r="L320" i="29"/>
  <c r="M319" i="29"/>
  <c r="L319" i="29"/>
  <c r="M318" i="29"/>
  <c r="L318" i="29"/>
  <c r="M317" i="29"/>
  <c r="L317" i="29"/>
  <c r="M316" i="29"/>
  <c r="L316" i="29"/>
  <c r="M315" i="29"/>
  <c r="L315" i="29"/>
  <c r="M314" i="29"/>
  <c r="L314" i="29"/>
  <c r="M313" i="29"/>
  <c r="L313" i="29"/>
  <c r="M312" i="29"/>
  <c r="L312" i="29"/>
  <c r="M311" i="29"/>
  <c r="L311" i="29"/>
  <c r="M310" i="29"/>
  <c r="L310" i="29"/>
  <c r="M309" i="29"/>
  <c r="L309" i="29"/>
  <c r="M308" i="29"/>
  <c r="L308" i="29"/>
  <c r="M307" i="29"/>
  <c r="L307" i="29"/>
  <c r="L306" i="29"/>
  <c r="M306" i="29"/>
  <c r="L305" i="29"/>
  <c r="M305" i="29"/>
  <c r="L304" i="29"/>
  <c r="M304" i="29"/>
  <c r="M303" i="29"/>
  <c r="L303" i="29"/>
  <c r="M302" i="29"/>
  <c r="L302" i="29"/>
  <c r="L301" i="29"/>
  <c r="M301" i="29"/>
  <c r="L300" i="29"/>
  <c r="M300" i="29"/>
  <c r="L299" i="29"/>
  <c r="M299" i="29"/>
  <c r="M298" i="29"/>
  <c r="L298" i="29"/>
  <c r="M297" i="29"/>
  <c r="L297" i="29"/>
  <c r="M296" i="29"/>
  <c r="L296" i="29"/>
  <c r="M295" i="29"/>
  <c r="L295" i="29"/>
  <c r="M294" i="29"/>
  <c r="L294" i="29"/>
  <c r="L293" i="29"/>
  <c r="M293" i="29"/>
  <c r="M292" i="29"/>
  <c r="L292" i="29"/>
  <c r="L291" i="29"/>
  <c r="M291" i="29"/>
  <c r="L290" i="29"/>
  <c r="M290" i="29"/>
  <c r="M289" i="29"/>
  <c r="L289" i="29"/>
  <c r="M288" i="29"/>
  <c r="L288" i="29"/>
  <c r="M287" i="29"/>
  <c r="L287" i="29"/>
  <c r="M286" i="29"/>
  <c r="L286" i="29"/>
  <c r="M285" i="29"/>
  <c r="L285" i="29"/>
  <c r="M284" i="29"/>
  <c r="L284" i="29"/>
  <c r="L283" i="29"/>
  <c r="M283" i="29"/>
  <c r="L282" i="29"/>
  <c r="M282" i="29"/>
  <c r="L281" i="29"/>
  <c r="M281" i="29"/>
  <c r="L280" i="29"/>
  <c r="M280" i="29"/>
  <c r="M279" i="29"/>
  <c r="L279" i="29"/>
  <c r="M278" i="29"/>
  <c r="L278" i="29"/>
  <c r="L277" i="29"/>
  <c r="M277" i="29"/>
  <c r="M276" i="29"/>
  <c r="L276" i="29"/>
  <c r="L275" i="29"/>
  <c r="M275" i="29"/>
  <c r="M274" i="29"/>
  <c r="L274" i="29"/>
  <c r="M273" i="29"/>
  <c r="L273" i="29"/>
  <c r="M272" i="29"/>
  <c r="L272" i="29"/>
  <c r="L271" i="29"/>
  <c r="M271" i="29"/>
  <c r="L270" i="29"/>
  <c r="M270" i="29"/>
  <c r="L269" i="29"/>
  <c r="M269" i="29"/>
  <c r="L268" i="29"/>
  <c r="M268" i="29"/>
  <c r="M267" i="29"/>
  <c r="L267" i="29"/>
  <c r="M266" i="29"/>
  <c r="L266" i="29"/>
  <c r="M265" i="29"/>
  <c r="L265" i="29"/>
  <c r="M264" i="29"/>
  <c r="L264" i="29"/>
  <c r="L263" i="29"/>
  <c r="M263" i="29"/>
  <c r="M262" i="29"/>
  <c r="L262" i="29"/>
  <c r="M261" i="29"/>
  <c r="L261" i="29"/>
  <c r="L260" i="29"/>
  <c r="M260" i="29"/>
  <c r="L259" i="29"/>
  <c r="M259" i="29"/>
  <c r="M258" i="29"/>
  <c r="L258" i="29"/>
  <c r="M257" i="29"/>
  <c r="L257" i="29"/>
  <c r="M256" i="29"/>
  <c r="L256" i="29"/>
  <c r="L255" i="29"/>
  <c r="M255" i="29"/>
  <c r="M254" i="29"/>
  <c r="L254" i="29"/>
  <c r="M253" i="29"/>
  <c r="L253" i="29"/>
  <c r="M252" i="29"/>
  <c r="L252" i="29"/>
  <c r="M251" i="29"/>
  <c r="L251" i="29"/>
  <c r="M250" i="29"/>
  <c r="L250" i="29"/>
  <c r="M249" i="29"/>
  <c r="L249" i="29"/>
  <c r="L248" i="29"/>
  <c r="M248" i="29"/>
  <c r="L247" i="29"/>
  <c r="M247" i="29"/>
  <c r="M246" i="29"/>
  <c r="L246" i="29"/>
  <c r="L245" i="29"/>
  <c r="M245" i="29"/>
  <c r="L244" i="29"/>
  <c r="M244" i="29"/>
  <c r="L243" i="29"/>
  <c r="M243" i="29"/>
  <c r="L242" i="29"/>
  <c r="M242" i="29"/>
  <c r="M241" i="29"/>
  <c r="L241" i="29"/>
  <c r="L240" i="29"/>
  <c r="M240" i="29"/>
  <c r="M239" i="29"/>
  <c r="L239" i="29"/>
  <c r="M238" i="29"/>
  <c r="L238" i="29"/>
  <c r="L237" i="29"/>
  <c r="M237" i="29"/>
  <c r="L236" i="29"/>
  <c r="M236" i="29"/>
  <c r="M235" i="29"/>
  <c r="L235" i="29"/>
  <c r="L234" i="29"/>
  <c r="M234" i="29"/>
  <c r="M233" i="29"/>
  <c r="L233" i="29"/>
  <c r="M232" i="29"/>
  <c r="L232" i="29"/>
  <c r="M231" i="29"/>
  <c r="L231" i="29"/>
  <c r="L230" i="29"/>
  <c r="M230" i="29"/>
  <c r="M229" i="29"/>
  <c r="L229" i="29"/>
  <c r="M228" i="29"/>
  <c r="L228" i="29"/>
  <c r="L227" i="29"/>
  <c r="M227" i="29"/>
  <c r="M226" i="29"/>
  <c r="L226" i="29"/>
  <c r="L225" i="29"/>
  <c r="M225" i="29"/>
  <c r="M224" i="29"/>
  <c r="L224" i="29"/>
  <c r="L223" i="29"/>
  <c r="M223" i="29"/>
  <c r="L222" i="29"/>
  <c r="M222" i="29"/>
  <c r="M221" i="29"/>
  <c r="L221" i="29"/>
  <c r="M220" i="29"/>
  <c r="L220" i="29"/>
  <c r="M219" i="29"/>
  <c r="L219" i="29"/>
  <c r="M218" i="29"/>
  <c r="L218" i="29"/>
  <c r="L217" i="29"/>
  <c r="M217" i="29"/>
  <c r="M216" i="29"/>
  <c r="L216" i="29"/>
  <c r="M215" i="29"/>
  <c r="L215" i="29"/>
  <c r="M214" i="29"/>
  <c r="L214" i="29"/>
  <c r="L213" i="29"/>
  <c r="M213" i="29"/>
  <c r="L212" i="29"/>
  <c r="M212" i="29"/>
  <c r="L211" i="29"/>
  <c r="M211" i="29"/>
  <c r="L210" i="29"/>
  <c r="M210" i="29"/>
  <c r="L209" i="29"/>
  <c r="M209" i="29"/>
  <c r="L208" i="29"/>
  <c r="M208" i="29"/>
  <c r="M207" i="29"/>
  <c r="L207" i="29"/>
  <c r="L206" i="29"/>
  <c r="M206" i="29"/>
  <c r="M205" i="29"/>
  <c r="L205" i="29"/>
  <c r="L204" i="29"/>
  <c r="M204" i="29"/>
  <c r="M203" i="29"/>
  <c r="L203" i="29"/>
  <c r="M202" i="29"/>
  <c r="L202" i="29"/>
  <c r="M201" i="29"/>
  <c r="L201" i="29"/>
  <c r="M200" i="29"/>
  <c r="L200" i="29"/>
  <c r="M199" i="29"/>
  <c r="L199" i="29"/>
  <c r="M198" i="29"/>
  <c r="L198" i="29"/>
  <c r="M197" i="29"/>
  <c r="L197" i="29"/>
  <c r="M196" i="29"/>
  <c r="L196" i="29"/>
  <c r="M195" i="29"/>
  <c r="L195" i="29"/>
  <c r="M194" i="29"/>
  <c r="L194" i="29"/>
  <c r="M193" i="29"/>
  <c r="L193" i="29"/>
  <c r="M192" i="29"/>
  <c r="L192" i="29"/>
  <c r="M191" i="29"/>
  <c r="L191" i="29"/>
  <c r="M190" i="29"/>
  <c r="L190" i="29"/>
  <c r="M189" i="29"/>
  <c r="L189" i="29"/>
  <c r="M188" i="29"/>
  <c r="L188" i="29"/>
  <c r="M187" i="29"/>
  <c r="L187" i="29"/>
  <c r="M186" i="29"/>
  <c r="L186" i="29"/>
  <c r="M185" i="29"/>
  <c r="L185" i="29"/>
  <c r="M184" i="29"/>
  <c r="L184" i="29"/>
  <c r="M183" i="29"/>
  <c r="L183" i="29"/>
  <c r="M182" i="29"/>
  <c r="L182" i="29"/>
  <c r="L181" i="29"/>
  <c r="M181" i="29"/>
  <c r="L180" i="29"/>
  <c r="M180" i="29"/>
  <c r="M179" i="29"/>
  <c r="L179" i="29"/>
  <c r="M178" i="29"/>
  <c r="L178" i="29"/>
  <c r="L177" i="29"/>
  <c r="M177" i="29"/>
  <c r="M176" i="29"/>
  <c r="L176" i="29"/>
  <c r="M175" i="29"/>
  <c r="L175" i="29"/>
  <c r="M174" i="29"/>
  <c r="L174" i="29"/>
  <c r="M173" i="29"/>
  <c r="L173" i="29"/>
  <c r="L172" i="29"/>
  <c r="M172" i="29"/>
  <c r="L171" i="29"/>
  <c r="M171" i="29"/>
  <c r="L170" i="29"/>
  <c r="M170" i="29"/>
  <c r="M169" i="29"/>
  <c r="L169" i="29"/>
  <c r="M168" i="29"/>
  <c r="L168" i="29"/>
  <c r="L167" i="29"/>
  <c r="M167" i="29"/>
  <c r="L166" i="29"/>
  <c r="M166" i="29"/>
  <c r="M165" i="29"/>
  <c r="L165" i="29"/>
  <c r="L164" i="29"/>
  <c r="M164" i="29"/>
  <c r="M163" i="29"/>
  <c r="L163" i="29"/>
  <c r="M162" i="29"/>
  <c r="L162" i="29"/>
  <c r="M161" i="29"/>
  <c r="L161" i="29"/>
  <c r="L160" i="29"/>
  <c r="M160" i="29"/>
  <c r="M159" i="29"/>
  <c r="L159" i="29"/>
  <c r="M158" i="29"/>
  <c r="L158" i="29"/>
  <c r="M157" i="29"/>
  <c r="L157" i="29"/>
  <c r="M156" i="29"/>
  <c r="L156" i="29"/>
  <c r="M155" i="29"/>
  <c r="L155" i="29"/>
  <c r="M154" i="29"/>
  <c r="L154" i="29"/>
  <c r="L153" i="29"/>
  <c r="M153" i="29"/>
  <c r="M152" i="29"/>
  <c r="L152" i="29"/>
  <c r="M151" i="29"/>
  <c r="L151" i="29"/>
  <c r="L150" i="29"/>
  <c r="M150" i="29"/>
  <c r="L149" i="29"/>
  <c r="M149" i="29"/>
  <c r="L148" i="29"/>
  <c r="M148" i="29"/>
  <c r="L147" i="29"/>
  <c r="M147" i="29"/>
  <c r="M146" i="29"/>
  <c r="L146" i="29"/>
  <c r="L145" i="29"/>
  <c r="M145" i="29"/>
  <c r="L144" i="29"/>
  <c r="M144" i="29"/>
  <c r="M143" i="29"/>
  <c r="L143" i="29"/>
  <c r="M142" i="29"/>
  <c r="L142" i="29"/>
  <c r="M141" i="29"/>
  <c r="L141" i="29"/>
  <c r="M140" i="29"/>
  <c r="L140" i="29"/>
  <c r="M139" i="29"/>
  <c r="L139" i="29"/>
  <c r="M138" i="29"/>
  <c r="L138" i="29"/>
  <c r="M137" i="29"/>
  <c r="L137" i="29"/>
  <c r="L136" i="29"/>
  <c r="M136" i="29"/>
  <c r="L135" i="29"/>
  <c r="M135" i="29"/>
  <c r="M134" i="29"/>
  <c r="L134" i="29"/>
  <c r="M133" i="29"/>
  <c r="L133" i="29"/>
  <c r="M132" i="29"/>
  <c r="L132" i="29"/>
  <c r="M131" i="29"/>
  <c r="L131" i="29"/>
  <c r="M130" i="29"/>
  <c r="L130" i="29"/>
  <c r="M129" i="29"/>
  <c r="L129" i="29"/>
  <c r="L128" i="29"/>
  <c r="M128" i="29"/>
  <c r="M127" i="29"/>
  <c r="L127" i="29"/>
  <c r="M126" i="29"/>
  <c r="L126" i="29"/>
  <c r="M125" i="29"/>
  <c r="L125" i="29"/>
  <c r="M124" i="29"/>
  <c r="L124" i="29"/>
  <c r="M123" i="29"/>
  <c r="L123" i="29"/>
  <c r="M122" i="29"/>
  <c r="L122" i="29"/>
  <c r="L121" i="29"/>
  <c r="M121" i="29"/>
  <c r="L120" i="29"/>
  <c r="M120" i="29"/>
  <c r="M119" i="29"/>
  <c r="L119" i="29"/>
  <c r="L118" i="29"/>
  <c r="M118" i="29"/>
  <c r="M117" i="29"/>
  <c r="L117" i="29"/>
  <c r="L116" i="29"/>
  <c r="M116" i="29"/>
  <c r="L115" i="29"/>
  <c r="M115" i="29"/>
  <c r="L114" i="29"/>
  <c r="M114" i="29"/>
  <c r="M113" i="29"/>
  <c r="L113" i="29"/>
  <c r="M112" i="29"/>
  <c r="L112" i="29"/>
  <c r="M111" i="29"/>
  <c r="L111" i="29"/>
  <c r="L110" i="29"/>
  <c r="M110" i="29"/>
  <c r="L109" i="29"/>
  <c r="M109" i="29"/>
  <c r="M108" i="29"/>
  <c r="L108" i="29"/>
  <c r="M107" i="29"/>
  <c r="L107" i="29"/>
  <c r="L106" i="29"/>
  <c r="M106" i="29"/>
  <c r="L105" i="29"/>
  <c r="M105" i="29"/>
  <c r="M104" i="29"/>
  <c r="L104" i="29"/>
  <c r="M103" i="29"/>
  <c r="L103" i="29"/>
  <c r="M102" i="29"/>
  <c r="L102" i="29"/>
  <c r="M101" i="29"/>
  <c r="L101" i="29"/>
  <c r="M100" i="29"/>
  <c r="L100" i="29"/>
  <c r="M99" i="29"/>
  <c r="L99" i="29"/>
  <c r="L98" i="29"/>
  <c r="M98" i="29"/>
  <c r="M97" i="29"/>
  <c r="L97" i="29"/>
  <c r="M96" i="29"/>
  <c r="L96" i="29"/>
  <c r="M95" i="29"/>
  <c r="L95" i="29"/>
  <c r="M94" i="29"/>
  <c r="L94" i="29"/>
  <c r="M93" i="29"/>
  <c r="L93" i="29"/>
  <c r="M92" i="29"/>
  <c r="L92" i="29"/>
  <c r="M91" i="29"/>
  <c r="L91" i="29"/>
  <c r="L90" i="29"/>
  <c r="M90" i="29"/>
  <c r="L89" i="29"/>
  <c r="M89" i="29"/>
  <c r="M88" i="29"/>
  <c r="L88" i="29"/>
  <c r="M87" i="29"/>
  <c r="L87" i="29"/>
  <c r="M86" i="29"/>
  <c r="L86" i="29"/>
  <c r="M85" i="29"/>
  <c r="L85" i="29"/>
  <c r="L84" i="29"/>
  <c r="M84" i="29"/>
  <c r="L83" i="29"/>
  <c r="M83" i="29"/>
  <c r="L82" i="29"/>
  <c r="M82" i="29"/>
  <c r="L81" i="29"/>
  <c r="M81" i="29"/>
  <c r="L80" i="29"/>
  <c r="M80" i="29"/>
  <c r="M79" i="29"/>
  <c r="L79" i="29"/>
  <c r="M78" i="29"/>
  <c r="L78" i="29"/>
  <c r="M77" i="29"/>
  <c r="L77" i="29"/>
  <c r="L76" i="29"/>
  <c r="M76" i="29"/>
  <c r="M75" i="29"/>
  <c r="L75" i="29"/>
  <c r="L74" i="29"/>
  <c r="M74" i="29"/>
  <c r="L73" i="29"/>
  <c r="M73" i="29"/>
  <c r="M72" i="29"/>
  <c r="L72" i="29"/>
  <c r="L71" i="29"/>
  <c r="M71" i="29"/>
  <c r="M70" i="29"/>
  <c r="L70" i="29"/>
  <c r="M69" i="29"/>
  <c r="L69" i="29"/>
  <c r="M68" i="29"/>
  <c r="L68" i="29"/>
  <c r="L67" i="29"/>
  <c r="M67" i="29"/>
  <c r="M66" i="29"/>
  <c r="L66" i="29"/>
  <c r="M65" i="29"/>
  <c r="L65" i="29"/>
  <c r="M64" i="29"/>
  <c r="L64" i="29"/>
  <c r="L63" i="29"/>
  <c r="M63" i="29"/>
  <c r="M62" i="29"/>
  <c r="L62" i="29"/>
  <c r="L61" i="29"/>
  <c r="M61" i="29"/>
  <c r="M60" i="29"/>
  <c r="L60" i="29"/>
  <c r="M59" i="29"/>
  <c r="L59" i="29"/>
  <c r="M58" i="29"/>
  <c r="L58" i="29"/>
  <c r="M57" i="29"/>
  <c r="L57" i="29"/>
  <c r="M56" i="29"/>
  <c r="L56" i="29"/>
  <c r="M55" i="29"/>
  <c r="L55" i="29"/>
  <c r="M54" i="29"/>
  <c r="L54" i="29"/>
  <c r="M53" i="29"/>
  <c r="L53" i="29"/>
  <c r="M52" i="29"/>
  <c r="L52" i="29"/>
  <c r="L51" i="29"/>
  <c r="M51" i="29"/>
  <c r="M50" i="29"/>
  <c r="L50" i="29"/>
  <c r="L49" i="29"/>
  <c r="M49" i="29"/>
  <c r="M48" i="29"/>
  <c r="L48" i="29"/>
  <c r="M47" i="29"/>
  <c r="L47" i="29"/>
  <c r="M46" i="29"/>
  <c r="L46" i="29"/>
  <c r="M45" i="29"/>
  <c r="L45" i="29"/>
  <c r="M44" i="29"/>
  <c r="L44" i="29"/>
  <c r="M43" i="29"/>
  <c r="L43" i="29"/>
  <c r="L42" i="29"/>
  <c r="M42" i="29"/>
  <c r="M41" i="29"/>
  <c r="L41" i="29"/>
  <c r="L40" i="29"/>
  <c r="M40" i="29"/>
  <c r="M39" i="29"/>
  <c r="L39" i="29"/>
  <c r="M38" i="29"/>
  <c r="L38" i="29"/>
  <c r="M37" i="29"/>
  <c r="L37" i="29"/>
  <c r="M36" i="29"/>
  <c r="L36" i="29"/>
  <c r="M35" i="29"/>
  <c r="L35" i="29"/>
  <c r="M34" i="29"/>
  <c r="L34" i="29"/>
  <c r="M33" i="29"/>
  <c r="L33" i="29"/>
  <c r="M32" i="29"/>
  <c r="L32" i="29"/>
  <c r="M31" i="29"/>
  <c r="L31" i="29"/>
  <c r="M30" i="29"/>
  <c r="L30" i="29"/>
  <c r="L29" i="29"/>
  <c r="M29" i="29"/>
  <c r="M28" i="29"/>
  <c r="L28" i="29"/>
  <c r="M27" i="29"/>
  <c r="L27" i="29"/>
  <c r="M26" i="29"/>
  <c r="L26" i="29"/>
  <c r="M25" i="29"/>
  <c r="L25" i="29"/>
  <c r="M24" i="29"/>
  <c r="L24" i="29"/>
  <c r="M23" i="29"/>
  <c r="L23" i="29"/>
  <c r="M22" i="29"/>
  <c r="L22" i="29"/>
  <c r="M21" i="29"/>
  <c r="L21" i="29"/>
  <c r="L20" i="29"/>
  <c r="M20" i="29"/>
  <c r="M19" i="29"/>
  <c r="L19" i="29"/>
  <c r="M18" i="29"/>
  <c r="L18" i="29"/>
  <c r="M17" i="29"/>
  <c r="L17" i="29"/>
  <c r="M16" i="29"/>
  <c r="L16" i="29"/>
  <c r="M15" i="29"/>
  <c r="L15" i="29"/>
  <c r="M14" i="29"/>
  <c r="L14" i="29"/>
  <c r="M13" i="29"/>
  <c r="L13" i="29"/>
  <c r="M12" i="29"/>
  <c r="L12" i="29"/>
  <c r="M11" i="29"/>
  <c r="L11" i="29"/>
  <c r="L10" i="29"/>
  <c r="M10" i="29"/>
  <c r="M9" i="29"/>
  <c r="L9" i="29"/>
  <c r="L8" i="29"/>
  <c r="M8" i="29"/>
  <c r="M7" i="29"/>
  <c r="L7" i="29"/>
  <c r="L6" i="29"/>
  <c r="M6" i="29"/>
  <c r="M5" i="29"/>
  <c r="L5" i="29"/>
  <c r="M4" i="29"/>
  <c r="L4" i="29"/>
  <c r="M3" i="29"/>
  <c r="L3" i="29"/>
  <c r="M1971" i="29"/>
  <c r="L1971" i="29"/>
  <c r="M1945" i="29"/>
  <c r="L1945" i="29"/>
  <c r="L1977" i="29"/>
  <c r="M1977" i="29"/>
  <c r="M1964" i="29"/>
  <c r="L1964" i="29"/>
  <c r="M1951" i="29"/>
  <c r="L1951" i="29"/>
  <c r="M1949" i="29"/>
  <c r="L1949" i="29"/>
  <c r="M1948" i="29"/>
  <c r="L1948" i="29"/>
  <c r="M1924" i="29"/>
  <c r="L1924" i="29"/>
  <c r="M1920" i="29"/>
  <c r="L1920" i="29"/>
  <c r="M1913" i="29"/>
  <c r="L1913" i="29"/>
  <c r="M1910" i="29"/>
  <c r="L1910" i="29"/>
  <c r="M1888" i="29"/>
  <c r="L1888" i="29"/>
  <c r="M1860" i="29"/>
  <c r="L1860" i="29"/>
  <c r="M1857" i="29"/>
  <c r="L1857" i="29"/>
  <c r="M1776" i="29"/>
  <c r="L1776" i="29"/>
  <c r="M1774" i="29"/>
  <c r="L1774" i="29"/>
  <c r="M1759" i="29"/>
  <c r="L1759" i="29"/>
  <c r="M1753" i="29"/>
  <c r="L1753" i="29"/>
  <c r="M1722" i="29"/>
  <c r="L1722" i="29"/>
  <c r="M1704" i="29"/>
  <c r="L1704" i="29"/>
  <c r="M1700" i="29"/>
  <c r="L1700" i="29"/>
  <c r="M1675" i="29"/>
  <c r="L1675" i="29"/>
  <c r="M1670" i="29"/>
  <c r="L1670" i="29"/>
  <c r="L1659" i="29"/>
  <c r="M1659" i="29"/>
  <c r="M1653" i="29"/>
  <c r="L1653" i="29"/>
  <c r="M1160" i="29"/>
  <c r="L1160" i="29"/>
  <c r="M996" i="29"/>
  <c r="L996" i="29"/>
  <c r="M993" i="29"/>
  <c r="L993" i="29"/>
  <c r="L989" i="29"/>
  <c r="M989" i="29"/>
  <c r="M985" i="29"/>
  <c r="L985" i="29"/>
  <c r="M981" i="29"/>
  <c r="L981" i="29"/>
  <c r="L979" i="29"/>
  <c r="M979" i="29"/>
  <c r="L978" i="29"/>
  <c r="M978" i="29"/>
  <c r="L972" i="29"/>
  <c r="M972" i="29"/>
  <c r="L970" i="29"/>
  <c r="M970" i="29"/>
  <c r="L2171" i="29"/>
  <c r="M2171" i="29"/>
  <c r="I2169" i="29"/>
  <c r="K2169" i="29"/>
  <c r="L2168" i="29"/>
  <c r="M2168" i="29"/>
  <c r="L2167" i="29"/>
  <c r="M2167" i="29"/>
  <c r="M2166" i="29"/>
  <c r="L2166" i="29"/>
  <c r="L2165" i="29"/>
  <c r="M2165" i="29"/>
  <c r="M2164" i="29"/>
  <c r="L2164" i="29"/>
  <c r="M2163" i="29"/>
  <c r="L2163" i="29"/>
  <c r="L2162" i="29"/>
  <c r="M2162" i="29"/>
  <c r="M2161" i="29"/>
  <c r="L2161" i="29"/>
  <c r="M2160" i="29"/>
  <c r="L2160" i="29"/>
  <c r="M2159" i="29"/>
  <c r="L2159" i="29"/>
  <c r="L2158" i="29"/>
  <c r="M2158" i="29"/>
  <c r="M2157" i="29"/>
  <c r="L2157" i="29"/>
  <c r="M2156" i="29"/>
  <c r="L2156" i="29"/>
  <c r="M2155" i="29"/>
  <c r="L2155" i="29"/>
  <c r="M2154" i="29"/>
  <c r="L2154" i="29"/>
  <c r="M2153" i="29"/>
  <c r="L2153" i="29"/>
  <c r="M2152" i="29"/>
  <c r="L2152" i="29"/>
  <c r="L2151" i="29"/>
  <c r="M2151" i="29"/>
  <c r="M2150" i="29"/>
  <c r="L2150" i="29"/>
  <c r="L2149" i="29"/>
  <c r="M2149" i="29"/>
  <c r="M2148" i="29"/>
  <c r="L2148" i="29"/>
  <c r="M2147" i="29"/>
  <c r="L2147" i="29"/>
  <c r="M2146" i="29"/>
  <c r="L2146" i="29"/>
  <c r="L2145" i="29"/>
  <c r="M2145" i="29"/>
  <c r="M2144" i="29"/>
  <c r="L2144" i="29"/>
  <c r="M2143" i="29"/>
  <c r="L2143" i="29"/>
  <c r="M2142" i="29"/>
  <c r="L2142" i="29"/>
  <c r="M2141" i="29"/>
  <c r="L2141" i="29"/>
  <c r="L2140" i="29"/>
  <c r="M2140" i="29"/>
  <c r="M2139" i="29"/>
  <c r="L2139" i="29"/>
  <c r="M2138" i="29"/>
  <c r="L2138" i="29"/>
  <c r="M2137" i="29"/>
  <c r="L2137" i="29"/>
  <c r="L2136" i="29"/>
  <c r="M2136" i="29"/>
  <c r="M2135" i="29"/>
  <c r="L2135" i="29"/>
  <c r="M2134" i="29"/>
  <c r="L2134" i="29"/>
  <c r="M2133" i="29"/>
  <c r="L2133" i="29"/>
  <c r="M2132" i="29"/>
  <c r="L2132" i="29"/>
  <c r="M2131" i="29"/>
  <c r="L2131" i="29"/>
  <c r="M2130" i="29"/>
  <c r="L2130" i="29"/>
  <c r="M2129" i="29"/>
  <c r="L2129" i="29"/>
  <c r="M2128" i="29"/>
  <c r="L2128" i="29"/>
  <c r="M2127" i="29"/>
  <c r="L2127" i="29"/>
  <c r="M2126" i="29"/>
  <c r="L2126" i="29"/>
  <c r="M2125" i="29"/>
  <c r="L2125" i="29"/>
  <c r="M2124" i="29"/>
  <c r="L2124" i="29"/>
  <c r="M2123" i="29"/>
  <c r="L2123" i="29"/>
  <c r="L2122" i="29"/>
  <c r="M2122" i="29"/>
  <c r="K2121" i="29"/>
  <c r="I2121" i="29"/>
  <c r="I2120" i="29"/>
  <c r="K2120" i="29"/>
  <c r="K2119" i="29"/>
  <c r="I2119" i="29"/>
  <c r="M2118" i="29"/>
  <c r="L2118" i="29"/>
  <c r="M2117" i="29"/>
  <c r="L2117" i="29"/>
  <c r="M2116" i="29"/>
  <c r="L2116" i="29"/>
  <c r="M2115" i="29"/>
  <c r="L2115" i="29"/>
  <c r="M2114" i="29"/>
  <c r="L2114" i="29"/>
  <c r="L2113" i="29"/>
  <c r="M2113" i="29"/>
  <c r="M2112" i="29"/>
  <c r="L2112" i="29"/>
  <c r="L2111" i="29"/>
  <c r="M2111" i="29"/>
  <c r="L2110" i="29"/>
  <c r="M2110" i="29"/>
  <c r="L2109" i="29"/>
  <c r="M2109" i="29"/>
  <c r="M2108" i="29"/>
  <c r="L2108" i="29"/>
  <c r="M2107" i="29"/>
  <c r="L2107" i="29"/>
  <c r="L2106" i="29"/>
  <c r="M2106" i="29"/>
  <c r="L2105" i="29"/>
  <c r="M2105" i="29"/>
  <c r="L2104" i="29"/>
  <c r="M2104" i="29"/>
  <c r="L2103" i="29"/>
  <c r="M2103" i="29"/>
  <c r="M2102" i="29"/>
  <c r="L2102" i="29"/>
  <c r="M2101" i="29"/>
  <c r="L2101" i="29"/>
  <c r="M2100" i="29"/>
  <c r="L2100" i="29"/>
  <c r="M2099" i="29"/>
  <c r="L2099" i="29"/>
  <c r="M2098" i="29"/>
  <c r="L2098" i="29"/>
  <c r="M2097" i="29"/>
  <c r="L2097" i="29"/>
  <c r="M2096" i="29"/>
  <c r="L2096" i="29"/>
  <c r="M2095" i="29"/>
  <c r="L2095" i="29"/>
  <c r="M2094" i="29"/>
  <c r="L2094" i="29"/>
  <c r="M2093" i="29"/>
  <c r="L2093" i="29"/>
  <c r="M2092" i="29"/>
  <c r="L2092" i="29"/>
  <c r="M2091" i="29"/>
  <c r="L2091" i="29"/>
  <c r="M2090" i="29"/>
  <c r="L2090" i="29"/>
  <c r="L2089" i="29"/>
  <c r="M2089" i="29"/>
  <c r="L2088" i="29"/>
  <c r="M2088" i="29"/>
  <c r="L2087" i="29"/>
  <c r="M2087" i="29"/>
  <c r="L2086" i="29"/>
  <c r="M2086" i="29"/>
  <c r="L2085" i="29"/>
  <c r="M2085" i="29"/>
  <c r="M2084" i="29"/>
  <c r="L2084" i="29"/>
  <c r="M2083" i="29"/>
  <c r="L2083" i="29"/>
  <c r="M2082" i="29"/>
  <c r="L2082" i="29"/>
  <c r="M2081" i="29"/>
  <c r="L2081" i="29"/>
  <c r="M2080" i="29"/>
  <c r="L2080" i="29"/>
  <c r="L2079" i="29"/>
  <c r="M2079" i="29"/>
  <c r="M2078" i="29"/>
  <c r="L2078" i="29"/>
  <c r="L2077" i="29"/>
  <c r="M2077" i="29"/>
  <c r="L2076" i="29"/>
  <c r="M2076" i="29"/>
  <c r="L2075" i="29"/>
  <c r="M2075" i="29"/>
  <c r="L2074" i="29"/>
  <c r="M2074" i="29"/>
  <c r="M2073" i="29"/>
  <c r="L2073" i="29"/>
  <c r="M2072" i="29"/>
  <c r="L2072" i="29"/>
  <c r="M2071" i="29"/>
  <c r="L2071" i="29"/>
  <c r="M2070" i="29"/>
  <c r="L2070" i="29"/>
  <c r="M2069" i="29"/>
  <c r="L2069" i="29"/>
  <c r="M2068" i="29"/>
  <c r="L2068" i="29"/>
  <c r="M2067" i="29"/>
  <c r="L2067" i="29"/>
  <c r="M2066" i="29"/>
  <c r="L2066" i="29"/>
  <c r="M2065" i="29"/>
  <c r="L2065" i="29"/>
  <c r="L2064" i="29"/>
  <c r="M2064" i="29"/>
  <c r="L2063" i="29"/>
  <c r="M2063" i="29"/>
  <c r="L2062" i="29"/>
  <c r="M2062" i="29"/>
  <c r="L2061" i="29"/>
  <c r="M2061" i="29"/>
  <c r="M2060" i="29"/>
  <c r="L2060" i="29"/>
  <c r="M2059" i="29"/>
  <c r="L2059" i="29"/>
  <c r="M2058" i="29"/>
  <c r="L2058" i="29"/>
  <c r="L2057" i="29"/>
  <c r="M2057" i="29"/>
  <c r="L2056" i="29"/>
  <c r="M2056" i="29"/>
  <c r="L2055" i="29"/>
  <c r="M2055" i="29"/>
  <c r="L2054" i="29"/>
  <c r="M2054" i="29"/>
  <c r="L2053" i="29"/>
  <c r="M2053" i="29"/>
  <c r="L2052" i="29"/>
  <c r="M2052" i="29"/>
  <c r="L2051" i="29"/>
  <c r="M2051" i="29"/>
  <c r="L2050" i="29"/>
  <c r="M2050" i="29"/>
  <c r="L2049" i="29"/>
  <c r="M2049" i="29"/>
  <c r="L2048" i="29"/>
  <c r="M2048" i="29"/>
  <c r="L2047" i="29"/>
  <c r="M2047" i="29"/>
  <c r="L2046" i="29"/>
  <c r="M2046" i="29"/>
  <c r="L2045" i="29"/>
  <c r="M2045" i="29"/>
  <c r="M2044" i="29"/>
  <c r="L2044" i="29"/>
  <c r="M2043" i="29"/>
  <c r="L2043" i="29"/>
  <c r="M2042" i="29"/>
  <c r="L2042" i="29"/>
  <c r="L2041" i="29"/>
  <c r="M2041" i="29"/>
  <c r="L2040" i="29"/>
  <c r="M2040" i="29"/>
  <c r="L2039" i="29"/>
  <c r="M2039" i="29"/>
  <c r="M2038" i="29"/>
  <c r="L2038" i="29"/>
  <c r="L2037" i="29"/>
  <c r="M2037" i="29"/>
  <c r="L2036" i="29"/>
  <c r="M2036" i="29"/>
  <c r="L2035" i="29"/>
  <c r="M2035" i="29"/>
  <c r="L2034" i="29"/>
  <c r="M2034" i="29"/>
  <c r="M2033" i="29"/>
  <c r="L2033" i="29"/>
  <c r="M2032" i="29"/>
  <c r="L2032" i="29"/>
  <c r="M2031" i="29"/>
  <c r="L2031" i="29"/>
  <c r="M2030" i="29"/>
  <c r="L2030" i="29"/>
  <c r="M2029" i="29"/>
  <c r="L2029" i="29"/>
  <c r="L2028" i="29"/>
  <c r="M2028" i="29"/>
  <c r="M2027" i="29"/>
  <c r="L2027" i="29"/>
  <c r="M2026" i="29"/>
  <c r="L2026" i="29"/>
  <c r="M2025" i="29"/>
  <c r="L2025" i="29"/>
  <c r="M2024" i="29"/>
  <c r="L2024" i="29"/>
  <c r="L2023" i="29"/>
  <c r="M2023" i="29"/>
  <c r="M2022" i="29"/>
  <c r="L2022" i="29"/>
  <c r="M2021" i="29"/>
  <c r="L2021" i="29"/>
  <c r="M2020" i="29"/>
  <c r="L2020" i="29"/>
  <c r="M2019" i="29"/>
  <c r="L2019" i="29"/>
  <c r="M2018" i="29"/>
  <c r="L2018" i="29"/>
  <c r="L2017" i="29"/>
  <c r="M2017" i="29"/>
  <c r="L2016" i="29"/>
  <c r="M2016" i="29"/>
  <c r="L2015" i="29"/>
  <c r="M2015" i="29"/>
  <c r="M2014" i="29"/>
  <c r="L2014" i="29"/>
  <c r="L2013" i="29"/>
  <c r="M2013" i="29"/>
  <c r="M2012" i="29"/>
  <c r="L2012" i="29"/>
  <c r="M2011" i="29"/>
  <c r="L2011" i="29"/>
  <c r="M2010" i="29"/>
  <c r="L2010" i="29"/>
  <c r="M2009" i="29"/>
  <c r="L2009" i="29"/>
  <c r="L2008" i="29"/>
  <c r="M2008" i="29"/>
  <c r="L2007" i="29"/>
  <c r="M2007" i="29"/>
  <c r="M2006" i="29"/>
  <c r="L2006" i="29"/>
  <c r="L2005" i="29"/>
  <c r="M2005" i="29"/>
  <c r="M2004" i="29"/>
  <c r="L2004" i="29"/>
  <c r="L2003" i="29"/>
  <c r="M2003" i="29"/>
  <c r="L2002" i="29"/>
  <c r="M2002" i="29"/>
  <c r="L2001" i="29"/>
  <c r="M2001" i="29"/>
  <c r="M2000" i="29"/>
  <c r="L2000" i="29"/>
  <c r="L1999" i="29"/>
  <c r="M1999" i="29"/>
  <c r="L1998" i="29"/>
  <c r="M1998" i="29"/>
  <c r="L1997" i="29"/>
  <c r="M1997" i="29"/>
  <c r="M1996" i="29"/>
  <c r="L1996" i="29"/>
  <c r="L1995" i="29"/>
  <c r="M1995" i="29"/>
  <c r="L1994" i="29"/>
  <c r="M1994" i="29"/>
  <c r="M1993" i="29"/>
  <c r="L1993" i="29"/>
  <c r="M1992" i="29"/>
  <c r="L1992" i="29"/>
  <c r="M1991" i="29"/>
  <c r="L1991" i="29"/>
  <c r="M1990" i="29"/>
  <c r="L1990" i="29"/>
  <c r="M1989" i="29"/>
  <c r="L1989" i="29"/>
  <c r="M1988" i="29"/>
  <c r="L1988" i="29"/>
  <c r="M1987" i="29"/>
  <c r="L1987" i="29"/>
  <c r="M1986" i="29"/>
  <c r="L1986" i="29"/>
  <c r="L1985" i="29"/>
  <c r="M1985" i="29"/>
  <c r="M1984" i="29"/>
  <c r="L1984" i="29"/>
  <c r="M1983" i="29"/>
  <c r="L1983" i="29"/>
  <c r="M1982" i="29"/>
  <c r="L1982" i="29"/>
  <c r="M1981" i="29"/>
  <c r="L1981" i="29"/>
  <c r="M1980" i="29"/>
  <c r="L1980" i="29"/>
  <c r="M1979" i="29"/>
  <c r="L1979" i="29"/>
  <c r="M1978" i="29"/>
  <c r="L1978" i="29"/>
  <c r="M1976" i="29"/>
  <c r="L1976" i="29"/>
  <c r="L1975" i="29"/>
  <c r="M1975" i="29"/>
  <c r="L1974" i="29"/>
  <c r="M1974" i="29"/>
  <c r="L1973" i="29"/>
  <c r="M1973" i="29"/>
  <c r="M1972" i="29"/>
  <c r="L1972" i="29"/>
  <c r="M1970" i="29"/>
  <c r="L1970" i="29"/>
  <c r="L1969" i="29"/>
  <c r="M1969" i="29"/>
  <c r="M1968" i="29"/>
  <c r="L1968" i="29"/>
  <c r="L1967" i="29"/>
  <c r="M1967" i="29"/>
  <c r="L1966" i="29"/>
  <c r="M1966" i="29"/>
  <c r="M1965" i="29"/>
  <c r="L1965" i="29"/>
  <c r="L1963" i="29"/>
  <c r="M1963" i="29"/>
  <c r="M1962" i="29"/>
  <c r="L1962" i="29"/>
  <c r="M1961" i="29"/>
  <c r="L1961" i="29"/>
  <c r="M1960" i="29"/>
  <c r="L1960" i="29"/>
  <c r="L1959" i="29"/>
  <c r="M1959" i="29"/>
  <c r="M1958" i="29"/>
  <c r="L1958" i="29"/>
  <c r="L1957" i="29"/>
  <c r="M1957" i="29"/>
  <c r="L1956" i="29"/>
  <c r="M1956" i="29"/>
  <c r="L1955" i="29"/>
  <c r="M1955" i="29"/>
  <c r="L1954" i="29"/>
  <c r="M1954" i="29"/>
  <c r="M1953" i="29"/>
  <c r="L1953" i="29"/>
  <c r="M1952" i="29"/>
  <c r="L1952" i="29"/>
  <c r="M1950" i="29"/>
  <c r="L1950" i="29"/>
  <c r="M1947" i="29"/>
  <c r="L1947" i="29"/>
  <c r="M1946" i="29"/>
  <c r="L1946" i="29"/>
  <c r="L1944" i="29"/>
  <c r="M1944" i="29"/>
  <c r="L1943" i="29"/>
  <c r="M1943" i="29"/>
  <c r="M1942" i="29"/>
  <c r="L1942" i="29"/>
  <c r="L1941" i="29"/>
  <c r="M1941" i="29"/>
  <c r="L1940" i="29"/>
  <c r="M1940" i="29"/>
  <c r="M1939" i="29"/>
  <c r="L1939" i="29"/>
  <c r="L1938" i="29"/>
  <c r="M1938" i="29"/>
  <c r="M1937" i="29"/>
  <c r="L1937" i="29"/>
  <c r="M1936" i="29"/>
  <c r="L1936" i="29"/>
  <c r="M1935" i="29"/>
  <c r="L1935" i="29"/>
  <c r="M1934" i="29"/>
  <c r="L1934" i="29"/>
  <c r="L1933" i="29"/>
  <c r="M1933" i="29"/>
  <c r="L1932" i="29"/>
  <c r="M1932" i="29"/>
  <c r="M1931" i="29"/>
  <c r="L1931" i="29"/>
  <c r="M1930" i="29"/>
  <c r="L1930" i="29"/>
  <c r="L1929" i="29"/>
  <c r="M1929" i="29"/>
  <c r="M1928" i="29"/>
  <c r="L1928" i="29"/>
  <c r="M1927" i="29"/>
  <c r="L1927" i="29"/>
  <c r="M1926" i="29"/>
  <c r="L1926" i="29"/>
  <c r="M1925" i="29"/>
  <c r="L1925" i="29"/>
  <c r="L1923" i="29"/>
  <c r="M1923" i="29"/>
  <c r="M1922" i="29"/>
  <c r="L1922" i="29"/>
  <c r="M1921" i="29"/>
  <c r="L1921" i="29"/>
  <c r="L1919" i="29"/>
  <c r="M1919" i="29"/>
  <c r="M1918" i="29"/>
  <c r="L1918" i="29"/>
  <c r="L1917" i="29"/>
  <c r="M1917" i="29"/>
  <c r="L1916" i="29"/>
  <c r="M1916" i="29"/>
  <c r="L1915" i="29"/>
  <c r="M1915" i="29"/>
  <c r="L1914" i="29"/>
  <c r="M1914" i="29"/>
  <c r="M1912" i="29"/>
  <c r="L1912" i="29"/>
  <c r="M1911" i="29"/>
  <c r="L1911" i="29"/>
  <c r="M1909" i="29"/>
  <c r="L1909" i="29"/>
  <c r="L1908" i="29"/>
  <c r="M1908" i="29"/>
  <c r="L1907" i="29"/>
  <c r="M1907" i="29"/>
  <c r="L1906" i="29"/>
  <c r="M1906" i="29"/>
  <c r="M1905" i="29"/>
  <c r="L1905" i="29"/>
  <c r="M1904" i="29"/>
  <c r="L1904" i="29"/>
  <c r="M1903" i="29"/>
  <c r="L1903" i="29"/>
  <c r="L1902" i="29"/>
  <c r="M1902" i="29"/>
  <c r="M1901" i="29"/>
  <c r="L1901" i="29"/>
  <c r="M1900" i="29"/>
  <c r="L1900" i="29"/>
  <c r="M1899" i="29"/>
  <c r="L1899" i="29"/>
  <c r="M1898" i="29"/>
  <c r="L1898" i="29"/>
  <c r="L1897" i="29"/>
  <c r="M1897" i="29"/>
  <c r="L1896" i="29"/>
  <c r="M1896" i="29"/>
  <c r="L1895" i="29"/>
  <c r="M1895" i="29"/>
  <c r="L1894" i="29"/>
  <c r="M1894" i="29"/>
  <c r="L1893" i="29"/>
  <c r="M1893" i="29"/>
  <c r="L1892" i="29"/>
  <c r="M1892" i="29"/>
  <c r="M1891" i="29"/>
  <c r="L1891" i="29"/>
  <c r="L1890" i="29"/>
  <c r="M1890" i="29"/>
  <c r="M1889" i="29"/>
  <c r="L1889" i="29"/>
  <c r="M1887" i="29"/>
  <c r="L1887" i="29"/>
  <c r="M1886" i="29"/>
  <c r="L1886" i="29"/>
  <c r="M1885" i="29"/>
  <c r="L1885" i="29"/>
  <c r="L1884" i="29"/>
  <c r="M1884" i="29"/>
  <c r="M1883" i="29"/>
  <c r="L1883" i="29"/>
  <c r="M1882" i="29"/>
  <c r="L1882" i="29"/>
  <c r="M1881" i="29"/>
  <c r="L1881" i="29"/>
  <c r="M1880" i="29"/>
  <c r="L1880" i="29"/>
  <c r="M1879" i="29"/>
  <c r="L1879" i="29"/>
  <c r="M1878" i="29"/>
  <c r="L1878" i="29"/>
  <c r="L1877" i="29"/>
  <c r="M1877" i="29"/>
  <c r="M1876" i="29"/>
  <c r="L1876" i="29"/>
  <c r="L1875" i="29"/>
  <c r="M1875" i="29"/>
  <c r="L1874" i="29"/>
  <c r="M1874" i="29"/>
  <c r="M1873" i="29"/>
  <c r="L1873" i="29"/>
  <c r="M1872" i="29"/>
  <c r="L1872" i="29"/>
  <c r="L1871" i="29"/>
  <c r="M1871" i="29"/>
  <c r="M1870" i="29"/>
  <c r="L1870" i="29"/>
  <c r="M1869" i="29"/>
  <c r="L1869" i="29"/>
  <c r="M1868" i="29"/>
  <c r="L1868" i="29"/>
  <c r="L1867" i="29"/>
  <c r="M1867" i="29"/>
  <c r="L1866" i="29"/>
  <c r="M1866" i="29"/>
  <c r="M1865" i="29"/>
  <c r="L1865" i="29"/>
  <c r="M1864" i="29"/>
  <c r="L1864" i="29"/>
  <c r="M1863" i="29"/>
  <c r="L1863" i="29"/>
  <c r="L1862" i="29"/>
  <c r="M1862" i="29"/>
  <c r="M1861" i="29"/>
  <c r="L1861" i="29"/>
  <c r="L1859" i="29"/>
  <c r="M1859" i="29"/>
  <c r="L1858" i="29"/>
  <c r="M1858" i="29"/>
  <c r="L1856" i="29"/>
  <c r="M1856" i="29"/>
  <c r="M1855" i="29"/>
  <c r="L1855" i="29"/>
  <c r="L1854" i="29"/>
  <c r="M1854" i="29"/>
  <c r="L1853" i="29"/>
  <c r="M1853" i="29"/>
  <c r="L1852" i="29"/>
  <c r="M1852" i="29"/>
  <c r="M1851" i="29"/>
  <c r="L1851" i="29"/>
  <c r="L1850" i="29"/>
  <c r="M1850" i="29"/>
  <c r="L1849" i="29"/>
  <c r="M1849" i="29"/>
  <c r="L1848" i="29"/>
  <c r="M1848" i="29"/>
  <c r="M1847" i="29"/>
  <c r="L1847" i="29"/>
  <c r="M1846" i="29"/>
  <c r="L1846" i="29"/>
  <c r="M1845" i="29"/>
  <c r="L1845" i="29"/>
  <c r="M1844" i="29"/>
  <c r="L1844" i="29"/>
  <c r="L1843" i="29"/>
  <c r="M1843" i="29"/>
  <c r="M1842" i="29"/>
  <c r="L1842" i="29"/>
  <c r="L1841" i="29"/>
  <c r="M1841" i="29"/>
  <c r="M1840" i="29"/>
  <c r="L1840" i="29"/>
  <c r="L1839" i="29"/>
  <c r="M1839" i="29"/>
  <c r="L1838" i="29"/>
  <c r="M1838" i="29"/>
  <c r="M1837" i="29"/>
  <c r="L1837" i="29"/>
  <c r="L1836" i="29"/>
  <c r="M1836" i="29"/>
  <c r="L1835" i="29"/>
  <c r="M1835" i="29"/>
  <c r="M1834" i="29"/>
  <c r="L1834" i="29"/>
  <c r="L1833" i="29"/>
  <c r="M1833" i="29"/>
  <c r="L1832" i="29"/>
  <c r="M1832" i="29"/>
  <c r="L1831" i="29"/>
  <c r="M1831" i="29"/>
  <c r="L1830" i="29"/>
  <c r="M1830" i="29"/>
  <c r="M1829" i="29"/>
  <c r="L1829" i="29"/>
  <c r="L1828" i="29"/>
  <c r="M1828" i="29"/>
  <c r="M1827" i="29"/>
  <c r="M1826" i="29"/>
  <c r="L1826" i="29"/>
  <c r="L1825" i="29"/>
  <c r="M1825" i="29"/>
  <c r="M1824" i="29"/>
  <c r="L1824" i="29"/>
  <c r="L1823" i="29"/>
  <c r="M1823" i="29"/>
  <c r="L1822" i="29"/>
  <c r="M1822" i="29"/>
  <c r="M1821" i="29"/>
  <c r="L1821" i="29"/>
  <c r="L1820" i="29"/>
  <c r="M1820" i="29"/>
  <c r="L1819" i="29"/>
  <c r="M1819" i="29"/>
  <c r="L1818" i="29"/>
  <c r="M1818" i="29"/>
  <c r="L1817" i="29"/>
  <c r="M1817" i="29"/>
  <c r="L1816" i="29"/>
  <c r="M1816" i="29"/>
  <c r="L1815" i="29"/>
  <c r="M1815" i="29"/>
  <c r="M1814" i="29"/>
  <c r="L1814" i="29"/>
  <c r="L1813" i="29"/>
  <c r="M1813" i="29"/>
  <c r="M1812" i="29"/>
  <c r="L1812" i="29"/>
  <c r="L1811" i="29"/>
  <c r="M1811" i="29"/>
  <c r="M1810" i="29"/>
  <c r="L1810" i="29"/>
  <c r="L1809" i="29"/>
  <c r="M1809" i="29"/>
  <c r="M1808" i="29"/>
  <c r="L1808" i="29"/>
  <c r="M1807" i="29"/>
  <c r="L1807" i="29"/>
  <c r="L1806" i="29"/>
  <c r="M1806" i="29"/>
  <c r="L1805" i="29"/>
  <c r="M1805" i="29"/>
  <c r="L1804" i="29"/>
  <c r="M1804" i="29"/>
  <c r="L1803" i="29"/>
  <c r="M1803" i="29"/>
  <c r="L1802" i="29"/>
  <c r="M1802" i="29"/>
  <c r="L1801" i="29"/>
  <c r="M1801" i="29"/>
  <c r="L1800" i="29"/>
  <c r="M1800" i="29"/>
  <c r="M1799" i="29"/>
  <c r="L1799" i="29"/>
  <c r="L1798" i="29"/>
  <c r="M1798" i="29"/>
  <c r="M1797" i="29"/>
  <c r="L1797" i="29"/>
  <c r="M1796" i="29"/>
  <c r="L1796" i="29"/>
  <c r="M1795" i="29"/>
  <c r="L1795" i="29"/>
  <c r="L1794" i="29"/>
  <c r="M1794" i="29"/>
  <c r="L1793" i="29"/>
  <c r="M1793" i="29"/>
  <c r="M1792" i="29"/>
  <c r="L1792" i="29"/>
  <c r="M1791" i="29"/>
  <c r="L1791" i="29"/>
  <c r="M1790" i="29"/>
  <c r="L1790" i="29"/>
  <c r="L1789" i="29"/>
  <c r="M1789" i="29"/>
  <c r="M1788" i="29"/>
  <c r="L1788" i="29"/>
  <c r="L1787" i="29"/>
  <c r="M1787" i="29"/>
  <c r="M1786" i="29"/>
  <c r="L1786" i="29"/>
  <c r="L1785" i="29"/>
  <c r="M1785" i="29"/>
  <c r="M1784" i="29"/>
  <c r="L1784" i="29"/>
  <c r="L1783" i="29"/>
  <c r="M1783" i="29"/>
  <c r="M1782" i="29"/>
  <c r="L1782" i="29"/>
  <c r="L1781" i="29"/>
  <c r="M1781" i="29"/>
  <c r="M1780" i="29"/>
  <c r="L1780" i="29"/>
  <c r="L1779" i="29"/>
  <c r="M1779" i="29"/>
  <c r="M1778" i="29"/>
  <c r="L1778" i="29"/>
  <c r="M1777" i="29"/>
  <c r="L1777" i="29"/>
  <c r="M1775" i="29"/>
  <c r="L1775" i="29"/>
  <c r="M1773" i="29"/>
  <c r="L1773" i="29"/>
  <c r="L1772" i="29"/>
  <c r="M1772" i="29"/>
  <c r="L1771" i="29"/>
  <c r="M1771" i="29"/>
  <c r="M1770" i="29"/>
  <c r="L1770" i="29"/>
  <c r="L1769" i="29"/>
  <c r="M1769" i="29"/>
  <c r="M1768" i="29"/>
  <c r="L1768" i="29"/>
  <c r="L1767" i="29"/>
  <c r="M1767" i="29"/>
  <c r="L1766" i="29"/>
  <c r="M1766" i="29"/>
  <c r="L1765" i="29"/>
  <c r="M1765" i="29"/>
  <c r="L1764" i="29"/>
  <c r="M1764" i="29"/>
  <c r="L1763" i="29"/>
  <c r="M1763" i="29"/>
  <c r="M1762" i="29"/>
  <c r="L1762" i="29"/>
  <c r="L1761" i="29"/>
  <c r="M1761" i="29"/>
  <c r="M1760" i="29"/>
  <c r="L1760" i="29"/>
  <c r="M1758" i="29"/>
  <c r="L1758" i="29"/>
  <c r="L1757" i="29"/>
  <c r="M1757" i="29"/>
  <c r="L1756" i="29"/>
  <c r="M1756" i="29"/>
  <c r="M1755" i="29"/>
  <c r="L1755" i="29"/>
  <c r="L1754" i="29"/>
  <c r="M1754" i="29"/>
  <c r="M1752" i="29"/>
  <c r="L1752" i="29"/>
  <c r="M1751" i="29"/>
  <c r="L1751" i="29"/>
  <c r="M1750" i="29"/>
  <c r="L1750" i="29"/>
  <c r="L1749" i="29"/>
  <c r="M1749" i="29"/>
  <c r="M1748" i="29"/>
  <c r="L1748" i="29"/>
  <c r="L1747" i="29"/>
  <c r="M1747" i="29"/>
  <c r="L1746" i="29"/>
  <c r="M1746" i="29"/>
  <c r="L1745" i="29"/>
  <c r="M1745" i="29"/>
  <c r="M1744" i="29"/>
  <c r="L1744" i="29"/>
  <c r="M1743" i="29"/>
  <c r="L1743" i="29"/>
  <c r="M1742" i="29"/>
  <c r="L1742" i="29"/>
  <c r="M1741" i="29"/>
  <c r="L1741" i="29"/>
  <c r="L1740" i="29"/>
  <c r="M1740" i="29"/>
  <c r="L1739" i="29"/>
  <c r="M1739" i="29"/>
  <c r="M1738" i="29"/>
  <c r="L1738" i="29"/>
  <c r="L1737" i="29"/>
  <c r="M1737" i="29"/>
  <c r="M1736" i="29"/>
  <c r="L1736" i="29"/>
  <c r="L1735" i="29"/>
  <c r="M1735" i="29"/>
  <c r="M1734" i="29"/>
  <c r="L1734" i="29"/>
  <c r="L1733" i="29"/>
  <c r="M1733" i="29"/>
  <c r="M1732" i="29"/>
  <c r="L1732" i="29"/>
  <c r="M1731" i="29"/>
  <c r="L1731" i="29"/>
  <c r="M1730" i="29"/>
  <c r="L1730" i="29"/>
  <c r="L1729" i="29"/>
  <c r="M1729" i="29"/>
  <c r="M1728" i="29"/>
  <c r="L1728" i="29"/>
  <c r="M1727" i="29"/>
  <c r="L1727" i="29"/>
  <c r="M1726" i="29"/>
  <c r="L1726" i="29"/>
  <c r="L1725" i="29"/>
  <c r="M1725" i="29"/>
  <c r="M1724" i="29"/>
  <c r="L1724" i="29"/>
  <c r="L1723" i="29"/>
  <c r="M1723" i="29"/>
  <c r="M1721" i="29"/>
  <c r="L1721" i="29"/>
  <c r="M1720" i="29"/>
  <c r="L1720" i="29"/>
  <c r="M1719" i="29"/>
  <c r="L1719" i="29"/>
  <c r="L1718" i="29"/>
  <c r="M1718" i="29"/>
  <c r="L1717" i="29"/>
  <c r="M1717" i="29"/>
  <c r="L1716" i="29"/>
  <c r="M1716" i="29"/>
  <c r="M1715" i="29"/>
  <c r="L1715" i="29"/>
  <c r="M1714" i="29"/>
  <c r="L1714" i="29"/>
  <c r="L1713" i="29"/>
  <c r="M1713" i="29"/>
  <c r="L1712" i="29"/>
  <c r="M1712" i="29"/>
  <c r="L1711" i="29"/>
  <c r="M1711" i="29"/>
  <c r="L1710" i="29"/>
  <c r="M1710" i="29"/>
  <c r="L1709" i="29"/>
  <c r="M1709" i="29"/>
  <c r="M1708" i="29"/>
  <c r="L1708" i="29"/>
  <c r="L1707" i="29"/>
  <c r="M1707" i="29"/>
  <c r="M1706" i="29"/>
  <c r="L1706" i="29"/>
  <c r="M1705" i="29"/>
  <c r="L1705" i="29"/>
  <c r="L1703" i="29"/>
  <c r="M1703" i="29"/>
  <c r="L1702" i="29"/>
  <c r="M1702" i="29"/>
  <c r="M1701" i="29"/>
  <c r="L1701" i="29"/>
  <c r="L1699" i="29"/>
  <c r="M1699" i="29"/>
  <c r="M1698" i="29"/>
  <c r="L1698" i="29"/>
  <c r="L1697" i="29"/>
  <c r="M1697" i="29"/>
  <c r="L1696" i="29"/>
  <c r="M1696" i="29"/>
  <c r="L1695" i="29"/>
  <c r="M1695" i="29"/>
  <c r="L1694" i="29"/>
  <c r="M1694" i="29"/>
  <c r="M1693" i="29"/>
  <c r="L1693" i="29"/>
  <c r="M1692" i="29"/>
  <c r="L1692" i="29"/>
  <c r="M1691" i="29"/>
  <c r="L1691" i="29"/>
  <c r="L1690" i="29"/>
  <c r="M1690" i="29"/>
  <c r="L1689" i="29"/>
  <c r="M1689" i="29"/>
  <c r="L1688" i="29"/>
  <c r="M1688" i="29"/>
  <c r="M1687" i="29"/>
  <c r="L1687" i="29"/>
  <c r="M1686" i="29"/>
  <c r="L1686" i="29"/>
  <c r="M1685" i="29"/>
  <c r="L1685" i="29"/>
  <c r="M1684" i="29"/>
  <c r="L1684" i="29"/>
  <c r="L1683" i="29"/>
  <c r="M1683" i="29"/>
  <c r="M1682" i="29"/>
  <c r="L1682" i="29"/>
  <c r="M1681" i="29"/>
  <c r="L1681" i="29"/>
  <c r="L1680" i="29"/>
  <c r="M1680" i="29"/>
  <c r="L1679" i="29"/>
  <c r="M1679" i="29"/>
  <c r="L1678" i="29"/>
  <c r="M1678" i="29"/>
  <c r="L1677" i="29"/>
  <c r="M1677" i="29"/>
  <c r="M1676" i="29"/>
  <c r="L1676" i="29"/>
  <c r="M1674" i="29"/>
  <c r="L1674" i="29"/>
  <c r="M1673" i="29"/>
  <c r="L1673" i="29"/>
  <c r="M1672" i="29"/>
  <c r="L1672" i="29"/>
  <c r="L1671" i="29"/>
  <c r="M1671" i="29"/>
  <c r="M1669" i="29"/>
  <c r="L1669" i="29"/>
  <c r="M1668" i="29"/>
  <c r="L1668" i="29"/>
  <c r="M1667" i="29"/>
  <c r="L1667" i="29"/>
  <c r="M1666" i="29"/>
  <c r="L1666" i="29"/>
  <c r="L1665" i="29"/>
  <c r="M1665" i="29"/>
  <c r="M1664" i="29"/>
  <c r="L1664" i="29"/>
  <c r="L1663" i="29"/>
  <c r="M1663" i="29"/>
  <c r="M1662" i="29"/>
  <c r="L1662" i="29"/>
  <c r="L1661" i="29"/>
  <c r="M1661" i="29"/>
  <c r="M1660" i="29"/>
  <c r="L1660" i="29"/>
  <c r="L1658" i="29"/>
  <c r="M1658" i="29"/>
  <c r="M1657" i="29"/>
  <c r="L1657" i="29"/>
  <c r="L1656" i="29"/>
  <c r="M1656" i="29"/>
  <c r="M1655" i="29"/>
  <c r="L1655" i="29"/>
  <c r="L1654" i="29"/>
  <c r="M1654" i="29"/>
  <c r="M1652" i="29"/>
  <c r="L1652" i="29"/>
  <c r="M1651" i="29"/>
  <c r="L1651" i="29"/>
  <c r="M1650" i="29"/>
  <c r="L1650" i="29"/>
  <c r="M1649" i="29"/>
  <c r="L1649" i="29"/>
  <c r="M1648" i="29"/>
  <c r="L1648" i="29"/>
  <c r="M1647" i="29"/>
  <c r="L1647" i="29"/>
  <c r="M1646" i="29"/>
  <c r="L1646" i="29"/>
  <c r="M1645" i="29"/>
  <c r="L1645" i="29"/>
  <c r="M1644" i="29"/>
  <c r="L1644" i="29"/>
  <c r="L1643" i="29"/>
  <c r="M1643" i="29"/>
  <c r="L1642" i="29"/>
  <c r="M1642" i="29"/>
  <c r="L1641" i="29"/>
  <c r="M1641" i="29"/>
  <c r="L1640" i="29"/>
  <c r="M1640" i="29"/>
  <c r="M1639" i="29"/>
  <c r="L1639" i="29"/>
  <c r="M1638" i="29"/>
  <c r="L1638" i="29"/>
  <c r="M1637" i="29"/>
  <c r="L1637" i="29"/>
  <c r="M1636" i="29"/>
  <c r="L1636" i="29"/>
  <c r="M1635" i="29"/>
  <c r="L1635" i="29"/>
  <c r="M1634" i="29"/>
  <c r="L1634" i="29"/>
  <c r="M1633" i="29"/>
  <c r="L1633" i="29"/>
  <c r="L1632" i="29"/>
  <c r="M1632" i="29"/>
  <c r="L1631" i="29"/>
  <c r="M1631" i="29"/>
  <c r="L1630" i="29"/>
  <c r="M1630" i="29"/>
  <c r="L1629" i="29"/>
  <c r="M1629" i="29"/>
  <c r="L1628" i="29"/>
  <c r="M1628" i="29"/>
  <c r="M1627" i="29"/>
  <c r="L1627" i="29"/>
  <c r="M1626" i="29"/>
  <c r="L1626" i="29"/>
  <c r="L1625" i="29"/>
  <c r="M1625" i="29"/>
  <c r="L1624" i="29"/>
  <c r="M1624" i="29"/>
  <c r="M1623" i="29"/>
  <c r="L1623" i="29"/>
  <c r="L1622" i="29"/>
  <c r="M1622" i="29"/>
  <c r="M1621" i="29"/>
  <c r="L1621" i="29"/>
  <c r="M1620" i="29"/>
  <c r="L1620" i="29"/>
  <c r="M1619" i="29"/>
  <c r="L1619" i="29"/>
  <c r="L1618" i="29"/>
  <c r="M1618" i="29"/>
  <c r="L1617" i="29"/>
  <c r="M1617" i="29"/>
  <c r="L1616" i="29"/>
  <c r="M1616" i="29"/>
  <c r="L1615" i="29"/>
  <c r="M1615" i="29"/>
  <c r="L1614" i="29"/>
  <c r="M1614" i="29"/>
  <c r="L1613" i="29"/>
  <c r="M1613" i="29"/>
  <c r="M1612" i="29"/>
  <c r="L1612" i="29"/>
  <c r="L1611" i="29"/>
  <c r="M1611" i="29"/>
  <c r="L1610" i="29"/>
  <c r="M1610" i="29"/>
  <c r="M1609" i="29"/>
  <c r="L1609" i="29"/>
  <c r="M1608" i="29"/>
  <c r="L1608" i="29"/>
  <c r="M1607" i="29"/>
  <c r="L1607" i="29"/>
  <c r="M1606" i="29"/>
  <c r="L1606" i="29"/>
  <c r="M1605" i="29"/>
  <c r="L1605" i="29"/>
  <c r="M1604" i="29"/>
  <c r="L1604" i="29"/>
  <c r="M1603" i="29"/>
  <c r="L1603" i="29"/>
  <c r="M1602" i="29"/>
  <c r="L1602" i="29"/>
  <c r="M1601" i="29"/>
  <c r="L1601" i="29"/>
  <c r="M1600" i="29"/>
  <c r="L1600" i="29"/>
  <c r="M1599" i="29"/>
  <c r="L1599" i="29"/>
  <c r="M1598" i="29"/>
  <c r="L1598" i="29"/>
  <c r="M1597" i="29"/>
  <c r="L1597" i="29"/>
  <c r="M1596" i="29"/>
  <c r="L1596" i="29"/>
  <c r="M1595" i="29"/>
  <c r="L1595" i="29"/>
  <c r="M1594" i="29"/>
  <c r="L1594" i="29"/>
  <c r="M1593" i="29"/>
  <c r="L1593" i="29"/>
  <c r="M1592" i="29"/>
  <c r="L1592" i="29"/>
  <c r="M1591" i="29"/>
  <c r="L1591" i="29"/>
  <c r="M1590" i="29"/>
  <c r="L1590" i="29"/>
  <c r="M1589" i="29"/>
  <c r="L1589" i="29"/>
  <c r="L1588" i="29"/>
  <c r="M1588" i="29"/>
  <c r="L1587" i="29"/>
  <c r="M1587" i="29"/>
  <c r="L1586" i="29"/>
  <c r="M1586" i="29"/>
  <c r="L1585" i="29"/>
  <c r="M1585" i="29"/>
  <c r="L1584" i="29"/>
  <c r="M1584" i="29"/>
  <c r="K1583" i="29"/>
  <c r="I1583" i="29"/>
  <c r="L1582" i="29"/>
  <c r="M1582" i="29"/>
  <c r="M1581" i="29"/>
  <c r="L1581" i="29"/>
  <c r="M1580" i="29"/>
  <c r="L1580" i="29"/>
  <c r="M1579" i="29"/>
  <c r="L1579" i="29"/>
  <c r="M1578" i="29"/>
  <c r="L1578" i="29"/>
  <c r="M1577" i="29"/>
  <c r="L1577" i="29"/>
  <c r="M1576" i="29"/>
  <c r="L1576" i="29"/>
  <c r="M1575" i="29"/>
  <c r="L1575" i="29"/>
  <c r="M1574" i="29"/>
  <c r="L1574" i="29"/>
  <c r="M1573" i="29"/>
  <c r="L1573" i="29"/>
  <c r="L1572" i="29"/>
  <c r="M1572" i="29"/>
  <c r="M1571" i="29"/>
  <c r="L1571" i="29"/>
  <c r="M1570" i="29"/>
  <c r="L1570" i="29"/>
  <c r="M1569" i="29"/>
  <c r="L1569" i="29"/>
  <c r="M1568" i="29"/>
  <c r="L1568" i="29"/>
  <c r="M1567" i="29"/>
  <c r="L1567" i="29"/>
  <c r="M1566" i="29"/>
  <c r="L1566" i="29"/>
  <c r="M1565" i="29"/>
  <c r="L1565" i="29"/>
  <c r="M1564" i="29"/>
  <c r="L1564" i="29"/>
  <c r="M1563" i="29"/>
  <c r="L1563" i="29"/>
  <c r="M1562" i="29"/>
  <c r="L1562" i="29"/>
  <c r="M1561" i="29"/>
  <c r="L1561" i="29"/>
  <c r="M1560" i="29"/>
  <c r="L1560" i="29"/>
  <c r="M1559" i="29"/>
  <c r="L1559" i="29"/>
  <c r="M1558" i="29"/>
  <c r="L1558" i="29"/>
  <c r="L1557" i="29"/>
  <c r="M1557" i="29"/>
  <c r="L1556" i="29"/>
  <c r="M1556" i="29"/>
  <c r="M1555" i="29"/>
  <c r="L1555" i="29"/>
  <c r="L1554" i="29"/>
  <c r="M1554" i="29"/>
  <c r="M1553" i="29"/>
  <c r="L1553" i="29"/>
  <c r="M1552" i="29"/>
  <c r="L1552" i="29"/>
  <c r="M1551" i="29"/>
  <c r="L1551" i="29"/>
  <c r="M1550" i="29"/>
  <c r="L1550" i="29"/>
  <c r="M1549" i="29"/>
  <c r="L1549" i="29"/>
  <c r="L1548" i="29"/>
  <c r="M1548" i="29"/>
  <c r="M1547" i="29"/>
  <c r="L1547" i="29"/>
  <c r="M1546" i="29"/>
  <c r="L1546" i="29"/>
  <c r="L1545" i="29"/>
  <c r="M1545" i="29"/>
  <c r="M1544" i="29"/>
  <c r="L1544" i="29"/>
  <c r="M1543" i="29"/>
  <c r="L1543" i="29"/>
  <c r="L1542" i="29"/>
  <c r="M1542" i="29"/>
  <c r="M1541" i="29"/>
  <c r="L1541" i="29"/>
  <c r="M1540" i="29"/>
  <c r="L1540" i="29"/>
  <c r="K1539" i="29"/>
  <c r="I1539" i="29"/>
  <c r="M1538" i="29"/>
  <c r="L1538" i="29"/>
  <c r="M1537" i="29"/>
  <c r="L1537" i="29"/>
  <c r="L1536" i="29"/>
  <c r="M1536" i="29"/>
  <c r="M1535" i="29"/>
  <c r="L1535" i="29"/>
  <c r="M1534" i="29"/>
  <c r="L1534" i="29"/>
  <c r="M1533" i="29"/>
  <c r="L1533" i="29"/>
  <c r="M1532" i="29"/>
  <c r="L1532" i="29"/>
  <c r="M1531" i="29"/>
  <c r="L1531" i="29"/>
  <c r="M1530" i="29"/>
  <c r="L1530" i="29"/>
  <c r="M1529" i="29"/>
  <c r="L1529" i="29"/>
  <c r="M1528" i="29"/>
  <c r="L1528" i="29"/>
  <c r="M1527" i="29"/>
  <c r="L1527" i="29"/>
  <c r="L1526" i="29"/>
  <c r="M1526" i="29"/>
  <c r="L1525" i="29"/>
  <c r="M1525" i="29"/>
  <c r="L1524" i="29"/>
  <c r="M1524" i="29"/>
  <c r="L1523" i="29"/>
  <c r="M1523" i="29"/>
  <c r="M1522" i="29"/>
  <c r="L1522" i="29"/>
  <c r="L1521" i="29"/>
  <c r="M1521" i="29"/>
  <c r="M1520" i="29"/>
  <c r="L1520" i="29"/>
  <c r="L1519" i="29"/>
  <c r="M1519" i="29"/>
  <c r="M1518" i="29"/>
  <c r="L1518" i="29"/>
  <c r="L1517" i="29"/>
  <c r="M1517" i="29"/>
  <c r="M1516" i="29"/>
  <c r="L1516" i="29"/>
  <c r="I1515" i="29"/>
  <c r="K1515" i="29"/>
  <c r="L1514" i="29"/>
  <c r="M1514" i="29"/>
  <c r="M1513" i="29"/>
  <c r="L1513" i="29"/>
  <c r="L1512" i="29"/>
  <c r="M1512" i="29"/>
  <c r="M1511" i="29"/>
  <c r="L1511" i="29"/>
  <c r="M1510" i="29"/>
  <c r="L1510" i="29"/>
  <c r="M1509" i="29"/>
  <c r="L1509" i="29"/>
  <c r="M1508" i="29"/>
  <c r="L1508" i="29"/>
  <c r="M1507" i="29"/>
  <c r="L1507" i="29"/>
  <c r="M1506" i="29"/>
  <c r="L1506" i="29"/>
  <c r="M1505" i="29"/>
  <c r="L1505" i="29"/>
  <c r="M1504" i="29"/>
  <c r="L1504" i="29"/>
  <c r="M1503" i="29"/>
  <c r="L1503" i="29"/>
  <c r="L1502" i="29"/>
  <c r="M1502" i="29"/>
  <c r="M1501" i="29"/>
  <c r="L1501" i="29"/>
  <c r="M1500" i="29"/>
  <c r="L1500" i="29"/>
  <c r="L1499" i="29"/>
  <c r="M1499" i="29"/>
  <c r="L1498" i="29"/>
  <c r="M1498" i="29"/>
  <c r="L1497" i="29"/>
  <c r="M1497" i="29"/>
  <c r="M1496" i="29"/>
  <c r="L1496" i="29"/>
  <c r="M1495" i="29"/>
  <c r="L1495" i="29"/>
  <c r="L1494" i="29"/>
  <c r="M1494" i="29"/>
  <c r="M1493" i="29"/>
  <c r="L1493" i="29"/>
  <c r="L1492" i="29"/>
  <c r="M1492" i="29"/>
  <c r="I1491" i="29"/>
  <c r="K1491" i="29"/>
  <c r="K1490" i="29"/>
  <c r="I1490" i="29"/>
  <c r="L1489" i="29"/>
  <c r="M1489" i="29"/>
  <c r="M1488" i="29"/>
  <c r="L1488" i="29"/>
  <c r="L1487" i="29"/>
  <c r="M1487" i="29"/>
  <c r="L1486" i="29"/>
  <c r="M1486" i="29"/>
  <c r="L1485" i="29"/>
  <c r="M1485" i="29"/>
  <c r="M1484" i="29"/>
  <c r="L1484" i="29"/>
  <c r="M1483" i="29"/>
  <c r="L1483" i="29"/>
  <c r="M1482" i="29"/>
  <c r="L1482" i="29"/>
  <c r="L1481" i="29"/>
  <c r="M1481" i="29"/>
  <c r="L1480" i="29"/>
  <c r="M1480" i="29"/>
  <c r="M1479" i="29"/>
  <c r="L1479" i="29"/>
  <c r="M1478" i="29"/>
  <c r="L1478" i="29"/>
  <c r="M1477" i="29"/>
  <c r="L1477" i="29"/>
  <c r="M1476" i="29"/>
  <c r="L1476" i="29"/>
  <c r="M1475" i="29"/>
  <c r="L1475" i="29"/>
  <c r="L1474" i="29"/>
  <c r="M1474" i="29"/>
  <c r="M1473" i="29"/>
  <c r="L1473" i="29"/>
  <c r="M1472" i="29"/>
  <c r="L1472" i="29"/>
  <c r="L1471" i="29"/>
  <c r="M1471" i="29"/>
  <c r="L1470" i="29"/>
  <c r="M1470" i="29"/>
  <c r="L1469" i="29"/>
  <c r="M1469" i="29"/>
  <c r="M1468" i="29"/>
  <c r="L1468" i="29"/>
  <c r="M1467" i="29"/>
  <c r="L1467" i="29"/>
  <c r="M1466" i="29"/>
  <c r="L1466" i="29"/>
  <c r="L1465" i="29"/>
  <c r="M1465" i="29"/>
  <c r="L1464" i="29"/>
  <c r="M1464" i="29"/>
  <c r="M1463" i="29"/>
  <c r="L1463" i="29"/>
  <c r="M1462" i="29"/>
  <c r="L1462" i="29"/>
  <c r="L1461" i="29"/>
  <c r="M1461" i="29"/>
  <c r="M1460" i="29"/>
  <c r="L1460" i="29"/>
  <c r="M1459" i="29"/>
  <c r="L1459" i="29"/>
  <c r="M1458" i="29"/>
  <c r="L1458" i="29"/>
  <c r="L1457" i="29"/>
  <c r="M1457" i="29"/>
  <c r="L1456" i="29"/>
  <c r="M1456" i="29"/>
  <c r="L1455" i="29"/>
  <c r="M1455" i="29"/>
  <c r="L1454" i="29"/>
  <c r="M1454" i="29"/>
  <c r="L1453" i="29"/>
  <c r="M1453" i="29"/>
  <c r="L1452" i="29"/>
  <c r="M1452" i="29"/>
  <c r="M1451" i="29"/>
  <c r="L1451" i="29"/>
  <c r="L1450" i="29"/>
  <c r="M1450" i="29"/>
  <c r="M1449" i="29"/>
  <c r="L1449" i="29"/>
  <c r="L1448" i="29"/>
  <c r="M1448" i="29"/>
  <c r="M1447" i="29"/>
  <c r="L1447" i="29"/>
  <c r="M1446" i="29"/>
  <c r="L1446" i="29"/>
  <c r="L1445" i="29"/>
  <c r="M1445" i="29"/>
  <c r="L1444" i="29"/>
  <c r="M1444" i="29"/>
  <c r="M1443" i="29"/>
  <c r="L1443" i="29"/>
  <c r="L1442" i="29"/>
  <c r="M1442" i="29"/>
  <c r="L1441" i="29"/>
  <c r="M1441" i="29"/>
  <c r="L1440" i="29"/>
  <c r="M1440" i="29"/>
  <c r="M1439" i="29"/>
  <c r="L1439" i="29"/>
  <c r="L1438" i="29"/>
  <c r="M1438" i="29"/>
  <c r="M1437" i="29"/>
  <c r="L1437" i="29"/>
  <c r="M1436" i="29"/>
  <c r="L1436" i="29"/>
  <c r="M1435" i="29"/>
  <c r="L1435" i="29"/>
  <c r="M1434" i="29"/>
  <c r="L1434" i="29"/>
  <c r="M1433" i="29"/>
  <c r="L1433" i="29"/>
  <c r="M1432" i="29"/>
  <c r="L1432" i="29"/>
  <c r="M1431" i="29"/>
  <c r="L1431" i="29"/>
  <c r="M1430" i="29"/>
  <c r="L1430" i="29"/>
  <c r="M1429" i="29"/>
  <c r="L1429" i="29"/>
  <c r="M1428" i="29"/>
  <c r="L1428" i="29"/>
  <c r="M1427" i="29"/>
  <c r="L1427" i="29"/>
  <c r="M1426" i="29"/>
  <c r="L1426" i="29"/>
  <c r="M1425" i="29"/>
  <c r="L1425" i="29"/>
  <c r="M1424" i="29"/>
  <c r="L1424" i="29"/>
  <c r="L1423" i="29"/>
  <c r="M1423" i="29"/>
  <c r="L1422" i="29"/>
  <c r="M1422" i="29"/>
  <c r="L1421" i="29"/>
  <c r="M1421" i="29"/>
  <c r="L1420" i="29"/>
  <c r="M1420" i="29"/>
  <c r="M1419" i="29"/>
  <c r="L1419" i="29"/>
  <c r="L1418" i="29"/>
  <c r="M1418" i="29"/>
  <c r="L1417" i="29"/>
  <c r="M1417" i="29"/>
  <c r="L1416" i="29"/>
  <c r="M1416" i="29"/>
  <c r="L1415" i="29"/>
  <c r="M1415" i="29"/>
  <c r="L1414" i="29"/>
  <c r="M1414" i="29"/>
  <c r="M1413" i="29"/>
  <c r="L1413" i="29"/>
  <c r="L1412" i="29"/>
  <c r="M1412" i="29"/>
  <c r="L1411" i="29"/>
  <c r="M1411" i="29"/>
  <c r="M1410" i="29"/>
  <c r="L1410" i="29"/>
  <c r="M1409" i="29"/>
  <c r="L1409" i="29"/>
  <c r="L1408" i="29"/>
  <c r="M1408" i="29"/>
  <c r="M1407" i="29"/>
  <c r="L1407" i="29"/>
  <c r="L1406" i="29"/>
  <c r="M1406" i="29"/>
  <c r="M1405" i="29"/>
  <c r="L1405" i="29"/>
  <c r="M1404" i="29"/>
  <c r="L1404" i="29"/>
  <c r="L1403" i="29"/>
  <c r="M1403" i="29"/>
  <c r="L1402" i="29"/>
  <c r="M1402" i="29"/>
  <c r="M1401" i="29"/>
  <c r="L1401" i="29"/>
  <c r="L1400" i="29"/>
  <c r="M1400" i="29"/>
  <c r="L1399" i="29"/>
  <c r="M1399" i="29"/>
  <c r="L1398" i="29"/>
  <c r="M1398" i="29"/>
  <c r="I1397" i="29"/>
  <c r="K1397" i="29"/>
  <c r="K1396" i="29"/>
  <c r="I1396" i="29"/>
  <c r="L1395" i="29"/>
  <c r="M1395" i="29"/>
  <c r="M1394" i="29"/>
  <c r="L1394" i="29"/>
  <c r="L1393" i="29"/>
  <c r="M1393" i="29"/>
  <c r="L1392" i="29"/>
  <c r="M1392" i="29"/>
  <c r="M1391" i="29"/>
  <c r="L1391" i="29"/>
  <c r="L1390" i="29"/>
  <c r="M1390" i="29"/>
  <c r="L1389" i="29"/>
  <c r="M1389" i="29"/>
  <c r="M1388" i="29"/>
  <c r="L1388" i="29"/>
  <c r="L1387" i="29"/>
  <c r="M1387" i="29"/>
  <c r="L1386" i="29"/>
  <c r="M1386" i="29"/>
  <c r="M1385" i="29"/>
  <c r="L1385" i="29"/>
  <c r="L1384" i="29"/>
  <c r="M1384" i="29"/>
  <c r="L1383" i="29"/>
  <c r="M1383" i="29"/>
  <c r="M1382" i="29"/>
  <c r="L1382" i="29"/>
  <c r="M1381" i="29"/>
  <c r="L1381" i="29"/>
  <c r="L1380" i="29"/>
  <c r="M1380" i="29"/>
  <c r="L1379" i="29"/>
  <c r="M1379" i="29"/>
  <c r="L1378" i="29"/>
  <c r="M1378" i="29"/>
  <c r="L1377" i="29"/>
  <c r="M1377" i="29"/>
  <c r="L1376" i="29"/>
  <c r="M1376" i="29"/>
  <c r="M1375" i="29"/>
  <c r="L1375" i="29"/>
  <c r="M1374" i="29"/>
  <c r="L1374" i="29"/>
  <c r="K1373" i="29"/>
  <c r="I1373" i="29"/>
  <c r="M1372" i="29"/>
  <c r="L1372" i="29"/>
  <c r="M1371" i="29"/>
  <c r="L1371" i="29"/>
  <c r="L1370" i="29"/>
  <c r="M1370" i="29"/>
  <c r="L1369" i="29"/>
  <c r="M1369" i="29"/>
  <c r="M1368" i="29"/>
  <c r="L1368" i="29"/>
  <c r="M1367" i="29"/>
  <c r="L1367" i="29"/>
  <c r="M1366" i="29"/>
  <c r="L1366" i="29"/>
  <c r="L1365" i="29"/>
  <c r="M1365" i="29"/>
  <c r="L1364" i="29"/>
  <c r="M1364" i="29"/>
  <c r="M1363" i="29"/>
  <c r="L1363" i="29"/>
  <c r="M1362" i="29"/>
  <c r="L1362" i="29"/>
  <c r="M1361" i="29"/>
  <c r="L1361" i="29"/>
  <c r="M1360" i="29"/>
  <c r="L1360" i="29"/>
  <c r="M1359" i="29"/>
  <c r="L1359" i="29"/>
  <c r="M1358" i="29"/>
  <c r="L1358" i="29"/>
  <c r="L1357" i="29"/>
  <c r="M1357" i="29"/>
  <c r="L1356" i="29"/>
  <c r="M1356" i="29"/>
  <c r="L1355" i="29"/>
  <c r="M1355" i="29"/>
  <c r="I1354" i="29"/>
  <c r="K1354" i="29"/>
  <c r="L1353" i="29"/>
  <c r="M1353" i="29"/>
  <c r="L1352" i="29"/>
  <c r="M1352" i="29"/>
  <c r="L1351" i="29"/>
  <c r="M1351" i="29"/>
  <c r="M1350" i="29"/>
  <c r="L1350" i="29"/>
  <c r="M1349" i="29"/>
  <c r="L1349" i="29"/>
  <c r="L1348" i="29"/>
  <c r="M1348" i="29"/>
  <c r="M1347" i="29"/>
  <c r="L1347" i="29"/>
  <c r="M1346" i="29"/>
  <c r="L1346" i="29"/>
  <c r="M1345" i="29"/>
  <c r="L1345" i="29"/>
  <c r="M1344" i="29"/>
  <c r="L1344" i="29"/>
  <c r="M1343" i="29"/>
  <c r="L1343" i="29"/>
  <c r="M1342" i="29"/>
  <c r="L1342" i="29"/>
  <c r="L1341" i="29"/>
  <c r="M1341" i="29"/>
  <c r="L1340" i="29"/>
  <c r="M1340" i="29"/>
  <c r="L1339" i="29"/>
  <c r="M1339" i="29"/>
  <c r="M1338" i="29"/>
  <c r="L1338" i="29"/>
  <c r="L1337" i="29"/>
  <c r="M1337" i="29"/>
  <c r="L1336" i="29"/>
  <c r="M1336" i="29"/>
  <c r="M1335" i="29"/>
  <c r="L1335" i="29"/>
  <c r="L1334" i="29"/>
  <c r="M1334" i="29"/>
  <c r="L1333" i="29"/>
  <c r="M1333" i="29"/>
  <c r="L1332" i="29"/>
  <c r="M1332" i="29"/>
  <c r="L1331" i="29"/>
  <c r="M1331" i="29"/>
  <c r="L1330" i="29"/>
  <c r="M1330" i="29"/>
  <c r="M1329" i="29"/>
  <c r="L1329" i="29"/>
  <c r="M1328" i="29"/>
  <c r="L1328" i="29"/>
  <c r="M1327" i="29"/>
  <c r="L1327" i="29"/>
  <c r="M1326" i="29"/>
  <c r="L1326" i="29"/>
  <c r="M1325" i="29"/>
  <c r="L1325" i="29"/>
  <c r="M1324" i="29"/>
  <c r="L1324" i="29"/>
  <c r="L1323" i="29"/>
  <c r="M1323" i="29"/>
  <c r="L1322" i="29"/>
  <c r="M1322" i="29"/>
  <c r="L1321" i="29"/>
  <c r="M1321" i="29"/>
  <c r="M1320" i="29"/>
  <c r="L1320" i="29"/>
  <c r="L1319" i="29"/>
  <c r="M1319" i="29"/>
  <c r="L1318" i="29"/>
  <c r="M1318" i="29"/>
  <c r="L1317" i="29"/>
  <c r="M1317" i="29"/>
  <c r="L1316" i="29"/>
  <c r="M1316" i="29"/>
  <c r="L1315" i="29"/>
  <c r="M1315" i="29"/>
  <c r="M1314" i="29"/>
  <c r="L1314" i="29"/>
  <c r="L1313" i="29"/>
  <c r="M1313" i="29"/>
  <c r="L1312" i="29"/>
  <c r="M1312" i="29"/>
  <c r="M1311" i="29"/>
  <c r="L1311" i="29"/>
  <c r="M1310" i="29"/>
  <c r="L1310" i="29"/>
  <c r="M1309" i="29"/>
  <c r="L1309" i="29"/>
  <c r="L1308" i="29"/>
  <c r="M1308" i="29"/>
  <c r="L1307" i="29"/>
  <c r="M1307" i="29"/>
  <c r="M1306" i="29"/>
  <c r="L1306" i="29"/>
  <c r="M1305" i="29"/>
  <c r="L1305" i="29"/>
  <c r="M1304" i="29"/>
  <c r="L1304" i="29"/>
  <c r="M1303" i="29"/>
  <c r="L1303" i="29"/>
  <c r="L1302" i="29"/>
  <c r="M1302" i="29"/>
  <c r="L1301" i="29"/>
  <c r="M1301" i="29"/>
  <c r="L1300" i="29"/>
  <c r="M1300" i="29"/>
  <c r="M1299" i="29"/>
  <c r="L1299" i="29"/>
  <c r="M1298" i="29"/>
  <c r="L1298" i="29"/>
  <c r="M1297" i="29"/>
  <c r="L1297" i="29"/>
  <c r="M1296" i="29"/>
  <c r="L1296" i="29"/>
  <c r="L1295" i="29"/>
  <c r="M1295" i="29"/>
  <c r="L1294" i="29"/>
  <c r="M1294" i="29"/>
  <c r="L1293" i="29"/>
  <c r="M1293" i="29"/>
  <c r="M1292" i="29"/>
  <c r="L1292" i="29"/>
  <c r="M1291" i="29"/>
  <c r="L1291" i="29"/>
  <c r="M1290" i="29"/>
  <c r="L1290" i="29"/>
  <c r="M1289" i="29"/>
  <c r="L1289" i="29"/>
  <c r="M1288" i="29"/>
  <c r="L1288" i="29"/>
  <c r="M1287" i="29"/>
  <c r="L1287" i="29"/>
  <c r="M1286" i="29"/>
  <c r="L1286" i="29"/>
  <c r="M1285" i="29"/>
  <c r="L1285" i="29"/>
  <c r="M1284" i="29"/>
  <c r="L1284" i="29"/>
  <c r="M1283" i="29"/>
  <c r="L1283" i="29"/>
  <c r="M1282" i="29"/>
  <c r="L1282" i="29"/>
  <c r="M1281" i="29"/>
  <c r="L1281" i="29"/>
  <c r="L1280" i="29"/>
  <c r="M1280" i="29"/>
  <c r="M1279" i="29"/>
  <c r="L1279" i="29"/>
  <c r="M1278" i="29"/>
  <c r="L1278" i="29"/>
  <c r="M1277" i="29"/>
  <c r="L1277" i="29"/>
  <c r="M1276" i="29"/>
  <c r="L1276" i="29"/>
  <c r="L1275" i="29"/>
  <c r="M1275" i="29"/>
  <c r="M1274" i="29"/>
  <c r="L1274" i="29"/>
  <c r="L1273" i="29"/>
  <c r="M1273" i="29"/>
  <c r="L1272" i="29"/>
  <c r="M1272" i="29"/>
  <c r="L1271" i="29"/>
  <c r="M1271" i="29"/>
  <c r="L1270" i="29"/>
  <c r="M1270" i="29"/>
  <c r="L1269" i="29"/>
  <c r="M1269" i="29"/>
  <c r="M1268" i="29"/>
  <c r="L1268" i="29"/>
  <c r="M1267" i="29"/>
  <c r="L1267" i="29"/>
  <c r="M1266" i="29"/>
  <c r="L1266" i="29"/>
  <c r="L1265" i="29"/>
  <c r="M1265" i="29"/>
  <c r="M1264" i="29"/>
  <c r="L1264" i="29"/>
  <c r="L1263" i="29"/>
  <c r="M1263" i="29"/>
  <c r="M1262" i="29"/>
  <c r="M1261" i="29"/>
  <c r="L1261" i="29"/>
  <c r="M1260" i="29"/>
  <c r="L1260" i="29"/>
  <c r="M1259" i="29"/>
  <c r="L1259" i="29"/>
  <c r="M1258" i="29"/>
  <c r="L1258" i="29"/>
  <c r="M1257" i="29"/>
  <c r="L1257" i="29"/>
  <c r="M1256" i="29"/>
  <c r="L1256" i="29"/>
  <c r="M1255" i="29"/>
  <c r="L1255" i="29"/>
  <c r="M1254" i="29"/>
  <c r="L1254" i="29"/>
  <c r="L1253" i="29"/>
  <c r="M1253" i="29"/>
  <c r="L1252" i="29"/>
  <c r="M1252" i="29"/>
  <c r="L1251" i="29"/>
  <c r="M1251" i="29"/>
  <c r="L1250" i="29"/>
  <c r="M1250" i="29"/>
  <c r="M1249" i="29"/>
  <c r="L1249" i="29"/>
  <c r="L1248" i="29"/>
  <c r="M1248" i="29"/>
  <c r="M1247" i="29"/>
  <c r="L1247" i="29"/>
  <c r="L1246" i="29"/>
  <c r="M1246" i="29"/>
  <c r="L1245" i="29"/>
  <c r="M1245" i="29"/>
  <c r="L1244" i="29"/>
  <c r="M1244" i="29"/>
  <c r="L1243" i="29"/>
  <c r="M1243" i="29"/>
  <c r="M1242" i="29"/>
  <c r="L1242" i="29"/>
  <c r="M1241" i="29"/>
  <c r="L1241" i="29"/>
  <c r="L1240" i="29"/>
  <c r="M1240" i="29"/>
  <c r="L1239" i="29"/>
  <c r="M1239" i="29"/>
  <c r="L1238" i="29"/>
  <c r="M1238" i="29"/>
  <c r="L1237" i="29"/>
  <c r="M1237" i="29"/>
  <c r="L1236" i="29"/>
  <c r="M1236" i="29"/>
  <c r="L1235" i="29"/>
  <c r="M1235" i="29"/>
  <c r="M1234" i="29"/>
  <c r="L1234" i="29"/>
  <c r="L1233" i="29"/>
  <c r="M1233" i="29"/>
  <c r="M1232" i="29"/>
  <c r="L1232" i="29"/>
  <c r="L1231" i="29"/>
  <c r="M1231" i="29"/>
  <c r="M1230" i="29"/>
  <c r="L1230" i="29"/>
  <c r="M1229" i="29"/>
  <c r="L1229" i="29"/>
  <c r="L1228" i="29"/>
  <c r="M1228" i="29"/>
  <c r="M1227" i="29"/>
  <c r="L1227" i="29"/>
  <c r="M1226" i="29"/>
  <c r="L1226" i="29"/>
  <c r="L1225" i="29"/>
  <c r="M1225" i="29"/>
  <c r="L1224" i="29"/>
  <c r="M1224" i="29"/>
  <c r="L1223" i="29"/>
  <c r="M1223" i="29"/>
  <c r="M1222" i="29"/>
  <c r="L1222" i="29"/>
  <c r="L1221" i="29"/>
  <c r="M1221" i="29"/>
  <c r="L1220" i="29"/>
  <c r="M1220" i="29"/>
  <c r="M1219" i="29"/>
  <c r="L1219" i="29"/>
  <c r="M1218" i="29"/>
  <c r="L1218" i="29"/>
  <c r="M1217" i="29"/>
  <c r="L1217" i="29"/>
  <c r="M1216" i="29"/>
  <c r="L1216" i="29"/>
  <c r="M1215" i="29"/>
  <c r="L1215" i="29"/>
  <c r="M1214" i="29"/>
  <c r="L1214" i="29"/>
  <c r="M1213" i="29"/>
  <c r="L1213" i="29"/>
  <c r="L1212" i="29"/>
  <c r="M1212" i="29"/>
  <c r="M1211" i="29"/>
  <c r="L1211" i="29"/>
  <c r="M1210" i="29"/>
  <c r="L1210" i="29"/>
  <c r="L1209" i="29"/>
  <c r="M1209" i="29"/>
  <c r="L1208" i="29"/>
  <c r="M1208" i="29"/>
  <c r="M1207" i="29"/>
  <c r="L1207" i="29"/>
  <c r="L1206" i="29"/>
  <c r="M1206" i="29"/>
  <c r="M1205" i="29"/>
  <c r="L1205" i="29"/>
  <c r="M1204" i="29"/>
  <c r="L1204" i="29"/>
  <c r="L1203" i="29"/>
  <c r="M1203" i="29"/>
  <c r="L1202" i="29"/>
  <c r="M1202" i="29"/>
  <c r="L1201" i="29"/>
  <c r="M1201" i="29"/>
  <c r="L1200" i="29"/>
  <c r="M1200" i="29"/>
  <c r="M1199" i="29"/>
  <c r="L1199" i="29"/>
  <c r="L1198" i="29"/>
  <c r="M1198" i="29"/>
  <c r="L1197" i="29"/>
  <c r="M1197" i="29"/>
  <c r="L1196" i="29"/>
  <c r="M1196" i="29"/>
  <c r="M1195" i="29"/>
  <c r="L1195" i="29"/>
  <c r="M1194" i="29"/>
  <c r="L1194" i="29"/>
  <c r="M1193" i="29"/>
  <c r="L1193" i="29"/>
  <c r="M1192" i="29"/>
  <c r="L1192" i="29"/>
  <c r="M1191" i="29"/>
  <c r="L1191" i="29"/>
  <c r="L1190" i="29"/>
  <c r="M1190" i="29"/>
  <c r="L1189" i="29"/>
  <c r="M1189" i="29"/>
  <c r="L1188" i="29"/>
  <c r="M1188" i="29"/>
  <c r="L1187" i="29"/>
  <c r="M1187" i="29"/>
  <c r="M1186" i="29"/>
  <c r="L1186" i="29"/>
  <c r="L1185" i="29"/>
  <c r="M1185" i="29"/>
  <c r="M1184" i="29"/>
  <c r="L1184" i="29"/>
  <c r="M1183" i="29"/>
  <c r="L1183" i="29"/>
  <c r="M1182" i="29"/>
  <c r="L1182" i="29"/>
  <c r="M1181" i="29"/>
  <c r="L1181" i="29"/>
  <c r="L1180" i="29"/>
  <c r="M1180" i="29"/>
  <c r="L1179" i="29"/>
  <c r="M1179" i="29"/>
  <c r="M1178" i="29"/>
  <c r="L1178" i="29"/>
  <c r="L1177" i="29"/>
  <c r="M1177" i="29"/>
  <c r="M1176" i="29"/>
  <c r="L1176" i="29"/>
  <c r="M1175" i="29"/>
  <c r="L1175" i="29"/>
  <c r="M1174" i="29"/>
  <c r="L1174" i="29"/>
  <c r="M1173" i="29"/>
  <c r="L1173" i="29"/>
  <c r="L1172" i="29"/>
  <c r="M1172" i="29"/>
  <c r="L1171" i="29"/>
  <c r="M1171" i="29"/>
  <c r="M1170" i="29"/>
  <c r="L1170" i="29"/>
  <c r="L1169" i="29"/>
  <c r="M1169" i="29"/>
  <c r="L1168" i="29"/>
  <c r="M1168" i="29"/>
  <c r="L1167" i="29"/>
  <c r="M1167" i="29"/>
  <c r="L1166" i="29"/>
  <c r="M1166" i="29"/>
  <c r="M1165" i="29"/>
  <c r="L1165" i="29"/>
  <c r="L1164" i="29"/>
  <c r="M1164" i="29"/>
  <c r="L1163" i="29"/>
  <c r="M1163" i="29"/>
  <c r="M1162" i="29"/>
  <c r="L1162" i="29"/>
  <c r="M1161" i="29"/>
  <c r="L1161" i="29"/>
  <c r="L1159" i="29"/>
  <c r="M1159" i="29"/>
  <c r="L1158" i="29"/>
  <c r="M1158" i="29"/>
  <c r="L1157" i="29"/>
  <c r="M1157" i="29"/>
  <c r="M1156" i="29"/>
  <c r="L1156" i="29"/>
  <c r="K1155" i="29"/>
  <c r="L1154" i="29"/>
  <c r="M1154" i="29"/>
  <c r="L1153" i="29"/>
  <c r="M1153" i="29"/>
  <c r="M1152" i="29"/>
  <c r="L1152" i="29"/>
  <c r="L1151" i="29"/>
  <c r="M1151" i="29"/>
  <c r="M1150" i="29"/>
  <c r="L1150" i="29"/>
  <c r="L1149" i="29"/>
  <c r="M1149" i="29"/>
  <c r="M1148" i="29"/>
  <c r="L1148" i="29"/>
  <c r="M1147" i="29"/>
  <c r="L1147" i="29"/>
  <c r="M1146" i="29"/>
  <c r="L1146" i="29"/>
  <c r="M1145" i="29"/>
  <c r="L1145" i="29"/>
  <c r="M1144" i="29"/>
  <c r="L1144" i="29"/>
  <c r="M1143" i="29"/>
  <c r="L1143" i="29"/>
  <c r="M1142" i="29"/>
  <c r="L1142" i="29"/>
  <c r="M1141" i="29"/>
  <c r="L1141" i="29"/>
  <c r="M1140" i="29"/>
  <c r="L1140" i="29"/>
  <c r="L1139" i="29"/>
  <c r="M1139" i="29"/>
  <c r="M1138" i="29"/>
  <c r="L1138" i="29"/>
  <c r="M1137" i="29"/>
  <c r="L1137" i="29"/>
  <c r="L1136" i="29"/>
  <c r="M1136" i="29"/>
  <c r="M1135" i="29"/>
  <c r="L1135" i="29"/>
  <c r="M1134" i="29"/>
  <c r="L1134" i="29"/>
  <c r="L1133" i="29"/>
  <c r="M1133" i="29"/>
  <c r="M1132" i="29"/>
  <c r="L1132" i="29"/>
  <c r="M1131" i="29"/>
  <c r="L1131" i="29"/>
  <c r="M1130" i="29"/>
  <c r="L1130" i="29"/>
  <c r="M1129" i="29"/>
  <c r="L1129" i="29"/>
  <c r="M1128" i="29"/>
  <c r="L1128" i="29"/>
  <c r="L1127" i="29"/>
  <c r="M1127" i="29"/>
  <c r="L1126" i="29"/>
  <c r="M1126" i="29"/>
  <c r="L1125" i="29"/>
  <c r="M1125" i="29"/>
  <c r="M1124" i="29"/>
  <c r="L1124" i="29"/>
  <c r="L1123" i="29"/>
  <c r="M1123" i="29"/>
  <c r="L1122" i="29"/>
  <c r="M1122" i="29"/>
  <c r="L1121" i="29"/>
  <c r="M1121" i="29"/>
  <c r="L1120" i="29"/>
  <c r="M1120" i="29"/>
  <c r="M1119" i="29"/>
  <c r="L1119" i="29"/>
  <c r="L1118" i="29"/>
  <c r="M1118" i="29"/>
  <c r="L1117" i="29"/>
  <c r="M1117" i="29"/>
  <c r="L1116" i="29"/>
  <c r="M1116" i="29"/>
  <c r="L1115" i="29"/>
  <c r="M1115" i="29"/>
  <c r="L1114" i="29"/>
  <c r="M1114" i="29"/>
  <c r="L1113" i="29"/>
  <c r="M1113" i="29"/>
  <c r="L1112" i="29"/>
  <c r="M1112" i="29"/>
  <c r="M1111" i="29"/>
  <c r="L1111" i="29"/>
  <c r="M1110" i="29"/>
  <c r="L1110" i="29"/>
  <c r="M1109" i="29"/>
  <c r="L1109" i="29"/>
  <c r="M1108" i="29"/>
  <c r="L1108" i="29"/>
  <c r="M1107" i="29"/>
  <c r="L1107" i="29"/>
  <c r="L1106" i="29"/>
  <c r="M1106" i="29"/>
  <c r="M1105" i="29"/>
  <c r="L1105" i="29"/>
  <c r="M1104" i="29"/>
  <c r="L1104" i="29"/>
  <c r="M1103" i="29"/>
  <c r="L1103" i="29"/>
  <c r="M1102" i="29"/>
  <c r="L1102" i="29"/>
  <c r="M1101" i="29"/>
  <c r="L1101" i="29"/>
  <c r="M1100" i="29"/>
  <c r="L1100" i="29"/>
  <c r="M1099" i="29"/>
  <c r="L1099" i="29"/>
  <c r="L1098" i="29"/>
  <c r="M1098" i="29"/>
  <c r="L1097" i="29"/>
  <c r="M1097" i="29"/>
  <c r="L1096" i="29"/>
  <c r="M1096" i="29"/>
  <c r="M1095" i="29"/>
  <c r="L1095" i="29"/>
  <c r="M1094" i="29"/>
  <c r="L1094" i="29"/>
  <c r="M1093" i="29"/>
  <c r="L1093" i="29"/>
  <c r="L1092" i="29"/>
  <c r="M1092" i="29"/>
  <c r="M1091" i="29"/>
  <c r="L1091" i="29"/>
  <c r="M1090" i="29"/>
  <c r="L1090" i="29"/>
  <c r="L1089" i="29"/>
  <c r="M1089" i="29"/>
  <c r="M1088" i="29"/>
  <c r="L1088" i="29"/>
  <c r="M1087" i="29"/>
  <c r="L1087" i="29"/>
  <c r="M1086" i="29"/>
  <c r="L1086" i="29"/>
  <c r="M1085" i="29"/>
  <c r="L1085" i="29"/>
  <c r="M1084" i="29"/>
  <c r="L1084" i="29"/>
  <c r="M1083" i="29"/>
  <c r="L1083" i="29"/>
  <c r="M1082" i="29"/>
  <c r="L1082" i="29"/>
  <c r="M1081" i="29"/>
  <c r="L1081" i="29"/>
  <c r="L1080" i="29"/>
  <c r="M1080" i="29"/>
  <c r="L1079" i="29"/>
  <c r="M1079" i="29"/>
  <c r="L1078" i="29"/>
  <c r="M1078" i="29"/>
  <c r="M1077" i="29"/>
  <c r="L1077" i="29"/>
  <c r="M1076" i="29"/>
  <c r="L1076" i="29"/>
  <c r="M1075" i="29"/>
  <c r="L1075" i="29"/>
  <c r="M1074" i="29"/>
  <c r="L1074" i="29"/>
  <c r="M1073" i="29"/>
  <c r="L1073" i="29"/>
  <c r="M1072" i="29"/>
  <c r="L1072" i="29"/>
  <c r="L1071" i="29"/>
  <c r="M1071" i="29"/>
  <c r="L1070" i="29"/>
  <c r="M1070" i="29"/>
  <c r="L1069" i="29"/>
  <c r="M1069" i="29"/>
  <c r="M1068" i="29"/>
  <c r="L1068" i="29"/>
  <c r="M1067" i="29"/>
  <c r="L1067" i="29"/>
  <c r="M1066" i="29"/>
  <c r="L1066" i="29"/>
  <c r="M1065" i="29"/>
  <c r="L1065" i="29"/>
  <c r="M1064" i="29"/>
  <c r="L1064" i="29"/>
  <c r="L1063" i="29"/>
  <c r="M1063" i="29"/>
  <c r="M1062" i="29"/>
  <c r="L1062" i="29"/>
  <c r="M1061" i="29"/>
  <c r="L1061" i="29"/>
  <c r="L1060" i="29"/>
  <c r="M1060" i="29"/>
  <c r="M1059" i="29"/>
  <c r="L1059" i="29"/>
  <c r="M1058" i="29"/>
  <c r="L1058" i="29"/>
  <c r="M1057" i="29"/>
  <c r="L1057" i="29"/>
  <c r="L1056" i="29"/>
  <c r="M1056" i="29"/>
  <c r="M1055" i="29"/>
  <c r="L1055" i="29"/>
  <c r="M1054" i="29"/>
  <c r="L1054" i="29"/>
  <c r="L1053" i="29"/>
  <c r="M1053" i="29"/>
  <c r="L1052" i="29"/>
  <c r="M1052" i="29"/>
  <c r="M1051" i="29"/>
  <c r="L1051" i="29"/>
  <c r="L1050" i="29"/>
  <c r="M1050" i="29"/>
  <c r="M1049" i="29"/>
  <c r="L1049" i="29"/>
  <c r="M1048" i="29"/>
  <c r="L1048" i="29"/>
  <c r="M1047" i="29"/>
  <c r="L1047" i="29"/>
  <c r="M1046" i="29"/>
  <c r="L1046" i="29"/>
  <c r="L1045" i="29"/>
  <c r="M1045" i="29"/>
  <c r="M1044" i="29"/>
  <c r="L1044" i="29"/>
  <c r="L1043" i="29"/>
  <c r="M1043" i="29"/>
  <c r="M1042" i="29"/>
  <c r="L1042" i="29"/>
  <c r="L1041" i="29"/>
  <c r="M1041" i="29"/>
  <c r="M1040" i="29"/>
  <c r="L1040" i="29"/>
  <c r="L1039" i="29"/>
  <c r="M1039" i="29"/>
  <c r="M1038" i="29"/>
  <c r="L1038" i="29"/>
  <c r="M1037" i="29"/>
  <c r="L1037" i="29"/>
  <c r="M1036" i="29"/>
  <c r="L1036" i="29"/>
  <c r="L1035" i="29"/>
  <c r="M1035" i="29"/>
  <c r="L1034" i="29"/>
  <c r="M1034" i="29"/>
  <c r="M1033" i="29"/>
  <c r="L1033" i="29"/>
  <c r="L1032" i="29"/>
  <c r="M1032" i="29"/>
  <c r="M1031" i="29"/>
  <c r="L1031" i="29"/>
  <c r="L1030" i="29"/>
  <c r="M1030" i="29"/>
  <c r="M1029" i="29"/>
  <c r="L1029" i="29"/>
  <c r="L1028" i="29"/>
  <c r="M1028" i="29"/>
  <c r="L1027" i="29"/>
  <c r="M1027" i="29"/>
  <c r="L1026" i="29"/>
  <c r="M1026" i="29"/>
  <c r="M1025" i="29"/>
  <c r="L1025" i="29"/>
  <c r="L1024" i="29"/>
  <c r="M1024" i="29"/>
  <c r="M1023" i="29"/>
  <c r="L1023" i="29"/>
  <c r="L1022" i="29"/>
  <c r="M1022" i="29"/>
  <c r="M1021" i="29"/>
  <c r="L1021" i="29"/>
  <c r="L1020" i="29"/>
  <c r="M1020" i="29"/>
  <c r="M1019" i="29"/>
  <c r="L1019" i="29"/>
  <c r="L1018" i="29"/>
  <c r="M1018" i="29"/>
  <c r="M1017" i="29"/>
  <c r="L1017" i="29"/>
  <c r="M1016" i="29"/>
  <c r="L1016" i="29"/>
  <c r="L1015" i="29"/>
  <c r="M1015" i="29"/>
  <c r="M1014" i="29"/>
  <c r="L1014" i="29"/>
  <c r="M1013" i="29"/>
  <c r="L1013" i="29"/>
  <c r="L1012" i="29"/>
  <c r="M1012" i="29"/>
  <c r="L1011" i="29"/>
  <c r="M1011" i="29"/>
  <c r="M1010" i="29"/>
  <c r="L1010" i="29"/>
  <c r="L1009" i="29"/>
  <c r="M1009" i="29"/>
  <c r="M1008" i="29"/>
  <c r="L1008" i="29"/>
  <c r="L1007" i="29"/>
  <c r="M1007" i="29"/>
  <c r="L1006" i="29"/>
  <c r="M1006" i="29"/>
  <c r="L1005" i="29"/>
  <c r="M1005" i="29"/>
  <c r="M1004" i="29"/>
  <c r="L1004" i="29"/>
  <c r="M1003" i="29"/>
  <c r="L1003" i="29"/>
  <c r="M1002" i="29"/>
  <c r="L1002" i="29"/>
  <c r="M1001" i="29"/>
  <c r="L1001" i="29"/>
  <c r="L1000" i="29"/>
  <c r="M1000" i="29"/>
  <c r="M999" i="29"/>
  <c r="L999" i="29"/>
  <c r="M998" i="29"/>
  <c r="L998" i="29"/>
  <c r="M997" i="29"/>
  <c r="L997" i="29"/>
  <c r="L995" i="29"/>
  <c r="M995" i="29"/>
  <c r="L994" i="29"/>
  <c r="M994" i="29"/>
  <c r="L992" i="29"/>
  <c r="M992" i="29"/>
  <c r="L991" i="29"/>
  <c r="M991" i="29"/>
  <c r="M990" i="29"/>
  <c r="L990" i="29"/>
  <c r="L988" i="29"/>
  <c r="M988" i="29"/>
  <c r="L987" i="29"/>
  <c r="M987" i="29"/>
  <c r="L986" i="29"/>
  <c r="M986" i="29"/>
  <c r="L984" i="29"/>
  <c r="M984" i="29"/>
  <c r="L983" i="29"/>
  <c r="M983" i="29"/>
  <c r="M982" i="29"/>
  <c r="L982" i="29"/>
  <c r="L980" i="29"/>
  <c r="M980" i="29"/>
  <c r="M977" i="29"/>
  <c r="L977" i="29"/>
  <c r="M976" i="29"/>
  <c r="L976" i="29"/>
  <c r="L975" i="29"/>
  <c r="M975" i="29"/>
  <c r="L974" i="29"/>
  <c r="M974" i="29"/>
  <c r="M973" i="29"/>
  <c r="L973" i="29"/>
  <c r="M971" i="29"/>
  <c r="L971" i="29"/>
  <c r="L969" i="29"/>
  <c r="M969" i="29"/>
  <c r="M968" i="29"/>
  <c r="L968" i="29"/>
  <c r="L967" i="29"/>
  <c r="M967" i="29"/>
  <c r="L966" i="29"/>
  <c r="M966" i="29"/>
  <c r="M965" i="29"/>
  <c r="L965" i="29"/>
  <c r="M964" i="29"/>
  <c r="L964" i="29"/>
  <c r="M963" i="29"/>
  <c r="L963" i="29"/>
  <c r="M962" i="29"/>
  <c r="L962" i="29"/>
  <c r="M961" i="29"/>
  <c r="L961" i="29"/>
  <c r="M960" i="29"/>
  <c r="L960" i="29"/>
  <c r="M959" i="29"/>
  <c r="L959" i="29"/>
  <c r="M958" i="29"/>
  <c r="L958" i="29"/>
  <c r="L957" i="29"/>
  <c r="M957" i="29"/>
  <c r="M956" i="29"/>
  <c r="L956" i="29"/>
  <c r="L955" i="29"/>
  <c r="M955" i="29"/>
  <c r="L954" i="29"/>
  <c r="M954" i="29"/>
  <c r="M953" i="29"/>
  <c r="L953" i="29"/>
  <c r="M952" i="29"/>
  <c r="L952" i="29"/>
  <c r="M951" i="29"/>
  <c r="L951" i="29"/>
  <c r="M950" i="29"/>
  <c r="L950" i="29"/>
  <c r="M949" i="29"/>
  <c r="L949" i="29"/>
  <c r="M948" i="29"/>
  <c r="L948" i="29"/>
  <c r="L947" i="29"/>
  <c r="M947" i="29"/>
  <c r="M3256" i="29"/>
  <c r="L3256" i="29"/>
  <c r="M2249" i="29"/>
  <c r="L2249" i="29"/>
  <c r="M2241" i="29"/>
  <c r="L2241" i="29"/>
  <c r="M3254" i="29"/>
  <c r="L3254" i="29"/>
  <c r="M2337" i="29"/>
  <c r="L2337" i="29"/>
  <c r="M2333" i="29"/>
  <c r="L2333" i="29"/>
  <c r="L2319" i="29"/>
  <c r="M2319" i="29"/>
  <c r="L2318" i="29"/>
  <c r="M2318" i="29"/>
  <c r="M2313" i="29"/>
  <c r="L2313" i="29"/>
  <c r="M2292" i="29"/>
  <c r="L2292" i="29"/>
  <c r="L2284" i="29"/>
  <c r="M2284" i="29"/>
  <c r="M2265" i="29"/>
  <c r="L2265" i="29"/>
  <c r="M2263" i="29"/>
  <c r="L2263" i="29"/>
  <c r="M2239" i="29"/>
  <c r="L2239" i="29"/>
  <c r="M2231" i="29"/>
  <c r="L2231" i="29"/>
  <c r="M2229" i="29"/>
  <c r="L2229" i="29"/>
  <c r="L2218" i="29"/>
  <c r="M2218" i="29"/>
  <c r="M2211" i="29"/>
  <c r="L2211" i="29"/>
  <c r="M2210" i="29"/>
  <c r="L2210" i="29"/>
  <c r="L3391" i="29"/>
  <c r="M3391" i="29"/>
  <c r="M3374" i="29"/>
  <c r="L3374" i="29"/>
  <c r="M3344" i="29"/>
  <c r="L3344" i="29"/>
  <c r="M3343" i="29"/>
  <c r="L3343" i="29"/>
  <c r="M3334" i="29"/>
  <c r="L3334" i="29"/>
  <c r="M3330" i="29"/>
  <c r="L3330" i="29"/>
  <c r="M3288" i="29"/>
  <c r="L3288" i="29"/>
  <c r="M3233" i="29"/>
  <c r="L3233" i="29"/>
  <c r="M3183" i="29"/>
  <c r="L3183" i="29"/>
  <c r="M3181" i="29"/>
  <c r="L3181" i="29"/>
  <c r="M3173" i="29"/>
  <c r="L3173" i="29"/>
  <c r="M3064" i="29"/>
  <c r="L3064" i="29"/>
  <c r="M3054" i="29"/>
  <c r="L3054" i="29"/>
  <c r="M3042" i="29"/>
  <c r="L3042" i="29"/>
  <c r="M3037" i="29"/>
  <c r="L3037" i="29"/>
  <c r="M3033" i="29"/>
  <c r="L3033" i="29"/>
  <c r="M3032" i="29"/>
  <c r="L3032" i="29"/>
  <c r="M3016" i="29"/>
  <c r="L3016" i="29"/>
  <c r="M3009" i="29"/>
  <c r="L3009" i="29"/>
  <c r="M2870" i="29"/>
  <c r="L2870" i="29"/>
  <c r="M2736" i="29"/>
  <c r="L2736" i="29"/>
  <c r="L2724" i="29"/>
  <c r="M2724" i="29"/>
  <c r="L2666" i="29"/>
  <c r="M2666" i="29"/>
  <c r="M2627" i="29"/>
  <c r="L2627" i="29"/>
  <c r="M2611" i="29"/>
  <c r="L2611" i="29"/>
  <c r="M2598" i="29"/>
  <c r="L2598" i="29"/>
  <c r="L2413" i="29"/>
  <c r="M2413" i="29"/>
  <c r="M2412" i="29"/>
  <c r="L2412" i="29"/>
  <c r="M2411" i="29"/>
  <c r="L2411" i="29"/>
  <c r="M2410" i="29"/>
  <c r="L2410" i="29"/>
  <c r="M2409" i="29"/>
  <c r="L2409" i="29"/>
  <c r="M2405" i="29"/>
  <c r="L2405" i="29"/>
  <c r="M2403" i="29"/>
  <c r="L2403" i="29"/>
  <c r="L2401" i="29"/>
  <c r="M2401" i="29"/>
  <c r="L2400" i="29"/>
  <c r="M2400" i="29"/>
  <c r="M2398" i="29"/>
  <c r="L2398" i="29"/>
  <c r="M2375" i="29"/>
  <c r="L2375" i="29"/>
  <c r="L2365" i="29"/>
  <c r="M2365" i="29"/>
  <c r="L2363" i="29"/>
  <c r="M2363" i="29"/>
  <c r="M2360" i="29"/>
  <c r="L2360" i="29"/>
  <c r="K2356" i="29"/>
  <c r="I2356" i="29"/>
  <c r="M2326" i="29"/>
  <c r="L2326" i="29"/>
  <c r="M2315" i="29"/>
  <c r="L2315" i="29"/>
  <c r="L2312" i="29"/>
  <c r="M2312" i="29"/>
  <c r="M2309" i="29"/>
  <c r="L2309" i="29"/>
  <c r="M2307" i="29"/>
  <c r="L2307" i="29"/>
  <c r="L2302" i="29"/>
  <c r="M2302" i="29"/>
  <c r="M2289" i="29"/>
  <c r="L2289" i="29"/>
  <c r="L2283" i="29"/>
  <c r="M2283" i="29"/>
  <c r="L2274" i="29"/>
  <c r="M2274" i="29"/>
  <c r="L2270" i="29"/>
  <c r="M2270" i="29"/>
  <c r="L2269" i="29"/>
  <c r="M2269" i="29"/>
  <c r="M2260" i="29"/>
  <c r="L2260" i="29"/>
  <c r="M2253" i="29"/>
  <c r="L2253" i="29"/>
  <c r="L2252" i="29"/>
  <c r="M2252" i="29"/>
  <c r="M2247" i="29"/>
  <c r="L2247" i="29"/>
  <c r="M2245" i="29"/>
  <c r="L2245" i="29"/>
  <c r="L2242" i="29"/>
  <c r="M2242" i="29"/>
  <c r="L2234" i="29"/>
  <c r="M2234" i="29"/>
  <c r="L2222" i="29"/>
  <c r="M2222" i="29"/>
  <c r="M2221" i="29"/>
  <c r="L2221" i="29"/>
  <c r="M2203" i="29"/>
  <c r="L2203" i="29"/>
  <c r="M2202" i="29"/>
  <c r="L2202" i="29"/>
  <c r="L2196" i="29"/>
  <c r="M2196" i="29"/>
  <c r="M2195" i="29"/>
  <c r="L2195" i="29"/>
  <c r="L2192" i="29"/>
  <c r="M2192" i="29"/>
  <c r="M2183" i="29"/>
  <c r="L2183" i="29"/>
  <c r="M2181" i="29"/>
  <c r="L2181" i="29"/>
  <c r="L2179" i="29"/>
  <c r="M2179" i="29"/>
  <c r="M2174" i="29"/>
  <c r="L2174" i="29"/>
  <c r="M2172" i="29"/>
  <c r="L2172" i="29"/>
  <c r="M3568" i="29"/>
  <c r="L3568" i="29"/>
  <c r="M3567" i="29"/>
  <c r="L3567" i="29"/>
  <c r="L3566" i="29"/>
  <c r="M3566" i="29"/>
  <c r="M3565" i="29"/>
  <c r="L3565" i="29"/>
  <c r="L3564" i="29"/>
  <c r="M3564" i="29"/>
  <c r="L3563" i="29"/>
  <c r="M3563" i="29"/>
  <c r="L3562" i="29"/>
  <c r="M3562" i="29"/>
  <c r="M3561" i="29"/>
  <c r="L3561" i="29"/>
  <c r="M3560" i="29"/>
  <c r="L3560" i="29"/>
  <c r="M3559" i="29"/>
  <c r="L3559" i="29"/>
  <c r="M3558" i="29"/>
  <c r="L3558" i="29"/>
  <c r="M3557" i="29"/>
  <c r="L3557" i="29"/>
  <c r="L3556" i="29"/>
  <c r="M3556" i="29"/>
  <c r="M3555" i="29"/>
  <c r="L3555" i="29"/>
  <c r="M3554" i="29"/>
  <c r="L3554" i="29"/>
  <c r="M3553" i="29"/>
  <c r="L3553" i="29"/>
  <c r="L3552" i="29"/>
  <c r="M3552" i="29"/>
  <c r="M3551" i="29"/>
  <c r="L3551" i="29"/>
  <c r="L3550" i="29"/>
  <c r="M3550" i="29"/>
  <c r="L3549" i="29"/>
  <c r="M3549" i="29"/>
  <c r="M3548" i="29"/>
  <c r="L3548" i="29"/>
  <c r="L3547" i="29"/>
  <c r="M3547" i="29"/>
  <c r="L3546" i="29"/>
  <c r="M3546" i="29"/>
  <c r="M3545" i="29"/>
  <c r="L3545" i="29"/>
  <c r="M3544" i="29"/>
  <c r="L3544" i="29"/>
  <c r="M3543" i="29"/>
  <c r="L3543" i="29"/>
  <c r="M3542" i="29"/>
  <c r="L3542" i="29"/>
  <c r="L3541" i="29"/>
  <c r="M3541" i="29"/>
  <c r="L3540" i="29"/>
  <c r="M3540" i="29"/>
  <c r="L3539" i="29"/>
  <c r="M3539" i="29"/>
  <c r="L3538" i="29"/>
  <c r="M3538" i="29"/>
  <c r="L3537" i="29"/>
  <c r="M3537" i="29"/>
  <c r="M3536" i="29"/>
  <c r="L3536" i="29"/>
  <c r="L3535" i="29"/>
  <c r="M3535" i="29"/>
  <c r="L3534" i="29"/>
  <c r="M3534" i="29"/>
  <c r="L3533" i="29"/>
  <c r="M3533" i="29"/>
  <c r="L3532" i="29"/>
  <c r="M3532" i="29"/>
  <c r="L3531" i="29"/>
  <c r="M3531" i="29"/>
  <c r="M3530" i="29"/>
  <c r="L3530" i="29"/>
  <c r="L3529" i="29"/>
  <c r="M3529" i="29"/>
  <c r="L3528" i="29"/>
  <c r="M3528" i="29"/>
  <c r="L3527" i="29"/>
  <c r="M3527" i="29"/>
  <c r="M3526" i="29"/>
  <c r="L3526" i="29"/>
  <c r="M3525" i="29"/>
  <c r="L3525" i="29"/>
  <c r="M3524" i="29"/>
  <c r="L3524" i="29"/>
  <c r="M3523" i="29"/>
  <c r="L3523" i="29"/>
  <c r="L3522" i="29"/>
  <c r="M3522" i="29"/>
  <c r="L3521" i="29"/>
  <c r="M3521" i="29"/>
  <c r="M3520" i="29"/>
  <c r="L3520" i="29"/>
  <c r="M3519" i="29"/>
  <c r="L3519" i="29"/>
  <c r="M3518" i="29"/>
  <c r="L3518" i="29"/>
  <c r="L3517" i="29"/>
  <c r="M3517" i="29"/>
  <c r="M3516" i="29"/>
  <c r="L3516" i="29"/>
  <c r="M3515" i="29"/>
  <c r="L3515" i="29"/>
  <c r="M3514" i="29"/>
  <c r="L3514" i="29"/>
  <c r="M3513" i="29"/>
  <c r="L3513" i="29"/>
  <c r="M3512" i="29"/>
  <c r="L3512" i="29"/>
  <c r="L3511" i="29"/>
  <c r="M3511" i="29"/>
  <c r="M3510" i="29"/>
  <c r="L3510" i="29"/>
  <c r="M3509" i="29"/>
  <c r="L3509" i="29"/>
  <c r="M3508" i="29"/>
  <c r="L3508" i="29"/>
  <c r="M3507" i="29"/>
  <c r="L3507" i="29"/>
  <c r="M3506" i="29"/>
  <c r="L3506" i="29"/>
  <c r="M3505" i="29"/>
  <c r="L3505" i="29"/>
  <c r="M3504" i="29"/>
  <c r="L3504" i="29"/>
  <c r="M3503" i="29"/>
  <c r="L3503" i="29"/>
  <c r="M3502" i="29"/>
  <c r="L3502" i="29"/>
  <c r="M3501" i="29"/>
  <c r="L3501" i="29"/>
  <c r="L3500" i="29"/>
  <c r="M3500" i="29"/>
  <c r="L3499" i="29"/>
  <c r="M3499" i="29"/>
  <c r="L3498" i="29"/>
  <c r="M3498" i="29"/>
  <c r="L3497" i="29"/>
  <c r="M3497" i="29"/>
  <c r="L3496" i="29"/>
  <c r="M3496" i="29"/>
  <c r="L3495" i="29"/>
  <c r="M3495" i="29"/>
  <c r="I3493" i="29"/>
  <c r="K3493" i="29"/>
  <c r="M3492" i="29"/>
  <c r="L3492" i="29"/>
  <c r="M3491" i="29"/>
  <c r="L3491" i="29"/>
  <c r="L3490" i="29"/>
  <c r="M3490" i="29"/>
  <c r="M3489" i="29"/>
  <c r="L3489" i="29"/>
  <c r="M3488" i="29"/>
  <c r="L3488" i="29"/>
  <c r="M3487" i="29"/>
  <c r="L3487" i="29"/>
  <c r="M3486" i="29"/>
  <c r="L3486" i="29"/>
  <c r="M3485" i="29"/>
  <c r="L3485" i="29"/>
  <c r="M3484" i="29"/>
  <c r="L3484" i="29"/>
  <c r="M3483" i="29"/>
  <c r="L3483" i="29"/>
  <c r="M3482" i="29"/>
  <c r="L3482" i="29"/>
  <c r="L3481" i="29"/>
  <c r="M3481" i="29"/>
  <c r="L3480" i="29"/>
  <c r="M3480" i="29"/>
  <c r="M3479" i="29"/>
  <c r="L3479" i="29"/>
  <c r="L3478" i="29"/>
  <c r="M3478" i="29"/>
  <c r="M3477" i="29"/>
  <c r="L3477" i="29"/>
  <c r="L3476" i="29"/>
  <c r="M3476" i="29"/>
  <c r="L3475" i="29"/>
  <c r="M3475" i="29"/>
  <c r="L3474" i="29"/>
  <c r="M3474" i="29"/>
  <c r="M3473" i="29"/>
  <c r="L3473" i="29"/>
  <c r="M3472" i="29"/>
  <c r="L3472" i="29"/>
  <c r="M3471" i="29"/>
  <c r="L3471" i="29"/>
  <c r="L3470" i="29"/>
  <c r="M3470" i="29"/>
  <c r="L3469" i="29"/>
  <c r="M3469" i="29"/>
  <c r="M3468" i="29"/>
  <c r="L3468" i="29"/>
  <c r="L3467" i="29"/>
  <c r="M3467" i="29"/>
  <c r="L3466" i="29"/>
  <c r="M3466" i="29"/>
  <c r="M3465" i="29"/>
  <c r="L3465" i="29"/>
  <c r="L3464" i="29"/>
  <c r="M3464" i="29"/>
  <c r="L3463" i="29"/>
  <c r="M3463" i="29"/>
  <c r="L3462" i="29"/>
  <c r="M3462" i="29"/>
  <c r="L3461" i="29"/>
  <c r="M3461" i="29"/>
  <c r="M3460" i="29"/>
  <c r="L3460" i="29"/>
  <c r="M3459" i="29"/>
  <c r="L3459" i="29"/>
  <c r="M3458" i="29"/>
  <c r="L3458" i="29"/>
  <c r="M3457" i="29"/>
  <c r="L3457" i="29"/>
  <c r="M3456" i="29"/>
  <c r="L3456" i="29"/>
  <c r="M3455" i="29"/>
  <c r="L3455" i="29"/>
  <c r="M3454" i="29"/>
  <c r="L3454" i="29"/>
  <c r="M3453" i="29"/>
  <c r="L3453" i="29"/>
  <c r="L3452" i="29"/>
  <c r="M3452" i="29"/>
  <c r="M3451" i="29"/>
  <c r="L3451" i="29"/>
  <c r="L3450" i="29"/>
  <c r="M3450" i="29"/>
  <c r="M3449" i="29"/>
  <c r="L3449" i="29"/>
  <c r="L3448" i="29"/>
  <c r="M3448" i="29"/>
  <c r="M3447" i="29"/>
  <c r="L3447" i="29"/>
  <c r="M3446" i="29"/>
  <c r="L3446" i="29"/>
  <c r="L3445" i="29"/>
  <c r="M3445" i="29"/>
  <c r="M3444" i="29"/>
  <c r="L3444" i="29"/>
  <c r="M3443" i="29"/>
  <c r="L3443" i="29"/>
  <c r="M3442" i="29"/>
  <c r="L3442" i="29"/>
  <c r="M3441" i="29"/>
  <c r="L3441" i="29"/>
  <c r="L3440" i="29"/>
  <c r="M3440" i="29"/>
  <c r="L3439" i="29"/>
  <c r="M3439" i="29"/>
  <c r="M3438" i="29"/>
  <c r="L3438" i="29"/>
  <c r="L3437" i="29"/>
  <c r="M3437" i="29"/>
  <c r="M3436" i="29"/>
  <c r="L3436" i="29"/>
  <c r="L3435" i="29"/>
  <c r="M3435" i="29"/>
  <c r="M3434" i="29"/>
  <c r="L3434" i="29"/>
  <c r="M3433" i="29"/>
  <c r="L3433" i="29"/>
  <c r="M3432" i="29"/>
  <c r="L3432" i="29"/>
  <c r="M3431" i="29"/>
  <c r="L3431" i="29"/>
  <c r="M3430" i="29"/>
  <c r="L3430" i="29"/>
  <c r="M3429" i="29"/>
  <c r="L3429" i="29"/>
  <c r="M3428" i="29"/>
  <c r="L3428" i="29"/>
  <c r="M3427" i="29"/>
  <c r="L3427" i="29"/>
  <c r="L3426" i="29"/>
  <c r="M3426" i="29"/>
  <c r="M3425" i="29"/>
  <c r="L3425" i="29"/>
  <c r="M3424" i="29"/>
  <c r="L3424" i="29"/>
  <c r="L3423" i="29"/>
  <c r="M3423" i="29"/>
  <c r="M3422" i="29"/>
  <c r="L3422" i="29"/>
  <c r="M3421" i="29"/>
  <c r="L3421" i="29"/>
  <c r="M3420" i="29"/>
  <c r="L3420" i="29"/>
  <c r="L3419" i="29"/>
  <c r="M3419" i="29"/>
  <c r="M3418" i="29"/>
  <c r="L3418" i="29"/>
  <c r="L3417" i="29"/>
  <c r="M3417" i="29"/>
  <c r="M3416" i="29"/>
  <c r="L3416" i="29"/>
  <c r="L3415" i="29"/>
  <c r="M3415" i="29"/>
  <c r="L3414" i="29"/>
  <c r="M3414" i="29"/>
  <c r="M3413" i="29"/>
  <c r="L3413" i="29"/>
  <c r="M3412" i="29"/>
  <c r="L3412" i="29"/>
  <c r="L3411" i="29"/>
  <c r="M3411" i="29"/>
  <c r="M3410" i="29"/>
  <c r="L3410" i="29"/>
  <c r="M3409" i="29"/>
  <c r="L3409" i="29"/>
  <c r="M3408" i="29"/>
  <c r="L3408" i="29"/>
  <c r="L3407" i="29"/>
  <c r="M3407" i="29"/>
  <c r="L3406" i="29"/>
  <c r="M3406" i="29"/>
  <c r="L3405" i="29"/>
  <c r="M3405" i="29"/>
  <c r="M3404" i="29"/>
  <c r="L3404" i="29"/>
  <c r="M3403" i="29"/>
  <c r="L3403" i="29"/>
  <c r="L3402" i="29"/>
  <c r="M3402" i="29"/>
  <c r="M3401" i="29"/>
  <c r="L3401" i="29"/>
  <c r="M3400" i="29"/>
  <c r="L3400" i="29"/>
  <c r="M3399" i="29"/>
  <c r="L3399" i="29"/>
  <c r="L3398" i="29"/>
  <c r="M3398" i="29"/>
  <c r="L3397" i="29"/>
  <c r="M3397" i="29"/>
  <c r="M3396" i="29"/>
  <c r="L3396" i="29"/>
  <c r="L3395" i="29"/>
  <c r="M3395" i="29"/>
  <c r="L3394" i="29"/>
  <c r="M3394" i="29"/>
  <c r="M3393" i="29"/>
  <c r="L3393" i="29"/>
  <c r="L3392" i="29"/>
  <c r="M3392" i="29"/>
  <c r="L3390" i="29"/>
  <c r="M3390" i="29"/>
  <c r="M3389" i="29"/>
  <c r="L3389" i="29"/>
  <c r="L3388" i="29"/>
  <c r="M3388" i="29"/>
  <c r="L3387" i="29"/>
  <c r="M3387" i="29"/>
  <c r="L3386" i="29"/>
  <c r="M3386" i="29"/>
  <c r="L3385" i="29"/>
  <c r="M3385" i="29"/>
  <c r="L3384" i="29"/>
  <c r="M3384" i="29"/>
  <c r="M3383" i="29"/>
  <c r="L3383" i="29"/>
  <c r="L3382" i="29"/>
  <c r="M3382" i="29"/>
  <c r="M3381" i="29"/>
  <c r="L3381" i="29"/>
  <c r="M3380" i="29"/>
  <c r="L3380" i="29"/>
  <c r="M3379" i="29"/>
  <c r="L3379" i="29"/>
  <c r="M3378" i="29"/>
  <c r="L3378" i="29"/>
  <c r="M3377" i="29"/>
  <c r="L3377" i="29"/>
  <c r="L3376" i="29"/>
  <c r="M3376" i="29"/>
  <c r="M3375" i="29"/>
  <c r="L3375" i="29"/>
  <c r="M3373" i="29"/>
  <c r="L3373" i="29"/>
  <c r="L3372" i="29"/>
  <c r="M3372" i="29"/>
  <c r="M3371" i="29"/>
  <c r="L3371" i="29"/>
  <c r="L3370" i="29"/>
  <c r="M3370" i="29"/>
  <c r="M3369" i="29"/>
  <c r="L3369" i="29"/>
  <c r="M3368" i="29"/>
  <c r="L3368" i="29"/>
  <c r="L3367" i="29"/>
  <c r="M3367" i="29"/>
  <c r="M3366" i="29"/>
  <c r="L3366" i="29"/>
  <c r="M3365" i="29"/>
  <c r="L3365" i="29"/>
  <c r="M3364" i="29"/>
  <c r="L3364" i="29"/>
  <c r="M3363" i="29"/>
  <c r="L3363" i="29"/>
  <c r="L3362" i="29"/>
  <c r="M3362" i="29"/>
  <c r="M3361" i="29"/>
  <c r="L3361" i="29"/>
  <c r="L3360" i="29"/>
  <c r="M3360" i="29"/>
  <c r="L3359" i="29"/>
  <c r="M3359" i="29"/>
  <c r="M3358" i="29"/>
  <c r="L3358" i="29"/>
  <c r="M3357" i="29"/>
  <c r="L3357" i="29"/>
  <c r="M3356" i="29"/>
  <c r="L3356" i="29"/>
  <c r="M3355" i="29"/>
  <c r="L3355" i="29"/>
  <c r="M3354" i="29"/>
  <c r="L3354" i="29"/>
  <c r="L3353" i="29"/>
  <c r="M3353" i="29"/>
  <c r="L3352" i="29"/>
  <c r="M3352" i="29"/>
  <c r="M3351" i="29"/>
  <c r="L3351" i="29"/>
  <c r="L3350" i="29"/>
  <c r="M3350" i="29"/>
  <c r="L3349" i="29"/>
  <c r="M3349" i="29"/>
  <c r="M3348" i="29"/>
  <c r="L3348" i="29"/>
  <c r="L3347" i="29"/>
  <c r="M3347" i="29"/>
  <c r="M3346" i="29"/>
  <c r="L3346" i="29"/>
  <c r="M3345" i="29"/>
  <c r="L3345" i="29"/>
  <c r="L3342" i="29"/>
  <c r="M3342" i="29"/>
  <c r="M3341" i="29"/>
  <c r="L3341" i="29"/>
  <c r="M3340" i="29"/>
  <c r="L3340" i="29"/>
  <c r="M3339" i="29"/>
  <c r="L3339" i="29"/>
  <c r="M3338" i="29"/>
  <c r="L3338" i="29"/>
  <c r="M3337" i="29"/>
  <c r="L3337" i="29"/>
  <c r="L3336" i="29"/>
  <c r="M3336" i="29"/>
  <c r="L3335" i="29"/>
  <c r="M3335" i="29"/>
  <c r="L3333" i="29"/>
  <c r="M3333" i="29"/>
  <c r="L3332" i="29"/>
  <c r="M3332" i="29"/>
  <c r="L3331" i="29"/>
  <c r="M3331" i="29"/>
  <c r="M3329" i="29"/>
  <c r="L3329" i="29"/>
  <c r="M3328" i="29"/>
  <c r="L3328" i="29"/>
  <c r="L3327" i="29"/>
  <c r="M3327" i="29"/>
  <c r="M3326" i="29"/>
  <c r="L3326" i="29"/>
  <c r="M3325" i="29"/>
  <c r="L3325" i="29"/>
  <c r="M3324" i="29"/>
  <c r="L3324" i="29"/>
  <c r="M3323" i="29"/>
  <c r="L3323" i="29"/>
  <c r="L3322" i="29"/>
  <c r="M3322" i="29"/>
  <c r="M3321" i="29"/>
  <c r="L3321" i="29"/>
  <c r="L3320" i="29"/>
  <c r="M3320" i="29"/>
  <c r="M3319" i="29"/>
  <c r="L3319" i="29"/>
  <c r="L3318" i="29"/>
  <c r="M3318" i="29"/>
  <c r="M3317" i="29"/>
  <c r="L3317" i="29"/>
  <c r="L3316" i="29"/>
  <c r="M3316" i="29"/>
  <c r="M3315" i="29"/>
  <c r="L3315" i="29"/>
  <c r="M3314" i="29"/>
  <c r="L3314" i="29"/>
  <c r="M3313" i="29"/>
  <c r="L3313" i="29"/>
  <c r="M3312" i="29"/>
  <c r="L3312" i="29"/>
  <c r="L3311" i="29"/>
  <c r="M3311" i="29"/>
  <c r="M3310" i="29"/>
  <c r="L3310" i="29"/>
  <c r="M3309" i="29"/>
  <c r="L3309" i="29"/>
  <c r="L3308" i="29"/>
  <c r="M3308" i="29"/>
  <c r="L3307" i="29"/>
  <c r="M3307" i="29"/>
  <c r="L3306" i="29"/>
  <c r="M3306" i="29"/>
  <c r="M3305" i="29"/>
  <c r="L3305" i="29"/>
  <c r="M3304" i="29"/>
  <c r="L3304" i="29"/>
  <c r="M3303" i="29"/>
  <c r="L3303" i="29"/>
  <c r="M3302" i="29"/>
  <c r="L3302" i="29"/>
  <c r="M3301" i="29"/>
  <c r="L3301" i="29"/>
  <c r="M3300" i="29"/>
  <c r="L3300" i="29"/>
  <c r="M3299" i="29"/>
  <c r="L3299" i="29"/>
  <c r="L3298" i="29"/>
  <c r="M3298" i="29"/>
  <c r="M3297" i="29"/>
  <c r="L3297" i="29"/>
  <c r="L3296" i="29"/>
  <c r="M3296" i="29"/>
  <c r="M3295" i="29"/>
  <c r="L3295" i="29"/>
  <c r="L3294" i="29"/>
  <c r="M3294" i="29"/>
  <c r="L3293" i="29"/>
  <c r="M3293" i="29"/>
  <c r="M3292" i="29"/>
  <c r="L3292" i="29"/>
  <c r="L3291" i="29"/>
  <c r="M3291" i="29"/>
  <c r="M3290" i="29"/>
  <c r="L3290" i="29"/>
  <c r="L3289" i="29"/>
  <c r="M3289" i="29"/>
  <c r="L3287" i="29"/>
  <c r="M3287" i="29"/>
  <c r="L3286" i="29"/>
  <c r="M3286" i="29"/>
  <c r="M3285" i="29"/>
  <c r="L3285" i="29"/>
  <c r="M3284" i="29"/>
  <c r="L3284" i="29"/>
  <c r="M3283" i="29"/>
  <c r="L3283" i="29"/>
  <c r="M3282" i="29"/>
  <c r="L3282" i="29"/>
  <c r="L3281" i="29"/>
  <c r="M3281" i="29"/>
  <c r="L3280" i="29"/>
  <c r="M3280" i="29"/>
  <c r="L3279" i="29"/>
  <c r="M3279" i="29"/>
  <c r="M3278" i="29"/>
  <c r="L3278" i="29"/>
  <c r="L3277" i="29"/>
  <c r="M3277" i="29"/>
  <c r="M3276" i="29"/>
  <c r="L3276" i="29"/>
  <c r="M3275" i="29"/>
  <c r="L3275" i="29"/>
  <c r="L3274" i="29"/>
  <c r="M3274" i="29"/>
  <c r="L3273" i="29"/>
  <c r="G13" i="23" s="1"/>
  <c r="L13" i="23" s="1"/>
  <c r="M13" i="23" s="1"/>
  <c r="M3273" i="29"/>
  <c r="M3272" i="29"/>
  <c r="L3272" i="29"/>
  <c r="M3271" i="29"/>
  <c r="L3271" i="29"/>
  <c r="M3270" i="29"/>
  <c r="L3270" i="29"/>
  <c r="L3269" i="29"/>
  <c r="M3269" i="29"/>
  <c r="L3268" i="29"/>
  <c r="M3268" i="29"/>
  <c r="M3267" i="29"/>
  <c r="L3267" i="29"/>
  <c r="L3266" i="29"/>
  <c r="M3266" i="29"/>
  <c r="M3265" i="29"/>
  <c r="L3265" i="29"/>
  <c r="M3264" i="29"/>
  <c r="L3264" i="29"/>
  <c r="L3263" i="29"/>
  <c r="M3263" i="29"/>
  <c r="L3262" i="29"/>
  <c r="M3262" i="29"/>
  <c r="M3261" i="29"/>
  <c r="L3261" i="29"/>
  <c r="L3260" i="29"/>
  <c r="M3260" i="29"/>
  <c r="L3259" i="29"/>
  <c r="M3259" i="29"/>
  <c r="M3258" i="29"/>
  <c r="L3258" i="29"/>
  <c r="L3257" i="29"/>
  <c r="M3257" i="29"/>
  <c r="M3255" i="29"/>
  <c r="L3255" i="29"/>
  <c r="L3253" i="29"/>
  <c r="M3253" i="29"/>
  <c r="L3252" i="29"/>
  <c r="M3252" i="29"/>
  <c r="L3251" i="29"/>
  <c r="M3251" i="29"/>
  <c r="L3250" i="29"/>
  <c r="M3250" i="29"/>
  <c r="L3249" i="29"/>
  <c r="M3249" i="29"/>
  <c r="L3248" i="29"/>
  <c r="M3248" i="29"/>
  <c r="L3247" i="29"/>
  <c r="M3247" i="29"/>
  <c r="M3246" i="29"/>
  <c r="L3246" i="29"/>
  <c r="M3245" i="29"/>
  <c r="L3245" i="29"/>
  <c r="M3244" i="29"/>
  <c r="L3244" i="29"/>
  <c r="M3243" i="29"/>
  <c r="L3243" i="29"/>
  <c r="M3242" i="29"/>
  <c r="L3242" i="29"/>
  <c r="M3241" i="29"/>
  <c r="L3241" i="29"/>
  <c r="M3240" i="29"/>
  <c r="L3240" i="29"/>
  <c r="L3239" i="29"/>
  <c r="M3239" i="29"/>
  <c r="L3238" i="29"/>
  <c r="M3238" i="29"/>
  <c r="M3237" i="29"/>
  <c r="L3237" i="29"/>
  <c r="M3236" i="29"/>
  <c r="L3236" i="29"/>
  <c r="L3235" i="29"/>
  <c r="M3235" i="29"/>
  <c r="M3234" i="29"/>
  <c r="L3234" i="29"/>
  <c r="M3232" i="29"/>
  <c r="L3232" i="29"/>
  <c r="M3231" i="29"/>
  <c r="L3231" i="29"/>
  <c r="L3230" i="29"/>
  <c r="M3230" i="29"/>
  <c r="M3229" i="29"/>
  <c r="L3229" i="29"/>
  <c r="L3228" i="29"/>
  <c r="M3228" i="29"/>
  <c r="M3227" i="29"/>
  <c r="L3227" i="29"/>
  <c r="L3226" i="29"/>
  <c r="M3226" i="29"/>
  <c r="M3225" i="29"/>
  <c r="L3225" i="29"/>
  <c r="L3224" i="29"/>
  <c r="M3224" i="29"/>
  <c r="M3223" i="29"/>
  <c r="L3223" i="29"/>
  <c r="L3222" i="29"/>
  <c r="M3222" i="29"/>
  <c r="L3221" i="29"/>
  <c r="M3221" i="29"/>
  <c r="L3220" i="29"/>
  <c r="M3220" i="29"/>
  <c r="L3219" i="29"/>
  <c r="M3219" i="29"/>
  <c r="L3218" i="29"/>
  <c r="M3218" i="29"/>
  <c r="M3217" i="29"/>
  <c r="L3217" i="29"/>
  <c r="M3216" i="29"/>
  <c r="L3216" i="29"/>
  <c r="L3215" i="29"/>
  <c r="M3215" i="29"/>
  <c r="L3214" i="29"/>
  <c r="M3214" i="29"/>
  <c r="M3213" i="29"/>
  <c r="L3213" i="29"/>
  <c r="L3212" i="29"/>
  <c r="M3212" i="29"/>
  <c r="L3211" i="29"/>
  <c r="M3211" i="29"/>
  <c r="L3210" i="29"/>
  <c r="M3210" i="29"/>
  <c r="L3209" i="29"/>
  <c r="M3209" i="29"/>
  <c r="L3208" i="29"/>
  <c r="M3208" i="29"/>
  <c r="L3207" i="29"/>
  <c r="M3207" i="29"/>
  <c r="L3206" i="29"/>
  <c r="M3206" i="29"/>
  <c r="L3205" i="29"/>
  <c r="M3205" i="29"/>
  <c r="M3204" i="29"/>
  <c r="L3204" i="29"/>
  <c r="M3203" i="29"/>
  <c r="L3203" i="29"/>
  <c r="L3202" i="29"/>
  <c r="M3202" i="29"/>
  <c r="M3201" i="29"/>
  <c r="L3201" i="29"/>
  <c r="L3200" i="29"/>
  <c r="M3200" i="29"/>
  <c r="M3199" i="29"/>
  <c r="L3199" i="29"/>
  <c r="M3198" i="29"/>
  <c r="L3198" i="29"/>
  <c r="M3197" i="29"/>
  <c r="L3197" i="29"/>
  <c r="L3196" i="29"/>
  <c r="M3196" i="29"/>
  <c r="M3195" i="29"/>
  <c r="L3195" i="29"/>
  <c r="L3194" i="29"/>
  <c r="M3194" i="29"/>
  <c r="L3193" i="29"/>
  <c r="M3193" i="29"/>
  <c r="L3192" i="29"/>
  <c r="M3192" i="29"/>
  <c r="M3191" i="29"/>
  <c r="L3191" i="29"/>
  <c r="L3190" i="29"/>
  <c r="M3190" i="29"/>
  <c r="M3189" i="29"/>
  <c r="L3189" i="29"/>
  <c r="L3188" i="29"/>
  <c r="M3188" i="29"/>
  <c r="M3187" i="29"/>
  <c r="L3187" i="29"/>
  <c r="M3186" i="29"/>
  <c r="L3186" i="29"/>
  <c r="M3185" i="29"/>
  <c r="L3185" i="29"/>
  <c r="G12" i="23" s="1"/>
  <c r="L3184" i="29"/>
  <c r="M3184" i="29"/>
  <c r="L3182" i="29"/>
  <c r="M3182" i="29"/>
  <c r="L3180" i="29"/>
  <c r="M3180" i="29"/>
  <c r="M3179" i="29"/>
  <c r="L3179" i="29"/>
  <c r="L3178" i="29"/>
  <c r="M3178" i="29"/>
  <c r="M3177" i="29"/>
  <c r="L3177" i="29"/>
  <c r="L3176" i="29"/>
  <c r="M3176" i="29"/>
  <c r="L3175" i="29"/>
  <c r="M3175" i="29"/>
  <c r="L3174" i="29"/>
  <c r="M3174" i="29"/>
  <c r="L3172" i="29"/>
  <c r="M3172" i="29"/>
  <c r="M3171" i="29"/>
  <c r="L3171" i="29"/>
  <c r="M3170" i="29"/>
  <c r="L3170" i="29"/>
  <c r="M3169" i="29"/>
  <c r="L3169" i="29"/>
  <c r="M3168" i="29"/>
  <c r="L3168" i="29"/>
  <c r="L3167" i="29"/>
  <c r="M3167" i="29"/>
  <c r="L3166" i="29"/>
  <c r="M3166" i="29"/>
  <c r="M3165" i="29"/>
  <c r="L3165" i="29"/>
  <c r="M3164" i="29"/>
  <c r="L3164" i="29"/>
  <c r="M3163" i="29"/>
  <c r="L3163" i="29"/>
  <c r="M3162" i="29"/>
  <c r="L3162" i="29"/>
  <c r="M3161" i="29"/>
  <c r="L3161" i="29"/>
  <c r="L3160" i="29"/>
  <c r="M3160" i="29"/>
  <c r="M3159" i="29"/>
  <c r="L3159" i="29"/>
  <c r="M3158" i="29"/>
  <c r="L3158" i="29"/>
  <c r="L3157" i="29"/>
  <c r="M3157" i="29"/>
  <c r="M3156" i="29"/>
  <c r="L3156" i="29"/>
  <c r="M3155" i="29"/>
  <c r="L3155" i="29"/>
  <c r="M3154" i="29"/>
  <c r="L3154" i="29"/>
  <c r="L3153" i="29"/>
  <c r="M3153" i="29"/>
  <c r="L3152" i="29"/>
  <c r="M3152" i="29"/>
  <c r="M3151" i="29"/>
  <c r="L3151" i="29"/>
  <c r="L3150" i="29"/>
  <c r="M3150" i="29"/>
  <c r="M3149" i="29"/>
  <c r="L3149" i="29"/>
  <c r="M3148" i="29"/>
  <c r="L3148" i="29"/>
  <c r="M3147" i="29"/>
  <c r="L3147" i="29"/>
  <c r="M3146" i="29"/>
  <c r="L3146" i="29"/>
  <c r="M3145" i="29"/>
  <c r="L3145" i="29"/>
  <c r="M3144" i="29"/>
  <c r="L3144" i="29"/>
  <c r="M3143" i="29"/>
  <c r="L3143" i="29"/>
  <c r="M3142" i="29"/>
  <c r="L3142" i="29"/>
  <c r="L3140" i="29"/>
  <c r="M3140" i="29"/>
  <c r="M3139" i="29"/>
  <c r="L3139" i="29"/>
  <c r="M3138" i="29"/>
  <c r="L3138" i="29"/>
  <c r="L3137" i="29"/>
  <c r="M3137" i="29"/>
  <c r="M3136" i="29"/>
  <c r="L3136" i="29"/>
  <c r="L3135" i="29"/>
  <c r="M3135" i="29"/>
  <c r="L3134" i="29"/>
  <c r="M3134" i="29"/>
  <c r="M3133" i="29"/>
  <c r="L3133" i="29"/>
  <c r="M3132" i="29"/>
  <c r="L3132" i="29"/>
  <c r="M3131" i="29"/>
  <c r="L3131" i="29"/>
  <c r="M3130" i="29"/>
  <c r="L3130" i="29"/>
  <c r="L3129" i="29"/>
  <c r="M3129" i="29"/>
  <c r="L3128" i="29"/>
  <c r="M3128" i="29"/>
  <c r="L3127" i="29"/>
  <c r="M3127" i="29"/>
  <c r="L3126" i="29"/>
  <c r="M3126" i="29"/>
  <c r="M3125" i="29"/>
  <c r="L3125" i="29"/>
  <c r="L3124" i="29"/>
  <c r="M3124" i="29"/>
  <c r="L3123" i="29"/>
  <c r="M3123" i="29"/>
  <c r="L3122" i="29"/>
  <c r="M3122" i="29"/>
  <c r="M3121" i="29"/>
  <c r="L3121" i="29"/>
  <c r="M3120" i="29"/>
  <c r="L3120" i="29"/>
  <c r="M3119" i="29"/>
  <c r="L3119" i="29"/>
  <c r="M3118" i="29"/>
  <c r="L3118" i="29"/>
  <c r="M3117" i="29"/>
  <c r="L3117" i="29"/>
  <c r="M3116" i="29"/>
  <c r="L3116" i="29"/>
  <c r="M3115" i="29"/>
  <c r="L3115" i="29"/>
  <c r="L3114" i="29"/>
  <c r="M3114" i="29"/>
  <c r="M3113" i="29"/>
  <c r="L3113" i="29"/>
  <c r="M3112" i="29"/>
  <c r="L3112" i="29"/>
  <c r="M3111" i="29"/>
  <c r="L3111" i="29"/>
  <c r="M3110" i="29"/>
  <c r="L3110" i="29"/>
  <c r="M3109" i="29"/>
  <c r="L3109" i="29"/>
  <c r="M3108" i="29"/>
  <c r="L3108" i="29"/>
  <c r="L3107" i="29"/>
  <c r="M3107" i="29"/>
  <c r="L3106" i="29"/>
  <c r="M3106" i="29"/>
  <c r="M3105" i="29"/>
  <c r="L3105" i="29"/>
  <c r="M3104" i="29"/>
  <c r="L3104" i="29"/>
  <c r="M3103" i="29"/>
  <c r="L3103" i="29"/>
  <c r="M3102" i="29"/>
  <c r="L3102" i="29"/>
  <c r="M3101" i="29"/>
  <c r="L3101" i="29"/>
  <c r="M3100" i="29"/>
  <c r="L3100" i="29"/>
  <c r="M3099" i="29"/>
  <c r="L3099" i="29"/>
  <c r="M3098" i="29"/>
  <c r="L3098" i="29"/>
  <c r="M3097" i="29"/>
  <c r="L3097" i="29"/>
  <c r="M3096" i="29"/>
  <c r="L3096" i="29"/>
  <c r="M3095" i="29"/>
  <c r="L3095" i="29"/>
  <c r="M3094" i="29"/>
  <c r="L3094" i="29"/>
  <c r="M3093" i="29"/>
  <c r="L3093" i="29"/>
  <c r="M3092" i="29"/>
  <c r="L3092" i="29"/>
  <c r="L3091" i="29"/>
  <c r="M3091" i="29"/>
  <c r="M3090" i="29"/>
  <c r="L3090" i="29"/>
  <c r="M3089" i="29"/>
  <c r="L3089" i="29"/>
  <c r="M3088" i="29"/>
  <c r="L3088" i="29"/>
  <c r="L3087" i="29"/>
  <c r="M3087" i="29"/>
  <c r="L3086" i="29"/>
  <c r="M3086" i="29"/>
  <c r="M3085" i="29"/>
  <c r="L3085" i="29"/>
  <c r="L3084" i="29"/>
  <c r="M3084" i="29"/>
  <c r="L3083" i="29"/>
  <c r="M3083" i="29"/>
  <c r="L3082" i="29"/>
  <c r="M3082" i="29"/>
  <c r="L3081" i="29"/>
  <c r="M3081" i="29"/>
  <c r="L3080" i="29"/>
  <c r="M3080" i="29"/>
  <c r="L3079" i="29"/>
  <c r="M3079" i="29"/>
  <c r="M3078" i="29"/>
  <c r="L3078" i="29"/>
  <c r="M3077" i="29"/>
  <c r="L3077" i="29"/>
  <c r="M3076" i="29"/>
  <c r="L3076" i="29"/>
  <c r="M3075" i="29"/>
  <c r="L3075" i="29"/>
  <c r="L3074" i="29"/>
  <c r="M3074" i="29"/>
  <c r="M3073" i="29"/>
  <c r="L3073" i="29"/>
  <c r="M3072" i="29"/>
  <c r="L3072" i="29"/>
  <c r="L3071" i="29"/>
  <c r="M3071" i="29"/>
  <c r="L3070" i="29"/>
  <c r="M3070" i="29"/>
  <c r="L3069" i="29"/>
  <c r="M3069" i="29"/>
  <c r="M3068" i="29"/>
  <c r="L3068" i="29"/>
  <c r="L3067" i="29"/>
  <c r="M3067" i="29"/>
  <c r="M3066" i="29"/>
  <c r="L3066" i="29"/>
  <c r="L3065" i="29"/>
  <c r="M3065" i="29"/>
  <c r="L3063" i="29"/>
  <c r="M3063" i="29"/>
  <c r="L3062" i="29"/>
  <c r="M3062" i="29"/>
  <c r="M3061" i="29"/>
  <c r="L3061" i="29"/>
  <c r="M3060" i="29"/>
  <c r="L3060" i="29"/>
  <c r="L3059" i="29"/>
  <c r="M3059" i="29"/>
  <c r="M3058" i="29"/>
  <c r="L3058" i="29"/>
  <c r="M3057" i="29"/>
  <c r="L3057" i="29"/>
  <c r="M3056" i="29"/>
  <c r="L3056" i="29"/>
  <c r="M3055" i="29"/>
  <c r="L3055" i="29"/>
  <c r="G11" i="23" s="1"/>
  <c r="L3053" i="29"/>
  <c r="M3053" i="29"/>
  <c r="M3052" i="29"/>
  <c r="L3052" i="29"/>
  <c r="M3051" i="29"/>
  <c r="L3051" i="29"/>
  <c r="L3050" i="29"/>
  <c r="M3050" i="29"/>
  <c r="M3049" i="29"/>
  <c r="L3049" i="29"/>
  <c r="L3048" i="29"/>
  <c r="M3048" i="29"/>
  <c r="M3047" i="29"/>
  <c r="L3047" i="29"/>
  <c r="L3046" i="29"/>
  <c r="M3046" i="29"/>
  <c r="M3045" i="29"/>
  <c r="L3045" i="29"/>
  <c r="M3044" i="29"/>
  <c r="L3044" i="29"/>
  <c r="M3043" i="29"/>
  <c r="L3043" i="29"/>
  <c r="M3041" i="29"/>
  <c r="L3041" i="29"/>
  <c r="M3040" i="29"/>
  <c r="L3040" i="29"/>
  <c r="L3039" i="29"/>
  <c r="M3039" i="29"/>
  <c r="L3038" i="29"/>
  <c r="M3038" i="29"/>
  <c r="M3036" i="29"/>
  <c r="L3036" i="29"/>
  <c r="M3035" i="29"/>
  <c r="L3035" i="29"/>
  <c r="L3034" i="29"/>
  <c r="M3034" i="29"/>
  <c r="M3031" i="29"/>
  <c r="L3031" i="29"/>
  <c r="M3030" i="29"/>
  <c r="L3030" i="29"/>
  <c r="L3029" i="29"/>
  <c r="M3029" i="29"/>
  <c r="M3028" i="29"/>
  <c r="L3028" i="29"/>
  <c r="M3027" i="29"/>
  <c r="L3027" i="29"/>
  <c r="L3026" i="29"/>
  <c r="M3026" i="29"/>
  <c r="L3025" i="29"/>
  <c r="M3025" i="29"/>
  <c r="L3024" i="29"/>
  <c r="M3024" i="29"/>
  <c r="M3023" i="29"/>
  <c r="L3023" i="29"/>
  <c r="L3022" i="29"/>
  <c r="M3022" i="29"/>
  <c r="M3021" i="29"/>
  <c r="L3021" i="29"/>
  <c r="L3020" i="29"/>
  <c r="M3020" i="29"/>
  <c r="L3019" i="29"/>
  <c r="M3019" i="29"/>
  <c r="L3018" i="29"/>
  <c r="M3018" i="29"/>
  <c r="M3017" i="29"/>
  <c r="L3017" i="29"/>
  <c r="M3015" i="29"/>
  <c r="L3015" i="29"/>
  <c r="L3014" i="29"/>
  <c r="M3014" i="29"/>
  <c r="L3013" i="29"/>
  <c r="M3013" i="29"/>
  <c r="L3012" i="29"/>
  <c r="M3012" i="29"/>
  <c r="L3011" i="29"/>
  <c r="M3011" i="29"/>
  <c r="M3010" i="29"/>
  <c r="L3010" i="29"/>
  <c r="M3008" i="29"/>
  <c r="L3008" i="29"/>
  <c r="L3007" i="29"/>
  <c r="M3007" i="29"/>
  <c r="M3006" i="29"/>
  <c r="L3006" i="29"/>
  <c r="M3005" i="29"/>
  <c r="L3005" i="29"/>
  <c r="M3004" i="29"/>
  <c r="L3004" i="29"/>
  <c r="L3003" i="29"/>
  <c r="M3003" i="29"/>
  <c r="M3002" i="29"/>
  <c r="L3002" i="29"/>
  <c r="M3001" i="29"/>
  <c r="L3001" i="29"/>
  <c r="M3000" i="29"/>
  <c r="L3000" i="29"/>
  <c r="M2999" i="29"/>
  <c r="L2999" i="29"/>
  <c r="M2998" i="29"/>
  <c r="L2998" i="29"/>
  <c r="M2997" i="29"/>
  <c r="L2997" i="29"/>
  <c r="M2996" i="29"/>
  <c r="L2996" i="29"/>
  <c r="M2995" i="29"/>
  <c r="L2995" i="29"/>
  <c r="M2994" i="29"/>
  <c r="L2994" i="29"/>
  <c r="M2993" i="29"/>
  <c r="L2993" i="29"/>
  <c r="L2992" i="29"/>
  <c r="M2992" i="29"/>
  <c r="M2991" i="29"/>
  <c r="L2991" i="29"/>
  <c r="M2990" i="29"/>
  <c r="L2990" i="29"/>
  <c r="M2989" i="29"/>
  <c r="L2989" i="29"/>
  <c r="L2988" i="29"/>
  <c r="M2988" i="29"/>
  <c r="L2987" i="29"/>
  <c r="M2987" i="29"/>
  <c r="M2986" i="29"/>
  <c r="L2986" i="29"/>
  <c r="L2985" i="29"/>
  <c r="M2985" i="29"/>
  <c r="M2984" i="29"/>
  <c r="L2984" i="29"/>
  <c r="L2983" i="29"/>
  <c r="M2983" i="29"/>
  <c r="L2982" i="29"/>
  <c r="M2982" i="29"/>
  <c r="L2981" i="29"/>
  <c r="M2981" i="29"/>
  <c r="M2980" i="29"/>
  <c r="L2980" i="29"/>
  <c r="M2979" i="29"/>
  <c r="L2979" i="29"/>
  <c r="L2978" i="29"/>
  <c r="M2978" i="29"/>
  <c r="M2977" i="29"/>
  <c r="L2977" i="29"/>
  <c r="M2976" i="29"/>
  <c r="L2976" i="29"/>
  <c r="G10" i="23" s="1"/>
  <c r="M2975" i="29"/>
  <c r="L2975" i="29"/>
  <c r="M2974" i="29"/>
  <c r="L2974" i="29"/>
  <c r="L2973" i="29"/>
  <c r="M2973" i="29"/>
  <c r="M2972" i="29"/>
  <c r="L2972" i="29"/>
  <c r="M2971" i="29"/>
  <c r="L2971" i="29"/>
  <c r="M2970" i="29"/>
  <c r="L2970" i="29"/>
  <c r="L2969" i="29"/>
  <c r="M2969" i="29"/>
  <c r="L2968" i="29"/>
  <c r="M2968" i="29"/>
  <c r="M2967" i="29"/>
  <c r="L2967" i="29"/>
  <c r="L2966" i="29"/>
  <c r="M2966" i="29"/>
  <c r="L2965" i="29"/>
  <c r="M2965" i="29"/>
  <c r="M2964" i="29"/>
  <c r="L2964" i="29"/>
  <c r="L2963" i="29"/>
  <c r="M2963" i="29"/>
  <c r="M2962" i="29"/>
  <c r="L2962" i="29"/>
  <c r="L2961" i="29"/>
  <c r="M2961" i="29"/>
  <c r="M2960" i="29"/>
  <c r="L2960" i="29"/>
  <c r="L2959" i="29"/>
  <c r="M2959" i="29"/>
  <c r="M2958" i="29"/>
  <c r="L2958" i="29"/>
  <c r="M2957" i="29"/>
  <c r="L2957" i="29"/>
  <c r="L2956" i="29"/>
  <c r="M2956" i="29"/>
  <c r="L2955" i="29"/>
  <c r="M2955" i="29"/>
  <c r="L2954" i="29"/>
  <c r="M2954" i="29"/>
  <c r="L2953" i="29"/>
  <c r="M2953" i="29"/>
  <c r="M2952" i="29"/>
  <c r="L2952" i="29"/>
  <c r="L2951" i="29"/>
  <c r="M2951" i="29"/>
  <c r="M2950" i="29"/>
  <c r="L2950" i="29"/>
  <c r="M2949" i="29"/>
  <c r="L2949" i="29"/>
  <c r="M2948" i="29"/>
  <c r="L2948" i="29"/>
  <c r="L2947" i="29"/>
  <c r="M2947" i="29"/>
  <c r="M2946" i="29"/>
  <c r="L2946" i="29"/>
  <c r="M2945" i="29"/>
  <c r="L2945" i="29"/>
  <c r="M2944" i="29"/>
  <c r="L2944" i="29"/>
  <c r="M2943" i="29"/>
  <c r="L2943" i="29"/>
  <c r="M2942" i="29"/>
  <c r="L2942" i="29"/>
  <c r="M2941" i="29"/>
  <c r="L2941" i="29"/>
  <c r="L2940" i="29"/>
  <c r="M2940" i="29"/>
  <c r="M2939" i="29"/>
  <c r="L2939" i="29"/>
  <c r="M2938" i="29"/>
  <c r="L2938" i="29"/>
  <c r="M2937" i="29"/>
  <c r="L2937" i="29"/>
  <c r="M2936" i="29"/>
  <c r="L2936" i="29"/>
  <c r="L2935" i="29"/>
  <c r="M2935" i="29"/>
  <c r="L2934" i="29"/>
  <c r="M2934" i="29"/>
  <c r="M2933" i="29"/>
  <c r="L2933" i="29"/>
  <c r="L2932" i="29"/>
  <c r="M2932" i="29"/>
  <c r="L2931" i="29"/>
  <c r="M2931" i="29"/>
  <c r="L2930" i="29"/>
  <c r="M2930" i="29"/>
  <c r="M2929" i="29"/>
  <c r="L2929" i="29"/>
  <c r="L2928" i="29"/>
  <c r="M2928" i="29"/>
  <c r="L2927" i="29"/>
  <c r="M2927" i="29"/>
  <c r="M2926" i="29"/>
  <c r="L2926" i="29"/>
  <c r="L2925" i="29"/>
  <c r="M2925" i="29"/>
  <c r="L2924" i="29"/>
  <c r="M2924" i="29"/>
  <c r="L2923" i="29"/>
  <c r="M2923" i="29"/>
  <c r="M2922" i="29"/>
  <c r="L2922" i="29"/>
  <c r="L2921" i="29"/>
  <c r="M2921" i="29"/>
  <c r="M2920" i="29"/>
  <c r="L2920" i="29"/>
  <c r="L2919" i="29"/>
  <c r="M2919" i="29"/>
  <c r="L2918" i="29"/>
  <c r="M2918" i="29"/>
  <c r="I2917" i="29"/>
  <c r="K2917" i="29"/>
  <c r="I2916" i="29"/>
  <c r="K2916" i="29"/>
  <c r="K2915" i="29"/>
  <c r="I2915" i="29"/>
  <c r="K2914" i="29"/>
  <c r="I2914" i="29"/>
  <c r="I2913" i="29"/>
  <c r="K2913" i="29"/>
  <c r="I2912" i="29"/>
  <c r="K2912" i="29"/>
  <c r="L2911" i="29"/>
  <c r="M2911" i="29"/>
  <c r="L2910" i="29"/>
  <c r="M2910" i="29"/>
  <c r="L2909" i="29"/>
  <c r="M2909" i="29"/>
  <c r="L2908" i="29"/>
  <c r="M2908" i="29"/>
  <c r="L2907" i="29"/>
  <c r="M2907" i="29"/>
  <c r="L2906" i="29"/>
  <c r="M2906" i="29"/>
  <c r="L2905" i="29"/>
  <c r="M2905" i="29"/>
  <c r="M2904" i="29"/>
  <c r="L2904" i="29"/>
  <c r="L2903" i="29"/>
  <c r="M2903" i="29"/>
  <c r="M2902" i="29"/>
  <c r="L2902" i="29"/>
  <c r="L2901" i="29"/>
  <c r="M2901" i="29"/>
  <c r="I2900" i="29"/>
  <c r="K2900" i="29"/>
  <c r="L2899" i="29"/>
  <c r="M2899" i="29"/>
  <c r="I2898" i="29"/>
  <c r="K2898" i="29"/>
  <c r="I2897" i="29"/>
  <c r="K2897" i="29"/>
  <c r="L2896" i="29"/>
  <c r="M2896" i="29"/>
  <c r="L2895" i="29"/>
  <c r="M2895" i="29"/>
  <c r="L2894" i="29"/>
  <c r="M2894" i="29"/>
  <c r="L2893" i="29"/>
  <c r="M2893" i="29"/>
  <c r="L2892" i="29"/>
  <c r="M2892" i="29"/>
  <c r="L2891" i="29"/>
  <c r="M2891" i="29"/>
  <c r="M2890" i="29"/>
  <c r="L2890" i="29"/>
  <c r="L2889" i="29"/>
  <c r="M2889" i="29"/>
  <c r="L2888" i="29"/>
  <c r="M2888" i="29"/>
  <c r="M2887" i="29"/>
  <c r="L2887" i="29"/>
  <c r="M2886" i="29"/>
  <c r="L2886" i="29"/>
  <c r="L2885" i="29"/>
  <c r="M2885" i="29"/>
  <c r="M2884" i="29"/>
  <c r="L2884" i="29"/>
  <c r="M2883" i="29"/>
  <c r="L2883" i="29"/>
  <c r="M2882" i="29"/>
  <c r="L2882" i="29"/>
  <c r="M2881" i="29"/>
  <c r="L2881" i="29"/>
  <c r="M2880" i="29"/>
  <c r="L2880" i="29"/>
  <c r="M2879" i="29"/>
  <c r="L2879" i="29"/>
  <c r="L2878" i="29"/>
  <c r="M2878" i="29"/>
  <c r="L2877" i="29"/>
  <c r="M2877" i="29"/>
  <c r="L2876" i="29"/>
  <c r="M2876" i="29"/>
  <c r="L2875" i="29"/>
  <c r="M2875" i="29"/>
  <c r="L2874" i="29"/>
  <c r="M2874" i="29"/>
  <c r="L2873" i="29"/>
  <c r="M2873" i="29"/>
  <c r="L2872" i="29"/>
  <c r="M2872" i="29"/>
  <c r="M2871" i="29"/>
  <c r="L2871" i="29"/>
  <c r="M2869" i="29"/>
  <c r="L2869" i="29"/>
  <c r="L2868" i="29"/>
  <c r="M2868" i="29"/>
  <c r="L2867" i="29"/>
  <c r="M2867" i="29"/>
  <c r="M2866" i="29"/>
  <c r="L2866" i="29"/>
  <c r="M2865" i="29"/>
  <c r="L2865" i="29"/>
  <c r="L2864" i="29"/>
  <c r="M2864" i="29"/>
  <c r="M2863" i="29"/>
  <c r="L2863" i="29"/>
  <c r="L2862" i="29"/>
  <c r="M2862" i="29"/>
  <c r="L2861" i="29"/>
  <c r="M2861" i="29"/>
  <c r="L2860" i="29"/>
  <c r="M2860" i="29"/>
  <c r="L2859" i="29"/>
  <c r="M2859" i="29"/>
  <c r="L2858" i="29"/>
  <c r="M2858" i="29"/>
  <c r="L2857" i="29"/>
  <c r="M2857" i="29"/>
  <c r="L2856" i="29"/>
  <c r="M2856" i="29"/>
  <c r="L2855" i="29"/>
  <c r="M2855" i="29"/>
  <c r="L2854" i="29"/>
  <c r="M2854" i="29"/>
  <c r="L2853" i="29"/>
  <c r="M2853" i="29"/>
  <c r="M2852" i="29"/>
  <c r="L2852" i="29"/>
  <c r="M2851" i="29"/>
  <c r="L2851" i="29"/>
  <c r="M2850" i="29"/>
  <c r="L2850" i="29"/>
  <c r="M2849" i="29"/>
  <c r="L2849" i="29"/>
  <c r="L2848" i="29"/>
  <c r="M2848" i="29"/>
  <c r="L2847" i="29"/>
  <c r="M2847" i="29"/>
  <c r="L2846" i="29"/>
  <c r="M2846" i="29"/>
  <c r="L2845" i="29"/>
  <c r="M2845" i="29"/>
  <c r="L2844" i="29"/>
  <c r="M2844" i="29"/>
  <c r="L2843" i="29"/>
  <c r="M2843" i="29"/>
  <c r="M2842" i="29"/>
  <c r="L2842" i="29"/>
  <c r="M2841" i="29"/>
  <c r="L2841" i="29"/>
  <c r="M2840" i="29"/>
  <c r="L2840" i="29"/>
  <c r="L2839" i="29"/>
  <c r="M2839" i="29"/>
  <c r="M2838" i="29"/>
  <c r="L2838" i="29"/>
  <c r="K2837" i="29"/>
  <c r="I2837" i="29"/>
  <c r="K2836" i="29"/>
  <c r="I2836" i="29"/>
  <c r="K2835" i="29"/>
  <c r="I2835" i="29"/>
  <c r="M2834" i="29"/>
  <c r="L2834" i="29"/>
  <c r="M2833" i="29"/>
  <c r="L2833" i="29"/>
  <c r="M2832" i="29"/>
  <c r="L2832" i="29"/>
  <c r="M2831" i="29"/>
  <c r="L2831" i="29"/>
  <c r="M2830" i="29"/>
  <c r="L2830" i="29"/>
  <c r="L2829" i="29"/>
  <c r="M2829" i="29"/>
  <c r="M2828" i="29"/>
  <c r="L2828" i="29"/>
  <c r="M2827" i="29"/>
  <c r="L2827" i="29"/>
  <c r="M2826" i="29"/>
  <c r="L2826" i="29"/>
  <c r="M2825" i="29"/>
  <c r="L2825" i="29"/>
  <c r="M2824" i="29"/>
  <c r="L2824" i="29"/>
  <c r="M2823" i="29"/>
  <c r="L2823" i="29"/>
  <c r="M2822" i="29"/>
  <c r="L2822" i="29"/>
  <c r="M2821" i="29"/>
  <c r="L2821" i="29"/>
  <c r="L2820" i="29"/>
  <c r="M2820" i="29"/>
  <c r="M2819" i="29"/>
  <c r="L2819" i="29"/>
  <c r="M2818" i="29"/>
  <c r="L2818" i="29"/>
  <c r="M2817" i="29"/>
  <c r="L2817" i="29"/>
  <c r="M2816" i="29"/>
  <c r="L2816" i="29"/>
  <c r="M2815" i="29"/>
  <c r="L2815" i="29"/>
  <c r="M2814" i="29"/>
  <c r="L2814" i="29"/>
  <c r="L2813" i="29"/>
  <c r="M2813" i="29"/>
  <c r="L2812" i="29"/>
  <c r="M2812" i="29"/>
  <c r="L2811" i="29"/>
  <c r="M2811" i="29"/>
  <c r="L2810" i="29"/>
  <c r="M2810" i="29"/>
  <c r="L2809" i="29"/>
  <c r="M2809" i="29"/>
  <c r="L2808" i="29"/>
  <c r="M2808" i="29"/>
  <c r="L2807" i="29"/>
  <c r="M2807" i="29"/>
  <c r="L2806" i="29"/>
  <c r="M2806" i="29"/>
  <c r="M2805" i="29"/>
  <c r="L2805" i="29"/>
  <c r="L2804" i="29"/>
  <c r="M2804" i="29"/>
  <c r="M2803" i="29"/>
  <c r="L2803" i="29"/>
  <c r="L2802" i="29"/>
  <c r="M2802" i="29"/>
  <c r="L2801" i="29"/>
  <c r="M2801" i="29"/>
  <c r="L2800" i="29"/>
  <c r="M2800" i="29"/>
  <c r="L2799" i="29"/>
  <c r="M2799" i="29"/>
  <c r="L2798" i="29"/>
  <c r="M2798" i="29"/>
  <c r="M2797" i="29"/>
  <c r="L2797" i="29"/>
  <c r="M2796" i="29"/>
  <c r="L2796" i="29"/>
  <c r="M2795" i="29"/>
  <c r="L2795" i="29"/>
  <c r="M2794" i="29"/>
  <c r="L2794" i="29"/>
  <c r="M2793" i="29"/>
  <c r="L2793" i="29"/>
  <c r="M2792" i="29"/>
  <c r="L2792" i="29"/>
  <c r="M2791" i="29"/>
  <c r="L2791" i="29"/>
  <c r="M2790" i="29"/>
  <c r="L2790" i="29"/>
  <c r="M2789" i="29"/>
  <c r="L2789" i="29"/>
  <c r="M2788" i="29"/>
  <c r="L2788" i="29"/>
  <c r="M2787" i="29"/>
  <c r="L2787" i="29"/>
  <c r="M2786" i="29"/>
  <c r="L2786" i="29"/>
  <c r="M2785" i="29"/>
  <c r="L2785" i="29"/>
  <c r="M2784" i="29"/>
  <c r="L2784" i="29"/>
  <c r="M2783" i="29"/>
  <c r="L2783" i="29"/>
  <c r="M2782" i="29"/>
  <c r="L2782" i="29"/>
  <c r="L2781" i="29"/>
  <c r="M2781" i="29"/>
  <c r="M2780" i="29"/>
  <c r="L2780" i="29"/>
  <c r="M2779" i="29"/>
  <c r="L2779" i="29"/>
  <c r="L2778" i="29"/>
  <c r="M2778" i="29"/>
  <c r="M2777" i="29"/>
  <c r="L2777" i="29"/>
  <c r="L2776" i="29"/>
  <c r="M2776" i="29"/>
  <c r="M2775" i="29"/>
  <c r="L2775" i="29"/>
  <c r="L2774" i="29"/>
  <c r="M2774" i="29"/>
  <c r="L2773" i="29"/>
  <c r="M2773" i="29"/>
  <c r="L2772" i="29"/>
  <c r="M2772" i="29"/>
  <c r="L2771" i="29"/>
  <c r="M2771" i="29"/>
  <c r="L2770" i="29"/>
  <c r="M2770" i="29"/>
  <c r="L2769" i="29"/>
  <c r="M2769" i="29"/>
  <c r="M2768" i="29"/>
  <c r="L2768" i="29"/>
  <c r="M2767" i="29"/>
  <c r="L2767" i="29"/>
  <c r="L2766" i="29"/>
  <c r="M2766" i="29"/>
  <c r="L2765" i="29"/>
  <c r="M2765" i="29"/>
  <c r="L2764" i="29"/>
  <c r="M2764" i="29"/>
  <c r="L2763" i="29"/>
  <c r="M2763" i="29"/>
  <c r="M2762" i="29"/>
  <c r="L2762" i="29"/>
  <c r="L2761" i="29"/>
  <c r="M2761" i="29"/>
  <c r="L2760" i="29"/>
  <c r="M2760" i="29"/>
  <c r="L2759" i="29"/>
  <c r="M2759" i="29"/>
  <c r="L2758" i="29"/>
  <c r="M2758" i="29"/>
  <c r="L2757" i="29"/>
  <c r="M2757" i="29"/>
  <c r="L2756" i="29"/>
  <c r="M2756" i="29"/>
  <c r="L2755" i="29"/>
  <c r="M2755" i="29"/>
  <c r="M2754" i="29"/>
  <c r="L2754" i="29"/>
  <c r="L2753" i="29"/>
  <c r="M2753" i="29"/>
  <c r="L2752" i="29"/>
  <c r="M2752" i="29"/>
  <c r="L2751" i="29"/>
  <c r="M2751" i="29"/>
  <c r="M2750" i="29"/>
  <c r="L2750" i="29"/>
  <c r="M2749" i="29"/>
  <c r="L2749" i="29"/>
  <c r="L2748" i="29"/>
  <c r="M2748" i="29"/>
  <c r="M2747" i="29"/>
  <c r="L2747" i="29"/>
  <c r="M2746" i="29"/>
  <c r="L2746" i="29"/>
  <c r="L2745" i="29"/>
  <c r="M2745" i="29"/>
  <c r="M2744" i="29"/>
  <c r="L2744" i="29"/>
  <c r="L2743" i="29"/>
  <c r="M2743" i="29"/>
  <c r="M2742" i="29"/>
  <c r="L2742" i="29"/>
  <c r="M2741" i="29"/>
  <c r="L2741" i="29"/>
  <c r="G8" i="23" s="1"/>
  <c r="M2740" i="29"/>
  <c r="L2740" i="29"/>
  <c r="K2739" i="29"/>
  <c r="I2739" i="29"/>
  <c r="M2738" i="29"/>
  <c r="L2738" i="29"/>
  <c r="L2737" i="29"/>
  <c r="M2737" i="29"/>
  <c r="L2735" i="29"/>
  <c r="M2735" i="29"/>
  <c r="L2734" i="29"/>
  <c r="M2734" i="29"/>
  <c r="M2733" i="29"/>
  <c r="L2733" i="29"/>
  <c r="M2732" i="29"/>
  <c r="L2732" i="29"/>
  <c r="M2731" i="29"/>
  <c r="L2731" i="29"/>
  <c r="M2730" i="29"/>
  <c r="L2730" i="29"/>
  <c r="L2729" i="29"/>
  <c r="M2729" i="29"/>
  <c r="M2728" i="29"/>
  <c r="L2728" i="29"/>
  <c r="M2727" i="29"/>
  <c r="L2727" i="29"/>
  <c r="M2726" i="29"/>
  <c r="L2726" i="29"/>
  <c r="M2725" i="29"/>
  <c r="L2725" i="29"/>
  <c r="L2723" i="29"/>
  <c r="M2723" i="29"/>
  <c r="M2722" i="29"/>
  <c r="L2722" i="29"/>
  <c r="L2721" i="29"/>
  <c r="M2721" i="29"/>
  <c r="M2720" i="29"/>
  <c r="L2720" i="29"/>
  <c r="M2719" i="29"/>
  <c r="L2719" i="29"/>
  <c r="M2718" i="29"/>
  <c r="L2718" i="29"/>
  <c r="L2717" i="29"/>
  <c r="M2717" i="29"/>
  <c r="M2716" i="29"/>
  <c r="L2716" i="29"/>
  <c r="M2715" i="29"/>
  <c r="L2715" i="29"/>
  <c r="L2714" i="29"/>
  <c r="M2714" i="29"/>
  <c r="L2713" i="29"/>
  <c r="M2713" i="29"/>
  <c r="L2712" i="29"/>
  <c r="M2712" i="29"/>
  <c r="L2711" i="29"/>
  <c r="M2711" i="29"/>
  <c r="M2710" i="29"/>
  <c r="L2710" i="29"/>
  <c r="M2709" i="29"/>
  <c r="L2709" i="29"/>
  <c r="M2708" i="29"/>
  <c r="L2708" i="29"/>
  <c r="M2707" i="29"/>
  <c r="L2707" i="29"/>
  <c r="M2706" i="29"/>
  <c r="L2706" i="29"/>
  <c r="M2705" i="29"/>
  <c r="L2705" i="29"/>
  <c r="L2704" i="29"/>
  <c r="M2704" i="29"/>
  <c r="M2703" i="29"/>
  <c r="L2703" i="29"/>
  <c r="M2702" i="29"/>
  <c r="L2702" i="29"/>
  <c r="L2701" i="29"/>
  <c r="M2701" i="29"/>
  <c r="L2700" i="29"/>
  <c r="M2700" i="29"/>
  <c r="L2699" i="29"/>
  <c r="M2699" i="29"/>
  <c r="M2698" i="29"/>
  <c r="L2698" i="29"/>
  <c r="M2697" i="29"/>
  <c r="L2697" i="29"/>
  <c r="L2696" i="29"/>
  <c r="M2696" i="29"/>
  <c r="M2695" i="29"/>
  <c r="L2695" i="29"/>
  <c r="L2694" i="29"/>
  <c r="M2694" i="29"/>
  <c r="M2693" i="29"/>
  <c r="L2693" i="29"/>
  <c r="L2692" i="29"/>
  <c r="M2692" i="29"/>
  <c r="M2691" i="29"/>
  <c r="L2691" i="29"/>
  <c r="M2690" i="29"/>
  <c r="L2690" i="29"/>
  <c r="M2689" i="29"/>
  <c r="L2689" i="29"/>
  <c r="L2688" i="29"/>
  <c r="M2688" i="29"/>
  <c r="L2687" i="29"/>
  <c r="M2687" i="29"/>
  <c r="L2686" i="29"/>
  <c r="M2686" i="29"/>
  <c r="L2685" i="29"/>
  <c r="M2685" i="29"/>
  <c r="M2684" i="29"/>
  <c r="L2684" i="29"/>
  <c r="L2683" i="29"/>
  <c r="M2683" i="29"/>
  <c r="M2682" i="29"/>
  <c r="L2682" i="29"/>
  <c r="L2681" i="29"/>
  <c r="M2681" i="29"/>
  <c r="M2680" i="29"/>
  <c r="L2680" i="29"/>
  <c r="M2679" i="29"/>
  <c r="L2679" i="29"/>
  <c r="M2678" i="29"/>
  <c r="L2678" i="29"/>
  <c r="M2677" i="29"/>
  <c r="L2677" i="29"/>
  <c r="L2676" i="29"/>
  <c r="M2676" i="29"/>
  <c r="M2675" i="29"/>
  <c r="L2675" i="29"/>
  <c r="L2674" i="29"/>
  <c r="M2674" i="29"/>
  <c r="L2673" i="29"/>
  <c r="M2673" i="29"/>
  <c r="L2672" i="29"/>
  <c r="M2672" i="29"/>
  <c r="L2671" i="29"/>
  <c r="M2671" i="29"/>
  <c r="L2670" i="29"/>
  <c r="M2670" i="29"/>
  <c r="L2669" i="29"/>
  <c r="M2669" i="29"/>
  <c r="L2668" i="29"/>
  <c r="M2668" i="29"/>
  <c r="M2667" i="29"/>
  <c r="L2667" i="29"/>
  <c r="L2665" i="29"/>
  <c r="M2665" i="29"/>
  <c r="L2664" i="29"/>
  <c r="M2664" i="29"/>
  <c r="L2663" i="29"/>
  <c r="M2663" i="29"/>
  <c r="L2662" i="29"/>
  <c r="M2662" i="29"/>
  <c r="M2661" i="29"/>
  <c r="L2661" i="29"/>
  <c r="L2660" i="29"/>
  <c r="M2660" i="29"/>
  <c r="L2659" i="29"/>
  <c r="M2659" i="29"/>
  <c r="L2658" i="29"/>
  <c r="M2658" i="29"/>
  <c r="M2657" i="29"/>
  <c r="L2657" i="29"/>
  <c r="L2656" i="29"/>
  <c r="M2656" i="29"/>
  <c r="L2655" i="29"/>
  <c r="M2655" i="29"/>
  <c r="M2654" i="29"/>
  <c r="L2654" i="29"/>
  <c r="M2653" i="29"/>
  <c r="L2653" i="29"/>
  <c r="M2652" i="29"/>
  <c r="L2652" i="29"/>
  <c r="M2651" i="29"/>
  <c r="L2651" i="29"/>
  <c r="M2650" i="29"/>
  <c r="L2650" i="29"/>
  <c r="L2649" i="29"/>
  <c r="M2649" i="29"/>
  <c r="M2648" i="29"/>
  <c r="L2648" i="29"/>
  <c r="L2647" i="29"/>
  <c r="M2647" i="29"/>
  <c r="M2646" i="29"/>
  <c r="L2646" i="29"/>
  <c r="L2645" i="29"/>
  <c r="M2645" i="29"/>
  <c r="M2644" i="29"/>
  <c r="L2644" i="29"/>
  <c r="L2643" i="29"/>
  <c r="M2643" i="29"/>
  <c r="M2642" i="29"/>
  <c r="L2642" i="29"/>
  <c r="L2641" i="29"/>
  <c r="M2641" i="29"/>
  <c r="M2640" i="29"/>
  <c r="L2640" i="29"/>
  <c r="M2639" i="29"/>
  <c r="L2639" i="29"/>
  <c r="L2638" i="29"/>
  <c r="M2638" i="29"/>
  <c r="M2637" i="29"/>
  <c r="L2637" i="29"/>
  <c r="M2636" i="29"/>
  <c r="L2636" i="29"/>
  <c r="L2635" i="29"/>
  <c r="M2635" i="29"/>
  <c r="L2634" i="29"/>
  <c r="M2634" i="29"/>
  <c r="L2633" i="29"/>
  <c r="M2633" i="29"/>
  <c r="M2632" i="29"/>
  <c r="L2632" i="29"/>
  <c r="L2631" i="29"/>
  <c r="M2631" i="29"/>
  <c r="L2630" i="29"/>
  <c r="M2630" i="29"/>
  <c r="L2629" i="29"/>
  <c r="M2629" i="29"/>
  <c r="M2628" i="29"/>
  <c r="L2628" i="29"/>
  <c r="M2626" i="29"/>
  <c r="L2626" i="29"/>
  <c r="M2625" i="29"/>
  <c r="L2625" i="29"/>
  <c r="L2624" i="29"/>
  <c r="M2624" i="29"/>
  <c r="L2623" i="29"/>
  <c r="M2623" i="29"/>
  <c r="M2622" i="29"/>
  <c r="L2622" i="29"/>
  <c r="L2621" i="29"/>
  <c r="M2621" i="29"/>
  <c r="M2620" i="29"/>
  <c r="L2620" i="29"/>
  <c r="L2619" i="29"/>
  <c r="M2619" i="29"/>
  <c r="L2618" i="29"/>
  <c r="M2618" i="29"/>
  <c r="L2617" i="29"/>
  <c r="M2617" i="29"/>
  <c r="M2616" i="29"/>
  <c r="L2616" i="29"/>
  <c r="L2615" i="29"/>
  <c r="M2615" i="29"/>
  <c r="M2614" i="29"/>
  <c r="L2614" i="29"/>
  <c r="M2613" i="29"/>
  <c r="L2613" i="29"/>
  <c r="L2612" i="29"/>
  <c r="M2612" i="29"/>
  <c r="L2610" i="29"/>
  <c r="M2610" i="29"/>
  <c r="L2609" i="29"/>
  <c r="M2609" i="29"/>
  <c r="M2608" i="29"/>
  <c r="L2608" i="29"/>
  <c r="L2607" i="29"/>
  <c r="M2607" i="29"/>
  <c r="L2606" i="29"/>
  <c r="M2606" i="29"/>
  <c r="L2605" i="29"/>
  <c r="M2605" i="29"/>
  <c r="M2604" i="29"/>
  <c r="L2604" i="29"/>
  <c r="M2603" i="29"/>
  <c r="L2603" i="29"/>
  <c r="M2602" i="29"/>
  <c r="L2602" i="29"/>
  <c r="M2601" i="29"/>
  <c r="L2601" i="29"/>
  <c r="L2600" i="29"/>
  <c r="M2600" i="29"/>
  <c r="M2599" i="29"/>
  <c r="L2599" i="29"/>
  <c r="L2597" i="29"/>
  <c r="M2597" i="29"/>
  <c r="M2596" i="29"/>
  <c r="L2596" i="29"/>
  <c r="L2595" i="29"/>
  <c r="M2595" i="29"/>
  <c r="M2594" i="29"/>
  <c r="L2594" i="29"/>
  <c r="L2593" i="29"/>
  <c r="M2593" i="29"/>
  <c r="M2592" i="29"/>
  <c r="L2592" i="29"/>
  <c r="M2591" i="29"/>
  <c r="L2591" i="29"/>
  <c r="M2590" i="29"/>
  <c r="L2590" i="29"/>
  <c r="L2589" i="29"/>
  <c r="M2589" i="29"/>
  <c r="M2588" i="29"/>
  <c r="L2588" i="29"/>
  <c r="M2587" i="29"/>
  <c r="L2587" i="29"/>
  <c r="L2586" i="29"/>
  <c r="M2586" i="29"/>
  <c r="M2585" i="29"/>
  <c r="L2585" i="29"/>
  <c r="M2584" i="29"/>
  <c r="L2584" i="29"/>
  <c r="M2583" i="29"/>
  <c r="L2583" i="29"/>
  <c r="M2582" i="29"/>
  <c r="L2582" i="29"/>
  <c r="L2581" i="29"/>
  <c r="M2581" i="29"/>
  <c r="M2580" i="29"/>
  <c r="L2580" i="29"/>
  <c r="M2579" i="29"/>
  <c r="L2579" i="29"/>
  <c r="L2578" i="29"/>
  <c r="M2578" i="29"/>
  <c r="L2577" i="29"/>
  <c r="M2577" i="29"/>
  <c r="L2576" i="29"/>
  <c r="M2576" i="29"/>
  <c r="L2575" i="29"/>
  <c r="M2575" i="29"/>
  <c r="M2574" i="29"/>
  <c r="L2574" i="29"/>
  <c r="M2573" i="29"/>
  <c r="L2573" i="29"/>
  <c r="M2572" i="29"/>
  <c r="L2572" i="29"/>
  <c r="M2571" i="29"/>
  <c r="L2571" i="29"/>
  <c r="M2570" i="29"/>
  <c r="L2570" i="29"/>
  <c r="M2569" i="29"/>
  <c r="L2569" i="29"/>
  <c r="M2568" i="29"/>
  <c r="L2568" i="29"/>
  <c r="M2567" i="29"/>
  <c r="L2567" i="29"/>
  <c r="M2566" i="29"/>
  <c r="L2566" i="29"/>
  <c r="L2565" i="29"/>
  <c r="M2565" i="29"/>
  <c r="M2564" i="29"/>
  <c r="L2564" i="29"/>
  <c r="M2563" i="29"/>
  <c r="L2563" i="29"/>
  <c r="M2562" i="29"/>
  <c r="L2562" i="29"/>
  <c r="M2561" i="29"/>
  <c r="L2561" i="29"/>
  <c r="M2560" i="29"/>
  <c r="L2560" i="29"/>
  <c r="M2559" i="29"/>
  <c r="L2559" i="29"/>
  <c r="M2558" i="29"/>
  <c r="L2558" i="29"/>
  <c r="M2557" i="29"/>
  <c r="L2557" i="29"/>
  <c r="L2556" i="29"/>
  <c r="M2556" i="29"/>
  <c r="M2555" i="29"/>
  <c r="L2555" i="29"/>
  <c r="M2554" i="29"/>
  <c r="L2554" i="29"/>
  <c r="L2553" i="29"/>
  <c r="M2553" i="29"/>
  <c r="L2552" i="29"/>
  <c r="M2552" i="29"/>
  <c r="M2551" i="29"/>
  <c r="L2551" i="29"/>
  <c r="L2550" i="29"/>
  <c r="M2550" i="29"/>
  <c r="L2549" i="29"/>
  <c r="M2549" i="29"/>
  <c r="L2548" i="29"/>
  <c r="M2548" i="29"/>
  <c r="L2547" i="29"/>
  <c r="M2547" i="29"/>
  <c r="M2546" i="29"/>
  <c r="L2546" i="29"/>
  <c r="L2545" i="29"/>
  <c r="M2545" i="29"/>
  <c r="M2544" i="29"/>
  <c r="L2544" i="29"/>
  <c r="L2543" i="29"/>
  <c r="M2543" i="29"/>
  <c r="L2542" i="29"/>
  <c r="M2542" i="29"/>
  <c r="L2541" i="29"/>
  <c r="M2541" i="29"/>
  <c r="L2540" i="29"/>
  <c r="M2540" i="29"/>
  <c r="L2539" i="29"/>
  <c r="M2539" i="29"/>
  <c r="M2538" i="29"/>
  <c r="L2538" i="29"/>
  <c r="L2537" i="29"/>
  <c r="M2537" i="29"/>
  <c r="L2536" i="29"/>
  <c r="M2536" i="29"/>
  <c r="M2535" i="29"/>
  <c r="L2535" i="29"/>
  <c r="L2534" i="29"/>
  <c r="M2534" i="29"/>
  <c r="L2533" i="29"/>
  <c r="M2533" i="29"/>
  <c r="L2532" i="29"/>
  <c r="M2532" i="29"/>
  <c r="M2531" i="29"/>
  <c r="L2531" i="29"/>
  <c r="M2530" i="29"/>
  <c r="L2530" i="29"/>
  <c r="M2529" i="29"/>
  <c r="L2529" i="29"/>
  <c r="M2528" i="29"/>
  <c r="L2528" i="29"/>
  <c r="M2527" i="29"/>
  <c r="L2527" i="29"/>
  <c r="L2526" i="29"/>
  <c r="M2526" i="29"/>
  <c r="M2525" i="29"/>
  <c r="L2525" i="29"/>
  <c r="M2524" i="29"/>
  <c r="L2524" i="29"/>
  <c r="L2523" i="29"/>
  <c r="M2523" i="29"/>
  <c r="M2522" i="29"/>
  <c r="L2522" i="29"/>
  <c r="L2521" i="29"/>
  <c r="M2521" i="29"/>
  <c r="M2520" i="29"/>
  <c r="L2520" i="29"/>
  <c r="M2519" i="29"/>
  <c r="L2519" i="29"/>
  <c r="M2518" i="29"/>
  <c r="L2518" i="29"/>
  <c r="M2517" i="29"/>
  <c r="L2517" i="29"/>
  <c r="L2516" i="29"/>
  <c r="M2516" i="29"/>
  <c r="L2515" i="29"/>
  <c r="M2515" i="29"/>
  <c r="L2514" i="29"/>
  <c r="M2514" i="29"/>
  <c r="L2513" i="29"/>
  <c r="M2513" i="29"/>
  <c r="M2512" i="29"/>
  <c r="L2512" i="29"/>
  <c r="L2511" i="29"/>
  <c r="M2511" i="29"/>
  <c r="L2510" i="29"/>
  <c r="M2510" i="29"/>
  <c r="M2509" i="29"/>
  <c r="L2509" i="29"/>
  <c r="L2508" i="29"/>
  <c r="M2508" i="29"/>
  <c r="L2507" i="29"/>
  <c r="M2507" i="29"/>
  <c r="M2506" i="29"/>
  <c r="L2506" i="29"/>
  <c r="M2505" i="29"/>
  <c r="L2505" i="29"/>
  <c r="M2504" i="29"/>
  <c r="L2504" i="29"/>
  <c r="L2503" i="29"/>
  <c r="M2503" i="29"/>
  <c r="M2502" i="29"/>
  <c r="L2502" i="29"/>
  <c r="L2501" i="29"/>
  <c r="M2501" i="29"/>
  <c r="M2500" i="29"/>
  <c r="L2500" i="29"/>
  <c r="M2499" i="29"/>
  <c r="L2499" i="29"/>
  <c r="M2498" i="29"/>
  <c r="L2498" i="29"/>
  <c r="M2497" i="29"/>
  <c r="L2497" i="29"/>
  <c r="M2496" i="29"/>
  <c r="L2496" i="29"/>
  <c r="M2495" i="29"/>
  <c r="L2495" i="29"/>
  <c r="M2494" i="29"/>
  <c r="L2494" i="29"/>
  <c r="L2493" i="29"/>
  <c r="M2493" i="29"/>
  <c r="L2492" i="29"/>
  <c r="M2492" i="29"/>
  <c r="L2491" i="29"/>
  <c r="M2491" i="29"/>
  <c r="L2490" i="29"/>
  <c r="M2490" i="29"/>
  <c r="L2489" i="29"/>
  <c r="M2489" i="29"/>
  <c r="M2488" i="29"/>
  <c r="L2488" i="29"/>
  <c r="M2487" i="29"/>
  <c r="L2487" i="29"/>
  <c r="L2486" i="29"/>
  <c r="M2486" i="29"/>
  <c r="M2485" i="29"/>
  <c r="L2485" i="29"/>
  <c r="M2484" i="29"/>
  <c r="L2484" i="29"/>
  <c r="M2483" i="29"/>
  <c r="L2483" i="29"/>
  <c r="M2482" i="29"/>
  <c r="L2482" i="29"/>
  <c r="M2481" i="29"/>
  <c r="L2481" i="29"/>
  <c r="M2480" i="29"/>
  <c r="L2480" i="29"/>
  <c r="L2479" i="29"/>
  <c r="M2479" i="29"/>
  <c r="M2478" i="29"/>
  <c r="L2478" i="29"/>
  <c r="L2477" i="29"/>
  <c r="M2477" i="29"/>
  <c r="L2476" i="29"/>
  <c r="M2476" i="29"/>
  <c r="L2475" i="29"/>
  <c r="M2475" i="29"/>
  <c r="L2474" i="29"/>
  <c r="M2474" i="29"/>
  <c r="M2473" i="29"/>
  <c r="L2473" i="29"/>
  <c r="L2472" i="29"/>
  <c r="M2472" i="29"/>
  <c r="M2471" i="29"/>
  <c r="L2471" i="29"/>
  <c r="L2470" i="29"/>
  <c r="M2470" i="29"/>
  <c r="L2469" i="29"/>
  <c r="M2469" i="29"/>
  <c r="L2468" i="29"/>
  <c r="M2468" i="29"/>
  <c r="L2467" i="29"/>
  <c r="M2467" i="29"/>
  <c r="L2466" i="29"/>
  <c r="M2466" i="29"/>
  <c r="M2465" i="29"/>
  <c r="L2465" i="29"/>
  <c r="L2464" i="29"/>
  <c r="M2464" i="29"/>
  <c r="L2463" i="29"/>
  <c r="M2463" i="29"/>
  <c r="L2462" i="29"/>
  <c r="M2462" i="29"/>
  <c r="M2461" i="29"/>
  <c r="L2461" i="29"/>
  <c r="M2460" i="29"/>
  <c r="L2460" i="29"/>
  <c r="M2459" i="29"/>
  <c r="L2459" i="29"/>
  <c r="L2458" i="29"/>
  <c r="M2458" i="29"/>
  <c r="M2457" i="29"/>
  <c r="L2457" i="29"/>
  <c r="L2456" i="29"/>
  <c r="M2456" i="29"/>
  <c r="M2455" i="29"/>
  <c r="L2455" i="29"/>
  <c r="L2454" i="29"/>
  <c r="M2454" i="29"/>
  <c r="L2453" i="29"/>
  <c r="M2453" i="29"/>
  <c r="L2452" i="29"/>
  <c r="M2452" i="29"/>
  <c r="L2451" i="29"/>
  <c r="M2451" i="29"/>
  <c r="M2450" i="29"/>
  <c r="L2450" i="29"/>
  <c r="M2449" i="29"/>
  <c r="L2449" i="29"/>
  <c r="M2448" i="29"/>
  <c r="L2448" i="29"/>
  <c r="M2447" i="29"/>
  <c r="L2447" i="29"/>
  <c r="L2446" i="29"/>
  <c r="M2446" i="29"/>
  <c r="L2445" i="29"/>
  <c r="M2445" i="29"/>
  <c r="I2444" i="29"/>
  <c r="K2444" i="29"/>
  <c r="L2443" i="29"/>
  <c r="M2443" i="29"/>
  <c r="M2442" i="29"/>
  <c r="L2442" i="29"/>
  <c r="M2441" i="29"/>
  <c r="L2441" i="29"/>
  <c r="L2440" i="29"/>
  <c r="M2440" i="29"/>
  <c r="L2439" i="29"/>
  <c r="M2439" i="29"/>
  <c r="M2438" i="29"/>
  <c r="L2438" i="29"/>
  <c r="M2437" i="29"/>
  <c r="L2437" i="29"/>
  <c r="M2436" i="29"/>
  <c r="L2436" i="29"/>
  <c r="L2435" i="29"/>
  <c r="M2435" i="29"/>
  <c r="L2434" i="29"/>
  <c r="M2434" i="29"/>
  <c r="L2433" i="29"/>
  <c r="M2433" i="29"/>
  <c r="L2432" i="29"/>
  <c r="M2432" i="29"/>
  <c r="L2431" i="29"/>
  <c r="M2431" i="29"/>
  <c r="L2430" i="29"/>
  <c r="M2430" i="29"/>
  <c r="L2429" i="29"/>
  <c r="M2429" i="29"/>
  <c r="M2428" i="29"/>
  <c r="L2428" i="29"/>
  <c r="M2427" i="29"/>
  <c r="L2427" i="29"/>
  <c r="L2426" i="29"/>
  <c r="M2426" i="29"/>
  <c r="M2425" i="29"/>
  <c r="L2425" i="29"/>
  <c r="M2424" i="29"/>
  <c r="L2424" i="29"/>
  <c r="M2423" i="29"/>
  <c r="L2423" i="29"/>
  <c r="L2422" i="29"/>
  <c r="M2422" i="29"/>
  <c r="M2421" i="29"/>
  <c r="L2421" i="29"/>
  <c r="L2420" i="29"/>
  <c r="M2420" i="29"/>
  <c r="L2419" i="29"/>
  <c r="M2419" i="29"/>
  <c r="M2418" i="29"/>
  <c r="L2418" i="29"/>
  <c r="M2417" i="29"/>
  <c r="L2417" i="29"/>
  <c r="M2416" i="29"/>
  <c r="L2416" i="29"/>
  <c r="L2415" i="29"/>
  <c r="M2415" i="29"/>
  <c r="M2414" i="29"/>
  <c r="L2414" i="29"/>
  <c r="L2408" i="29"/>
  <c r="M2408" i="29"/>
  <c r="M2407" i="29"/>
  <c r="L2407" i="29"/>
  <c r="L2406" i="29"/>
  <c r="M2406" i="29"/>
  <c r="L2404" i="29"/>
  <c r="M2404" i="29"/>
  <c r="M2402" i="29"/>
  <c r="L2402" i="29"/>
  <c r="L2399" i="29"/>
  <c r="M2399" i="29"/>
  <c r="L2397" i="29"/>
  <c r="M2397" i="29"/>
  <c r="L2396" i="29"/>
  <c r="M2396" i="29"/>
  <c r="L2395" i="29"/>
  <c r="M2395" i="29"/>
  <c r="L2394" i="29"/>
  <c r="M2394" i="29"/>
  <c r="L2393" i="29"/>
  <c r="M2393" i="29"/>
  <c r="M2392" i="29"/>
  <c r="L2392" i="29"/>
  <c r="M2391" i="29"/>
  <c r="L2391" i="29"/>
  <c r="M2390" i="29"/>
  <c r="L2390" i="29"/>
  <c r="L2389" i="29"/>
  <c r="M2389" i="29"/>
  <c r="L2388" i="29"/>
  <c r="M2388" i="29"/>
  <c r="M2387" i="29"/>
  <c r="L2387" i="29"/>
  <c r="M2386" i="29"/>
  <c r="L2386" i="29"/>
  <c r="M2385" i="29"/>
  <c r="L2385" i="29"/>
  <c r="L2384" i="29"/>
  <c r="M2384" i="29"/>
  <c r="M2383" i="29"/>
  <c r="L2383" i="29"/>
  <c r="M2382" i="29"/>
  <c r="L2382" i="29"/>
  <c r="L2381" i="29"/>
  <c r="M2381" i="29"/>
  <c r="M2380" i="29"/>
  <c r="L2380" i="29"/>
  <c r="M2379" i="29"/>
  <c r="L2379" i="29"/>
  <c r="L2378" i="29"/>
  <c r="M2378" i="29"/>
  <c r="L2377" i="29"/>
  <c r="M2377" i="29"/>
  <c r="L2376" i="29"/>
  <c r="M2376" i="29"/>
  <c r="L2374" i="29"/>
  <c r="M2374" i="29"/>
  <c r="L2373" i="29"/>
  <c r="M2373" i="29"/>
  <c r="M2372" i="29"/>
  <c r="L2372" i="29"/>
  <c r="L2371" i="29"/>
  <c r="M2371" i="29"/>
  <c r="M2370" i="29"/>
  <c r="L2370" i="29"/>
  <c r="L2369" i="29"/>
  <c r="M2369" i="29"/>
  <c r="L2368" i="29"/>
  <c r="M2368" i="29"/>
  <c r="M2367" i="29"/>
  <c r="L2367" i="29"/>
  <c r="L2366" i="29"/>
  <c r="M2366" i="29"/>
  <c r="M2364" i="29"/>
  <c r="L2364" i="29"/>
  <c r="L2362" i="29"/>
  <c r="M2362" i="29"/>
  <c r="M2361" i="29"/>
  <c r="L2361" i="29"/>
  <c r="L2359" i="29"/>
  <c r="M2359" i="29"/>
  <c r="I2358" i="29"/>
  <c r="K2358" i="29"/>
  <c r="I2357" i="29"/>
  <c r="K2357" i="29"/>
  <c r="K2355" i="29"/>
  <c r="I2355" i="29"/>
  <c r="K2354" i="29"/>
  <c r="I2354" i="29"/>
  <c r="I2353" i="29"/>
  <c r="K2353" i="29"/>
  <c r="I2352" i="29"/>
  <c r="K2352" i="29"/>
  <c r="K2351" i="29"/>
  <c r="I2351" i="29"/>
  <c r="I2350" i="29"/>
  <c r="K2350" i="29"/>
  <c r="I2349" i="29"/>
  <c r="K2349" i="29"/>
  <c r="I2348" i="29"/>
  <c r="K2348" i="29"/>
  <c r="I2347" i="29"/>
  <c r="K2347" i="29"/>
  <c r="I2346" i="29"/>
  <c r="K2346" i="29"/>
  <c r="L2345" i="29"/>
  <c r="M2345" i="29"/>
  <c r="L2344" i="29"/>
  <c r="M2344" i="29"/>
  <c r="L2343" i="29"/>
  <c r="M2343" i="29"/>
  <c r="L2342" i="29"/>
  <c r="M2342" i="29"/>
  <c r="M2341" i="29"/>
  <c r="L2341" i="29"/>
  <c r="L2340" i="29"/>
  <c r="M2340" i="29"/>
  <c r="M2339" i="29"/>
  <c r="L2339" i="29"/>
  <c r="M2338" i="29"/>
  <c r="L2338" i="29"/>
  <c r="L2336" i="29"/>
  <c r="M2336" i="29"/>
  <c r="L2335" i="29"/>
  <c r="M2335" i="29"/>
  <c r="L2334" i="29"/>
  <c r="M2334" i="29"/>
  <c r="L2332" i="29"/>
  <c r="M2332" i="29"/>
  <c r="L2331" i="29"/>
  <c r="M2331" i="29"/>
  <c r="M2330" i="29"/>
  <c r="L2330" i="29"/>
  <c r="L2329" i="29"/>
  <c r="M2329" i="29"/>
  <c r="L2328" i="29"/>
  <c r="M2328" i="29"/>
  <c r="M2327" i="29"/>
  <c r="L2327" i="29"/>
  <c r="L2325" i="29"/>
  <c r="M2325" i="29"/>
  <c r="L2324" i="29"/>
  <c r="M2324" i="29"/>
  <c r="L2323" i="29"/>
  <c r="M2323" i="29"/>
  <c r="M2322" i="29"/>
  <c r="L2322" i="29"/>
  <c r="L2321" i="29"/>
  <c r="M2321" i="29"/>
  <c r="L2320" i="29"/>
  <c r="M2320" i="29"/>
  <c r="M2317" i="29"/>
  <c r="L2317" i="29"/>
  <c r="M2316" i="29"/>
  <c r="L2316" i="29"/>
  <c r="M2314" i="29"/>
  <c r="L2314" i="29"/>
  <c r="L2311" i="29"/>
  <c r="M2311" i="29"/>
  <c r="M2310" i="29"/>
  <c r="L2310" i="29"/>
  <c r="M2308" i="29"/>
  <c r="L2308" i="29"/>
  <c r="L2306" i="29"/>
  <c r="M2306" i="29"/>
  <c r="L2305" i="29"/>
  <c r="M2305" i="29"/>
  <c r="M2304" i="29"/>
  <c r="L2304" i="29"/>
  <c r="M2303" i="29"/>
  <c r="L2303" i="29"/>
  <c r="M2301" i="29"/>
  <c r="L2301" i="29"/>
  <c r="M2300" i="29"/>
  <c r="L2300" i="29"/>
  <c r="M2299" i="29"/>
  <c r="L2299" i="29"/>
  <c r="L2298" i="29"/>
  <c r="M2298" i="29"/>
  <c r="L2297" i="29"/>
  <c r="M2297" i="29"/>
  <c r="L2296" i="29"/>
  <c r="M2296" i="29"/>
  <c r="M2295" i="29"/>
  <c r="L2295" i="29"/>
  <c r="L2294" i="29"/>
  <c r="M2294" i="29"/>
  <c r="L2293" i="29"/>
  <c r="M2293" i="29"/>
  <c r="L2291" i="29"/>
  <c r="M2291" i="29"/>
  <c r="M2290" i="29"/>
  <c r="L2290" i="29"/>
  <c r="L2288" i="29"/>
  <c r="M2288" i="29"/>
  <c r="M2287" i="29"/>
  <c r="L2287" i="29"/>
  <c r="M2286" i="29"/>
  <c r="L2286" i="29"/>
  <c r="L2285" i="29"/>
  <c r="M2285" i="29"/>
  <c r="M2282" i="29"/>
  <c r="L2282" i="29"/>
  <c r="M2281" i="29"/>
  <c r="L2281" i="29"/>
  <c r="L2280" i="29"/>
  <c r="M2280" i="29"/>
  <c r="L2279" i="29"/>
  <c r="M2279" i="29"/>
  <c r="L2278" i="29"/>
  <c r="M2278" i="29"/>
  <c r="L2277" i="29"/>
  <c r="M2277" i="29"/>
  <c r="L2276" i="29"/>
  <c r="M2276" i="29"/>
  <c r="M2275" i="29"/>
  <c r="L2275" i="29"/>
  <c r="M2273" i="29"/>
  <c r="L2273" i="29"/>
  <c r="M2272" i="29"/>
  <c r="L2272" i="29"/>
  <c r="M2271" i="29"/>
  <c r="L2271" i="29"/>
  <c r="M2268" i="29"/>
  <c r="L2268" i="29"/>
  <c r="M2267" i="29"/>
  <c r="L2267" i="29"/>
  <c r="L2266" i="29"/>
  <c r="M2266" i="29"/>
  <c r="M2264" i="29"/>
  <c r="L2264" i="29"/>
  <c r="M2262" i="29"/>
  <c r="L2262" i="29"/>
  <c r="M2261" i="29"/>
  <c r="L2261" i="29"/>
  <c r="L2259" i="29"/>
  <c r="M2259" i="29"/>
  <c r="L2258" i="29"/>
  <c r="M2258" i="29"/>
  <c r="M2257" i="29"/>
  <c r="L2257" i="29"/>
  <c r="L2256" i="29"/>
  <c r="M2256" i="29"/>
  <c r="M2255" i="29"/>
  <c r="L2255" i="29"/>
  <c r="M2254" i="29"/>
  <c r="L2254" i="29"/>
  <c r="L2251" i="29"/>
  <c r="M2251" i="29"/>
  <c r="L2250" i="29"/>
  <c r="M2250" i="29"/>
  <c r="M2248" i="29"/>
  <c r="L2248" i="29"/>
  <c r="M2246" i="29"/>
  <c r="L2246" i="29"/>
  <c r="M2244" i="29"/>
  <c r="L2244" i="29"/>
  <c r="L2243" i="29"/>
  <c r="M2243" i="29"/>
  <c r="M2240" i="29"/>
  <c r="L2240" i="29"/>
  <c r="M2238" i="29"/>
  <c r="L2238" i="29"/>
  <c r="M2237" i="29"/>
  <c r="L2237" i="29"/>
  <c r="M2236" i="29"/>
  <c r="L2236" i="29"/>
  <c r="M2235" i="29"/>
  <c r="L2235" i="29"/>
  <c r="L2233" i="29"/>
  <c r="M2233" i="29"/>
  <c r="L2232" i="29"/>
  <c r="M2232" i="29"/>
  <c r="M2230" i="29"/>
  <c r="L2230" i="29"/>
  <c r="M2228" i="29"/>
  <c r="L2228" i="29"/>
  <c r="L2227" i="29"/>
  <c r="M2227" i="29"/>
  <c r="M2226" i="29"/>
  <c r="L2226" i="29"/>
  <c r="L2225" i="29"/>
  <c r="M2225" i="29"/>
  <c r="M2224" i="29"/>
  <c r="L2224" i="29"/>
  <c r="L2223" i="29"/>
  <c r="M2223" i="29"/>
  <c r="M2220" i="29"/>
  <c r="L2220" i="29"/>
  <c r="M2219" i="29"/>
  <c r="L2219" i="29"/>
  <c r="L2217" i="29"/>
  <c r="M2217" i="29"/>
  <c r="M2216" i="29"/>
  <c r="L2216" i="29"/>
  <c r="M2215" i="29"/>
  <c r="L2215" i="29"/>
  <c r="L2214" i="29"/>
  <c r="M2214" i="29"/>
  <c r="L2213" i="29"/>
  <c r="M2213" i="29"/>
  <c r="M2212" i="29"/>
  <c r="L2212" i="29"/>
  <c r="M2209" i="29"/>
  <c r="L2209" i="29"/>
  <c r="L2208" i="29"/>
  <c r="M2208" i="29"/>
  <c r="L2207" i="29"/>
  <c r="M2207" i="29"/>
  <c r="M2206" i="29"/>
  <c r="L2206" i="29"/>
  <c r="L2205" i="29"/>
  <c r="M2205" i="29"/>
  <c r="M2204" i="29"/>
  <c r="L2204" i="29"/>
  <c r="L2201" i="29"/>
  <c r="M2201" i="29"/>
  <c r="L2200" i="29"/>
  <c r="M2200" i="29"/>
  <c r="M2199" i="29"/>
  <c r="L2199" i="29"/>
  <c r="M2198" i="29"/>
  <c r="L2198" i="29"/>
  <c r="M2197" i="29"/>
  <c r="L2197" i="29"/>
  <c r="M2194" i="29"/>
  <c r="L2194" i="29"/>
  <c r="L2193" i="29"/>
  <c r="M2193" i="29"/>
  <c r="M2191" i="29"/>
  <c r="L2191" i="29"/>
  <c r="L2190" i="29"/>
  <c r="M2190" i="29"/>
  <c r="M2189" i="29"/>
  <c r="L2189" i="29"/>
  <c r="L2188" i="29"/>
  <c r="M2188" i="29"/>
  <c r="M2187" i="29"/>
  <c r="L2187" i="29"/>
  <c r="M2186" i="29"/>
  <c r="L2186" i="29"/>
  <c r="L2185" i="29"/>
  <c r="M2185" i="29"/>
  <c r="M2184" i="29"/>
  <c r="L2184" i="29"/>
  <c r="M2182" i="29"/>
  <c r="L2182" i="29"/>
  <c r="M2180" i="29"/>
  <c r="L2180" i="29"/>
  <c r="M2178" i="29"/>
  <c r="L2178" i="29"/>
  <c r="M2177" i="29"/>
  <c r="L2177" i="29"/>
  <c r="M2176" i="29"/>
  <c r="L2176" i="29"/>
  <c r="M2175" i="29"/>
  <c r="L2175" i="29"/>
  <c r="M2173" i="29"/>
  <c r="L2173" i="29"/>
  <c r="L1400" i="24"/>
  <c r="K1400" i="24"/>
  <c r="K1399" i="24"/>
  <c r="L1399" i="24"/>
  <c r="K1398" i="24"/>
  <c r="L1398" i="24"/>
  <c r="L1397" i="24"/>
  <c r="K1397" i="24"/>
  <c r="L1396" i="24"/>
  <c r="K1396" i="24"/>
  <c r="K1395" i="24"/>
  <c r="L1395" i="24"/>
  <c r="L1394" i="24"/>
  <c r="K1394" i="24"/>
  <c r="L1393" i="24"/>
  <c r="K1393" i="24"/>
  <c r="K1392" i="24"/>
  <c r="L1392" i="24"/>
  <c r="K1391" i="24"/>
  <c r="L1391" i="24"/>
  <c r="K1390" i="24"/>
  <c r="L1390" i="24"/>
  <c r="K1389" i="24"/>
  <c r="L1389" i="24"/>
  <c r="L1388" i="24"/>
  <c r="K1388" i="24"/>
  <c r="L1387" i="24"/>
  <c r="K1387" i="24"/>
  <c r="L1386" i="24"/>
  <c r="K1386" i="24"/>
  <c r="K1385" i="24"/>
  <c r="L1385" i="24"/>
  <c r="K1384" i="24"/>
  <c r="L1384" i="24"/>
  <c r="K1383" i="24"/>
  <c r="L1383" i="24"/>
  <c r="L1382" i="24"/>
  <c r="K1382" i="24"/>
  <c r="L1381" i="24"/>
  <c r="K1381" i="24"/>
  <c r="K1380" i="24"/>
  <c r="L1380" i="24"/>
  <c r="K1379" i="24"/>
  <c r="L1379" i="24"/>
  <c r="K1378" i="24"/>
  <c r="L1378" i="24"/>
  <c r="L1377" i="24"/>
  <c r="K1377" i="24"/>
  <c r="L1376" i="24"/>
  <c r="K1376" i="24"/>
  <c r="K1375" i="24"/>
  <c r="L1375" i="24"/>
  <c r="K1374" i="24"/>
  <c r="L1374" i="24"/>
  <c r="L1373" i="24"/>
  <c r="K1373" i="24"/>
  <c r="L1372" i="24"/>
  <c r="K1372" i="24"/>
  <c r="K1371" i="24"/>
  <c r="L1371" i="24"/>
  <c r="L1370" i="24"/>
  <c r="K1370" i="24"/>
  <c r="K1369" i="24"/>
  <c r="L1369" i="24"/>
  <c r="K1368" i="24"/>
  <c r="L1368" i="24"/>
  <c r="L1367" i="24"/>
  <c r="K1367" i="24"/>
  <c r="K1366" i="24"/>
  <c r="L1366" i="24"/>
  <c r="K1365" i="24"/>
  <c r="L1365" i="24"/>
  <c r="L1364" i="24"/>
  <c r="K1364" i="24"/>
  <c r="L1363" i="24"/>
  <c r="K1363" i="24"/>
  <c r="L1362" i="24"/>
  <c r="K1362" i="24"/>
  <c r="L1361" i="24"/>
  <c r="K1361" i="24"/>
  <c r="L1360" i="24"/>
  <c r="K1360" i="24"/>
  <c r="K1359" i="24"/>
  <c r="L1359" i="24"/>
  <c r="L1358" i="24"/>
  <c r="K1358" i="24"/>
  <c r="K1357" i="24"/>
  <c r="L1357" i="24"/>
  <c r="K1356" i="24"/>
  <c r="L1356" i="24"/>
  <c r="L1355" i="24"/>
  <c r="K1355" i="24"/>
  <c r="L1354" i="24"/>
  <c r="K1354" i="24"/>
  <c r="K1353" i="24"/>
  <c r="L1353" i="24"/>
  <c r="L1352" i="24"/>
  <c r="K1352" i="24"/>
  <c r="L1351" i="24"/>
  <c r="K1351" i="24"/>
  <c r="L1350" i="24"/>
  <c r="K1350" i="24"/>
  <c r="K1349" i="24"/>
  <c r="L1349" i="24"/>
  <c r="K1348" i="24"/>
  <c r="L1348" i="24"/>
  <c r="L1347" i="24"/>
  <c r="K1347" i="24"/>
  <c r="L1346" i="24"/>
  <c r="K1346" i="24"/>
  <c r="L1345" i="24"/>
  <c r="K1345" i="24"/>
  <c r="K1344" i="24"/>
  <c r="L1344" i="24"/>
  <c r="K1343" i="24"/>
  <c r="L1343" i="24"/>
  <c r="K1341" i="24"/>
  <c r="L1341" i="24"/>
  <c r="L1340" i="24"/>
  <c r="K1340" i="24"/>
  <c r="K1338" i="24"/>
  <c r="L1338" i="24"/>
  <c r="K1337" i="24"/>
  <c r="L1337" i="24"/>
  <c r="K1336" i="24"/>
  <c r="L1336" i="24"/>
  <c r="L1335" i="24"/>
  <c r="K1335" i="24"/>
  <c r="L1333" i="24"/>
  <c r="K1333" i="24"/>
  <c r="L1332" i="24"/>
  <c r="K1332" i="24"/>
  <c r="L1331" i="24"/>
  <c r="K1331" i="24"/>
  <c r="K1330" i="24"/>
  <c r="L1330" i="24"/>
  <c r="K1327" i="24"/>
  <c r="L1327" i="24"/>
  <c r="H1325" i="24"/>
  <c r="J1325" i="24"/>
  <c r="L1324" i="24"/>
  <c r="K1324" i="24"/>
  <c r="K1323" i="24"/>
  <c r="L1323" i="24"/>
  <c r="L1322" i="24"/>
  <c r="K1322" i="24"/>
  <c r="L1321" i="24"/>
  <c r="K1321" i="24"/>
  <c r="L1320" i="24"/>
  <c r="K1320" i="24"/>
  <c r="L1319" i="24"/>
  <c r="K1319" i="24"/>
  <c r="K1318" i="24"/>
  <c r="L1318" i="24"/>
  <c r="K1317" i="24"/>
  <c r="L1317" i="24"/>
  <c r="K1316" i="24"/>
  <c r="L1316" i="24"/>
  <c r="L1315" i="24"/>
  <c r="K1315" i="24"/>
  <c r="K1314" i="24"/>
  <c r="L1314" i="24"/>
  <c r="L1313" i="24"/>
  <c r="K1313" i="24"/>
  <c r="L1311" i="24"/>
  <c r="K1311" i="24"/>
  <c r="K1310" i="24"/>
  <c r="L1310" i="24"/>
  <c r="K1309" i="24"/>
  <c r="L1309" i="24"/>
  <c r="L1308" i="24"/>
  <c r="K1308" i="24"/>
  <c r="L1307" i="24"/>
  <c r="K1307" i="24"/>
  <c r="L1306" i="24"/>
  <c r="K1306" i="24"/>
  <c r="K1305" i="24"/>
  <c r="L1305" i="24"/>
  <c r="L1304" i="24"/>
  <c r="K1304" i="24"/>
  <c r="L1303" i="24"/>
  <c r="K1303" i="24"/>
  <c r="K1302" i="24"/>
  <c r="L1302" i="24"/>
  <c r="K1301" i="24"/>
  <c r="L1301" i="24"/>
  <c r="K1300" i="24"/>
  <c r="L1300" i="24"/>
  <c r="K1299" i="24"/>
  <c r="L1299" i="24"/>
  <c r="L1298" i="24"/>
  <c r="K1298" i="24"/>
  <c r="L1297" i="24"/>
  <c r="K1297" i="24"/>
  <c r="L1296" i="24"/>
  <c r="K1296" i="24"/>
  <c r="L1295" i="24"/>
  <c r="K1295" i="24"/>
  <c r="K1294" i="24"/>
  <c r="L1294" i="24"/>
  <c r="L1293" i="24"/>
  <c r="K1293" i="24"/>
  <c r="L1292" i="24"/>
  <c r="K1292" i="24"/>
  <c r="L1291" i="24"/>
  <c r="K1291" i="24"/>
  <c r="L1290" i="24"/>
  <c r="K1290" i="24"/>
  <c r="L1289" i="24"/>
  <c r="K1289" i="24"/>
  <c r="L1288" i="24"/>
  <c r="K1288" i="24"/>
  <c r="K1287" i="24"/>
  <c r="L1287" i="24"/>
  <c r="K1286" i="24"/>
  <c r="L1286" i="24"/>
  <c r="K1285" i="24"/>
  <c r="L1285" i="24"/>
  <c r="L1284" i="24"/>
  <c r="K1284" i="24"/>
  <c r="L1283" i="24"/>
  <c r="K1283" i="24"/>
  <c r="L1282" i="24"/>
  <c r="K1282" i="24"/>
  <c r="L1281" i="24"/>
  <c r="K1281" i="24"/>
  <c r="L1280" i="24"/>
  <c r="K1280" i="24"/>
  <c r="L1279" i="24"/>
  <c r="K1279" i="24"/>
  <c r="L1278" i="24"/>
  <c r="K1278" i="24"/>
  <c r="L1277" i="24"/>
  <c r="K1277" i="24"/>
  <c r="L1276" i="24"/>
  <c r="K1276" i="24"/>
  <c r="L1275" i="24"/>
  <c r="K1275" i="24"/>
  <c r="L1274" i="24"/>
  <c r="K1274" i="24"/>
  <c r="L1273" i="24"/>
  <c r="K1273" i="24"/>
  <c r="K1272" i="24"/>
  <c r="L1272" i="24"/>
  <c r="L1271" i="24"/>
  <c r="K1271" i="24"/>
  <c r="L1270" i="24"/>
  <c r="K1270" i="24"/>
  <c r="L1269" i="24"/>
  <c r="K1269" i="24"/>
  <c r="L1268" i="24"/>
  <c r="K1268" i="24"/>
  <c r="L1267" i="24"/>
  <c r="K1267" i="24"/>
  <c r="L1266" i="24"/>
  <c r="K1266" i="24"/>
  <c r="L1265" i="24"/>
  <c r="K1265" i="24"/>
  <c r="K1263" i="24"/>
  <c r="L1263" i="24"/>
  <c r="L1262" i="24"/>
  <c r="K1262" i="24"/>
  <c r="L1261" i="24"/>
  <c r="K1261" i="24"/>
  <c r="L1260" i="24"/>
  <c r="K1260" i="24"/>
  <c r="K1259" i="24"/>
  <c r="L1259" i="24"/>
  <c r="L1258" i="24"/>
  <c r="K1258" i="24"/>
  <c r="K1257" i="24"/>
  <c r="L1257" i="24"/>
  <c r="L1255" i="24"/>
  <c r="K1255" i="24"/>
  <c r="L1254" i="24"/>
  <c r="K1254" i="24"/>
  <c r="K1253" i="24"/>
  <c r="L1253" i="24"/>
  <c r="L1252" i="24"/>
  <c r="K1252" i="24"/>
  <c r="L1251" i="24"/>
  <c r="K1251" i="24"/>
  <c r="K1250" i="24"/>
  <c r="L1250" i="24"/>
  <c r="L1249" i="24"/>
  <c r="K1249" i="24"/>
  <c r="L1248" i="24"/>
  <c r="K1248" i="24"/>
  <c r="L1247" i="24"/>
  <c r="K1247" i="24"/>
  <c r="K1246" i="24"/>
  <c r="L1246" i="24"/>
  <c r="K1245" i="24"/>
  <c r="L1245" i="24"/>
  <c r="L1244" i="24"/>
  <c r="K1244" i="24"/>
  <c r="L1243" i="24"/>
  <c r="K1243" i="24"/>
  <c r="L1242" i="24"/>
  <c r="K1242" i="24"/>
  <c r="L1241" i="24"/>
  <c r="K1241" i="24"/>
  <c r="L1240" i="24"/>
  <c r="K1240" i="24"/>
  <c r="L1239" i="24"/>
  <c r="K1239" i="24"/>
  <c r="L1238" i="24"/>
  <c r="K1238" i="24"/>
  <c r="K1237" i="24"/>
  <c r="L1237" i="24"/>
  <c r="K1236" i="24"/>
  <c r="L1236" i="24"/>
  <c r="K1235" i="24"/>
  <c r="L1235" i="24"/>
  <c r="L1234" i="24"/>
  <c r="K1234" i="24"/>
  <c r="L1233" i="24"/>
  <c r="K1233" i="24"/>
  <c r="L1232" i="24"/>
  <c r="K1232" i="24"/>
  <c r="K1231" i="24"/>
  <c r="L1231" i="24"/>
  <c r="L1230" i="24"/>
  <c r="K1230" i="24"/>
  <c r="L1229" i="24"/>
  <c r="K1229" i="24"/>
  <c r="L1228" i="24"/>
  <c r="K1228" i="24"/>
  <c r="K1227" i="24"/>
  <c r="L1227" i="24"/>
  <c r="L1226" i="24"/>
  <c r="K1226" i="24"/>
  <c r="L1225" i="24"/>
  <c r="K1225" i="24"/>
  <c r="K1224" i="24"/>
  <c r="L1224" i="24"/>
  <c r="K1223" i="24"/>
  <c r="L1223" i="24"/>
  <c r="K1222" i="24"/>
  <c r="L1222" i="24"/>
  <c r="L1221" i="24"/>
  <c r="K1221" i="24"/>
  <c r="K1220" i="24"/>
  <c r="L1220" i="24"/>
  <c r="K1219" i="24"/>
  <c r="L1219" i="24"/>
  <c r="K1218" i="24"/>
  <c r="L1218" i="24"/>
  <c r="K1217" i="24"/>
  <c r="L1217" i="24"/>
  <c r="K1216" i="24"/>
  <c r="L1216" i="24"/>
  <c r="L1215" i="24"/>
  <c r="K1215" i="24"/>
  <c r="K1214" i="24"/>
  <c r="L1214" i="24"/>
  <c r="K1213" i="24"/>
  <c r="L1213" i="24"/>
  <c r="L1212" i="24"/>
  <c r="K1212" i="24"/>
  <c r="K1211" i="24"/>
  <c r="L1211" i="24"/>
  <c r="L1210" i="24"/>
  <c r="K1210" i="24"/>
  <c r="L1208" i="24"/>
  <c r="K1208" i="24"/>
  <c r="L1170" i="24"/>
  <c r="K1170" i="24"/>
  <c r="L1179" i="24"/>
  <c r="K1179" i="24"/>
  <c r="L1182" i="24"/>
  <c r="K1182" i="24"/>
  <c r="L1194" i="24"/>
  <c r="K1194" i="24"/>
  <c r="L1206" i="24"/>
  <c r="K1206" i="24"/>
  <c r="K1191" i="24"/>
  <c r="K1176" i="24"/>
  <c r="K1107" i="24"/>
  <c r="L1107" i="24"/>
  <c r="K1113" i="24"/>
  <c r="L1113" i="24"/>
  <c r="K1119" i="24"/>
  <c r="L1119" i="24"/>
  <c r="K1197" i="24"/>
  <c r="K1125" i="24"/>
  <c r="K1131" i="24"/>
  <c r="L1131" i="24"/>
  <c r="L1137" i="24"/>
  <c r="K1137" i="24"/>
  <c r="K1143" i="24"/>
  <c r="L1143" i="24"/>
  <c r="L1149" i="24"/>
  <c r="K1149" i="24"/>
  <c r="L1161" i="24"/>
  <c r="K1161" i="24"/>
  <c r="K1167" i="24"/>
  <c r="K1203" i="24"/>
  <c r="K1188" i="24"/>
  <c r="K1173" i="24"/>
  <c r="K1155" i="24"/>
  <c r="L1155" i="24"/>
  <c r="K1110" i="24"/>
  <c r="L1110" i="24"/>
  <c r="L1116" i="24"/>
  <c r="K1116" i="24"/>
  <c r="K1122" i="24"/>
  <c r="K1200" i="24"/>
  <c r="L1128" i="24"/>
  <c r="K1128" i="24"/>
  <c r="L1134" i="24"/>
  <c r="K1134" i="24"/>
  <c r="L1140" i="24"/>
  <c r="K1140" i="24"/>
  <c r="K1146" i="24"/>
  <c r="L1146" i="24"/>
  <c r="L1152" i="24"/>
  <c r="K1152" i="24"/>
  <c r="K1158" i="24"/>
  <c r="L1158" i="24"/>
  <c r="L1164" i="24"/>
  <c r="K1164" i="24"/>
  <c r="K1185" i="24"/>
  <c r="K1165" i="24"/>
  <c r="K1168" i="24"/>
  <c r="K1171" i="24"/>
  <c r="K1174" i="24"/>
  <c r="K1177" i="24"/>
  <c r="K1180" i="24"/>
  <c r="K1183" i="24"/>
  <c r="K1186" i="24"/>
  <c r="K1189" i="24"/>
  <c r="K1192" i="24"/>
  <c r="K1195" i="24"/>
  <c r="K1198" i="24"/>
  <c r="K1201" i="24"/>
  <c r="K1204" i="24"/>
  <c r="K1207" i="24"/>
  <c r="K1105" i="24"/>
  <c r="K1108" i="24"/>
  <c r="K1111" i="24"/>
  <c r="K1114" i="24"/>
  <c r="K1117" i="24"/>
  <c r="K1120" i="24"/>
  <c r="K1126" i="24"/>
  <c r="K1129" i="24"/>
  <c r="K1132" i="24"/>
  <c r="K1135" i="24"/>
  <c r="K1138" i="24"/>
  <c r="K1141" i="24"/>
  <c r="K1144" i="24"/>
  <c r="K1147" i="24"/>
  <c r="K1150" i="24"/>
  <c r="K1153" i="24"/>
  <c r="K1156" i="24"/>
  <c r="K1159" i="24"/>
  <c r="K1162" i="24"/>
  <c r="L1123" i="24"/>
  <c r="L1205" i="24"/>
  <c r="K1166" i="24"/>
  <c r="K1169" i="24"/>
  <c r="K1172" i="24"/>
  <c r="K1175" i="24"/>
  <c r="K1178" i="24"/>
  <c r="K1181" i="24"/>
  <c r="K1184" i="24"/>
  <c r="K1187" i="24"/>
  <c r="K1190" i="24"/>
  <c r="K1193" i="24"/>
  <c r="K1196" i="24"/>
  <c r="K1199" i="24"/>
  <c r="K1202" i="24"/>
  <c r="K1106" i="24"/>
  <c r="K1109" i="24"/>
  <c r="K1112" i="24"/>
  <c r="K1115" i="24"/>
  <c r="K1118" i="24"/>
  <c r="K1121" i="24"/>
  <c r="K1124" i="24"/>
  <c r="K1127" i="24"/>
  <c r="K1130" i="24"/>
  <c r="K1133" i="24"/>
  <c r="K1136" i="24"/>
  <c r="K1139" i="24"/>
  <c r="K1142" i="24"/>
  <c r="K1145" i="24"/>
  <c r="K1148" i="24"/>
  <c r="K1151" i="24"/>
  <c r="K1154" i="24"/>
  <c r="K1157" i="24"/>
  <c r="K1160" i="24"/>
  <c r="K1163" i="24"/>
  <c r="G3" i="23" l="1"/>
  <c r="L817" i="29"/>
  <c r="M817" i="29"/>
  <c r="L815" i="29"/>
  <c r="M815" i="29"/>
  <c r="L738" i="29"/>
  <c r="M738" i="29"/>
  <c r="L455" i="29"/>
  <c r="D3" i="30" s="1"/>
  <c r="E3" i="30" s="1"/>
  <c r="M455" i="29"/>
  <c r="L2169" i="29"/>
  <c r="M2169" i="29"/>
  <c r="L2121" i="29"/>
  <c r="M2121" i="29"/>
  <c r="L2120" i="29"/>
  <c r="M2120" i="29"/>
  <c r="L2119" i="29"/>
  <c r="M2119" i="29"/>
  <c r="L1583" i="29"/>
  <c r="M1583" i="29"/>
  <c r="L1539" i="29"/>
  <c r="M1539" i="29"/>
  <c r="L1515" i="29"/>
  <c r="M1515" i="29"/>
  <c r="M1491" i="29"/>
  <c r="L1491" i="29"/>
  <c r="L1490" i="29"/>
  <c r="M1490" i="29"/>
  <c r="L1397" i="29"/>
  <c r="M1397" i="29"/>
  <c r="L1396" i="29"/>
  <c r="M1396" i="29"/>
  <c r="L1373" i="29"/>
  <c r="M1373" i="29"/>
  <c r="L1354" i="29"/>
  <c r="M1354" i="29"/>
  <c r="M1155" i="29"/>
  <c r="L1155" i="29"/>
  <c r="M2356" i="29"/>
  <c r="L2356" i="29"/>
  <c r="L3493" i="29"/>
  <c r="G14" i="23" s="1"/>
  <c r="M3493" i="29"/>
  <c r="L2917" i="29"/>
  <c r="M2917" i="29"/>
  <c r="L2916" i="29"/>
  <c r="M2916" i="29"/>
  <c r="L2915" i="29"/>
  <c r="M2915" i="29"/>
  <c r="L2914" i="29"/>
  <c r="M2914" i="29"/>
  <c r="L2913" i="29"/>
  <c r="M2913" i="29"/>
  <c r="L2912" i="29"/>
  <c r="M2912" i="29"/>
  <c r="L2900" i="29"/>
  <c r="M2900" i="29"/>
  <c r="L2898" i="29"/>
  <c r="M2898" i="29"/>
  <c r="L2897" i="29"/>
  <c r="M2897" i="29"/>
  <c r="L2837" i="29"/>
  <c r="M2837" i="29"/>
  <c r="L2836" i="29"/>
  <c r="M2836" i="29"/>
  <c r="L2835" i="29"/>
  <c r="G9" i="23" s="1"/>
  <c r="M2835" i="29"/>
  <c r="M2739" i="29"/>
  <c r="L2739" i="29"/>
  <c r="L2444" i="29"/>
  <c r="G5" i="23" s="1"/>
  <c r="M2444" i="29"/>
  <c r="L2358" i="29"/>
  <c r="M2358" i="29"/>
  <c r="L2357" i="29"/>
  <c r="M2357" i="29"/>
  <c r="M2355" i="29"/>
  <c r="L2355" i="29"/>
  <c r="M2354" i="29"/>
  <c r="L2354" i="29"/>
  <c r="M2353" i="29"/>
  <c r="L2353" i="29"/>
  <c r="M2352" i="29"/>
  <c r="L2352" i="29"/>
  <c r="M2351" i="29"/>
  <c r="L2351" i="29"/>
  <c r="M2350" i="29"/>
  <c r="L2350" i="29"/>
  <c r="M2349" i="29"/>
  <c r="L2349" i="29"/>
  <c r="M2348" i="29"/>
  <c r="L2348" i="29"/>
  <c r="M2347" i="29"/>
  <c r="L2347" i="29"/>
  <c r="M2346" i="29"/>
  <c r="L2346" i="29"/>
  <c r="K1325" i="24"/>
  <c r="L1325" i="24"/>
  <c r="D4" i="30" l="1"/>
  <c r="E4" i="30" s="1"/>
  <c r="G4" i="23"/>
  <c r="G15" i="23" s="1"/>
  <c r="D5" i="30"/>
  <c r="E5" i="30" s="1"/>
  <c r="H12" i="23"/>
  <c r="L12" i="23" s="1"/>
  <c r="M12" i="23" s="1"/>
  <c r="J1104" i="24"/>
  <c r="L1104" i="24" s="1"/>
  <c r="H1104" i="24"/>
  <c r="J1103" i="24"/>
  <c r="L1103" i="24" s="1"/>
  <c r="H1103" i="24"/>
  <c r="J1102" i="24"/>
  <c r="L1102" i="24" s="1"/>
  <c r="H1102" i="24"/>
  <c r="J1101" i="24"/>
  <c r="L1101" i="24" s="1"/>
  <c r="H1101" i="24"/>
  <c r="J1100" i="24"/>
  <c r="H1100" i="24"/>
  <c r="J1099" i="24"/>
  <c r="K1099" i="24" s="1"/>
  <c r="H1099" i="24"/>
  <c r="J1098" i="24"/>
  <c r="L1098" i="24" s="1"/>
  <c r="H1098" i="24"/>
  <c r="J1097" i="24"/>
  <c r="H1097" i="24"/>
  <c r="J1096" i="24"/>
  <c r="L1096" i="24" s="1"/>
  <c r="H1096" i="24"/>
  <c r="J1095" i="24"/>
  <c r="L1095" i="24" s="1"/>
  <c r="H1095" i="24"/>
  <c r="J1094" i="24"/>
  <c r="H1094" i="24"/>
  <c r="J1093" i="24"/>
  <c r="L1093" i="24" s="1"/>
  <c r="H1093" i="24"/>
  <c r="J1092" i="24"/>
  <c r="H1092" i="24"/>
  <c r="J1091" i="24"/>
  <c r="K1091" i="24" s="1"/>
  <c r="H1091" i="24"/>
  <c r="J1090" i="24"/>
  <c r="L1090" i="24" s="1"/>
  <c r="H1090" i="24"/>
  <c r="J1089" i="24"/>
  <c r="H1089" i="24"/>
  <c r="J1088" i="24"/>
  <c r="H1088" i="24"/>
  <c r="J1087" i="24"/>
  <c r="L1087" i="24" s="1"/>
  <c r="H1087" i="24"/>
  <c r="J1086" i="24"/>
  <c r="H1086" i="24"/>
  <c r="J1085" i="24"/>
  <c r="H1085" i="24"/>
  <c r="J1084" i="24"/>
  <c r="L1084" i="24" s="1"/>
  <c r="H1084" i="24"/>
  <c r="J1083" i="24"/>
  <c r="H1083" i="24"/>
  <c r="J1082" i="24"/>
  <c r="H1082" i="24"/>
  <c r="J1081" i="24"/>
  <c r="L1081" i="24" s="1"/>
  <c r="H1081" i="24"/>
  <c r="J1080" i="24"/>
  <c r="L1080" i="24" s="1"/>
  <c r="H1080" i="24"/>
  <c r="J1079" i="24"/>
  <c r="H1079" i="24"/>
  <c r="J1078" i="24"/>
  <c r="L1078" i="24" s="1"/>
  <c r="H1078" i="24"/>
  <c r="J1077" i="24"/>
  <c r="L1077" i="24" s="1"/>
  <c r="H1077" i="24"/>
  <c r="J1076" i="24"/>
  <c r="H1076" i="24"/>
  <c r="J1075" i="24"/>
  <c r="L1075" i="24" s="1"/>
  <c r="H1075" i="24"/>
  <c r="J1074" i="24"/>
  <c r="H1074" i="24"/>
  <c r="J1073" i="24"/>
  <c r="K1073" i="24" s="1"/>
  <c r="H1073" i="24"/>
  <c r="J1072" i="24"/>
  <c r="L1072" i="24" s="1"/>
  <c r="H1072" i="24"/>
  <c r="J1071" i="24"/>
  <c r="H1071" i="24"/>
  <c r="J1070" i="24"/>
  <c r="L1070" i="24" s="1"/>
  <c r="H1070" i="24"/>
  <c r="J1069" i="24"/>
  <c r="L1069" i="24" s="1"/>
  <c r="H1069" i="24"/>
  <c r="J1068" i="24"/>
  <c r="H1068" i="24"/>
  <c r="J1067" i="24"/>
  <c r="H1067" i="24"/>
  <c r="J1066" i="24"/>
  <c r="L1066" i="24" s="1"/>
  <c r="H1066" i="24"/>
  <c r="J1065" i="24"/>
  <c r="H1065" i="24"/>
  <c r="J1064" i="24"/>
  <c r="H1064" i="24"/>
  <c r="J1063" i="24"/>
  <c r="L1063" i="24" s="1"/>
  <c r="H1063" i="24"/>
  <c r="J1062" i="24"/>
  <c r="K1062" i="24" s="1"/>
  <c r="H1062" i="24"/>
  <c r="J1061" i="24"/>
  <c r="H1061" i="24"/>
  <c r="J1060" i="24"/>
  <c r="L1060" i="24" s="1"/>
  <c r="H1060" i="24"/>
  <c r="J1059" i="24"/>
  <c r="L1059" i="24" s="1"/>
  <c r="H1059" i="24"/>
  <c r="J1058" i="24"/>
  <c r="H1058" i="24"/>
  <c r="J1057" i="24"/>
  <c r="L1057" i="24" s="1"/>
  <c r="H1057" i="24"/>
  <c r="J1056" i="24"/>
  <c r="H1056" i="24"/>
  <c r="J1055" i="24"/>
  <c r="K1055" i="24" s="1"/>
  <c r="H1055" i="24"/>
  <c r="J1054" i="24"/>
  <c r="L1054" i="24" s="1"/>
  <c r="H1054" i="24"/>
  <c r="J1053" i="24"/>
  <c r="L1053" i="24" s="1"/>
  <c r="H1053" i="24"/>
  <c r="J1052" i="24"/>
  <c r="H1052" i="24"/>
  <c r="J1051" i="24"/>
  <c r="L1051" i="24" s="1"/>
  <c r="H1051" i="24"/>
  <c r="J1050" i="24"/>
  <c r="H1050" i="24"/>
  <c r="J1049" i="24"/>
  <c r="H1049" i="24"/>
  <c r="J1048" i="24"/>
  <c r="L1048" i="24" s="1"/>
  <c r="H1048" i="24"/>
  <c r="J1047" i="24"/>
  <c r="K1047" i="24" s="1"/>
  <c r="H1047" i="24"/>
  <c r="J1046" i="24"/>
  <c r="L1046" i="24" s="1"/>
  <c r="H1046" i="24"/>
  <c r="J1045" i="24"/>
  <c r="L1045" i="24" s="1"/>
  <c r="H1045" i="24"/>
  <c r="J1044" i="24"/>
  <c r="L1044" i="24" s="1"/>
  <c r="H1044" i="24"/>
  <c r="J1043" i="24"/>
  <c r="H1043" i="24"/>
  <c r="J1042" i="24"/>
  <c r="L1042" i="24" s="1"/>
  <c r="H1042" i="24"/>
  <c r="J1041" i="24"/>
  <c r="H1041" i="24"/>
  <c r="J1040" i="24"/>
  <c r="K1040" i="24" s="1"/>
  <c r="H1040" i="24"/>
  <c r="J1039" i="24"/>
  <c r="L1039" i="24" s="1"/>
  <c r="H1039" i="24"/>
  <c r="J1038" i="24"/>
  <c r="H1038" i="24"/>
  <c r="J1037" i="24"/>
  <c r="L1037" i="24" s="1"/>
  <c r="H1037" i="24"/>
  <c r="J1036" i="24"/>
  <c r="L1036" i="24" s="1"/>
  <c r="H1036" i="24"/>
  <c r="J1035" i="24"/>
  <c r="L1035" i="24" s="1"/>
  <c r="H1035" i="24"/>
  <c r="J1034" i="24"/>
  <c r="H1034" i="24"/>
  <c r="J1033" i="24"/>
  <c r="L1033" i="24" s="1"/>
  <c r="H1033" i="24"/>
  <c r="J1032" i="24"/>
  <c r="H1032" i="24"/>
  <c r="J1031" i="24"/>
  <c r="H1031" i="24"/>
  <c r="J1030" i="24"/>
  <c r="L1030" i="24" s="1"/>
  <c r="H1030" i="24"/>
  <c r="J1029" i="24"/>
  <c r="H1029" i="24"/>
  <c r="J1028" i="24"/>
  <c r="H1028" i="24"/>
  <c r="J1027" i="24"/>
  <c r="H1027" i="24"/>
  <c r="J1026" i="24"/>
  <c r="L1026" i="24" s="1"/>
  <c r="H1026" i="24"/>
  <c r="J1025" i="24"/>
  <c r="L1025" i="24" s="1"/>
  <c r="H1025" i="24"/>
  <c r="J1024" i="24"/>
  <c r="K1024" i="24" s="1"/>
  <c r="H1024" i="24"/>
  <c r="J1023" i="24"/>
  <c r="L1023" i="24" s="1"/>
  <c r="H1023" i="24"/>
  <c r="J1022" i="24"/>
  <c r="H1022" i="24"/>
  <c r="J1021" i="24"/>
  <c r="K1021" i="24" s="1"/>
  <c r="H1021" i="24"/>
  <c r="J1020" i="24"/>
  <c r="H1020" i="24"/>
  <c r="J1019" i="24"/>
  <c r="K1019" i="24" s="1"/>
  <c r="H1019" i="24"/>
  <c r="J1018" i="24"/>
  <c r="L1018" i="24" s="1"/>
  <c r="H1018" i="24"/>
  <c r="J1017" i="24"/>
  <c r="H1017" i="24"/>
  <c r="K1017" i="24" l="1"/>
  <c r="L1017" i="24"/>
  <c r="L1020" i="24"/>
  <c r="K1020" i="24"/>
  <c r="K1022" i="24"/>
  <c r="L1022" i="24"/>
  <c r="L1027" i="24"/>
  <c r="K1027" i="24"/>
  <c r="L1028" i="24"/>
  <c r="K1028" i="24"/>
  <c r="L1029" i="24"/>
  <c r="K1029" i="24"/>
  <c r="K1031" i="24"/>
  <c r="L1031" i="24"/>
  <c r="K1032" i="24"/>
  <c r="L1032" i="24"/>
  <c r="K1034" i="24"/>
  <c r="L1034" i="24"/>
  <c r="K1038" i="24"/>
  <c r="L1038" i="24"/>
  <c r="K1041" i="24"/>
  <c r="L1041" i="24"/>
  <c r="K1043" i="24"/>
  <c r="L1043" i="24"/>
  <c r="K1049" i="24"/>
  <c r="L1049" i="24"/>
  <c r="K1050" i="24"/>
  <c r="L1050" i="24"/>
  <c r="K1052" i="24"/>
  <c r="L1052" i="24"/>
  <c r="L1056" i="24"/>
  <c r="K1056" i="24"/>
  <c r="L1058" i="24"/>
  <c r="K1058" i="24"/>
  <c r="L1061" i="24"/>
  <c r="K1061" i="24"/>
  <c r="K1064" i="24"/>
  <c r="L1064" i="24"/>
  <c r="L1065" i="24"/>
  <c r="K1065" i="24"/>
  <c r="L1067" i="24"/>
  <c r="K1067" i="24"/>
  <c r="L1068" i="24"/>
  <c r="K1068" i="24"/>
  <c r="L1071" i="24"/>
  <c r="K1071" i="24"/>
  <c r="L1074" i="24"/>
  <c r="K1074" i="24"/>
  <c r="L1076" i="24"/>
  <c r="K1076" i="24"/>
  <c r="L1079" i="24"/>
  <c r="K1079" i="24"/>
  <c r="L1082" i="24"/>
  <c r="K1082" i="24"/>
  <c r="L1083" i="24"/>
  <c r="K1083" i="24"/>
  <c r="L1085" i="24"/>
  <c r="K1085" i="24"/>
  <c r="L1086" i="24"/>
  <c r="K1086" i="24"/>
  <c r="L1088" i="24"/>
  <c r="K1088" i="24"/>
  <c r="K1089" i="24"/>
  <c r="L1089" i="24"/>
  <c r="L1092" i="24"/>
  <c r="K1092" i="24"/>
  <c r="L1094" i="24"/>
  <c r="K1094" i="24"/>
  <c r="L1097" i="24"/>
  <c r="K1097" i="24"/>
  <c r="L1100" i="24"/>
  <c r="K1100" i="24"/>
  <c r="K1101" i="24"/>
  <c r="K1098" i="24"/>
  <c r="L1019" i="24"/>
  <c r="L1040" i="24"/>
  <c r="K1080" i="24"/>
  <c r="K1023" i="24"/>
  <c r="K1037" i="24"/>
  <c r="K1044" i="24"/>
  <c r="L1055" i="24"/>
  <c r="L1062" i="24"/>
  <c r="L1073" i="24"/>
  <c r="L1091" i="24"/>
  <c r="K1030" i="24"/>
  <c r="K1059" i="24"/>
  <c r="K1070" i="24"/>
  <c r="K1077" i="24"/>
  <c r="K1095" i="24"/>
  <c r="K1103" i="24"/>
  <c r="L1047" i="24"/>
  <c r="K1025" i="24"/>
  <c r="K1035" i="24"/>
  <c r="K1046" i="24"/>
  <c r="K1053" i="24"/>
  <c r="K1104" i="24"/>
  <c r="K1026" i="24"/>
  <c r="K1018" i="24"/>
  <c r="K1033" i="24"/>
  <c r="K1102" i="24"/>
  <c r="L1099" i="24"/>
  <c r="K1036" i="24"/>
  <c r="K1039" i="24"/>
  <c r="K1042" i="24"/>
  <c r="K1045" i="24"/>
  <c r="K1048" i="24"/>
  <c r="K1051" i="24"/>
  <c r="K1054" i="24"/>
  <c r="K1057" i="24"/>
  <c r="K1060" i="24"/>
  <c r="K1063" i="24"/>
  <c r="K1066" i="24"/>
  <c r="K1069" i="24"/>
  <c r="K1072" i="24"/>
  <c r="K1075" i="24"/>
  <c r="K1078" i="24"/>
  <c r="K1081" i="24"/>
  <c r="K1084" i="24"/>
  <c r="K1087" i="24"/>
  <c r="K1090" i="24"/>
  <c r="K1093" i="24"/>
  <c r="K1096" i="24"/>
  <c r="L1021" i="24"/>
  <c r="L1024" i="24"/>
  <c r="H16" i="28"/>
  <c r="H17" i="28"/>
  <c r="H18" i="28"/>
  <c r="H19" i="28"/>
  <c r="H15" i="28"/>
  <c r="J1016" i="24"/>
  <c r="L1016" i="24" s="1"/>
  <c r="H1016" i="24"/>
  <c r="J1015" i="24"/>
  <c r="L1015" i="24" s="1"/>
  <c r="H1015" i="24"/>
  <c r="J1014" i="24"/>
  <c r="L1014" i="24" s="1"/>
  <c r="H1014" i="24"/>
  <c r="J1013" i="24"/>
  <c r="K1013" i="24" s="1"/>
  <c r="H1013" i="24"/>
  <c r="J1012" i="24"/>
  <c r="L1012" i="24" s="1"/>
  <c r="H1012" i="24"/>
  <c r="J1011" i="24"/>
  <c r="L1011" i="24" s="1"/>
  <c r="H1011" i="24"/>
  <c r="J1010" i="24"/>
  <c r="K1010" i="24" s="1"/>
  <c r="H1010" i="24"/>
  <c r="J1009" i="24"/>
  <c r="L1009" i="24" s="1"/>
  <c r="H1009" i="24"/>
  <c r="J1008" i="24"/>
  <c r="L1008" i="24" s="1"/>
  <c r="H1008" i="24"/>
  <c r="J1007" i="24"/>
  <c r="K1007" i="24" s="1"/>
  <c r="H1007" i="24"/>
  <c r="J1006" i="24"/>
  <c r="L1006" i="24" s="1"/>
  <c r="H1006" i="24"/>
  <c r="J1005" i="24"/>
  <c r="L1005" i="24" s="1"/>
  <c r="H1005" i="24"/>
  <c r="J1004" i="24"/>
  <c r="K1004" i="24" s="1"/>
  <c r="H1004" i="24"/>
  <c r="J1003" i="24"/>
  <c r="L1003" i="24" s="1"/>
  <c r="H1003" i="24"/>
  <c r="J1002" i="24"/>
  <c r="L1002" i="24" s="1"/>
  <c r="H1002" i="24"/>
  <c r="J1001" i="24"/>
  <c r="L1001" i="24" s="1"/>
  <c r="H1001" i="24"/>
  <c r="J1000" i="24"/>
  <c r="L1000" i="24" s="1"/>
  <c r="H1000" i="24"/>
  <c r="J999" i="24"/>
  <c r="L999" i="24" s="1"/>
  <c r="H999" i="24"/>
  <c r="J998" i="24"/>
  <c r="L998" i="24" s="1"/>
  <c r="H998" i="24"/>
  <c r="J997" i="24"/>
  <c r="L997" i="24" s="1"/>
  <c r="H997" i="24"/>
  <c r="J996" i="24"/>
  <c r="L996" i="24" s="1"/>
  <c r="H996" i="24"/>
  <c r="J995" i="24"/>
  <c r="K995" i="24" s="1"/>
  <c r="H995" i="24"/>
  <c r="J994" i="24"/>
  <c r="L994" i="24" s="1"/>
  <c r="H994" i="24"/>
  <c r="J993" i="24"/>
  <c r="L993" i="24" s="1"/>
  <c r="H993" i="24"/>
  <c r="J992" i="24"/>
  <c r="K992" i="24" s="1"/>
  <c r="H992" i="24"/>
  <c r="J991" i="24"/>
  <c r="K991" i="24" s="1"/>
  <c r="H991" i="24"/>
  <c r="J990" i="24"/>
  <c r="L990" i="24" s="1"/>
  <c r="H990" i="24"/>
  <c r="J989" i="24"/>
  <c r="L989" i="24" s="1"/>
  <c r="H989" i="24"/>
  <c r="J988" i="24"/>
  <c r="K988" i="24" s="1"/>
  <c r="H988" i="24"/>
  <c r="J987" i="24"/>
  <c r="L987" i="24" s="1"/>
  <c r="H987" i="24"/>
  <c r="J986" i="24"/>
  <c r="L986" i="24" s="1"/>
  <c r="H986" i="24"/>
  <c r="J985" i="24"/>
  <c r="K985" i="24" s="1"/>
  <c r="H985" i="24"/>
  <c r="J984" i="24"/>
  <c r="L984" i="24" s="1"/>
  <c r="H984" i="24"/>
  <c r="J983" i="24"/>
  <c r="L983" i="24" s="1"/>
  <c r="H983" i="24"/>
  <c r="J982" i="24"/>
  <c r="K982" i="24" s="1"/>
  <c r="H982" i="24"/>
  <c r="J981" i="24"/>
  <c r="L981" i="24" s="1"/>
  <c r="H981" i="24"/>
  <c r="J980" i="24"/>
  <c r="L980" i="24" s="1"/>
  <c r="H980" i="24"/>
  <c r="J979" i="24"/>
  <c r="K979" i="24" s="1"/>
  <c r="H979" i="24"/>
  <c r="J978" i="24"/>
  <c r="L978" i="24" s="1"/>
  <c r="H978" i="24"/>
  <c r="J977" i="24"/>
  <c r="K977" i="24" s="1"/>
  <c r="H977" i="24"/>
  <c r="J976" i="24"/>
  <c r="K976" i="24" s="1"/>
  <c r="H976" i="24"/>
  <c r="J975" i="24"/>
  <c r="L975" i="24" s="1"/>
  <c r="H975" i="24"/>
  <c r="J974" i="24"/>
  <c r="L974" i="24" s="1"/>
  <c r="H974" i="24"/>
  <c r="J973" i="24"/>
  <c r="L973" i="24" s="1"/>
  <c r="H973" i="24"/>
  <c r="J972" i="24"/>
  <c r="L972" i="24" s="1"/>
  <c r="H972" i="24"/>
  <c r="J971" i="24"/>
  <c r="L971" i="24" s="1"/>
  <c r="H971" i="24"/>
  <c r="J970" i="24"/>
  <c r="K970" i="24" s="1"/>
  <c r="H970" i="24"/>
  <c r="J969" i="24"/>
  <c r="L969" i="24" s="1"/>
  <c r="H969" i="24"/>
  <c r="J968" i="24"/>
  <c r="L968" i="24" s="1"/>
  <c r="H968" i="24"/>
  <c r="J967" i="24"/>
  <c r="L967" i="24" s="1"/>
  <c r="H967" i="24"/>
  <c r="J966" i="24"/>
  <c r="K966" i="24" s="1"/>
  <c r="H966" i="24"/>
  <c r="J965" i="24"/>
  <c r="K965" i="24" s="1"/>
  <c r="H965" i="24"/>
  <c r="J964" i="24"/>
  <c r="K964" i="24" s="1"/>
  <c r="H964" i="24"/>
  <c r="J963" i="24"/>
  <c r="L963" i="24" s="1"/>
  <c r="H963" i="24"/>
  <c r="J962" i="24"/>
  <c r="K962" i="24" s="1"/>
  <c r="H962" i="24"/>
  <c r="J961" i="24"/>
  <c r="L961" i="24" s="1"/>
  <c r="H961" i="24"/>
  <c r="J960" i="24"/>
  <c r="K960" i="24" s="1"/>
  <c r="H960" i="24"/>
  <c r="J959" i="24"/>
  <c r="K959" i="24" s="1"/>
  <c r="H959" i="24"/>
  <c r="J958" i="24"/>
  <c r="K958" i="24" s="1"/>
  <c r="H958" i="24"/>
  <c r="J957" i="24"/>
  <c r="L957" i="24" s="1"/>
  <c r="H957" i="24"/>
  <c r="J956" i="24"/>
  <c r="L956" i="24" s="1"/>
  <c r="H956" i="24"/>
  <c r="J955" i="24"/>
  <c r="L955" i="24" s="1"/>
  <c r="H955" i="24"/>
  <c r="J954" i="24"/>
  <c r="L954" i="24" s="1"/>
  <c r="H954" i="24"/>
  <c r="J953" i="24"/>
  <c r="L953" i="24" s="1"/>
  <c r="H953" i="24"/>
  <c r="J952" i="24"/>
  <c r="L952" i="24" s="1"/>
  <c r="H952" i="24"/>
  <c r="J951" i="24"/>
  <c r="K951" i="24" s="1"/>
  <c r="H951" i="24"/>
  <c r="J950" i="24"/>
  <c r="L950" i="24" s="1"/>
  <c r="H950" i="24"/>
  <c r="J949" i="24"/>
  <c r="K949" i="24" s="1"/>
  <c r="H949" i="24"/>
  <c r="J948" i="24"/>
  <c r="L948" i="24" s="1"/>
  <c r="H948" i="24"/>
  <c r="J947" i="24"/>
  <c r="L947" i="24" s="1"/>
  <c r="H947" i="24"/>
  <c r="J946" i="24"/>
  <c r="L946" i="24" s="1"/>
  <c r="H946" i="24"/>
  <c r="J945" i="24"/>
  <c r="L945" i="24" s="1"/>
  <c r="H945" i="24"/>
  <c r="J944" i="24"/>
  <c r="K944" i="24" s="1"/>
  <c r="H944" i="24"/>
  <c r="J943" i="24"/>
  <c r="L943" i="24" s="1"/>
  <c r="H943" i="24"/>
  <c r="J942" i="24"/>
  <c r="L942" i="24" s="1"/>
  <c r="H942" i="24"/>
  <c r="J941" i="24"/>
  <c r="L941" i="24" s="1"/>
  <c r="H941" i="24"/>
  <c r="J940" i="24"/>
  <c r="L940" i="24" s="1"/>
  <c r="H940" i="24"/>
  <c r="J939" i="24"/>
  <c r="L939" i="24" s="1"/>
  <c r="H939" i="24"/>
  <c r="J938" i="24"/>
  <c r="L938" i="24" s="1"/>
  <c r="H938" i="24"/>
  <c r="J937" i="24"/>
  <c r="K937" i="24" s="1"/>
  <c r="H937" i="24"/>
  <c r="J936" i="24"/>
  <c r="L936" i="24" s="1"/>
  <c r="H936" i="24"/>
  <c r="J935" i="24"/>
  <c r="K935" i="24" s="1"/>
  <c r="H935" i="24"/>
  <c r="J934" i="24"/>
  <c r="L934" i="24" s="1"/>
  <c r="H934" i="24"/>
  <c r="J933" i="24"/>
  <c r="L933" i="24" s="1"/>
  <c r="H933" i="24"/>
  <c r="J932" i="24"/>
  <c r="K932" i="24" s="1"/>
  <c r="H932" i="24"/>
  <c r="J931" i="24"/>
  <c r="L931" i="24" s="1"/>
  <c r="H931" i="24"/>
  <c r="J930" i="24"/>
  <c r="L930" i="24" s="1"/>
  <c r="H930" i="24"/>
  <c r="J929" i="24"/>
  <c r="L929" i="24" s="1"/>
  <c r="H929" i="24"/>
  <c r="J928" i="24"/>
  <c r="K928" i="24" s="1"/>
  <c r="H928" i="24"/>
  <c r="J927" i="24"/>
  <c r="L927" i="24" s="1"/>
  <c r="H927" i="24"/>
  <c r="J926" i="24"/>
  <c r="L926" i="24" s="1"/>
  <c r="H926" i="24"/>
  <c r="J925" i="24"/>
  <c r="L925" i="24" s="1"/>
  <c r="H925" i="24"/>
  <c r="J924" i="24"/>
  <c r="L924" i="24" s="1"/>
  <c r="H924" i="24"/>
  <c r="J923" i="24"/>
  <c r="K923" i="24" s="1"/>
  <c r="H923" i="24"/>
  <c r="J922" i="24"/>
  <c r="L922" i="24" s="1"/>
  <c r="H922" i="24"/>
  <c r="J921" i="24"/>
  <c r="L921" i="24" s="1"/>
  <c r="H921" i="24"/>
  <c r="J920" i="24"/>
  <c r="K920" i="24" s="1"/>
  <c r="H920" i="24"/>
  <c r="J919" i="24"/>
  <c r="K919" i="24" s="1"/>
  <c r="H919" i="24"/>
  <c r="J918" i="24"/>
  <c r="L918" i="24" s="1"/>
  <c r="H918" i="24"/>
  <c r="J917" i="24"/>
  <c r="L917" i="24" s="1"/>
  <c r="H917" i="24"/>
  <c r="J916" i="24"/>
  <c r="L916" i="24" s="1"/>
  <c r="H916" i="24"/>
  <c r="J915" i="24"/>
  <c r="L915" i="24" s="1"/>
  <c r="H915" i="24"/>
  <c r="J914" i="24"/>
  <c r="L914" i="24" s="1"/>
  <c r="H914" i="24"/>
  <c r="J913" i="24"/>
  <c r="K913" i="24" s="1"/>
  <c r="H913" i="24"/>
  <c r="J912" i="24"/>
  <c r="L912" i="24" s="1"/>
  <c r="H912" i="24"/>
  <c r="J911" i="24"/>
  <c r="K911" i="24" s="1"/>
  <c r="H911" i="24"/>
  <c r="J910" i="24"/>
  <c r="L910" i="24" s="1"/>
  <c r="H910" i="24"/>
  <c r="J909" i="24"/>
  <c r="L909" i="24" s="1"/>
  <c r="H909" i="24"/>
  <c r="J908" i="24"/>
  <c r="K908" i="24" s="1"/>
  <c r="H908" i="24"/>
  <c r="J907" i="24"/>
  <c r="K907" i="24" s="1"/>
  <c r="H907" i="24"/>
  <c r="J906" i="24"/>
  <c r="L906" i="24" s="1"/>
  <c r="H906" i="24"/>
  <c r="J905" i="24"/>
  <c r="L905" i="24" s="1"/>
  <c r="H905" i="24"/>
  <c r="J904" i="24"/>
  <c r="L904" i="24" s="1"/>
  <c r="H904" i="24"/>
  <c r="J903" i="24"/>
  <c r="L903" i="24" s="1"/>
  <c r="H903" i="24"/>
  <c r="J902" i="24"/>
  <c r="L902" i="24" s="1"/>
  <c r="H902" i="24"/>
  <c r="J901" i="24"/>
  <c r="K901" i="24" s="1"/>
  <c r="H901" i="24"/>
  <c r="J900" i="24"/>
  <c r="L900" i="24" s="1"/>
  <c r="H900" i="24"/>
  <c r="J899" i="24"/>
  <c r="K899" i="24" s="1"/>
  <c r="H899" i="24"/>
  <c r="J898" i="24"/>
  <c r="L898" i="24" s="1"/>
  <c r="H898" i="24"/>
  <c r="J897" i="24"/>
  <c r="L897" i="24" s="1"/>
  <c r="H897" i="24"/>
  <c r="J896" i="24"/>
  <c r="K896" i="24" s="1"/>
  <c r="H896" i="24"/>
  <c r="J895" i="24"/>
  <c r="L895" i="24" s="1"/>
  <c r="H895" i="24"/>
  <c r="J894" i="24"/>
  <c r="L894" i="24" s="1"/>
  <c r="H894" i="24"/>
  <c r="J893" i="24"/>
  <c r="L893" i="24" s="1"/>
  <c r="H893" i="24"/>
  <c r="J892" i="24"/>
  <c r="L892" i="24" s="1"/>
  <c r="H892" i="24"/>
  <c r="J891" i="24"/>
  <c r="L891" i="24" s="1"/>
  <c r="H891" i="24"/>
  <c r="J890" i="24"/>
  <c r="L890" i="24" s="1"/>
  <c r="H890" i="24"/>
  <c r="J889" i="24"/>
  <c r="L889" i="24" s="1"/>
  <c r="H889" i="24"/>
  <c r="J888" i="24"/>
  <c r="L888" i="24" s="1"/>
  <c r="H888" i="24"/>
  <c r="J887" i="24"/>
  <c r="K887" i="24" s="1"/>
  <c r="H887" i="24"/>
  <c r="V4" i="23"/>
  <c r="W4" i="23" s="1"/>
  <c r="H20" i="28" l="1"/>
  <c r="L965" i="24"/>
  <c r="K927" i="24"/>
  <c r="K891" i="24"/>
  <c r="K909" i="24"/>
  <c r="L982" i="24"/>
  <c r="K914" i="24"/>
  <c r="K921" i="24"/>
  <c r="K926" i="24"/>
  <c r="L960" i="24"/>
  <c r="L988" i="24"/>
  <c r="L923" i="24"/>
  <c r="K933" i="24"/>
  <c r="L985" i="24"/>
  <c r="K897" i="24"/>
  <c r="L962" i="24"/>
  <c r="K915" i="24"/>
  <c r="K947" i="24"/>
  <c r="L979" i="24"/>
  <c r="K942" i="24"/>
  <c r="K902" i="24"/>
  <c r="L899" i="24"/>
  <c r="L911" i="24"/>
  <c r="L887" i="24"/>
  <c r="L991" i="24"/>
  <c r="K941" i="24"/>
  <c r="L951" i="24"/>
  <c r="K890" i="24"/>
  <c r="K971" i="24"/>
  <c r="L976" i="24"/>
  <c r="K903" i="24"/>
  <c r="K972" i="24"/>
  <c r="K974" i="24"/>
  <c r="K983" i="24"/>
  <c r="K986" i="24"/>
  <c r="K1001" i="24"/>
  <c r="L935" i="24"/>
  <c r="K939" i="24"/>
  <c r="K969" i="24"/>
  <c r="K989" i="24"/>
  <c r="K980" i="24"/>
  <c r="K998" i="24"/>
  <c r="L944" i="24"/>
  <c r="L959" i="24"/>
  <c r="L966" i="24"/>
  <c r="L977" i="24"/>
  <c r="L992" i="24"/>
  <c r="L995" i="24"/>
  <c r="L1004" i="24"/>
  <c r="L1007" i="24"/>
  <c r="L1010" i="24"/>
  <c r="L1013" i="24"/>
  <c r="K888" i="24"/>
  <c r="L896" i="24"/>
  <c r="K900" i="24"/>
  <c r="L908" i="24"/>
  <c r="K912" i="24"/>
  <c r="L920" i="24"/>
  <c r="K924" i="24"/>
  <c r="L932" i="24"/>
  <c r="K956" i="24"/>
  <c r="K963" i="24"/>
  <c r="K893" i="24"/>
  <c r="K905" i="24"/>
  <c r="K917" i="24"/>
  <c r="K929" i="24"/>
  <c r="K945" i="24"/>
  <c r="K953" i="24"/>
  <c r="K975" i="24"/>
  <c r="K978" i="24"/>
  <c r="K981" i="24"/>
  <c r="K984" i="24"/>
  <c r="K987" i="24"/>
  <c r="K990" i="24"/>
  <c r="K993" i="24"/>
  <c r="K996" i="24"/>
  <c r="K999" i="24"/>
  <c r="K1002" i="24"/>
  <c r="K1005" i="24"/>
  <c r="K1008" i="24"/>
  <c r="K1011" i="24"/>
  <c r="K938" i="24"/>
  <c r="K950" i="24"/>
  <c r="K957" i="24"/>
  <c r="K968" i="24"/>
  <c r="K948" i="24"/>
  <c r="K894" i="24"/>
  <c r="K906" i="24"/>
  <c r="K918" i="24"/>
  <c r="K930" i="24"/>
  <c r="K954" i="24"/>
  <c r="K994" i="24"/>
  <c r="K997" i="24"/>
  <c r="K1000" i="24"/>
  <c r="K1003" i="24"/>
  <c r="K1006" i="24"/>
  <c r="K1009" i="24"/>
  <c r="K1012" i="24"/>
  <c r="K1016" i="24"/>
  <c r="K936" i="24"/>
  <c r="K895" i="24"/>
  <c r="K904" i="24"/>
  <c r="K916" i="24"/>
  <c r="K925" i="24"/>
  <c r="K931" i="24"/>
  <c r="K940" i="24"/>
  <c r="K943" i="24"/>
  <c r="K952" i="24"/>
  <c r="K961" i="24"/>
  <c r="L901" i="24"/>
  <c r="L907" i="24"/>
  <c r="L913" i="24"/>
  <c r="L919" i="24"/>
  <c r="L928" i="24"/>
  <c r="L937" i="24"/>
  <c r="L949" i="24"/>
  <c r="L958" i="24"/>
  <c r="K1014" i="24"/>
  <c r="K1015" i="24"/>
  <c r="K889" i="24"/>
  <c r="K898" i="24"/>
  <c r="K922" i="24"/>
  <c r="K934" i="24"/>
  <c r="K967" i="24"/>
  <c r="L970" i="24"/>
  <c r="L964" i="24"/>
  <c r="K892" i="24"/>
  <c r="K910" i="24"/>
  <c r="K946" i="24"/>
  <c r="K955" i="24"/>
  <c r="H4" i="23" l="1"/>
  <c r="L4" i="23" s="1"/>
  <c r="H5" i="23"/>
  <c r="H6" i="23"/>
  <c r="H7" i="23"/>
  <c r="H8" i="23"/>
  <c r="H9" i="23"/>
  <c r="H10" i="23"/>
  <c r="H14" i="23"/>
  <c r="L14" i="23" s="1"/>
  <c r="M14" i="23" s="1"/>
  <c r="H3" i="23"/>
  <c r="L3" i="23" s="1"/>
  <c r="M3" i="23" s="1"/>
  <c r="I13" i="23" l="1"/>
  <c r="J13" i="23" s="1"/>
  <c r="I12" i="23"/>
  <c r="J12" i="23" s="1"/>
  <c r="H369" i="24" l="1"/>
  <c r="J369" i="24"/>
  <c r="L369" i="24" s="1"/>
  <c r="J886" i="24"/>
  <c r="K886" i="24" s="1"/>
  <c r="H886" i="24"/>
  <c r="J885" i="24"/>
  <c r="H885" i="24"/>
  <c r="J884" i="24"/>
  <c r="L884" i="24" s="1"/>
  <c r="H884" i="24"/>
  <c r="J883" i="24"/>
  <c r="K883" i="24" s="1"/>
  <c r="H883" i="24"/>
  <c r="J882" i="24"/>
  <c r="K882" i="24" s="1"/>
  <c r="H882" i="24"/>
  <c r="J881" i="24"/>
  <c r="L881" i="24" s="1"/>
  <c r="H881" i="24"/>
  <c r="J880" i="24"/>
  <c r="L880" i="24" s="1"/>
  <c r="H880" i="24"/>
  <c r="J879" i="24"/>
  <c r="L879" i="24" s="1"/>
  <c r="H879" i="24"/>
  <c r="J878" i="24"/>
  <c r="H878" i="24"/>
  <c r="J877" i="24"/>
  <c r="H877" i="24"/>
  <c r="J876" i="24"/>
  <c r="K876" i="24" s="1"/>
  <c r="H876" i="24"/>
  <c r="J875" i="24"/>
  <c r="L875" i="24" s="1"/>
  <c r="H875" i="24"/>
  <c r="J874" i="24"/>
  <c r="L874" i="24" s="1"/>
  <c r="H874" i="24"/>
  <c r="J873" i="24"/>
  <c r="K873" i="24" s="1"/>
  <c r="H873" i="24"/>
  <c r="J872" i="24"/>
  <c r="L872" i="24" s="1"/>
  <c r="H872" i="24"/>
  <c r="J871" i="24"/>
  <c r="K871" i="24" s="1"/>
  <c r="H871" i="24"/>
  <c r="J870" i="24"/>
  <c r="K870" i="24" s="1"/>
  <c r="H870" i="24"/>
  <c r="J869" i="24"/>
  <c r="L869" i="24" s="1"/>
  <c r="H869" i="24"/>
  <c r="J868" i="24"/>
  <c r="H868" i="24"/>
  <c r="J867" i="24"/>
  <c r="H867" i="24"/>
  <c r="J866" i="24"/>
  <c r="H866" i="24"/>
  <c r="J865" i="24"/>
  <c r="K865" i="24" s="1"/>
  <c r="H865" i="24"/>
  <c r="J864" i="24"/>
  <c r="H864" i="24"/>
  <c r="J863" i="24"/>
  <c r="L863" i="24" s="1"/>
  <c r="H863" i="24"/>
  <c r="J862" i="24"/>
  <c r="L862" i="24" s="1"/>
  <c r="H862" i="24"/>
  <c r="J861" i="24"/>
  <c r="L861" i="24" s="1"/>
  <c r="H861" i="24"/>
  <c r="J860" i="24"/>
  <c r="H860" i="24"/>
  <c r="J859" i="24"/>
  <c r="L859" i="24" s="1"/>
  <c r="H859" i="24"/>
  <c r="J858" i="24"/>
  <c r="K858" i="24" s="1"/>
  <c r="H858" i="24"/>
  <c r="J857" i="24"/>
  <c r="L857" i="24" s="1"/>
  <c r="H857" i="24"/>
  <c r="J856" i="24"/>
  <c r="L856" i="24" s="1"/>
  <c r="H856" i="24"/>
  <c r="J855" i="24"/>
  <c r="H855" i="24"/>
  <c r="J854" i="24"/>
  <c r="H854" i="24"/>
  <c r="J853" i="24"/>
  <c r="K853" i="24" s="1"/>
  <c r="H853" i="24"/>
  <c r="J852" i="24"/>
  <c r="H852" i="24"/>
  <c r="J851" i="24"/>
  <c r="L851" i="24" s="1"/>
  <c r="H851" i="24"/>
  <c r="J850" i="24"/>
  <c r="L850" i="24" s="1"/>
  <c r="H850" i="24"/>
  <c r="J849" i="24"/>
  <c r="L849" i="24" s="1"/>
  <c r="H849" i="24"/>
  <c r="J848" i="24"/>
  <c r="L848" i="24" s="1"/>
  <c r="H848" i="24"/>
  <c r="J847" i="24"/>
  <c r="H847" i="24"/>
  <c r="J846" i="24"/>
  <c r="L846" i="24" s="1"/>
  <c r="H846" i="24"/>
  <c r="J845" i="24"/>
  <c r="L845" i="24" s="1"/>
  <c r="H845" i="24"/>
  <c r="J844" i="24"/>
  <c r="L844" i="24" s="1"/>
  <c r="H844" i="24"/>
  <c r="J843" i="24"/>
  <c r="L843" i="24" s="1"/>
  <c r="H843" i="24"/>
  <c r="J842" i="24"/>
  <c r="H842" i="24"/>
  <c r="J841" i="24"/>
  <c r="H841" i="24"/>
  <c r="J840" i="24"/>
  <c r="K840" i="24" s="1"/>
  <c r="H840" i="24"/>
  <c r="J839" i="24"/>
  <c r="L839" i="24" s="1"/>
  <c r="H839" i="24"/>
  <c r="J838" i="24"/>
  <c r="H838" i="24"/>
  <c r="J837" i="24"/>
  <c r="L837" i="24" s="1"/>
  <c r="H837" i="24"/>
  <c r="J836" i="24"/>
  <c r="L836" i="24" s="1"/>
  <c r="H836" i="24"/>
  <c r="J835" i="24"/>
  <c r="K835" i="24" s="1"/>
  <c r="H835" i="24"/>
  <c r="J834" i="24"/>
  <c r="K834" i="24" s="1"/>
  <c r="H834" i="24"/>
  <c r="J833" i="24"/>
  <c r="H833" i="24"/>
  <c r="J832" i="24"/>
  <c r="L832" i="24" s="1"/>
  <c r="H832" i="24"/>
  <c r="J831" i="24"/>
  <c r="K831" i="24" s="1"/>
  <c r="H831" i="24"/>
  <c r="J830" i="24"/>
  <c r="H830" i="24"/>
  <c r="J829" i="24"/>
  <c r="H829" i="24"/>
  <c r="J828" i="24"/>
  <c r="H828" i="24"/>
  <c r="J827" i="24"/>
  <c r="L827" i="24" s="1"/>
  <c r="H827" i="24"/>
  <c r="J826" i="24"/>
  <c r="L826" i="24" s="1"/>
  <c r="H826" i="24"/>
  <c r="J825" i="24"/>
  <c r="H825" i="24"/>
  <c r="J824" i="24"/>
  <c r="H824" i="24"/>
  <c r="J823" i="24"/>
  <c r="L823" i="24" s="1"/>
  <c r="H823" i="24"/>
  <c r="J822" i="24"/>
  <c r="K822" i="24" s="1"/>
  <c r="H822" i="24"/>
  <c r="J821" i="24"/>
  <c r="L821" i="24" s="1"/>
  <c r="H821" i="24"/>
  <c r="J820" i="24"/>
  <c r="L820" i="24" s="1"/>
  <c r="H820" i="24"/>
  <c r="J819" i="24"/>
  <c r="L819" i="24" s="1"/>
  <c r="H819" i="24"/>
  <c r="J818" i="24"/>
  <c r="L818" i="24" s="1"/>
  <c r="H818" i="24"/>
  <c r="J817" i="24"/>
  <c r="K817" i="24" s="1"/>
  <c r="H817" i="24"/>
  <c r="J816" i="24"/>
  <c r="K816" i="24" s="1"/>
  <c r="H816" i="24"/>
  <c r="J815" i="24"/>
  <c r="H815" i="24"/>
  <c r="J814" i="24"/>
  <c r="L814" i="24" s="1"/>
  <c r="H814" i="24"/>
  <c r="J813" i="24"/>
  <c r="K813" i="24" s="1"/>
  <c r="H813" i="24"/>
  <c r="J812" i="24"/>
  <c r="L812" i="24" s="1"/>
  <c r="H812" i="24"/>
  <c r="J811" i="24"/>
  <c r="L811" i="24" s="1"/>
  <c r="H811" i="24"/>
  <c r="J810" i="24"/>
  <c r="L810" i="24" s="1"/>
  <c r="H810" i="24"/>
  <c r="J809" i="24"/>
  <c r="L809" i="24" s="1"/>
  <c r="H809" i="24"/>
  <c r="J808" i="24"/>
  <c r="K808" i="24" s="1"/>
  <c r="H808" i="24"/>
  <c r="J807" i="24"/>
  <c r="H807" i="24"/>
  <c r="J806" i="24"/>
  <c r="L806" i="24" s="1"/>
  <c r="H806" i="24"/>
  <c r="J805" i="24"/>
  <c r="K805" i="24" s="1"/>
  <c r="H805" i="24"/>
  <c r="J804" i="24"/>
  <c r="K804" i="24" s="1"/>
  <c r="H804" i="24"/>
  <c r="J803" i="24"/>
  <c r="L803" i="24" s="1"/>
  <c r="H803" i="24"/>
  <c r="J802" i="24"/>
  <c r="K802" i="24" s="1"/>
  <c r="H802" i="24"/>
  <c r="J801" i="24"/>
  <c r="L801" i="24" s="1"/>
  <c r="H801" i="24"/>
  <c r="J800" i="24"/>
  <c r="H800" i="24"/>
  <c r="J799" i="24"/>
  <c r="K799" i="24" s="1"/>
  <c r="H799" i="24"/>
  <c r="J798" i="24"/>
  <c r="L798" i="24" s="1"/>
  <c r="H798" i="24"/>
  <c r="J797" i="24"/>
  <c r="K797" i="24" s="1"/>
  <c r="H797" i="24"/>
  <c r="J796" i="24"/>
  <c r="K796" i="24" s="1"/>
  <c r="H796" i="24"/>
  <c r="J795" i="24"/>
  <c r="L795" i="24" s="1"/>
  <c r="H795" i="24"/>
  <c r="J794" i="24"/>
  <c r="H794" i="24"/>
  <c r="J793" i="24"/>
  <c r="K793" i="24" s="1"/>
  <c r="J792" i="24"/>
  <c r="L792" i="24" s="1"/>
  <c r="J791" i="24"/>
  <c r="K791" i="24" s="1"/>
  <c r="J790" i="24"/>
  <c r="K790" i="24" s="1"/>
  <c r="H790" i="24"/>
  <c r="J789" i="24"/>
  <c r="K789" i="24" s="1"/>
  <c r="H789" i="24"/>
  <c r="J788" i="24"/>
  <c r="K788" i="24" s="1"/>
  <c r="H788" i="24"/>
  <c r="J787" i="24"/>
  <c r="K787" i="24" s="1"/>
  <c r="H787" i="24"/>
  <c r="J786" i="24"/>
  <c r="L786" i="24" s="1"/>
  <c r="H786" i="24"/>
  <c r="J785" i="24"/>
  <c r="L785" i="24" s="1"/>
  <c r="H785" i="24"/>
  <c r="J784" i="24"/>
  <c r="H784" i="24"/>
  <c r="J783" i="24"/>
  <c r="K783" i="24" s="1"/>
  <c r="H783" i="24"/>
  <c r="J782" i="24"/>
  <c r="H782" i="24"/>
  <c r="J781" i="24"/>
  <c r="K781" i="24" s="1"/>
  <c r="H781" i="24"/>
  <c r="J780" i="24"/>
  <c r="K780" i="24" s="1"/>
  <c r="H780" i="24"/>
  <c r="J779" i="24"/>
  <c r="K779" i="24" s="1"/>
  <c r="H779" i="24"/>
  <c r="J778" i="24"/>
  <c r="K778" i="24" s="1"/>
  <c r="H778" i="24"/>
  <c r="J777" i="24"/>
  <c r="L777" i="24" s="1"/>
  <c r="H777" i="24"/>
  <c r="J776" i="24"/>
  <c r="K776" i="24" s="1"/>
  <c r="H776" i="24"/>
  <c r="J775" i="24"/>
  <c r="K775" i="24" s="1"/>
  <c r="H775" i="24"/>
  <c r="J774" i="24"/>
  <c r="L774" i="24" s="1"/>
  <c r="H774" i="24"/>
  <c r="J773" i="24"/>
  <c r="H773" i="24"/>
  <c r="J772" i="24"/>
  <c r="K772" i="24" s="1"/>
  <c r="H772" i="24"/>
  <c r="J771" i="24"/>
  <c r="K771" i="24" s="1"/>
  <c r="H771" i="24"/>
  <c r="J770" i="24"/>
  <c r="K770" i="24" s="1"/>
  <c r="H770" i="24"/>
  <c r="J769" i="24"/>
  <c r="K769" i="24" s="1"/>
  <c r="H769" i="24"/>
  <c r="J768" i="24"/>
  <c r="L768" i="24" s="1"/>
  <c r="H768" i="24"/>
  <c r="J767" i="24"/>
  <c r="L767" i="24" s="1"/>
  <c r="H767" i="24"/>
  <c r="J766" i="24"/>
  <c r="K766" i="24" s="1"/>
  <c r="H766" i="24"/>
  <c r="J765" i="24"/>
  <c r="L765" i="24" s="1"/>
  <c r="H765" i="24"/>
  <c r="J764" i="24"/>
  <c r="K764" i="24" s="1"/>
  <c r="H764" i="24"/>
  <c r="J763" i="24"/>
  <c r="K763" i="24" s="1"/>
  <c r="H763" i="24"/>
  <c r="J762" i="24"/>
  <c r="K762" i="24" s="1"/>
  <c r="H762" i="24"/>
  <c r="J761" i="24"/>
  <c r="H761" i="24"/>
  <c r="J760" i="24"/>
  <c r="H760" i="24"/>
  <c r="J759" i="24"/>
  <c r="L759" i="24" s="1"/>
  <c r="H759" i="24"/>
  <c r="J758" i="24"/>
  <c r="K758" i="24" s="1"/>
  <c r="H758" i="24"/>
  <c r="J757" i="24"/>
  <c r="K757" i="24" s="1"/>
  <c r="H757" i="24"/>
  <c r="J756" i="24"/>
  <c r="H756" i="24"/>
  <c r="J755" i="24"/>
  <c r="K755" i="24" s="1"/>
  <c r="H755" i="24"/>
  <c r="J754" i="24"/>
  <c r="K754" i="24" s="1"/>
  <c r="H754" i="24"/>
  <c r="J753" i="24"/>
  <c r="L753" i="24" s="1"/>
  <c r="H753" i="24"/>
  <c r="J752" i="24"/>
  <c r="K752" i="24" s="1"/>
  <c r="H752" i="24"/>
  <c r="J751" i="24"/>
  <c r="K751" i="24" s="1"/>
  <c r="H751" i="24"/>
  <c r="J750" i="24"/>
  <c r="L750" i="24" s="1"/>
  <c r="H750" i="24"/>
  <c r="G749" i="24"/>
  <c r="J749" i="24" s="1"/>
  <c r="G748" i="24"/>
  <c r="J748" i="24" s="1"/>
  <c r="G747" i="24"/>
  <c r="G746" i="24"/>
  <c r="G745" i="24"/>
  <c r="J745" i="24" s="1"/>
  <c r="K745" i="24" s="1"/>
  <c r="G744" i="24"/>
  <c r="J744" i="24" s="1"/>
  <c r="L744" i="24" s="1"/>
  <c r="J743" i="24"/>
  <c r="H743" i="24"/>
  <c r="J742" i="24"/>
  <c r="L742" i="24" s="1"/>
  <c r="H742" i="24"/>
  <c r="J741" i="24"/>
  <c r="L741" i="24" s="1"/>
  <c r="H741" i="24"/>
  <c r="J740" i="24"/>
  <c r="L740" i="24" s="1"/>
  <c r="H740" i="24"/>
  <c r="J739" i="24"/>
  <c r="H739" i="24"/>
  <c r="J738" i="24"/>
  <c r="K738" i="24" s="1"/>
  <c r="H738" i="24"/>
  <c r="J737" i="24"/>
  <c r="L737" i="24" s="1"/>
  <c r="H737" i="24"/>
  <c r="J736" i="24"/>
  <c r="L736" i="24" s="1"/>
  <c r="H736" i="24"/>
  <c r="J735" i="24"/>
  <c r="H735" i="24"/>
  <c r="J734" i="24"/>
  <c r="H734" i="24"/>
  <c r="J733" i="24"/>
  <c r="L733" i="24" s="1"/>
  <c r="H733" i="24"/>
  <c r="I732" i="24"/>
  <c r="G732" i="24"/>
  <c r="J731" i="24"/>
  <c r="H731" i="24"/>
  <c r="G730" i="24"/>
  <c r="J730" i="24" s="1"/>
  <c r="G729" i="24"/>
  <c r="J728" i="24"/>
  <c r="K728" i="24" s="1"/>
  <c r="H728" i="24"/>
  <c r="J727" i="24"/>
  <c r="L727" i="24" s="1"/>
  <c r="H727" i="24"/>
  <c r="J726" i="24"/>
  <c r="K726" i="24" s="1"/>
  <c r="H726" i="24"/>
  <c r="J725" i="24"/>
  <c r="H725" i="24"/>
  <c r="J724" i="24"/>
  <c r="L724" i="24" s="1"/>
  <c r="H724" i="24"/>
  <c r="J723" i="24"/>
  <c r="H723" i="24"/>
  <c r="J722" i="24"/>
  <c r="K722" i="24" s="1"/>
  <c r="H722" i="24"/>
  <c r="J721" i="24"/>
  <c r="K721" i="24" s="1"/>
  <c r="H721" i="24"/>
  <c r="J720" i="24"/>
  <c r="K720" i="24" s="1"/>
  <c r="H720" i="24"/>
  <c r="J719" i="24"/>
  <c r="K719" i="24" s="1"/>
  <c r="H719" i="24"/>
  <c r="J718" i="24"/>
  <c r="L718" i="24" s="1"/>
  <c r="H718" i="24"/>
  <c r="J717" i="24"/>
  <c r="H717" i="24"/>
  <c r="J716" i="24"/>
  <c r="K716" i="24" s="1"/>
  <c r="H716" i="24"/>
  <c r="J715" i="24"/>
  <c r="K715" i="24" s="1"/>
  <c r="H715" i="24"/>
  <c r="J714" i="24"/>
  <c r="K714" i="24" s="1"/>
  <c r="H714" i="24"/>
  <c r="J713" i="24"/>
  <c r="H713" i="24"/>
  <c r="J712" i="24"/>
  <c r="L712" i="24" s="1"/>
  <c r="H712" i="24"/>
  <c r="J711" i="24"/>
  <c r="K711" i="24" s="1"/>
  <c r="H711" i="24"/>
  <c r="J710" i="24"/>
  <c r="K710" i="24" s="1"/>
  <c r="H710" i="24"/>
  <c r="J709" i="24"/>
  <c r="L709" i="24" s="1"/>
  <c r="H709" i="24"/>
  <c r="J708" i="24"/>
  <c r="K708" i="24" s="1"/>
  <c r="H708" i="24"/>
  <c r="J707" i="24"/>
  <c r="K707" i="24" s="1"/>
  <c r="H707" i="24"/>
  <c r="J706" i="24"/>
  <c r="L706" i="24" s="1"/>
  <c r="H706" i="24"/>
  <c r="J705" i="24"/>
  <c r="K705" i="24" s="1"/>
  <c r="H705" i="24"/>
  <c r="J704" i="24"/>
  <c r="K704" i="24" s="1"/>
  <c r="H704" i="24"/>
  <c r="J703" i="24"/>
  <c r="K703" i="24" s="1"/>
  <c r="H703" i="24"/>
  <c r="J702" i="24"/>
  <c r="K702" i="24" s="1"/>
  <c r="H702" i="24"/>
  <c r="J701" i="24"/>
  <c r="K701" i="24" s="1"/>
  <c r="H701" i="24"/>
  <c r="J700" i="24"/>
  <c r="L700" i="24" s="1"/>
  <c r="H700" i="24"/>
  <c r="J699" i="24"/>
  <c r="H699" i="24"/>
  <c r="J698" i="24"/>
  <c r="H698" i="24"/>
  <c r="J697" i="24"/>
  <c r="L697" i="24" s="1"/>
  <c r="H697" i="24"/>
  <c r="J696" i="24"/>
  <c r="K696" i="24" s="1"/>
  <c r="H696" i="24"/>
  <c r="J695" i="24"/>
  <c r="K695" i="24" s="1"/>
  <c r="H695" i="24"/>
  <c r="J694" i="24"/>
  <c r="H694" i="24"/>
  <c r="J693" i="24"/>
  <c r="H693" i="24"/>
  <c r="J692" i="24"/>
  <c r="K692" i="24" s="1"/>
  <c r="H692" i="24"/>
  <c r="J691" i="24"/>
  <c r="L691" i="24" s="1"/>
  <c r="H691" i="24"/>
  <c r="J690" i="24"/>
  <c r="H690" i="24"/>
  <c r="J689" i="24"/>
  <c r="K689" i="24" s="1"/>
  <c r="H689" i="24"/>
  <c r="J688" i="24"/>
  <c r="L688" i="24" s="1"/>
  <c r="H688" i="24"/>
  <c r="J687" i="24"/>
  <c r="K687" i="24" s="1"/>
  <c r="H687" i="24"/>
  <c r="J686" i="24"/>
  <c r="H686" i="24"/>
  <c r="J685" i="24"/>
  <c r="K685" i="24" s="1"/>
  <c r="H685" i="24"/>
  <c r="J684" i="24"/>
  <c r="K684" i="24" s="1"/>
  <c r="H684" i="24"/>
  <c r="J683" i="24"/>
  <c r="K683" i="24" s="1"/>
  <c r="H683" i="24"/>
  <c r="J682" i="24"/>
  <c r="L682" i="24" s="1"/>
  <c r="H682" i="24"/>
  <c r="J681" i="24"/>
  <c r="H681" i="24"/>
  <c r="J680" i="24"/>
  <c r="K680" i="24" s="1"/>
  <c r="H680" i="24"/>
  <c r="J679" i="24"/>
  <c r="L679" i="24" s="1"/>
  <c r="H679" i="24"/>
  <c r="J678" i="24"/>
  <c r="K678" i="24" s="1"/>
  <c r="H678" i="24"/>
  <c r="J677" i="24"/>
  <c r="H677" i="24"/>
  <c r="J676" i="24"/>
  <c r="L676" i="24" s="1"/>
  <c r="H676" i="24"/>
  <c r="J675" i="24"/>
  <c r="H675" i="24"/>
  <c r="J674" i="24"/>
  <c r="K674" i="24" s="1"/>
  <c r="H674" i="24"/>
  <c r="J673" i="24"/>
  <c r="K673" i="24" s="1"/>
  <c r="H673" i="24"/>
  <c r="J672" i="24"/>
  <c r="K672" i="24" s="1"/>
  <c r="H672" i="24"/>
  <c r="J671" i="24"/>
  <c r="K671" i="24" s="1"/>
  <c r="H671" i="24"/>
  <c r="J670" i="24"/>
  <c r="L670" i="24" s="1"/>
  <c r="H670" i="24"/>
  <c r="I669" i="24"/>
  <c r="G669" i="24"/>
  <c r="H669" i="24" s="1"/>
  <c r="I668" i="24"/>
  <c r="G668" i="24"/>
  <c r="H668" i="24" s="1"/>
  <c r="I667" i="24"/>
  <c r="G667" i="24"/>
  <c r="H667" i="24" s="1"/>
  <c r="J666" i="24"/>
  <c r="L666" i="24" s="1"/>
  <c r="H666" i="24"/>
  <c r="J665" i="24"/>
  <c r="H665" i="24"/>
  <c r="J664" i="24"/>
  <c r="L664" i="24" s="1"/>
  <c r="H664" i="24"/>
  <c r="J663" i="24"/>
  <c r="L663" i="24" s="1"/>
  <c r="H663" i="24"/>
  <c r="J662" i="24"/>
  <c r="K662" i="24" s="1"/>
  <c r="H662" i="24"/>
  <c r="J661" i="24"/>
  <c r="H661" i="24"/>
  <c r="J660" i="24"/>
  <c r="K660" i="24" s="1"/>
  <c r="H660" i="24"/>
  <c r="J659" i="24"/>
  <c r="K659" i="24" s="1"/>
  <c r="H659" i="24"/>
  <c r="J658" i="24"/>
  <c r="H658" i="24"/>
  <c r="J657" i="24"/>
  <c r="H657" i="24"/>
  <c r="J656" i="24"/>
  <c r="L656" i="24" s="1"/>
  <c r="H656" i="24"/>
  <c r="J655" i="24"/>
  <c r="L655" i="24" s="1"/>
  <c r="H655" i="24"/>
  <c r="J654" i="24"/>
  <c r="H654" i="24"/>
  <c r="J653" i="24"/>
  <c r="H653" i="24"/>
  <c r="J652" i="24"/>
  <c r="L652" i="24" s="1"/>
  <c r="H652" i="24"/>
  <c r="J651" i="24"/>
  <c r="H651" i="24"/>
  <c r="J650" i="24"/>
  <c r="H650" i="24"/>
  <c r="J649" i="24"/>
  <c r="K649" i="24" s="1"/>
  <c r="H649" i="24"/>
  <c r="J648" i="24"/>
  <c r="H648" i="24"/>
  <c r="J647" i="24"/>
  <c r="K647" i="24" s="1"/>
  <c r="H647" i="24"/>
  <c r="J646" i="24"/>
  <c r="L646" i="24" s="1"/>
  <c r="H646" i="24"/>
  <c r="J645" i="24"/>
  <c r="H645" i="24"/>
  <c r="J644" i="24"/>
  <c r="H644" i="24"/>
  <c r="J643" i="24"/>
  <c r="L643" i="24" s="1"/>
  <c r="H643" i="24"/>
  <c r="J642" i="24"/>
  <c r="H642" i="24"/>
  <c r="J641" i="24"/>
  <c r="H641" i="24"/>
  <c r="J640" i="24"/>
  <c r="L640" i="24" s="1"/>
  <c r="H640" i="24"/>
  <c r="J639" i="24"/>
  <c r="J638" i="24"/>
  <c r="L638" i="24" s="1"/>
  <c r="J637" i="24"/>
  <c r="L637" i="24" s="1"/>
  <c r="J636" i="24"/>
  <c r="L636" i="24" s="1"/>
  <c r="J635" i="24"/>
  <c r="J634" i="24"/>
  <c r="K634" i="24" s="1"/>
  <c r="J633" i="24"/>
  <c r="L633" i="24" s="1"/>
  <c r="J632" i="24"/>
  <c r="J631" i="24"/>
  <c r="J630" i="24"/>
  <c r="J629" i="24"/>
  <c r="L629" i="24" s="1"/>
  <c r="J628" i="24"/>
  <c r="L628" i="24" s="1"/>
  <c r="J627" i="24"/>
  <c r="K627" i="24" s="1"/>
  <c r="J626" i="24"/>
  <c r="L626" i="24" s="1"/>
  <c r="J625" i="24"/>
  <c r="J624" i="24"/>
  <c r="J623" i="24"/>
  <c r="L623" i="24" s="1"/>
  <c r="J622" i="24"/>
  <c r="L622" i="24" s="1"/>
  <c r="J621" i="24"/>
  <c r="L621" i="24" s="1"/>
  <c r="J620" i="24"/>
  <c r="L620" i="24" s="1"/>
  <c r="J619" i="24"/>
  <c r="L619" i="24" s="1"/>
  <c r="J618" i="24"/>
  <c r="K618" i="24" s="1"/>
  <c r="J617" i="24"/>
  <c r="L617" i="24" s="1"/>
  <c r="J616" i="24"/>
  <c r="L616" i="24" s="1"/>
  <c r="J615" i="24"/>
  <c r="K615" i="24" s="1"/>
  <c r="J614" i="24"/>
  <c r="L614" i="24" s="1"/>
  <c r="J613" i="24"/>
  <c r="L613" i="24" s="1"/>
  <c r="J612" i="24"/>
  <c r="K612" i="24" s="1"/>
  <c r="J611" i="24"/>
  <c r="J610" i="24"/>
  <c r="K610" i="24" s="1"/>
  <c r="J609" i="24"/>
  <c r="J608" i="24"/>
  <c r="K608" i="24" s="1"/>
  <c r="J607" i="24"/>
  <c r="L607" i="24" s="1"/>
  <c r="J606" i="24"/>
  <c r="J605" i="24"/>
  <c r="J604" i="24"/>
  <c r="L604" i="24" s="1"/>
  <c r="J603" i="24"/>
  <c r="L603" i="24" s="1"/>
  <c r="J602" i="24"/>
  <c r="L602" i="24" s="1"/>
  <c r="J601" i="24"/>
  <c r="L601" i="24" s="1"/>
  <c r="J600" i="24"/>
  <c r="L600" i="24" s="1"/>
  <c r="J599" i="24"/>
  <c r="K599" i="24" s="1"/>
  <c r="J598" i="24"/>
  <c r="L598" i="24" s="1"/>
  <c r="H598" i="24"/>
  <c r="J597" i="24"/>
  <c r="L597" i="24" s="1"/>
  <c r="H597" i="24"/>
  <c r="J596" i="24"/>
  <c r="K596" i="24" s="1"/>
  <c r="H596" i="24"/>
  <c r="J595" i="24"/>
  <c r="K595" i="24" s="1"/>
  <c r="H595" i="24"/>
  <c r="J594" i="24"/>
  <c r="L594" i="24" s="1"/>
  <c r="H594" i="24"/>
  <c r="J593" i="24"/>
  <c r="H593" i="24"/>
  <c r="J592" i="24"/>
  <c r="L592" i="24" s="1"/>
  <c r="H592" i="24"/>
  <c r="J591" i="24"/>
  <c r="L591" i="24" s="1"/>
  <c r="H591" i="24"/>
  <c r="J590" i="24"/>
  <c r="H590" i="24"/>
  <c r="J589" i="24"/>
  <c r="H589" i="24"/>
  <c r="J588" i="24"/>
  <c r="L588" i="24" s="1"/>
  <c r="H588" i="24"/>
  <c r="J587" i="24"/>
  <c r="L587" i="24" s="1"/>
  <c r="H587" i="24"/>
  <c r="J586" i="24"/>
  <c r="K586" i="24" s="1"/>
  <c r="H586" i="24"/>
  <c r="J585" i="24"/>
  <c r="L585" i="24" s="1"/>
  <c r="H585" i="24"/>
  <c r="J584" i="24"/>
  <c r="K584" i="24" s="1"/>
  <c r="H584" i="24"/>
  <c r="J583" i="24"/>
  <c r="L583" i="24" s="1"/>
  <c r="H583" i="24"/>
  <c r="J582" i="24"/>
  <c r="L582" i="24" s="1"/>
  <c r="H582" i="24"/>
  <c r="J581" i="24"/>
  <c r="L581" i="24" s="1"/>
  <c r="H581" i="24"/>
  <c r="J580" i="24"/>
  <c r="L580" i="24" s="1"/>
  <c r="H580" i="24"/>
  <c r="J579" i="24"/>
  <c r="L579" i="24" s="1"/>
  <c r="H579" i="24"/>
  <c r="J578" i="24"/>
  <c r="L578" i="24" s="1"/>
  <c r="H578" i="24"/>
  <c r="J577" i="24"/>
  <c r="K577" i="24" s="1"/>
  <c r="H577" i="24"/>
  <c r="J576" i="24"/>
  <c r="L576" i="24" s="1"/>
  <c r="H576" i="24"/>
  <c r="J575" i="24"/>
  <c r="K575" i="24" s="1"/>
  <c r="H575" i="24"/>
  <c r="J574" i="24"/>
  <c r="L574" i="24" s="1"/>
  <c r="H574" i="24"/>
  <c r="J573" i="24"/>
  <c r="H573" i="24"/>
  <c r="J572" i="24"/>
  <c r="L572" i="24" s="1"/>
  <c r="H572" i="24"/>
  <c r="I571" i="24"/>
  <c r="G571" i="24"/>
  <c r="J570" i="24"/>
  <c r="L570" i="24" s="1"/>
  <c r="H570" i="24"/>
  <c r="J569" i="24"/>
  <c r="H569" i="24"/>
  <c r="J568" i="24"/>
  <c r="H568" i="24"/>
  <c r="J567" i="24"/>
  <c r="H567" i="24"/>
  <c r="J566" i="24"/>
  <c r="H566" i="24"/>
  <c r="J565" i="24"/>
  <c r="H565" i="24"/>
  <c r="J564" i="24"/>
  <c r="L564" i="24" s="1"/>
  <c r="H564" i="24"/>
  <c r="J563" i="24"/>
  <c r="H563" i="24"/>
  <c r="J562" i="24"/>
  <c r="L562" i="24" s="1"/>
  <c r="H562" i="24"/>
  <c r="J561" i="24"/>
  <c r="L561" i="24" s="1"/>
  <c r="H561" i="24"/>
  <c r="J560" i="24"/>
  <c r="K560" i="24" s="1"/>
  <c r="H560" i="24"/>
  <c r="J559" i="24"/>
  <c r="L559" i="24" s="1"/>
  <c r="H559" i="24"/>
  <c r="J558" i="24"/>
  <c r="H558" i="24"/>
  <c r="J557" i="24"/>
  <c r="L557" i="24" s="1"/>
  <c r="H557" i="24"/>
  <c r="J556" i="24"/>
  <c r="L556" i="24" s="1"/>
  <c r="H556" i="24"/>
  <c r="J555" i="24"/>
  <c r="L555" i="24" s="1"/>
  <c r="H555" i="24"/>
  <c r="J554" i="24"/>
  <c r="L554" i="24" s="1"/>
  <c r="H554" i="24"/>
  <c r="J553" i="24"/>
  <c r="L553" i="24" s="1"/>
  <c r="H553" i="24"/>
  <c r="J552" i="24"/>
  <c r="H552" i="24"/>
  <c r="J551" i="24"/>
  <c r="K551" i="24" s="1"/>
  <c r="H551" i="24"/>
  <c r="J550" i="24"/>
  <c r="H550" i="24"/>
  <c r="J549" i="24"/>
  <c r="L549" i="24" s="1"/>
  <c r="H549" i="24"/>
  <c r="J548" i="24"/>
  <c r="L548" i="24" s="1"/>
  <c r="H548" i="24"/>
  <c r="J547" i="24"/>
  <c r="L547" i="24" s="1"/>
  <c r="H547" i="24"/>
  <c r="J546" i="24"/>
  <c r="L546" i="24" s="1"/>
  <c r="H546" i="24"/>
  <c r="J545" i="24"/>
  <c r="H545" i="24"/>
  <c r="J544" i="24"/>
  <c r="L544" i="24" s="1"/>
  <c r="H544" i="24"/>
  <c r="J543" i="24"/>
  <c r="L543" i="24" s="1"/>
  <c r="H543" i="24"/>
  <c r="J542" i="24"/>
  <c r="L542" i="24" s="1"/>
  <c r="H542" i="24"/>
  <c r="J541" i="24"/>
  <c r="L541" i="24" s="1"/>
  <c r="H541" i="24"/>
  <c r="J540" i="24"/>
  <c r="L540" i="24" s="1"/>
  <c r="H540" i="24"/>
  <c r="J539" i="24"/>
  <c r="L539" i="24" s="1"/>
  <c r="H539" i="24"/>
  <c r="J538" i="24"/>
  <c r="L538" i="24" s="1"/>
  <c r="H538" i="24"/>
  <c r="J537" i="24"/>
  <c r="L537" i="24" s="1"/>
  <c r="H537" i="24"/>
  <c r="J536" i="24"/>
  <c r="L536" i="24" s="1"/>
  <c r="H536" i="24"/>
  <c r="J535" i="24"/>
  <c r="H535" i="24"/>
  <c r="J534" i="24"/>
  <c r="L534" i="24" s="1"/>
  <c r="H534" i="24"/>
  <c r="J533" i="24"/>
  <c r="K533" i="24" s="1"/>
  <c r="H533" i="24"/>
  <c r="J532" i="24"/>
  <c r="L532" i="24" s="1"/>
  <c r="H532" i="24"/>
  <c r="J531" i="24"/>
  <c r="L531" i="24" s="1"/>
  <c r="H531" i="24"/>
  <c r="J530" i="24"/>
  <c r="L530" i="24" s="1"/>
  <c r="H530" i="24"/>
  <c r="J529" i="24"/>
  <c r="L529" i="24" s="1"/>
  <c r="H529" i="24"/>
  <c r="J528" i="24"/>
  <c r="L528" i="24" s="1"/>
  <c r="H528" i="24"/>
  <c r="J527" i="24"/>
  <c r="K527" i="24" s="1"/>
  <c r="H527" i="24"/>
  <c r="J526" i="24"/>
  <c r="L526" i="24" s="1"/>
  <c r="H526" i="24"/>
  <c r="J525" i="24"/>
  <c r="H525" i="24"/>
  <c r="J524" i="24"/>
  <c r="L524" i="24" s="1"/>
  <c r="H524" i="24"/>
  <c r="J523" i="24"/>
  <c r="H523" i="24"/>
  <c r="J522" i="24"/>
  <c r="H522" i="24"/>
  <c r="J521" i="24"/>
  <c r="H521" i="24"/>
  <c r="J520" i="24"/>
  <c r="L520" i="24" s="1"/>
  <c r="H520" i="24"/>
  <c r="J519" i="24"/>
  <c r="L519" i="24" s="1"/>
  <c r="H519" i="24"/>
  <c r="J518" i="24"/>
  <c r="L518" i="24" s="1"/>
  <c r="H518" i="24"/>
  <c r="J517" i="24"/>
  <c r="L517" i="24" s="1"/>
  <c r="H517" i="24"/>
  <c r="J516" i="24"/>
  <c r="K516" i="24" s="1"/>
  <c r="H516" i="24"/>
  <c r="J515" i="24"/>
  <c r="L515" i="24" s="1"/>
  <c r="H515" i="24"/>
  <c r="J514" i="24"/>
  <c r="L514" i="24" s="1"/>
  <c r="H514" i="24"/>
  <c r="J513" i="24"/>
  <c r="L513" i="24" s="1"/>
  <c r="H513" i="24"/>
  <c r="J512" i="24"/>
  <c r="L512" i="24" s="1"/>
  <c r="H512" i="24"/>
  <c r="J511" i="24"/>
  <c r="L511" i="24" s="1"/>
  <c r="H511" i="24"/>
  <c r="J510" i="24"/>
  <c r="H510" i="24"/>
  <c r="J509" i="24"/>
  <c r="L509" i="24" s="1"/>
  <c r="H509" i="24"/>
  <c r="J508" i="24"/>
  <c r="L508" i="24" s="1"/>
  <c r="H508" i="24"/>
  <c r="J507" i="24"/>
  <c r="L507" i="24" s="1"/>
  <c r="H507" i="24"/>
  <c r="J506" i="24"/>
  <c r="H506" i="24"/>
  <c r="J505" i="24"/>
  <c r="L505" i="24" s="1"/>
  <c r="H505" i="24"/>
  <c r="J504" i="24"/>
  <c r="L504" i="24" s="1"/>
  <c r="H504" i="24"/>
  <c r="J503" i="24"/>
  <c r="L503" i="24" s="1"/>
  <c r="H503" i="24"/>
  <c r="J502" i="24"/>
  <c r="L502" i="24" s="1"/>
  <c r="H502" i="24"/>
  <c r="J501" i="24"/>
  <c r="L501" i="24" s="1"/>
  <c r="H501" i="24"/>
  <c r="J500" i="24"/>
  <c r="L500" i="24" s="1"/>
  <c r="H500" i="24"/>
  <c r="J499" i="24"/>
  <c r="H499" i="24"/>
  <c r="J498" i="24"/>
  <c r="L498" i="24" s="1"/>
  <c r="H498" i="24"/>
  <c r="J497" i="24"/>
  <c r="L497" i="24" s="1"/>
  <c r="H497" i="24"/>
  <c r="J496" i="24"/>
  <c r="L496" i="24" s="1"/>
  <c r="H496" i="24"/>
  <c r="J495" i="24"/>
  <c r="H495" i="24"/>
  <c r="J494" i="24"/>
  <c r="K494" i="24" s="1"/>
  <c r="H494" i="24"/>
  <c r="J493" i="24"/>
  <c r="L493" i="24" s="1"/>
  <c r="H493" i="24"/>
  <c r="J492" i="24"/>
  <c r="L492" i="24" s="1"/>
  <c r="H492" i="24"/>
  <c r="J491" i="24"/>
  <c r="L491" i="24" s="1"/>
  <c r="H491" i="24"/>
  <c r="J490" i="24"/>
  <c r="L490" i="24" s="1"/>
  <c r="H490" i="24"/>
  <c r="J489" i="24"/>
  <c r="L489" i="24" s="1"/>
  <c r="H489" i="24"/>
  <c r="J488" i="24"/>
  <c r="H488" i="24"/>
  <c r="J487" i="24"/>
  <c r="H487" i="24"/>
  <c r="J486" i="24"/>
  <c r="K486" i="24" s="1"/>
  <c r="H486" i="24"/>
  <c r="J485" i="24"/>
  <c r="L485" i="24" s="1"/>
  <c r="H485" i="24"/>
  <c r="J484" i="24"/>
  <c r="H484" i="24"/>
  <c r="J483" i="24"/>
  <c r="L483" i="24" s="1"/>
  <c r="H483" i="24"/>
  <c r="J482" i="24"/>
  <c r="K482" i="24" s="1"/>
  <c r="H482" i="24"/>
  <c r="J481" i="24"/>
  <c r="L481" i="24" s="1"/>
  <c r="H481" i="24"/>
  <c r="J480" i="24"/>
  <c r="L480" i="24" s="1"/>
  <c r="H480" i="24"/>
  <c r="J479" i="24"/>
  <c r="H479" i="24"/>
  <c r="J478" i="24"/>
  <c r="L478" i="24" s="1"/>
  <c r="H478" i="24"/>
  <c r="J477" i="24"/>
  <c r="L477" i="24" s="1"/>
  <c r="H477" i="24"/>
  <c r="J476" i="24"/>
  <c r="L476" i="24" s="1"/>
  <c r="H476" i="24"/>
  <c r="J475" i="24"/>
  <c r="L475" i="24" s="1"/>
  <c r="H475" i="24"/>
  <c r="J474" i="24"/>
  <c r="H474" i="24"/>
  <c r="J473" i="24"/>
  <c r="L473" i="24" s="1"/>
  <c r="H473" i="24"/>
  <c r="J472" i="24"/>
  <c r="L472" i="24" s="1"/>
  <c r="H472" i="24"/>
  <c r="J471" i="24"/>
  <c r="H471" i="24"/>
  <c r="J470" i="24"/>
  <c r="H470" i="24"/>
  <c r="J469" i="24"/>
  <c r="H469" i="24"/>
  <c r="J468" i="24"/>
  <c r="K468" i="24" s="1"/>
  <c r="H468" i="24"/>
  <c r="J467" i="24"/>
  <c r="K467" i="24" s="1"/>
  <c r="H467" i="24"/>
  <c r="J466" i="24"/>
  <c r="L466" i="24" s="1"/>
  <c r="H466" i="24"/>
  <c r="J465" i="24"/>
  <c r="H465" i="24"/>
  <c r="J464" i="24"/>
  <c r="K464" i="24" s="1"/>
  <c r="H464" i="24"/>
  <c r="J463" i="24"/>
  <c r="H463" i="24"/>
  <c r="J462" i="24"/>
  <c r="L462" i="24" s="1"/>
  <c r="H462" i="24"/>
  <c r="J461" i="24"/>
  <c r="L461" i="24" s="1"/>
  <c r="H461" i="24"/>
  <c r="J460" i="24"/>
  <c r="H460" i="24"/>
  <c r="J459" i="24"/>
  <c r="K459" i="24" s="1"/>
  <c r="H459" i="24"/>
  <c r="J458" i="24"/>
  <c r="L458" i="24" s="1"/>
  <c r="H458" i="24"/>
  <c r="J457" i="24"/>
  <c r="L457" i="24" s="1"/>
  <c r="H457" i="24"/>
  <c r="J456" i="24"/>
  <c r="H456" i="24"/>
  <c r="J455" i="24"/>
  <c r="L455" i="24" s="1"/>
  <c r="H455" i="24"/>
  <c r="J454" i="24"/>
  <c r="L454" i="24" s="1"/>
  <c r="H454" i="24"/>
  <c r="J453" i="24"/>
  <c r="L453" i="24" s="1"/>
  <c r="H453" i="24"/>
  <c r="J452" i="24"/>
  <c r="K452" i="24" s="1"/>
  <c r="H452" i="24"/>
  <c r="J451" i="24"/>
  <c r="H451" i="24"/>
  <c r="J450" i="24"/>
  <c r="K450" i="24" s="1"/>
  <c r="H450" i="24"/>
  <c r="J449" i="24"/>
  <c r="L449" i="24" s="1"/>
  <c r="H449" i="24"/>
  <c r="J448" i="24"/>
  <c r="H448" i="24"/>
  <c r="J447" i="24"/>
  <c r="H447" i="24"/>
  <c r="J446" i="24"/>
  <c r="H446" i="24"/>
  <c r="J445" i="24"/>
  <c r="H445" i="24"/>
  <c r="J444" i="24"/>
  <c r="K444" i="24" s="1"/>
  <c r="H444" i="24"/>
  <c r="J443" i="24"/>
  <c r="L443" i="24" s="1"/>
  <c r="H443" i="24"/>
  <c r="J442" i="24"/>
  <c r="H442" i="24"/>
  <c r="J441" i="24"/>
  <c r="K441" i="24" s="1"/>
  <c r="H441" i="24"/>
  <c r="J440" i="24"/>
  <c r="L440" i="24" s="1"/>
  <c r="H440" i="24"/>
  <c r="J439" i="24"/>
  <c r="L439" i="24" s="1"/>
  <c r="H439" i="24"/>
  <c r="J438" i="24"/>
  <c r="L438" i="24" s="1"/>
  <c r="H438" i="24"/>
  <c r="J437" i="24"/>
  <c r="K437" i="24" s="1"/>
  <c r="H437" i="24"/>
  <c r="J436" i="24"/>
  <c r="L436" i="24" s="1"/>
  <c r="H436" i="24"/>
  <c r="J435" i="24"/>
  <c r="H435" i="24"/>
  <c r="J434" i="24"/>
  <c r="L434" i="24" s="1"/>
  <c r="H434" i="24"/>
  <c r="J433" i="24"/>
  <c r="H433" i="24"/>
  <c r="J432" i="24"/>
  <c r="K432" i="24" s="1"/>
  <c r="H432" i="24"/>
  <c r="J431" i="24"/>
  <c r="L431" i="24" s="1"/>
  <c r="H431" i="24"/>
  <c r="J430" i="24"/>
  <c r="L430" i="24" s="1"/>
  <c r="H430" i="24"/>
  <c r="J429" i="24"/>
  <c r="K429" i="24" s="1"/>
  <c r="H429" i="24"/>
  <c r="J428" i="24"/>
  <c r="L428" i="24" s="1"/>
  <c r="H428" i="24"/>
  <c r="J427" i="24"/>
  <c r="L427" i="24" s="1"/>
  <c r="H427" i="24"/>
  <c r="J426" i="24"/>
  <c r="L426" i="24" s="1"/>
  <c r="H426" i="24"/>
  <c r="J425" i="24"/>
  <c r="L425" i="24" s="1"/>
  <c r="H425" i="24"/>
  <c r="J424" i="24"/>
  <c r="L424" i="24" s="1"/>
  <c r="H424" i="24"/>
  <c r="J423" i="24"/>
  <c r="K423" i="24" s="1"/>
  <c r="H423" i="24"/>
  <c r="J422" i="24"/>
  <c r="L422" i="24" s="1"/>
  <c r="H422" i="24"/>
  <c r="J421" i="24"/>
  <c r="L421" i="24" s="1"/>
  <c r="H421" i="24"/>
  <c r="J420" i="24"/>
  <c r="H420" i="24"/>
  <c r="J419" i="24"/>
  <c r="K419" i="24" s="1"/>
  <c r="H419" i="24"/>
  <c r="J418" i="24"/>
  <c r="H418" i="24"/>
  <c r="J417" i="24"/>
  <c r="L417" i="24" s="1"/>
  <c r="H417" i="24"/>
  <c r="J416" i="24"/>
  <c r="K416" i="24" s="1"/>
  <c r="H416" i="24"/>
  <c r="J415" i="24"/>
  <c r="L415" i="24" s="1"/>
  <c r="H415" i="24"/>
  <c r="J414" i="24"/>
  <c r="H414" i="24"/>
  <c r="J413" i="24"/>
  <c r="H413" i="24"/>
  <c r="J412" i="24"/>
  <c r="L412" i="24" s="1"/>
  <c r="H412" i="24"/>
  <c r="J411" i="24"/>
  <c r="L411" i="24" s="1"/>
  <c r="H411" i="24"/>
  <c r="J410" i="24"/>
  <c r="H410" i="24"/>
  <c r="J409" i="24"/>
  <c r="L409" i="24" s="1"/>
  <c r="H409" i="24"/>
  <c r="J408" i="24"/>
  <c r="L408" i="24" s="1"/>
  <c r="H408" i="24"/>
  <c r="J407" i="24"/>
  <c r="L407" i="24" s="1"/>
  <c r="H407" i="24"/>
  <c r="J406" i="24"/>
  <c r="H406" i="24"/>
  <c r="J405" i="24"/>
  <c r="K405" i="24" s="1"/>
  <c r="H405" i="24"/>
  <c r="J404" i="24"/>
  <c r="K404" i="24" s="1"/>
  <c r="H404" i="24"/>
  <c r="J403" i="24"/>
  <c r="L403" i="24" s="1"/>
  <c r="H403" i="24"/>
  <c r="J402" i="24"/>
  <c r="L402" i="24" s="1"/>
  <c r="H402" i="24"/>
  <c r="J401" i="24"/>
  <c r="K401" i="24" s="1"/>
  <c r="H401" i="24"/>
  <c r="J400" i="24"/>
  <c r="L400" i="24" s="1"/>
  <c r="H400" i="24"/>
  <c r="J399" i="24"/>
  <c r="K399" i="24" s="1"/>
  <c r="H399" i="24"/>
  <c r="J398" i="24"/>
  <c r="H398" i="24"/>
  <c r="J397" i="24"/>
  <c r="L397" i="24" s="1"/>
  <c r="H397" i="24"/>
  <c r="J396" i="24"/>
  <c r="H396" i="24"/>
  <c r="J395" i="24"/>
  <c r="L395" i="24" s="1"/>
  <c r="H395" i="24"/>
  <c r="J394" i="24"/>
  <c r="L394" i="24" s="1"/>
  <c r="H394" i="24"/>
  <c r="J393" i="24"/>
  <c r="L393" i="24" s="1"/>
  <c r="H393" i="24"/>
  <c r="J392" i="24"/>
  <c r="K392" i="24" s="1"/>
  <c r="H392" i="24"/>
  <c r="J391" i="24"/>
  <c r="L391" i="24" s="1"/>
  <c r="H391" i="24"/>
  <c r="J390" i="24"/>
  <c r="H390" i="24"/>
  <c r="J389" i="24"/>
  <c r="H389" i="24"/>
  <c r="J388" i="24"/>
  <c r="L388" i="24" s="1"/>
  <c r="H388" i="24"/>
  <c r="J387" i="24"/>
  <c r="K387" i="24" s="1"/>
  <c r="H387" i="24"/>
  <c r="J386" i="24"/>
  <c r="L386" i="24" s="1"/>
  <c r="H386" i="24"/>
  <c r="J385" i="24"/>
  <c r="H385" i="24"/>
  <c r="J384" i="24"/>
  <c r="L384" i="24" s="1"/>
  <c r="H384" i="24"/>
  <c r="J383" i="24"/>
  <c r="L383" i="24" s="1"/>
  <c r="H383" i="24"/>
  <c r="J382" i="24"/>
  <c r="H382" i="24"/>
  <c r="J381" i="24"/>
  <c r="K381" i="24" s="1"/>
  <c r="H381" i="24"/>
  <c r="J380" i="24"/>
  <c r="L380" i="24" s="1"/>
  <c r="H380" i="24"/>
  <c r="J379" i="24"/>
  <c r="L379" i="24" s="1"/>
  <c r="H379" i="24"/>
  <c r="J378" i="24"/>
  <c r="L378" i="24" s="1"/>
  <c r="H378" i="24"/>
  <c r="J377" i="24"/>
  <c r="H377" i="24"/>
  <c r="J376" i="24"/>
  <c r="L376" i="24" s="1"/>
  <c r="H376" i="24"/>
  <c r="J375" i="24"/>
  <c r="H375" i="24"/>
  <c r="J374" i="24"/>
  <c r="L374" i="24" s="1"/>
  <c r="H374" i="24"/>
  <c r="J373" i="24"/>
  <c r="L373" i="24" s="1"/>
  <c r="H373" i="24"/>
  <c r="J372" i="24"/>
  <c r="L372" i="24" s="1"/>
  <c r="H372" i="24"/>
  <c r="J371" i="24"/>
  <c r="H371" i="24"/>
  <c r="J370" i="24"/>
  <c r="L370" i="24" s="1"/>
  <c r="H370" i="24"/>
  <c r="J368" i="24"/>
  <c r="L368" i="24" s="1"/>
  <c r="H368" i="24"/>
  <c r="J367" i="24"/>
  <c r="K367" i="24" s="1"/>
  <c r="H367" i="24"/>
  <c r="J366" i="24"/>
  <c r="K366" i="24" s="1"/>
  <c r="H366" i="24"/>
  <c r="J365" i="24"/>
  <c r="K365" i="24" s="1"/>
  <c r="H365" i="24"/>
  <c r="J364" i="24"/>
  <c r="L364" i="24" s="1"/>
  <c r="H364" i="24"/>
  <c r="J363" i="24"/>
  <c r="K363" i="24" s="1"/>
  <c r="H363" i="24"/>
  <c r="J362" i="24"/>
  <c r="K362" i="24" s="1"/>
  <c r="H362" i="24"/>
  <c r="J361" i="24"/>
  <c r="K361" i="24" s="1"/>
  <c r="H361" i="24"/>
  <c r="J360" i="24"/>
  <c r="H360" i="24"/>
  <c r="J359" i="24"/>
  <c r="H359" i="24"/>
  <c r="J358" i="24"/>
  <c r="K358" i="24" s="1"/>
  <c r="H358" i="24"/>
  <c r="J357" i="24"/>
  <c r="K357" i="24" s="1"/>
  <c r="H357" i="24"/>
  <c r="J356" i="24"/>
  <c r="H356" i="24"/>
  <c r="J355" i="24"/>
  <c r="L355" i="24" s="1"/>
  <c r="H355" i="24"/>
  <c r="J354" i="24"/>
  <c r="K354" i="24" s="1"/>
  <c r="H354" i="24"/>
  <c r="J353" i="24"/>
  <c r="K353" i="24" s="1"/>
  <c r="H353" i="24"/>
  <c r="J352" i="24"/>
  <c r="H352" i="24"/>
  <c r="J351" i="24"/>
  <c r="H351" i="24"/>
  <c r="J350" i="24"/>
  <c r="L350" i="24" s="1"/>
  <c r="H350" i="24"/>
  <c r="J349" i="24"/>
  <c r="L349" i="24" s="1"/>
  <c r="H349" i="24"/>
  <c r="J348" i="24"/>
  <c r="H348" i="24"/>
  <c r="J347" i="24"/>
  <c r="L347" i="24" s="1"/>
  <c r="H347" i="24"/>
  <c r="J346" i="24"/>
  <c r="H346" i="24"/>
  <c r="J345" i="24"/>
  <c r="K345" i="24" s="1"/>
  <c r="H345" i="24"/>
  <c r="J344" i="24"/>
  <c r="K344" i="24" s="1"/>
  <c r="H344" i="24"/>
  <c r="J343" i="24"/>
  <c r="L343" i="24" s="1"/>
  <c r="H343" i="24"/>
  <c r="J342" i="24"/>
  <c r="K342" i="24" s="1"/>
  <c r="H342" i="24"/>
  <c r="J341" i="24"/>
  <c r="L341" i="24" s="1"/>
  <c r="H341" i="24"/>
  <c r="J340" i="24"/>
  <c r="L340" i="24" s="1"/>
  <c r="H340" i="24"/>
  <c r="J339" i="24"/>
  <c r="H339" i="24"/>
  <c r="J338" i="24"/>
  <c r="H338" i="24"/>
  <c r="J337" i="24"/>
  <c r="K337" i="24" s="1"/>
  <c r="H337" i="24"/>
  <c r="J336" i="24"/>
  <c r="K336" i="24" s="1"/>
  <c r="H336" i="24"/>
  <c r="J335" i="24"/>
  <c r="L335" i="24" s="1"/>
  <c r="H335" i="24"/>
  <c r="J334" i="24"/>
  <c r="L334" i="24" s="1"/>
  <c r="H334" i="24"/>
  <c r="J333" i="24"/>
  <c r="K333" i="24" s="1"/>
  <c r="H333" i="24"/>
  <c r="J332" i="24"/>
  <c r="L332" i="24" s="1"/>
  <c r="H332" i="24"/>
  <c r="J331" i="24"/>
  <c r="K331" i="24" s="1"/>
  <c r="H331" i="24"/>
  <c r="J330" i="24"/>
  <c r="K330" i="24" s="1"/>
  <c r="H330" i="24"/>
  <c r="J329" i="24"/>
  <c r="H329" i="24"/>
  <c r="J328" i="24"/>
  <c r="H328" i="24"/>
  <c r="J327" i="24"/>
  <c r="K327" i="24" s="1"/>
  <c r="H327" i="24"/>
  <c r="J326" i="24"/>
  <c r="H326" i="24"/>
  <c r="J325" i="24"/>
  <c r="K325" i="24" s="1"/>
  <c r="H325" i="24"/>
  <c r="J324" i="24"/>
  <c r="K324" i="24" s="1"/>
  <c r="H324" i="24"/>
  <c r="J323" i="24"/>
  <c r="L323" i="24" s="1"/>
  <c r="H323" i="24"/>
  <c r="J322" i="24"/>
  <c r="L322" i="24" s="1"/>
  <c r="H322" i="24"/>
  <c r="J321" i="24"/>
  <c r="K321" i="24" s="1"/>
  <c r="H321" i="24"/>
  <c r="J320" i="24"/>
  <c r="K320" i="24" s="1"/>
  <c r="H320" i="24"/>
  <c r="J319" i="24"/>
  <c r="H319" i="24"/>
  <c r="J318" i="24"/>
  <c r="K318" i="24" s="1"/>
  <c r="H318" i="24"/>
  <c r="J317" i="24"/>
  <c r="L317" i="24" s="1"/>
  <c r="H317" i="24"/>
  <c r="J316" i="24"/>
  <c r="H316" i="24"/>
  <c r="J315" i="24"/>
  <c r="H315" i="24"/>
  <c r="J314" i="24"/>
  <c r="H314" i="24"/>
  <c r="J313" i="24"/>
  <c r="L313" i="24" s="1"/>
  <c r="H313" i="24"/>
  <c r="J312" i="24"/>
  <c r="K312" i="24" s="1"/>
  <c r="H312" i="24"/>
  <c r="J311" i="24"/>
  <c r="K311" i="24" s="1"/>
  <c r="H311" i="24"/>
  <c r="J310" i="24"/>
  <c r="K310" i="24" s="1"/>
  <c r="H310" i="24"/>
  <c r="J309" i="24"/>
  <c r="K309" i="24" s="1"/>
  <c r="H309" i="24"/>
  <c r="J308" i="24"/>
  <c r="H308" i="24"/>
  <c r="J307" i="24"/>
  <c r="H307" i="24"/>
  <c r="J306" i="24"/>
  <c r="K306" i="24" s="1"/>
  <c r="H306" i="24"/>
  <c r="J305" i="24"/>
  <c r="H305" i="24"/>
  <c r="J304" i="24"/>
  <c r="L304" i="24" s="1"/>
  <c r="H304" i="24"/>
  <c r="J303" i="24"/>
  <c r="K303" i="24" s="1"/>
  <c r="H303" i="24"/>
  <c r="J302" i="24"/>
  <c r="L302" i="24" s="1"/>
  <c r="E302" i="24"/>
  <c r="H302" i="24" s="1"/>
  <c r="J301" i="24"/>
  <c r="K301" i="24" s="1"/>
  <c r="H301" i="24"/>
  <c r="J300" i="24"/>
  <c r="L300" i="24" s="1"/>
  <c r="H300" i="24"/>
  <c r="J299" i="24"/>
  <c r="K299" i="24" s="1"/>
  <c r="H299" i="24"/>
  <c r="J298" i="24"/>
  <c r="L298" i="24" s="1"/>
  <c r="H298" i="24"/>
  <c r="J297" i="24"/>
  <c r="L297" i="24" s="1"/>
  <c r="H297" i="24"/>
  <c r="J296" i="24"/>
  <c r="L296" i="24" s="1"/>
  <c r="H296" i="24"/>
  <c r="J295" i="24"/>
  <c r="H295" i="24"/>
  <c r="J294" i="24"/>
  <c r="L294" i="24" s="1"/>
  <c r="H294" i="24"/>
  <c r="J293" i="24"/>
  <c r="K293" i="24" s="1"/>
  <c r="H293" i="24"/>
  <c r="J292" i="24"/>
  <c r="L292" i="24" s="1"/>
  <c r="H292" i="24"/>
  <c r="J291" i="24"/>
  <c r="L291" i="24" s="1"/>
  <c r="H291" i="24"/>
  <c r="J290" i="24"/>
  <c r="L290" i="24" s="1"/>
  <c r="H290" i="24"/>
  <c r="J289" i="24"/>
  <c r="L289" i="24" s="1"/>
  <c r="H289" i="24"/>
  <c r="J288" i="24"/>
  <c r="H288" i="24"/>
  <c r="J287" i="24"/>
  <c r="L287" i="24" s="1"/>
  <c r="H287" i="24"/>
  <c r="J286" i="24"/>
  <c r="K286" i="24" s="1"/>
  <c r="H286" i="24"/>
  <c r="J285" i="24"/>
  <c r="L285" i="24" s="1"/>
  <c r="H285" i="24"/>
  <c r="J284" i="24"/>
  <c r="K284" i="24" s="1"/>
  <c r="H284" i="24"/>
  <c r="J283" i="24"/>
  <c r="H283" i="24"/>
  <c r="J282" i="24"/>
  <c r="L282" i="24" s="1"/>
  <c r="H282" i="24"/>
  <c r="J281" i="24"/>
  <c r="L281" i="24" s="1"/>
  <c r="H281" i="24"/>
  <c r="J280" i="24"/>
  <c r="K280" i="24" s="1"/>
  <c r="H280" i="24"/>
  <c r="J279" i="24"/>
  <c r="L279" i="24" s="1"/>
  <c r="H279" i="24"/>
  <c r="J278" i="24"/>
  <c r="H278" i="24"/>
  <c r="J277" i="24"/>
  <c r="K277" i="24" s="1"/>
  <c r="H277" i="24"/>
  <c r="I276" i="24"/>
  <c r="G276" i="24"/>
  <c r="J275" i="24"/>
  <c r="H275" i="24"/>
  <c r="J274" i="24"/>
  <c r="L274" i="24" s="1"/>
  <c r="H274" i="24"/>
  <c r="J273" i="24"/>
  <c r="L273" i="24" s="1"/>
  <c r="H273" i="24"/>
  <c r="J272" i="24"/>
  <c r="H272" i="24"/>
  <c r="J271" i="24"/>
  <c r="H271" i="24"/>
  <c r="J270" i="24"/>
  <c r="K270" i="24" s="1"/>
  <c r="H270" i="24"/>
  <c r="J269" i="24"/>
  <c r="L269" i="24" s="1"/>
  <c r="H269" i="24"/>
  <c r="J268" i="24"/>
  <c r="L268" i="24" s="1"/>
  <c r="H268" i="24"/>
  <c r="J267" i="24"/>
  <c r="L267" i="24" s="1"/>
  <c r="H267" i="24"/>
  <c r="J266" i="24"/>
  <c r="L266" i="24" s="1"/>
  <c r="H266" i="24"/>
  <c r="J265" i="24"/>
  <c r="H265" i="24"/>
  <c r="J264" i="24"/>
  <c r="K264" i="24" s="1"/>
  <c r="H264" i="24"/>
  <c r="J263" i="24"/>
  <c r="K263" i="24" s="1"/>
  <c r="H263" i="24"/>
  <c r="J262" i="24"/>
  <c r="H262" i="24"/>
  <c r="J261" i="24"/>
  <c r="K261" i="24" s="1"/>
  <c r="H261" i="24"/>
  <c r="J260" i="24"/>
  <c r="L260" i="24" s="1"/>
  <c r="H260" i="24"/>
  <c r="J259" i="24"/>
  <c r="L259" i="24" s="1"/>
  <c r="H259" i="24"/>
  <c r="J258" i="24"/>
  <c r="L258" i="24" s="1"/>
  <c r="H258" i="24"/>
  <c r="J257" i="24"/>
  <c r="H257" i="24"/>
  <c r="J256" i="24"/>
  <c r="L256" i="24" s="1"/>
  <c r="H256" i="24"/>
  <c r="J255" i="24"/>
  <c r="H255" i="24"/>
  <c r="J254" i="24"/>
  <c r="L254" i="24" s="1"/>
  <c r="H254" i="24"/>
  <c r="J253" i="24"/>
  <c r="H253" i="24"/>
  <c r="J252" i="24"/>
  <c r="K252" i="24" s="1"/>
  <c r="H252" i="24"/>
  <c r="J251" i="24"/>
  <c r="K251" i="24" s="1"/>
  <c r="H251" i="24"/>
  <c r="J250" i="24"/>
  <c r="L250" i="24" s="1"/>
  <c r="H250" i="24"/>
  <c r="J249" i="24"/>
  <c r="L249" i="24" s="1"/>
  <c r="H249" i="24"/>
  <c r="J248" i="24"/>
  <c r="L248" i="24" s="1"/>
  <c r="H248" i="24"/>
  <c r="J247" i="24"/>
  <c r="L247" i="24" s="1"/>
  <c r="H247" i="24"/>
  <c r="J246" i="24"/>
  <c r="K246" i="24" s="1"/>
  <c r="H246" i="24"/>
  <c r="J245" i="24"/>
  <c r="L245" i="24" s="1"/>
  <c r="H245" i="24"/>
  <c r="J244" i="24"/>
  <c r="L244" i="24" s="1"/>
  <c r="H244" i="24"/>
  <c r="J243" i="24"/>
  <c r="L243" i="24" s="1"/>
  <c r="H243" i="24"/>
  <c r="J242" i="24"/>
  <c r="L242" i="24" s="1"/>
  <c r="H242" i="24"/>
  <c r="J241" i="24"/>
  <c r="H241" i="24"/>
  <c r="J240" i="24"/>
  <c r="L240" i="24" s="1"/>
  <c r="H240" i="24"/>
  <c r="J239" i="24"/>
  <c r="L239" i="24" s="1"/>
  <c r="H239" i="24"/>
  <c r="J238" i="24"/>
  <c r="L238" i="24" s="1"/>
  <c r="H238" i="24"/>
  <c r="J237" i="24"/>
  <c r="L237" i="24" s="1"/>
  <c r="H237" i="24"/>
  <c r="J236" i="24"/>
  <c r="K236" i="24" s="1"/>
  <c r="H236" i="24"/>
  <c r="J235" i="24"/>
  <c r="L235" i="24" s="1"/>
  <c r="H235" i="24"/>
  <c r="J234" i="24"/>
  <c r="L234" i="24" s="1"/>
  <c r="H234" i="24"/>
  <c r="J233" i="24"/>
  <c r="L233" i="24" s="1"/>
  <c r="H233" i="24"/>
  <c r="J232" i="24"/>
  <c r="L232" i="24" s="1"/>
  <c r="H232" i="24"/>
  <c r="J231" i="24"/>
  <c r="H231" i="24"/>
  <c r="J230" i="24"/>
  <c r="L230" i="24" s="1"/>
  <c r="H230" i="24"/>
  <c r="J229" i="24"/>
  <c r="L229" i="24" s="1"/>
  <c r="H229" i="24"/>
  <c r="J228" i="24"/>
  <c r="K228" i="24" s="1"/>
  <c r="H228" i="24"/>
  <c r="J227" i="24"/>
  <c r="L227" i="24" s="1"/>
  <c r="H227" i="24"/>
  <c r="J226" i="24"/>
  <c r="L226" i="24" s="1"/>
  <c r="H226" i="24"/>
  <c r="J225" i="24"/>
  <c r="H225" i="24"/>
  <c r="J224" i="24"/>
  <c r="L224" i="24" s="1"/>
  <c r="H224" i="24"/>
  <c r="J223" i="24"/>
  <c r="L223" i="24" s="1"/>
  <c r="H223" i="24"/>
  <c r="J222" i="24"/>
  <c r="L222" i="24" s="1"/>
  <c r="H222" i="24"/>
  <c r="J221" i="24"/>
  <c r="H221" i="24"/>
  <c r="J220" i="24"/>
  <c r="L220" i="24" s="1"/>
  <c r="H220" i="24"/>
  <c r="J219" i="24"/>
  <c r="K219" i="24" s="1"/>
  <c r="H219" i="24"/>
  <c r="J218" i="24"/>
  <c r="L218" i="24" s="1"/>
  <c r="H218" i="24"/>
  <c r="J217" i="24"/>
  <c r="L217" i="24" s="1"/>
  <c r="H217" i="24"/>
  <c r="J216" i="24"/>
  <c r="H216" i="24"/>
  <c r="J215" i="24"/>
  <c r="K215" i="24" s="1"/>
  <c r="H215" i="24"/>
  <c r="J214" i="24"/>
  <c r="L214" i="24" s="1"/>
  <c r="H214" i="24"/>
  <c r="J213" i="24"/>
  <c r="L213" i="24" s="1"/>
  <c r="H213" i="24"/>
  <c r="J212" i="24"/>
  <c r="L212" i="24" s="1"/>
  <c r="H212" i="24"/>
  <c r="J211" i="24"/>
  <c r="L211" i="24" s="1"/>
  <c r="H211" i="24"/>
  <c r="J210" i="24"/>
  <c r="L210" i="24" s="1"/>
  <c r="H210" i="24"/>
  <c r="J209" i="24"/>
  <c r="L209" i="24" s="1"/>
  <c r="H209" i="24"/>
  <c r="J208" i="24"/>
  <c r="L208" i="24" s="1"/>
  <c r="H208" i="24"/>
  <c r="J207" i="24"/>
  <c r="L207" i="24" s="1"/>
  <c r="H207" i="24"/>
  <c r="J206" i="24"/>
  <c r="K206" i="24" s="1"/>
  <c r="H206" i="24"/>
  <c r="J205" i="24"/>
  <c r="H205" i="24"/>
  <c r="J204" i="24"/>
  <c r="L204" i="24" s="1"/>
  <c r="H204" i="24"/>
  <c r="J203" i="24"/>
  <c r="L203" i="24" s="1"/>
  <c r="H203" i="24"/>
  <c r="J202" i="24"/>
  <c r="L202" i="24" s="1"/>
  <c r="H202" i="24"/>
  <c r="J201" i="24"/>
  <c r="L201" i="24" s="1"/>
  <c r="H201" i="24"/>
  <c r="J200" i="24"/>
  <c r="L200" i="24" s="1"/>
  <c r="H200" i="24"/>
  <c r="J199" i="24"/>
  <c r="L199" i="24" s="1"/>
  <c r="H199" i="24"/>
  <c r="J198" i="24"/>
  <c r="H198" i="24"/>
  <c r="J197" i="24"/>
  <c r="L197" i="24" s="1"/>
  <c r="H197" i="24"/>
  <c r="J196" i="24"/>
  <c r="H196" i="24"/>
  <c r="J195" i="24"/>
  <c r="L195" i="24" s="1"/>
  <c r="H195" i="24"/>
  <c r="J194" i="24"/>
  <c r="L194" i="24" s="1"/>
  <c r="H194" i="24"/>
  <c r="J193" i="24"/>
  <c r="L193" i="24" s="1"/>
  <c r="H193" i="24"/>
  <c r="J192" i="24"/>
  <c r="K192" i="24" s="1"/>
  <c r="H192" i="24"/>
  <c r="J191" i="24"/>
  <c r="L191" i="24" s="1"/>
  <c r="H191" i="24"/>
  <c r="G190" i="24"/>
  <c r="J190" i="24" s="1"/>
  <c r="G189" i="24"/>
  <c r="G188" i="24"/>
  <c r="J188" i="24" s="1"/>
  <c r="G187" i="24"/>
  <c r="J187" i="24" s="1"/>
  <c r="G186" i="24"/>
  <c r="G185" i="24"/>
  <c r="J185" i="24" s="1"/>
  <c r="G184" i="24"/>
  <c r="H184" i="24" s="1"/>
  <c r="G183" i="24"/>
  <c r="J183" i="24" s="1"/>
  <c r="G182" i="24"/>
  <c r="G181" i="24"/>
  <c r="G180" i="24"/>
  <c r="J180" i="24" s="1"/>
  <c r="L180" i="24" s="1"/>
  <c r="G179" i="24"/>
  <c r="J179" i="24" s="1"/>
  <c r="L179" i="24" s="1"/>
  <c r="G178" i="24"/>
  <c r="J177" i="24"/>
  <c r="L177" i="24" s="1"/>
  <c r="H177" i="24"/>
  <c r="J176" i="24"/>
  <c r="K176" i="24" s="1"/>
  <c r="H176" i="24"/>
  <c r="J175" i="24"/>
  <c r="K175" i="24" s="1"/>
  <c r="H175" i="24"/>
  <c r="J174" i="24"/>
  <c r="L174" i="24" s="1"/>
  <c r="H174" i="24"/>
  <c r="J173" i="24"/>
  <c r="H173" i="24"/>
  <c r="J172" i="24"/>
  <c r="L172" i="24" s="1"/>
  <c r="H172" i="24"/>
  <c r="J171" i="24"/>
  <c r="H171" i="24"/>
  <c r="J170" i="24"/>
  <c r="K170" i="24" s="1"/>
  <c r="H170" i="24"/>
  <c r="J169" i="24"/>
  <c r="K169" i="24" s="1"/>
  <c r="H169" i="24"/>
  <c r="J168" i="24"/>
  <c r="L168" i="24" s="1"/>
  <c r="H168" i="24"/>
  <c r="J167" i="24"/>
  <c r="H167" i="24"/>
  <c r="J166" i="24"/>
  <c r="K166" i="24" s="1"/>
  <c r="H166" i="24"/>
  <c r="J165" i="24"/>
  <c r="L165" i="24" s="1"/>
  <c r="H165" i="24"/>
  <c r="J164" i="24"/>
  <c r="H164" i="24"/>
  <c r="J163" i="24"/>
  <c r="L163" i="24" s="1"/>
  <c r="H163" i="24"/>
  <c r="J162" i="24"/>
  <c r="L162" i="24" s="1"/>
  <c r="H162" i="24"/>
  <c r="J161" i="24"/>
  <c r="L161" i="24" s="1"/>
  <c r="H161" i="24"/>
  <c r="J160" i="24"/>
  <c r="L160" i="24" s="1"/>
  <c r="H160" i="24"/>
  <c r="J159" i="24"/>
  <c r="K159" i="24" s="1"/>
  <c r="H159" i="24"/>
  <c r="J158" i="24"/>
  <c r="L158" i="24" s="1"/>
  <c r="H158" i="24"/>
  <c r="J157" i="24"/>
  <c r="H157" i="24"/>
  <c r="J156" i="24"/>
  <c r="K156" i="24" s="1"/>
  <c r="H156" i="24"/>
  <c r="J155" i="24"/>
  <c r="L155" i="24" s="1"/>
  <c r="H155" i="24"/>
  <c r="J154" i="24"/>
  <c r="L154" i="24" s="1"/>
  <c r="H154" i="24"/>
  <c r="J153" i="24"/>
  <c r="L153" i="24" s="1"/>
  <c r="H153" i="24"/>
  <c r="J152" i="24"/>
  <c r="H152" i="24"/>
  <c r="J151" i="24"/>
  <c r="K151" i="24" s="1"/>
  <c r="H151" i="24"/>
  <c r="J150" i="24"/>
  <c r="H150" i="24"/>
  <c r="J149" i="24"/>
  <c r="L149" i="24" s="1"/>
  <c r="H149" i="24"/>
  <c r="J148" i="24"/>
  <c r="H148" i="24"/>
  <c r="J147" i="24"/>
  <c r="K147" i="24" s="1"/>
  <c r="H147" i="24"/>
  <c r="J146" i="24"/>
  <c r="L146" i="24" s="1"/>
  <c r="H146" i="24"/>
  <c r="J145" i="24"/>
  <c r="L145" i="24" s="1"/>
  <c r="H145" i="24"/>
  <c r="J144" i="24"/>
  <c r="K144" i="24" s="1"/>
  <c r="H144" i="24"/>
  <c r="J143" i="24"/>
  <c r="L143" i="24" s="1"/>
  <c r="H143" i="24"/>
  <c r="J142" i="24"/>
  <c r="K142" i="24" s="1"/>
  <c r="H142" i="24"/>
  <c r="J141" i="24"/>
  <c r="L141" i="24" s="1"/>
  <c r="H141" i="24"/>
  <c r="J140" i="24"/>
  <c r="L140" i="24" s="1"/>
  <c r="H140" i="24"/>
  <c r="J139" i="24"/>
  <c r="K139" i="24" s="1"/>
  <c r="H139" i="24"/>
  <c r="J138" i="24"/>
  <c r="K138" i="24" s="1"/>
  <c r="H138" i="24"/>
  <c r="J137" i="24"/>
  <c r="L137" i="24" s="1"/>
  <c r="H137" i="24"/>
  <c r="J136" i="24"/>
  <c r="L136" i="24" s="1"/>
  <c r="H136" i="24"/>
  <c r="J135" i="24"/>
  <c r="K135" i="24" s="1"/>
  <c r="H135" i="24"/>
  <c r="J134" i="24"/>
  <c r="L134" i="24" s="1"/>
  <c r="H134" i="24"/>
  <c r="J133" i="24"/>
  <c r="H133" i="24"/>
  <c r="J132" i="24"/>
  <c r="L132" i="24" s="1"/>
  <c r="H132" i="24"/>
  <c r="J131" i="24"/>
  <c r="L131" i="24" s="1"/>
  <c r="H131" i="24"/>
  <c r="J130" i="24"/>
  <c r="K130" i="24" s="1"/>
  <c r="H130" i="24"/>
  <c r="J129" i="24"/>
  <c r="L129" i="24" s="1"/>
  <c r="H129" i="24"/>
  <c r="J128" i="24"/>
  <c r="H128" i="24"/>
  <c r="J127" i="24"/>
  <c r="L127" i="24" s="1"/>
  <c r="H127" i="24"/>
  <c r="J126" i="24"/>
  <c r="L126" i="24" s="1"/>
  <c r="H126" i="24"/>
  <c r="J125" i="24"/>
  <c r="H125" i="24"/>
  <c r="J124" i="24"/>
  <c r="L124" i="24" s="1"/>
  <c r="H124" i="24"/>
  <c r="J123" i="24"/>
  <c r="H123" i="24"/>
  <c r="J122" i="24"/>
  <c r="L122" i="24" s="1"/>
  <c r="H122" i="24"/>
  <c r="J121" i="24"/>
  <c r="K121" i="24" s="1"/>
  <c r="H121" i="24"/>
  <c r="J120" i="24"/>
  <c r="L120" i="24" s="1"/>
  <c r="H120" i="24"/>
  <c r="J119" i="24"/>
  <c r="L119" i="24" s="1"/>
  <c r="H119" i="24"/>
  <c r="J118" i="24"/>
  <c r="H118" i="24"/>
  <c r="J117" i="24"/>
  <c r="K117" i="24" s="1"/>
  <c r="H117" i="24"/>
  <c r="J116" i="24"/>
  <c r="L116" i="24" s="1"/>
  <c r="H116" i="24"/>
  <c r="J115" i="24"/>
  <c r="K115" i="24" s="1"/>
  <c r="H115" i="24"/>
  <c r="J114" i="24"/>
  <c r="L114" i="24" s="1"/>
  <c r="H114" i="24"/>
  <c r="J113" i="24"/>
  <c r="H113" i="24"/>
  <c r="J112" i="24"/>
  <c r="L112" i="24" s="1"/>
  <c r="H112" i="24"/>
  <c r="J111" i="24"/>
  <c r="H111" i="24"/>
  <c r="J110" i="24"/>
  <c r="L110" i="24" s="1"/>
  <c r="H110" i="24"/>
  <c r="J109" i="24"/>
  <c r="H109" i="24"/>
  <c r="J108" i="24"/>
  <c r="K108" i="24" s="1"/>
  <c r="H108" i="24"/>
  <c r="J107" i="24"/>
  <c r="L107" i="24" s="1"/>
  <c r="H107" i="24"/>
  <c r="J106" i="24"/>
  <c r="H106" i="24"/>
  <c r="J105" i="24"/>
  <c r="L105" i="24" s="1"/>
  <c r="H105" i="24"/>
  <c r="J104" i="24"/>
  <c r="L104" i="24" s="1"/>
  <c r="H104" i="24"/>
  <c r="J103" i="24"/>
  <c r="L103" i="24" s="1"/>
  <c r="H103" i="24"/>
  <c r="J102" i="24"/>
  <c r="K102" i="24" s="1"/>
  <c r="H102" i="24"/>
  <c r="J101" i="24"/>
  <c r="H101" i="24"/>
  <c r="J100" i="24"/>
  <c r="H100" i="24"/>
  <c r="J99" i="24"/>
  <c r="L99" i="24" s="1"/>
  <c r="H99" i="24"/>
  <c r="J98" i="24"/>
  <c r="L98" i="24" s="1"/>
  <c r="H98" i="24"/>
  <c r="J97" i="24"/>
  <c r="H97" i="24"/>
  <c r="J96" i="24"/>
  <c r="K96" i="24" s="1"/>
  <c r="H96" i="24"/>
  <c r="J95" i="24"/>
  <c r="L95" i="24" s="1"/>
  <c r="H95" i="24"/>
  <c r="J94" i="24"/>
  <c r="K94" i="24" s="1"/>
  <c r="H94" i="24"/>
  <c r="J93" i="24"/>
  <c r="K93" i="24" s="1"/>
  <c r="H93" i="24"/>
  <c r="J92" i="24"/>
  <c r="H92" i="24"/>
  <c r="J91" i="24"/>
  <c r="L91" i="24" s="1"/>
  <c r="H91" i="24"/>
  <c r="J90" i="24"/>
  <c r="L90" i="24" s="1"/>
  <c r="H90" i="24"/>
  <c r="J89" i="24"/>
  <c r="L89" i="24" s="1"/>
  <c r="H89" i="24"/>
  <c r="J88" i="24"/>
  <c r="H88" i="24"/>
  <c r="J87" i="24"/>
  <c r="H87" i="24"/>
  <c r="J86" i="24"/>
  <c r="L86" i="24" s="1"/>
  <c r="H86" i="24"/>
  <c r="J85" i="24"/>
  <c r="K85" i="24" s="1"/>
  <c r="H85" i="24"/>
  <c r="J84" i="24"/>
  <c r="K84" i="24" s="1"/>
  <c r="H84" i="24"/>
  <c r="J83" i="24"/>
  <c r="L83" i="24" s="1"/>
  <c r="H83" i="24"/>
  <c r="J82" i="24"/>
  <c r="L82" i="24" s="1"/>
  <c r="H82" i="24"/>
  <c r="J81" i="24"/>
  <c r="K81" i="24" s="1"/>
  <c r="H81" i="24"/>
  <c r="J80" i="24"/>
  <c r="L80" i="24" s="1"/>
  <c r="H80" i="24"/>
  <c r="J79" i="24"/>
  <c r="K79" i="24" s="1"/>
  <c r="H79" i="24"/>
  <c r="J78" i="24"/>
  <c r="L78" i="24" s="1"/>
  <c r="H78" i="24"/>
  <c r="J77" i="24"/>
  <c r="H77" i="24"/>
  <c r="J76" i="24"/>
  <c r="L76" i="24" s="1"/>
  <c r="H76" i="24"/>
  <c r="J75" i="24"/>
  <c r="H75" i="24"/>
  <c r="J74" i="24"/>
  <c r="L74" i="24" s="1"/>
  <c r="H74" i="24"/>
  <c r="J73" i="24"/>
  <c r="K73" i="24" s="1"/>
  <c r="H73" i="24"/>
  <c r="J72" i="24"/>
  <c r="K72" i="24" s="1"/>
  <c r="H72" i="24"/>
  <c r="J71" i="24"/>
  <c r="L71" i="24" s="1"/>
  <c r="H71" i="24"/>
  <c r="J70" i="24"/>
  <c r="K70" i="24" s="1"/>
  <c r="H70" i="24"/>
  <c r="J69" i="24"/>
  <c r="L69" i="24" s="1"/>
  <c r="H69" i="24"/>
  <c r="J68" i="24"/>
  <c r="L68" i="24" s="1"/>
  <c r="H68" i="24"/>
  <c r="J67" i="24"/>
  <c r="L67" i="24" s="1"/>
  <c r="H67" i="24"/>
  <c r="J66" i="24"/>
  <c r="H66" i="24"/>
  <c r="J65" i="24"/>
  <c r="H65" i="24"/>
  <c r="J64" i="24"/>
  <c r="K64" i="24" s="1"/>
  <c r="H64" i="24"/>
  <c r="J63" i="24"/>
  <c r="K63" i="24" s="1"/>
  <c r="H63" i="24"/>
  <c r="J62" i="24"/>
  <c r="L62" i="24" s="1"/>
  <c r="H62" i="24"/>
  <c r="J61" i="24"/>
  <c r="L61" i="24" s="1"/>
  <c r="H61" i="24"/>
  <c r="J60" i="24"/>
  <c r="L60" i="24" s="1"/>
  <c r="H60" i="24"/>
  <c r="J59" i="24"/>
  <c r="L59" i="24" s="1"/>
  <c r="H59" i="24"/>
  <c r="J58" i="24"/>
  <c r="L58" i="24" s="1"/>
  <c r="H58" i="24"/>
  <c r="J57" i="24"/>
  <c r="K57" i="24" s="1"/>
  <c r="H57" i="24"/>
  <c r="J56" i="24"/>
  <c r="H56" i="24"/>
  <c r="J55" i="24"/>
  <c r="L55" i="24" s="1"/>
  <c r="H55" i="24"/>
  <c r="J54" i="24"/>
  <c r="L54" i="24" s="1"/>
  <c r="H54" i="24"/>
  <c r="J53" i="24"/>
  <c r="L53" i="24" s="1"/>
  <c r="H53" i="24"/>
  <c r="J52" i="24"/>
  <c r="H52" i="24"/>
  <c r="J51" i="24"/>
  <c r="K51" i="24" s="1"/>
  <c r="H51" i="24"/>
  <c r="J50" i="24"/>
  <c r="L50" i="24" s="1"/>
  <c r="H50" i="24"/>
  <c r="J49" i="24"/>
  <c r="K49" i="24" s="1"/>
  <c r="H49" i="24"/>
  <c r="J48" i="24"/>
  <c r="H48" i="24"/>
  <c r="J47" i="24"/>
  <c r="L47" i="24" s="1"/>
  <c r="H47" i="24"/>
  <c r="J46" i="24"/>
  <c r="L46" i="24" s="1"/>
  <c r="H46" i="24"/>
  <c r="J45" i="24"/>
  <c r="K45" i="24" s="1"/>
  <c r="H45" i="24"/>
  <c r="J44" i="24"/>
  <c r="L44" i="24" s="1"/>
  <c r="H44" i="24"/>
  <c r="J43" i="24"/>
  <c r="H43" i="24"/>
  <c r="J42" i="24"/>
  <c r="K42" i="24" s="1"/>
  <c r="H42" i="24"/>
  <c r="J41" i="24"/>
  <c r="H41" i="24"/>
  <c r="J40" i="24"/>
  <c r="L40" i="24" s="1"/>
  <c r="H40" i="24"/>
  <c r="J39" i="24"/>
  <c r="L39" i="24" s="1"/>
  <c r="H39" i="24"/>
  <c r="J38" i="24"/>
  <c r="K38" i="24" s="1"/>
  <c r="H38" i="24"/>
  <c r="J37" i="24"/>
  <c r="H37" i="24"/>
  <c r="J36" i="24"/>
  <c r="L36" i="24" s="1"/>
  <c r="H36" i="24"/>
  <c r="J35" i="24"/>
  <c r="K35" i="24" s="1"/>
  <c r="H35" i="24"/>
  <c r="J34" i="24"/>
  <c r="L34" i="24" s="1"/>
  <c r="H34" i="24"/>
  <c r="J33" i="24"/>
  <c r="L33" i="24" s="1"/>
  <c r="H33" i="24"/>
  <c r="J32" i="24"/>
  <c r="K32" i="24" s="1"/>
  <c r="H32" i="24"/>
  <c r="J31" i="24"/>
  <c r="L31" i="24" s="1"/>
  <c r="H31" i="24"/>
  <c r="J30" i="24"/>
  <c r="L30" i="24" s="1"/>
  <c r="H30" i="24"/>
  <c r="J29" i="24"/>
  <c r="K29" i="24" s="1"/>
  <c r="H29" i="24"/>
  <c r="J28" i="24"/>
  <c r="L28" i="24" s="1"/>
  <c r="H28" i="24"/>
  <c r="J27" i="24"/>
  <c r="L27" i="24" s="1"/>
  <c r="H27" i="24"/>
  <c r="J26" i="24"/>
  <c r="K26" i="24" s="1"/>
  <c r="H26" i="24"/>
  <c r="J25" i="24"/>
  <c r="K25" i="24" s="1"/>
  <c r="H25" i="24"/>
  <c r="J24" i="24"/>
  <c r="L24" i="24" s="1"/>
  <c r="H24" i="24"/>
  <c r="J23" i="24"/>
  <c r="K23" i="24" s="1"/>
  <c r="H23" i="24"/>
  <c r="J22" i="24"/>
  <c r="H22" i="24"/>
  <c r="J21" i="24"/>
  <c r="L21" i="24" s="1"/>
  <c r="H21" i="24"/>
  <c r="J20" i="24"/>
  <c r="K20" i="24" s="1"/>
  <c r="H20" i="24"/>
  <c r="J19" i="24"/>
  <c r="K19" i="24" s="1"/>
  <c r="H19" i="24"/>
  <c r="J18" i="24"/>
  <c r="L18" i="24" s="1"/>
  <c r="H18" i="24"/>
  <c r="J17" i="24"/>
  <c r="K17" i="24" s="1"/>
  <c r="H17" i="24"/>
  <c r="J16" i="24"/>
  <c r="K16" i="24" s="1"/>
  <c r="H16" i="24"/>
  <c r="J15" i="24"/>
  <c r="L15" i="24" s="1"/>
  <c r="H15" i="24"/>
  <c r="J14" i="24"/>
  <c r="K14" i="24" s="1"/>
  <c r="H14" i="24"/>
  <c r="J13" i="24"/>
  <c r="L13" i="24" s="1"/>
  <c r="H13" i="24"/>
  <c r="J12" i="24"/>
  <c r="L12" i="24" s="1"/>
  <c r="H12" i="24"/>
  <c r="J11" i="24"/>
  <c r="K11" i="24" s="1"/>
  <c r="H11" i="24"/>
  <c r="J10" i="24"/>
  <c r="K10" i="24" s="1"/>
  <c r="H10" i="24"/>
  <c r="J9" i="24"/>
  <c r="L9" i="24" s="1"/>
  <c r="H9" i="24"/>
  <c r="J8" i="24"/>
  <c r="K8" i="24" s="1"/>
  <c r="H8" i="24"/>
  <c r="J7" i="24"/>
  <c r="L7" i="24" s="1"/>
  <c r="H7" i="24"/>
  <c r="J6" i="24"/>
  <c r="L6" i="24" s="1"/>
  <c r="H6" i="24"/>
  <c r="J5" i="24"/>
  <c r="K5" i="24" s="1"/>
  <c r="H5" i="24"/>
  <c r="J4" i="24"/>
  <c r="L4" i="24" s="1"/>
  <c r="H4" i="24"/>
  <c r="K369" i="24" l="1"/>
  <c r="L789" i="24"/>
  <c r="L219" i="24"/>
  <c r="K243" i="24"/>
  <c r="K628" i="24"/>
  <c r="L721" i="24"/>
  <c r="L527" i="24"/>
  <c r="K501" i="24"/>
  <c r="L764" i="24"/>
  <c r="K40" i="24"/>
  <c r="L306" i="24"/>
  <c r="L277" i="24"/>
  <c r="K112" i="24"/>
  <c r="L404" i="24"/>
  <c r="L716" i="24"/>
  <c r="L516" i="24"/>
  <c r="K598" i="24"/>
  <c r="K67" i="24"/>
  <c r="L16" i="24"/>
  <c r="K818" i="24"/>
  <c r="K105" i="24"/>
  <c r="L399" i="24"/>
  <c r="K839" i="24"/>
  <c r="K61" i="24"/>
  <c r="K529" i="24"/>
  <c r="K317" i="24"/>
  <c r="K74" i="24"/>
  <c r="K430" i="24"/>
  <c r="L228" i="24"/>
  <c r="K520" i="24"/>
  <c r="K636" i="24"/>
  <c r="K809" i="24"/>
  <c r="K289" i="24"/>
  <c r="K434" i="24"/>
  <c r="L560" i="24"/>
  <c r="H749" i="24"/>
  <c r="L831" i="24"/>
  <c r="K643" i="24"/>
  <c r="L70" i="24"/>
  <c r="L367" i="24"/>
  <c r="K531" i="24"/>
  <c r="K542" i="24"/>
  <c r="L615" i="24"/>
  <c r="J669" i="24"/>
  <c r="L669" i="24" s="1"/>
  <c r="L738" i="24"/>
  <c r="H744" i="24"/>
  <c r="L780" i="24"/>
  <c r="K837" i="24"/>
  <c r="L647" i="24"/>
  <c r="L719" i="24"/>
  <c r="L577" i="24"/>
  <c r="L263" i="24"/>
  <c r="K509" i="24"/>
  <c r="K380" i="24"/>
  <c r="L752" i="24"/>
  <c r="L769" i="24"/>
  <c r="L401" i="24"/>
  <c r="K836" i="24"/>
  <c r="L337" i="24"/>
  <c r="K436" i="24"/>
  <c r="L94" i="24"/>
  <c r="L270" i="24"/>
  <c r="L441" i="24"/>
  <c r="K201" i="24"/>
  <c r="L299" i="24"/>
  <c r="L711" i="24"/>
  <c r="K727" i="24"/>
  <c r="L301" i="24"/>
  <c r="L685" i="24"/>
  <c r="K483" i="24"/>
  <c r="K543" i="24"/>
  <c r="K554" i="24"/>
  <c r="L608" i="24"/>
  <c r="K656" i="24"/>
  <c r="K706" i="24"/>
  <c r="K844" i="24"/>
  <c r="L813" i="24"/>
  <c r="K875" i="24"/>
  <c r="L144" i="24"/>
  <c r="L551" i="24"/>
  <c r="K475" i="24"/>
  <c r="K478" i="24"/>
  <c r="K410" i="24"/>
  <c r="L410" i="24"/>
  <c r="K521" i="24"/>
  <c r="L521" i="24"/>
  <c r="K852" i="24"/>
  <c r="L852" i="24"/>
  <c r="L51" i="24"/>
  <c r="K500" i="24"/>
  <c r="K46" i="24"/>
  <c r="L57" i="24"/>
  <c r="L371" i="24"/>
  <c r="K371" i="24"/>
  <c r="K177" i="24"/>
  <c r="L188" i="24"/>
  <c r="K188" i="24"/>
  <c r="K360" i="24"/>
  <c r="L360" i="24"/>
  <c r="K583" i="24"/>
  <c r="K712" i="24"/>
  <c r="L166" i="24"/>
  <c r="K292" i="24"/>
  <c r="K578" i="24"/>
  <c r="L196" i="24"/>
  <c r="K196" i="24"/>
  <c r="K343" i="24"/>
  <c r="L479" i="24"/>
  <c r="K479" i="24"/>
  <c r="L703" i="24"/>
  <c r="L708" i="24"/>
  <c r="K723" i="24"/>
  <c r="L723" i="24"/>
  <c r="K282" i="24"/>
  <c r="J571" i="24"/>
  <c r="L571" i="24" s="1"/>
  <c r="H571" i="24"/>
  <c r="K637" i="24"/>
  <c r="L817" i="24"/>
  <c r="L822" i="24"/>
  <c r="L828" i="24"/>
  <c r="K828" i="24"/>
  <c r="L469" i="24"/>
  <c r="K469" i="24"/>
  <c r="K565" i="24"/>
  <c r="L565" i="24"/>
  <c r="K644" i="24"/>
  <c r="L644" i="24"/>
  <c r="K675" i="24"/>
  <c r="L675" i="24"/>
  <c r="L261" i="24"/>
  <c r="K420" i="24"/>
  <c r="L420" i="24"/>
  <c r="K539" i="24"/>
  <c r="K530" i="24"/>
  <c r="K534" i="24"/>
  <c r="L550" i="24"/>
  <c r="K550" i="24"/>
  <c r="L797" i="24"/>
  <c r="L262" i="24"/>
  <c r="K262" i="24"/>
  <c r="L432" i="24"/>
  <c r="L886" i="24"/>
  <c r="K71" i="24"/>
  <c r="K82" i="24"/>
  <c r="K257" i="24"/>
  <c r="L257" i="24"/>
  <c r="L447" i="24"/>
  <c r="K447" i="24"/>
  <c r="L593" i="24"/>
  <c r="K593" i="24"/>
  <c r="K774" i="24"/>
  <c r="L589" i="24"/>
  <c r="K589" i="24"/>
  <c r="K145" i="24"/>
  <c r="L156" i="24"/>
  <c r="L464" i="24"/>
  <c r="K512" i="24"/>
  <c r="K620" i="24"/>
  <c r="L793" i="24"/>
  <c r="K798" i="24"/>
  <c r="L824" i="24"/>
  <c r="K824" i="24"/>
  <c r="L882" i="24"/>
  <c r="L25" i="24"/>
  <c r="K384" i="24"/>
  <c r="K396" i="24"/>
  <c r="L396" i="24"/>
  <c r="K497" i="24"/>
  <c r="K590" i="24"/>
  <c r="L590" i="24"/>
  <c r="K9" i="24"/>
  <c r="H182" i="24"/>
  <c r="J182" i="24"/>
  <c r="L182" i="24" s="1"/>
  <c r="K518" i="24"/>
  <c r="K603" i="24"/>
  <c r="L776" i="24"/>
  <c r="K4" i="24"/>
  <c r="K43" i="24"/>
  <c r="L43" i="24"/>
  <c r="L130" i="24"/>
  <c r="K269" i="24"/>
  <c r="K274" i="24"/>
  <c r="K412" i="24"/>
  <c r="K455" i="24"/>
  <c r="L460" i="24"/>
  <c r="K460" i="24"/>
  <c r="K471" i="24"/>
  <c r="L471" i="24"/>
  <c r="L596" i="24"/>
  <c r="K700" i="24"/>
  <c r="L772" i="24"/>
  <c r="K849" i="24"/>
  <c r="K119" i="24"/>
  <c r="L389" i="24"/>
  <c r="K389" i="24"/>
  <c r="K545" i="24"/>
  <c r="L545" i="24"/>
  <c r="L650" i="24"/>
  <c r="K650" i="24"/>
  <c r="L63" i="24"/>
  <c r="L236" i="24"/>
  <c r="L252" i="24"/>
  <c r="L316" i="24"/>
  <c r="K316" i="24"/>
  <c r="L448" i="24"/>
  <c r="K448" i="24"/>
  <c r="L14" i="24"/>
  <c r="L37" i="24"/>
  <c r="K37" i="24"/>
  <c r="K242" i="24"/>
  <c r="K379" i="24"/>
  <c r="L459" i="24"/>
  <c r="L470" i="24"/>
  <c r="K470" i="24"/>
  <c r="K556" i="24"/>
  <c r="K566" i="24"/>
  <c r="L566" i="24"/>
  <c r="L632" i="24"/>
  <c r="K632" i="24"/>
  <c r="K731" i="24"/>
  <c r="L731" i="24"/>
  <c r="L135" i="24"/>
  <c r="L284" i="24"/>
  <c r="K374" i="24"/>
  <c r="K561" i="24"/>
  <c r="K613" i="24"/>
  <c r="L641" i="24"/>
  <c r="K641" i="24"/>
  <c r="K794" i="24"/>
  <c r="L794" i="24"/>
  <c r="L108" i="24"/>
  <c r="L125" i="24"/>
  <c r="K125" i="24"/>
  <c r="K397" i="24"/>
  <c r="L482" i="24"/>
  <c r="K493" i="24"/>
  <c r="K557" i="24"/>
  <c r="K614" i="24"/>
  <c r="L635" i="24"/>
  <c r="K635" i="24"/>
  <c r="L800" i="24"/>
  <c r="K800" i="24"/>
  <c r="L835" i="24"/>
  <c r="K867" i="24"/>
  <c r="L867" i="24"/>
  <c r="K86" i="24"/>
  <c r="L147" i="24"/>
  <c r="K210" i="24"/>
  <c r="K216" i="24"/>
  <c r="L216" i="24"/>
  <c r="L413" i="24"/>
  <c r="K413" i="24"/>
  <c r="K519" i="24"/>
  <c r="K653" i="24"/>
  <c r="L653" i="24"/>
  <c r="J667" i="24"/>
  <c r="K667" i="24" s="1"/>
  <c r="L773" i="24"/>
  <c r="K773" i="24"/>
  <c r="K826" i="24"/>
  <c r="K109" i="24"/>
  <c r="L109" i="24"/>
  <c r="L324" i="24"/>
  <c r="K408" i="24"/>
  <c r="L456" i="24"/>
  <c r="K456" i="24"/>
  <c r="L533" i="24"/>
  <c r="L745" i="24"/>
  <c r="L757" i="24"/>
  <c r="K811" i="24"/>
  <c r="L840" i="24"/>
  <c r="K850" i="24"/>
  <c r="L885" i="24"/>
  <c r="K885" i="24"/>
  <c r="H180" i="24"/>
  <c r="K233" i="24"/>
  <c r="K248" i="24"/>
  <c r="L293" i="24"/>
  <c r="L309" i="24"/>
  <c r="L353" i="24"/>
  <c r="L452" i="24"/>
  <c r="L494" i="24"/>
  <c r="L584" i="24"/>
  <c r="K640" i="24"/>
  <c r="L649" i="24"/>
  <c r="L704" i="24"/>
  <c r="L758" i="24"/>
  <c r="L804" i="24"/>
  <c r="K846" i="24"/>
  <c r="L873" i="24"/>
  <c r="K13" i="24"/>
  <c r="K34" i="24"/>
  <c r="L64" i="24"/>
  <c r="K95" i="24"/>
  <c r="L138" i="24"/>
  <c r="L170" i="24"/>
  <c r="K202" i="24"/>
  <c r="K240" i="24"/>
  <c r="K260" i="24"/>
  <c r="L333" i="24"/>
  <c r="K386" i="24"/>
  <c r="K426" i="24"/>
  <c r="K431" i="24"/>
  <c r="K458" i="24"/>
  <c r="K491" i="24"/>
  <c r="K505" i="24"/>
  <c r="K524" i="24"/>
  <c r="K564" i="24"/>
  <c r="L595" i="24"/>
  <c r="L610" i="24"/>
  <c r="K617" i="24"/>
  <c r="L627" i="24"/>
  <c r="J668" i="24"/>
  <c r="L668" i="24" s="1"/>
  <c r="L673" i="24"/>
  <c r="L755" i="24"/>
  <c r="K765" i="24"/>
  <c r="L790" i="24"/>
  <c r="L796" i="24"/>
  <c r="K810" i="24"/>
  <c r="L858" i="24"/>
  <c r="L29" i="24"/>
  <c r="L117" i="24"/>
  <c r="K154" i="24"/>
  <c r="K208" i="24"/>
  <c r="K250" i="24"/>
  <c r="L344" i="24"/>
  <c r="L468" i="24"/>
  <c r="L696" i="24"/>
  <c r="L106" i="24"/>
  <c r="K106" i="24"/>
  <c r="L308" i="24"/>
  <c r="K308" i="24"/>
  <c r="L605" i="24"/>
  <c r="K605" i="24"/>
  <c r="J189" i="24"/>
  <c r="K189" i="24" s="1"/>
  <c r="H189" i="24"/>
  <c r="L22" i="24"/>
  <c r="K22" i="24"/>
  <c r="H181" i="24"/>
  <c r="J181" i="24"/>
  <c r="L48" i="24"/>
  <c r="K48" i="24"/>
  <c r="L253" i="24"/>
  <c r="K253" i="24"/>
  <c r="L148" i="24"/>
  <c r="K148" i="24"/>
  <c r="L465" i="24"/>
  <c r="K465" i="24"/>
  <c r="L283" i="24"/>
  <c r="K283" i="24"/>
  <c r="L198" i="24"/>
  <c r="K198" i="24"/>
  <c r="L225" i="24"/>
  <c r="K225" i="24"/>
  <c r="L359" i="24"/>
  <c r="K359" i="24"/>
  <c r="L118" i="24"/>
  <c r="K118" i="24"/>
  <c r="K245" i="24"/>
  <c r="L563" i="24"/>
  <c r="K563" i="24"/>
  <c r="K66" i="24"/>
  <c r="L66" i="24"/>
  <c r="L97" i="24"/>
  <c r="K97" i="24"/>
  <c r="J186" i="24"/>
  <c r="H186" i="24"/>
  <c r="L187" i="24"/>
  <c r="K187" i="24"/>
  <c r="K338" i="24"/>
  <c r="L338" i="24"/>
  <c r="K237" i="24"/>
  <c r="L271" i="24"/>
  <c r="K271" i="24"/>
  <c r="L328" i="24"/>
  <c r="K328" i="24"/>
  <c r="L10" i="24"/>
  <c r="L84" i="24"/>
  <c r="K7" i="24"/>
  <c r="L19" i="24"/>
  <c r="K28" i="24"/>
  <c r="L307" i="24"/>
  <c r="K307" i="24"/>
  <c r="L121" i="24"/>
  <c r="K126" i="24"/>
  <c r="L139" i="24"/>
  <c r="K161" i="24"/>
  <c r="L175" i="24"/>
  <c r="H185" i="24"/>
  <c r="L206" i="24"/>
  <c r="K214" i="24"/>
  <c r="K266" i="24"/>
  <c r="K290" i="24"/>
  <c r="L312" i="24"/>
  <c r="K348" i="24"/>
  <c r="L348" i="24"/>
  <c r="L363" i="24"/>
  <c r="K368" i="24"/>
  <c r="K439" i="24"/>
  <c r="L506" i="24"/>
  <c r="K506" i="24"/>
  <c r="K532" i="24"/>
  <c r="K536" i="24"/>
  <c r="K677" i="24"/>
  <c r="L677" i="24"/>
  <c r="L748" i="24"/>
  <c r="K748" i="24"/>
  <c r="K801" i="24"/>
  <c r="K863" i="24"/>
  <c r="L488" i="24"/>
  <c r="K488" i="24"/>
  <c r="L630" i="24"/>
  <c r="K630" i="24"/>
  <c r="K114" i="24"/>
  <c r="K127" i="24"/>
  <c r="K140" i="24"/>
  <c r="K153" i="24"/>
  <c r="K162" i="24"/>
  <c r="K194" i="24"/>
  <c r="K211" i="24"/>
  <c r="K287" i="24"/>
  <c r="K304" i="24"/>
  <c r="L398" i="24"/>
  <c r="K398" i="24"/>
  <c r="K498" i="24"/>
  <c r="K555" i="24"/>
  <c r="L567" i="24"/>
  <c r="K567" i="24"/>
  <c r="L606" i="24"/>
  <c r="K606" i="24"/>
  <c r="K621" i="24"/>
  <c r="K664" i="24"/>
  <c r="L788" i="24"/>
  <c r="K27" i="24"/>
  <c r="K31" i="24"/>
  <c r="K53" i="24"/>
  <c r="K80" i="24"/>
  <c r="L102" i="24"/>
  <c r="K110" i="24"/>
  <c r="K132" i="24"/>
  <c r="K172" i="24"/>
  <c r="H190" i="24"/>
  <c r="K230" i="24"/>
  <c r="K234" i="24"/>
  <c r="K259" i="24"/>
  <c r="K296" i="24"/>
  <c r="K300" i="24"/>
  <c r="L314" i="24"/>
  <c r="K314" i="24"/>
  <c r="K334" i="24"/>
  <c r="K355" i="24"/>
  <c r="K394" i="24"/>
  <c r="K422" i="24"/>
  <c r="K427" i="24"/>
  <c r="K453" i="24"/>
  <c r="K461" i="24"/>
  <c r="K580" i="24"/>
  <c r="L659" i="24"/>
  <c r="L715" i="24"/>
  <c r="K725" i="24"/>
  <c r="L725" i="24"/>
  <c r="L778" i="24"/>
  <c r="K881" i="24"/>
  <c r="J276" i="24"/>
  <c r="K319" i="24"/>
  <c r="L319" i="24"/>
  <c r="L49" i="24"/>
  <c r="K59" i="24"/>
  <c r="K76" i="24"/>
  <c r="K89" i="24"/>
  <c r="K107" i="24"/>
  <c r="K137" i="24"/>
  <c r="K149" i="24"/>
  <c r="H187" i="24"/>
  <c r="K204" i="24"/>
  <c r="K212" i="24"/>
  <c r="K238" i="24"/>
  <c r="L246" i="24"/>
  <c r="H276" i="24"/>
  <c r="L280" i="24"/>
  <c r="K449" i="24"/>
  <c r="L484" i="24"/>
  <c r="K484" i="24"/>
  <c r="L552" i="24"/>
  <c r="K552" i="24"/>
  <c r="L702" i="24"/>
  <c r="L770" i="24"/>
  <c r="L808" i="24"/>
  <c r="L855" i="24"/>
  <c r="K855" i="24"/>
  <c r="L390" i="24"/>
  <c r="K390" i="24"/>
  <c r="L495" i="24"/>
  <c r="K495" i="24"/>
  <c r="L658" i="24"/>
  <c r="K658" i="24"/>
  <c r="L45" i="24"/>
  <c r="L11" i="24"/>
  <c r="L32" i="24"/>
  <c r="L72" i="24"/>
  <c r="L81" i="24"/>
  <c r="L85" i="24"/>
  <c r="K99" i="24"/>
  <c r="K120" i="24"/>
  <c r="L142" i="24"/>
  <c r="L169" i="24"/>
  <c r="J178" i="24"/>
  <c r="L178" i="24" s="1"/>
  <c r="H183" i="24"/>
  <c r="K191" i="24"/>
  <c r="K209" i="24"/>
  <c r="K235" i="24"/>
  <c r="K297" i="24"/>
  <c r="L320" i="24"/>
  <c r="L352" i="24"/>
  <c r="K352" i="24"/>
  <c r="L446" i="24"/>
  <c r="K446" i="24"/>
  <c r="K476" i="24"/>
  <c r="K548" i="24"/>
  <c r="K698" i="24"/>
  <c r="L698" i="24"/>
  <c r="L326" i="24"/>
  <c r="K326" i="24"/>
  <c r="K693" i="24"/>
  <c r="L693" i="24"/>
  <c r="K69" i="24"/>
  <c r="J184" i="24"/>
  <c r="K184" i="24" s="1"/>
  <c r="H188" i="24"/>
  <c r="K218" i="24"/>
  <c r="K223" i="24"/>
  <c r="K232" i="24"/>
  <c r="K285" i="24"/>
  <c r="K372" i="24"/>
  <c r="K377" i="24"/>
  <c r="L377" i="24"/>
  <c r="K414" i="24"/>
  <c r="L414" i="24"/>
  <c r="K587" i="24"/>
  <c r="L611" i="24"/>
  <c r="K611" i="24"/>
  <c r="K767" i="24"/>
  <c r="J747" i="24"/>
  <c r="L747" i="24" s="1"/>
  <c r="H747" i="24"/>
  <c r="L868" i="24"/>
  <c r="K868" i="24"/>
  <c r="L311" i="24"/>
  <c r="L336" i="24"/>
  <c r="K350" i="24"/>
  <c r="L358" i="24"/>
  <c r="L416" i="24"/>
  <c r="L429" i="24"/>
  <c r="L444" i="24"/>
  <c r="L467" i="24"/>
  <c r="L486" i="24"/>
  <c r="K490" i="24"/>
  <c r="K547" i="24"/>
  <c r="K570" i="24"/>
  <c r="L575" i="24"/>
  <c r="L586" i="24"/>
  <c r="K663" i="24"/>
  <c r="L671" i="24"/>
  <c r="L714" i="24"/>
  <c r="K753" i="24"/>
  <c r="L762" i="24"/>
  <c r="L781" i="24"/>
  <c r="K792" i="24"/>
  <c r="K819" i="24"/>
  <c r="K832" i="24"/>
  <c r="K845" i="24"/>
  <c r="L871" i="24"/>
  <c r="K514" i="24"/>
  <c r="L660" i="24"/>
  <c r="L707" i="24"/>
  <c r="L751" i="24"/>
  <c r="K759" i="24"/>
  <c r="L771" i="24"/>
  <c r="L775" i="24"/>
  <c r="L779" i="24"/>
  <c r="K821" i="24"/>
  <c r="L834" i="24"/>
  <c r="L365" i="24"/>
  <c r="K395" i="24"/>
  <c r="K402" i="24"/>
  <c r="K411" i="24"/>
  <c r="K428" i="24"/>
  <c r="K443" i="24"/>
  <c r="K473" i="24"/>
  <c r="K503" i="24"/>
  <c r="K537" i="24"/>
  <c r="K572" i="24"/>
  <c r="K574" i="24"/>
  <c r="K581" i="24"/>
  <c r="K592" i="24"/>
  <c r="K607" i="24"/>
  <c r="L612" i="24"/>
  <c r="L678" i="24"/>
  <c r="H748" i="24"/>
  <c r="K768" i="24"/>
  <c r="L802" i="24"/>
  <c r="K806" i="24"/>
  <c r="K856" i="24"/>
  <c r="L865" i="24"/>
  <c r="K869" i="24"/>
  <c r="K322" i="24"/>
  <c r="K335" i="24"/>
  <c r="L387" i="24"/>
  <c r="K391" i="24"/>
  <c r="K415" i="24"/>
  <c r="K424" i="24"/>
  <c r="K466" i="24"/>
  <c r="K485" i="24"/>
  <c r="K496" i="24"/>
  <c r="K507" i="24"/>
  <c r="K511" i="24"/>
  <c r="K515" i="24"/>
  <c r="K601" i="24"/>
  <c r="L618" i="24"/>
  <c r="K626" i="24"/>
  <c r="L310" i="24"/>
  <c r="L331" i="24"/>
  <c r="L361" i="24"/>
  <c r="K489" i="24"/>
  <c r="K633" i="24"/>
  <c r="K679" i="24"/>
  <c r="K803" i="24"/>
  <c r="K814" i="24"/>
  <c r="K827" i="24"/>
  <c r="K857" i="24"/>
  <c r="K862" i="24"/>
  <c r="K880" i="24"/>
  <c r="L327" i="24"/>
  <c r="K340" i="24"/>
  <c r="L392" i="24"/>
  <c r="L88" i="24"/>
  <c r="K88" i="24"/>
  <c r="L251" i="24"/>
  <c r="K294" i="24"/>
  <c r="L321" i="24"/>
  <c r="K58" i="24"/>
  <c r="L77" i="24"/>
  <c r="K77" i="24"/>
  <c r="L93" i="24"/>
  <c r="K220" i="24"/>
  <c r="K244" i="24"/>
  <c r="L346" i="24"/>
  <c r="K346" i="24"/>
  <c r="L362" i="24"/>
  <c r="K492" i="24"/>
  <c r="K502" i="24"/>
  <c r="K670" i="24"/>
  <c r="K21" i="24"/>
  <c r="K39" i="24"/>
  <c r="K50" i="24"/>
  <c r="L73" i="24"/>
  <c r="L101" i="24"/>
  <c r="K101" i="24"/>
  <c r="K129" i="24"/>
  <c r="L264" i="24"/>
  <c r="L275" i="24"/>
  <c r="K275" i="24"/>
  <c r="K291" i="24"/>
  <c r="L295" i="24"/>
  <c r="K295" i="24"/>
  <c r="L318" i="24"/>
  <c r="K378" i="24"/>
  <c r="L405" i="24"/>
  <c r="L499" i="24"/>
  <c r="K499" i="24"/>
  <c r="L510" i="24"/>
  <c r="K510" i="24"/>
  <c r="L525" i="24"/>
  <c r="K525" i="24"/>
  <c r="K690" i="24"/>
  <c r="L690" i="24"/>
  <c r="L385" i="24"/>
  <c r="K385" i="24"/>
  <c r="K247" i="24"/>
  <c r="K538" i="24"/>
  <c r="K6" i="24"/>
  <c r="L96" i="24"/>
  <c r="L381" i="24"/>
  <c r="K54" i="24"/>
  <c r="L113" i="24"/>
  <c r="K113" i="24"/>
  <c r="L133" i="24"/>
  <c r="K133" i="24"/>
  <c r="L157" i="24"/>
  <c r="K157" i="24"/>
  <c r="L221" i="24"/>
  <c r="K221" i="24"/>
  <c r="L241" i="24"/>
  <c r="K241" i="24"/>
  <c r="L756" i="24"/>
  <c r="K756" i="24"/>
  <c r="L20" i="24"/>
  <c r="L38" i="24"/>
  <c r="K24" i="24"/>
  <c r="K173" i="24"/>
  <c r="L173" i="24"/>
  <c r="K513" i="24"/>
  <c r="K18" i="24"/>
  <c r="K36" i="24"/>
  <c r="K47" i="24"/>
  <c r="K55" i="24"/>
  <c r="K78" i="24"/>
  <c r="K90" i="24"/>
  <c r="H179" i="24"/>
  <c r="K183" i="24"/>
  <c r="L183" i="24"/>
  <c r="L190" i="24"/>
  <c r="K190" i="24"/>
  <c r="K213" i="24"/>
  <c r="K217" i="24"/>
  <c r="L265" i="24"/>
  <c r="K265" i="24"/>
  <c r="K315" i="24"/>
  <c r="L315" i="24"/>
  <c r="K438" i="24"/>
  <c r="L474" i="24"/>
  <c r="K474" i="24"/>
  <c r="K224" i="24"/>
  <c r="K116" i="24"/>
  <c r="K193" i="24"/>
  <c r="L535" i="24"/>
  <c r="K535" i="24"/>
  <c r="L17" i="24"/>
  <c r="L342" i="24"/>
  <c r="K179" i="24"/>
  <c r="L288" i="24"/>
  <c r="K288" i="24"/>
  <c r="K339" i="24"/>
  <c r="L339" i="24"/>
  <c r="L866" i="24"/>
  <c r="K866" i="24"/>
  <c r="K879" i="24"/>
  <c r="K829" i="24"/>
  <c r="L829" i="24"/>
  <c r="K104" i="24"/>
  <c r="L100" i="24"/>
  <c r="K100" i="24"/>
  <c r="L152" i="24"/>
  <c r="K152" i="24"/>
  <c r="K268" i="24"/>
  <c r="L325" i="24"/>
  <c r="L366" i="24"/>
  <c r="K409" i="24"/>
  <c r="L689" i="24"/>
  <c r="L35" i="24"/>
  <c r="K33" i="24"/>
  <c r="L272" i="24"/>
  <c r="K272" i="24"/>
  <c r="L356" i="24"/>
  <c r="K356" i="24"/>
  <c r="L375" i="24"/>
  <c r="K375" i="24"/>
  <c r="L739" i="24"/>
  <c r="K739" i="24"/>
  <c r="L870" i="24"/>
  <c r="L825" i="24"/>
  <c r="K825" i="24"/>
  <c r="L128" i="24"/>
  <c r="K128" i="24"/>
  <c r="K160" i="24"/>
  <c r="L450" i="24"/>
  <c r="K528" i="24"/>
  <c r="L42" i="24"/>
  <c r="L329" i="24"/>
  <c r="K329" i="24"/>
  <c r="L79" i="24"/>
  <c r="K91" i="24"/>
  <c r="K146" i="24"/>
  <c r="L167" i="24"/>
  <c r="K167" i="24"/>
  <c r="K203" i="24"/>
  <c r="K258" i="24"/>
  <c r="K281" i="24"/>
  <c r="L419" i="24"/>
  <c r="L423" i="24"/>
  <c r="L599" i="24"/>
  <c r="L734" i="24"/>
  <c r="K734" i="24"/>
  <c r="L853" i="24"/>
  <c r="L123" i="24"/>
  <c r="K123" i="24"/>
  <c r="L278" i="24"/>
  <c r="K278" i="24"/>
  <c r="L345" i="24"/>
  <c r="L694" i="24"/>
  <c r="K694" i="24"/>
  <c r="L65" i="24"/>
  <c r="K65" i="24"/>
  <c r="K197" i="24"/>
  <c r="L75" i="24"/>
  <c r="K75" i="24"/>
  <c r="K30" i="24"/>
  <c r="L41" i="24"/>
  <c r="K41" i="24"/>
  <c r="L87" i="24"/>
  <c r="K87" i="24"/>
  <c r="L150" i="24"/>
  <c r="K150" i="24"/>
  <c r="L159" i="24"/>
  <c r="K163" i="24"/>
  <c r="L176" i="24"/>
  <c r="K200" i="24"/>
  <c r="K207" i="24"/>
  <c r="K227" i="24"/>
  <c r="L231" i="24"/>
  <c r="K231" i="24"/>
  <c r="K332" i="24"/>
  <c r="K388" i="24"/>
  <c r="K568" i="24"/>
  <c r="L568" i="24"/>
  <c r="K724" i="24"/>
  <c r="J729" i="24"/>
  <c r="H729" i="24"/>
  <c r="L841" i="24"/>
  <c r="K841" i="24"/>
  <c r="L255" i="24"/>
  <c r="K255" i="24"/>
  <c r="K454" i="24"/>
  <c r="K136" i="24"/>
  <c r="K298" i="24"/>
  <c r="K15" i="24"/>
  <c r="K44" i="24"/>
  <c r="L56" i="24"/>
  <c r="K56" i="24"/>
  <c r="L8" i="24"/>
  <c r="L26" i="24"/>
  <c r="L52" i="24"/>
  <c r="K52" i="24"/>
  <c r="K12" i="24"/>
  <c r="K60" i="24"/>
  <c r="K83" i="24"/>
  <c r="K103" i="24"/>
  <c r="K122" i="24"/>
  <c r="L5" i="24"/>
  <c r="L23" i="24"/>
  <c r="K68" i="24"/>
  <c r="L92" i="24"/>
  <c r="K92" i="24"/>
  <c r="L111" i="24"/>
  <c r="K111" i="24"/>
  <c r="L115" i="24"/>
  <c r="K143" i="24"/>
  <c r="L185" i="24"/>
  <c r="K185" i="24"/>
  <c r="K254" i="24"/>
  <c r="L305" i="24"/>
  <c r="K305" i="24"/>
  <c r="K349" i="24"/>
  <c r="K457" i="24"/>
  <c r="L720" i="24"/>
  <c r="L730" i="24"/>
  <c r="K730" i="24"/>
  <c r="L735" i="24"/>
  <c r="K735" i="24"/>
  <c r="L833" i="24"/>
  <c r="K833" i="24"/>
  <c r="K624" i="24"/>
  <c r="L624" i="24"/>
  <c r="L164" i="24"/>
  <c r="K164" i="24"/>
  <c r="K302" i="24"/>
  <c r="L382" i="24"/>
  <c r="K382" i="24"/>
  <c r="L406" i="24"/>
  <c r="K406" i="24"/>
  <c r="K435" i="24"/>
  <c r="L435" i="24"/>
  <c r="L451" i="24"/>
  <c r="K451" i="24"/>
  <c r="L625" i="24"/>
  <c r="K625" i="24"/>
  <c r="K631" i="24"/>
  <c r="L631" i="24"/>
  <c r="J746" i="24"/>
  <c r="H746" i="24"/>
  <c r="L749" i="24"/>
  <c r="K749" i="24"/>
  <c r="L558" i="24"/>
  <c r="K558" i="24"/>
  <c r="K681" i="24"/>
  <c r="L681" i="24"/>
  <c r="K686" i="24"/>
  <c r="L686" i="24"/>
  <c r="K168" i="24"/>
  <c r="K174" i="24"/>
  <c r="K180" i="24"/>
  <c r="K472" i="24"/>
  <c r="L522" i="24"/>
  <c r="K522" i="24"/>
  <c r="K526" i="24"/>
  <c r="K785" i="24"/>
  <c r="K124" i="24"/>
  <c r="K134" i="24"/>
  <c r="K141" i="24"/>
  <c r="L151" i="24"/>
  <c r="K158" i="24"/>
  <c r="K165" i="24"/>
  <c r="K171" i="24"/>
  <c r="L205" i="24"/>
  <c r="K205" i="24"/>
  <c r="L215" i="24"/>
  <c r="K222" i="24"/>
  <c r="K239" i="24"/>
  <c r="K249" i="24"/>
  <c r="K256" i="24"/>
  <c r="K273" i="24"/>
  <c r="K279" i="24"/>
  <c r="K313" i="24"/>
  <c r="K323" i="24"/>
  <c r="L330" i="24"/>
  <c r="K347" i="24"/>
  <c r="L357" i="24"/>
  <c r="K364" i="24"/>
  <c r="K376" i="24"/>
  <c r="K383" i="24"/>
  <c r="K393" i="24"/>
  <c r="K403" i="24"/>
  <c r="K407" i="24"/>
  <c r="K417" i="24"/>
  <c r="K440" i="24"/>
  <c r="K462" i="24"/>
  <c r="L487" i="24"/>
  <c r="K487" i="24"/>
  <c r="K619" i="24"/>
  <c r="K651" i="24"/>
  <c r="L651" i="24"/>
  <c r="K655" i="24"/>
  <c r="K697" i="24"/>
  <c r="K713" i="24"/>
  <c r="L713" i="24"/>
  <c r="H732" i="24"/>
  <c r="J732" i="24"/>
  <c r="K742" i="24"/>
  <c r="L766" i="24"/>
  <c r="K777" i="24"/>
  <c r="K62" i="24"/>
  <c r="K98" i="24"/>
  <c r="K131" i="24"/>
  <c r="K155" i="24"/>
  <c r="L171" i="24"/>
  <c r="H178" i="24"/>
  <c r="K195" i="24"/>
  <c r="K229" i="24"/>
  <c r="L286" i="24"/>
  <c r="L303" i="24"/>
  <c r="L354" i="24"/>
  <c r="K373" i="24"/>
  <c r="K400" i="24"/>
  <c r="K421" i="24"/>
  <c r="K425" i="24"/>
  <c r="L445" i="24"/>
  <c r="K445" i="24"/>
  <c r="K480" i="24"/>
  <c r="K508" i="24"/>
  <c r="L523" i="24"/>
  <c r="K523" i="24"/>
  <c r="K544" i="24"/>
  <c r="K604" i="24"/>
  <c r="K682" i="24"/>
  <c r="L701" i="24"/>
  <c r="L705" i="24"/>
  <c r="K709" i="24"/>
  <c r="L763" i="24"/>
  <c r="K351" i="24"/>
  <c r="L351" i="24"/>
  <c r="L442" i="24"/>
  <c r="L609" i="24"/>
  <c r="K609" i="24"/>
  <c r="K648" i="24"/>
  <c r="L648" i="24"/>
  <c r="L743" i="24"/>
  <c r="K743" i="24"/>
  <c r="K807" i="24"/>
  <c r="L807" i="24"/>
  <c r="L192" i="24"/>
  <c r="K199" i="24"/>
  <c r="K226" i="24"/>
  <c r="K267" i="24"/>
  <c r="K341" i="24"/>
  <c r="K370" i="24"/>
  <c r="L418" i="24"/>
  <c r="K418" i="24"/>
  <c r="L433" i="24"/>
  <c r="K433" i="24"/>
  <c r="L437" i="24"/>
  <c r="K442" i="24"/>
  <c r="L463" i="24"/>
  <c r="K463" i="24"/>
  <c r="K477" i="24"/>
  <c r="K541" i="24"/>
  <c r="K652" i="24"/>
  <c r="K645" i="24"/>
  <c r="L645" i="24"/>
  <c r="K665" i="24"/>
  <c r="L665" i="24"/>
  <c r="K717" i="24"/>
  <c r="L717" i="24"/>
  <c r="K661" i="24"/>
  <c r="L661" i="24"/>
  <c r="K760" i="24"/>
  <c r="L760" i="24"/>
  <c r="K782" i="24"/>
  <c r="L782" i="24"/>
  <c r="L830" i="24"/>
  <c r="K830" i="24"/>
  <c r="L842" i="24"/>
  <c r="K842" i="24"/>
  <c r="L854" i="24"/>
  <c r="K854" i="24"/>
  <c r="L569" i="24"/>
  <c r="K569" i="24"/>
  <c r="K642" i="24"/>
  <c r="L642" i="24"/>
  <c r="L838" i="24"/>
  <c r="K838" i="24"/>
  <c r="K549" i="24"/>
  <c r="K562" i="24"/>
  <c r="K616" i="24"/>
  <c r="K638" i="24"/>
  <c r="K646" i="24"/>
  <c r="K666" i="24"/>
  <c r="L683" i="24"/>
  <c r="L687" i="24"/>
  <c r="K691" i="24"/>
  <c r="K718" i="24"/>
  <c r="H730" i="24"/>
  <c r="K736" i="24"/>
  <c r="K740" i="24"/>
  <c r="L761" i="24"/>
  <c r="K761" i="24"/>
  <c r="L787" i="24"/>
  <c r="L791" i="24"/>
  <c r="K795" i="24"/>
  <c r="L805" i="24"/>
  <c r="K546" i="24"/>
  <c r="K559" i="24"/>
  <c r="K573" i="24"/>
  <c r="K576" i="24"/>
  <c r="K579" i="24"/>
  <c r="K582" i="24"/>
  <c r="K585" i="24"/>
  <c r="K588" i="24"/>
  <c r="K591" i="24"/>
  <c r="K594" i="24"/>
  <c r="K597" i="24"/>
  <c r="K602" i="24"/>
  <c r="K622" i="24"/>
  <c r="K639" i="24"/>
  <c r="L639" i="24"/>
  <c r="K657" i="24"/>
  <c r="L657" i="24"/>
  <c r="L662" i="24"/>
  <c r="L672" i="24"/>
  <c r="K676" i="24"/>
  <c r="L695" i="24"/>
  <c r="K699" i="24"/>
  <c r="L699" i="24"/>
  <c r="L722" i="24"/>
  <c r="L726" i="24"/>
  <c r="K744" i="24"/>
  <c r="K750" i="24"/>
  <c r="L783" i="24"/>
  <c r="K823" i="24"/>
  <c r="K843" i="24"/>
  <c r="K859" i="24"/>
  <c r="L573" i="24"/>
  <c r="K847" i="24"/>
  <c r="L847" i="24"/>
  <c r="L877" i="24"/>
  <c r="K877" i="24"/>
  <c r="K481" i="24"/>
  <c r="K504" i="24"/>
  <c r="K517" i="24"/>
  <c r="K540" i="24"/>
  <c r="K553" i="24"/>
  <c r="K623" i="24"/>
  <c r="K654" i="24"/>
  <c r="L654" i="24"/>
  <c r="L680" i="24"/>
  <c r="L684" i="24"/>
  <c r="K688" i="24"/>
  <c r="K733" i="24"/>
  <c r="K737" i="24"/>
  <c r="K741" i="24"/>
  <c r="K784" i="24"/>
  <c r="L784" i="24"/>
  <c r="L799" i="24"/>
  <c r="L815" i="24"/>
  <c r="K815" i="24"/>
  <c r="L860" i="24"/>
  <c r="K860" i="24"/>
  <c r="L878" i="24"/>
  <c r="K878" i="24"/>
  <c r="K600" i="24"/>
  <c r="K629" i="24"/>
  <c r="L634" i="24"/>
  <c r="L674" i="24"/>
  <c r="L692" i="24"/>
  <c r="L710" i="24"/>
  <c r="L728" i="24"/>
  <c r="H745" i="24"/>
  <c r="L754" i="24"/>
  <c r="K786" i="24"/>
  <c r="L816" i="24"/>
  <c r="K820" i="24"/>
  <c r="L864" i="24"/>
  <c r="K864" i="24"/>
  <c r="K872" i="24"/>
  <c r="L876" i="24"/>
  <c r="L883" i="24"/>
  <c r="K851" i="24"/>
  <c r="K861" i="24"/>
  <c r="K874" i="24"/>
  <c r="K812" i="24"/>
  <c r="K848" i="24"/>
  <c r="K884" i="24"/>
  <c r="I14" i="23"/>
  <c r="J14" i="23" s="1"/>
  <c r="L10" i="23" l="1"/>
  <c r="M10" i="23" s="1"/>
  <c r="L8" i="23"/>
  <c r="L6" i="23"/>
  <c r="K668" i="24"/>
  <c r="L184" i="24"/>
  <c r="K669" i="24"/>
  <c r="L189" i="24"/>
  <c r="L667" i="24"/>
  <c r="K182" i="24"/>
  <c r="K571" i="24"/>
  <c r="L7" i="23" s="1"/>
  <c r="K747" i="24"/>
  <c r="L186" i="24"/>
  <c r="K186" i="24"/>
  <c r="K276" i="24"/>
  <c r="L5" i="23" s="1"/>
  <c r="K178" i="24"/>
  <c r="L276" i="24"/>
  <c r="K181" i="24"/>
  <c r="L181" i="24"/>
  <c r="L746" i="24"/>
  <c r="K746" i="24"/>
  <c r="L729" i="24"/>
  <c r="K729" i="24"/>
  <c r="L732" i="24"/>
  <c r="K732" i="24"/>
  <c r="M4" i="23" l="1"/>
  <c r="K1" i="24"/>
  <c r="L9" i="23"/>
  <c r="M9" i="23" s="1"/>
  <c r="I10" i="23"/>
  <c r="J10" i="23" s="1"/>
  <c r="M7" i="23"/>
  <c r="M6" i="23"/>
  <c r="M5" i="23"/>
  <c r="M8" i="23"/>
  <c r="I9" i="23" l="1"/>
  <c r="J9" i="23" s="1"/>
  <c r="I8" i="23" l="1"/>
  <c r="J8" i="23" s="1"/>
  <c r="I7" i="23" l="1"/>
  <c r="J7" i="23" s="1"/>
  <c r="I6" i="23"/>
  <c r="J6" i="23" s="1"/>
  <c r="I5" i="23" l="1"/>
  <c r="J5" i="23" s="1"/>
  <c r="I4" i="23" l="1"/>
  <c r="J4" i="23" s="1"/>
  <c r="C15" i="23" l="1"/>
  <c r="B15" i="23"/>
  <c r="D14" i="23"/>
  <c r="E14" i="23" s="1"/>
  <c r="D13" i="23"/>
  <c r="E13" i="23" s="1"/>
  <c r="D12" i="23"/>
  <c r="E12" i="23" s="1"/>
  <c r="D11" i="23"/>
  <c r="E11" i="23" s="1"/>
  <c r="D10" i="23"/>
  <c r="E10" i="23" s="1"/>
  <c r="D9" i="23"/>
  <c r="E9" i="23" s="1"/>
  <c r="D8" i="23"/>
  <c r="E8" i="23" s="1"/>
  <c r="D7" i="23"/>
  <c r="E7" i="23" s="1"/>
  <c r="V6" i="23"/>
  <c r="W6" i="23" s="1"/>
  <c r="T6" i="23"/>
  <c r="D6" i="23"/>
  <c r="E6" i="23" s="1"/>
  <c r="V5" i="23"/>
  <c r="W5" i="23" s="1"/>
  <c r="T5" i="23"/>
  <c r="D5" i="23"/>
  <c r="E5" i="23" s="1"/>
  <c r="X4" i="23"/>
  <c r="T4" i="23"/>
  <c r="D4" i="23"/>
  <c r="E4" i="23" s="1"/>
  <c r="I3" i="23"/>
  <c r="J3" i="23" s="1"/>
  <c r="D3" i="23"/>
  <c r="E3" i="23" s="1"/>
  <c r="X6" i="23" l="1"/>
  <c r="D15" i="23"/>
  <c r="E15" i="23" s="1"/>
  <c r="X5" i="23"/>
  <c r="D10" i="20" l="1"/>
  <c r="D5" i="20"/>
  <c r="D12" i="20" s="1"/>
  <c r="F3" i="20"/>
  <c r="H11" i="23" l="1"/>
  <c r="H15" i="23" s="1"/>
  <c r="I11" i="23" l="1"/>
  <c r="J11" i="23" s="1"/>
  <c r="I15" i="23"/>
  <c r="J15" i="23" s="1"/>
  <c r="L11" i="23" l="1"/>
  <c r="M11" i="23" s="1"/>
</calcChain>
</file>

<file path=xl/sharedStrings.xml><?xml version="1.0" encoding="utf-8"?>
<sst xmlns="http://schemas.openxmlformats.org/spreadsheetml/2006/main" count="41482" uniqueCount="5888">
  <si>
    <t>Year</t>
  </si>
  <si>
    <t>JUL</t>
  </si>
  <si>
    <t>PO No.</t>
  </si>
  <si>
    <t>Supplier Name.</t>
  </si>
  <si>
    <t>Description of Goods/Service</t>
  </si>
  <si>
    <t>Qty</t>
  </si>
  <si>
    <t xml:space="preserve">Unit </t>
  </si>
  <si>
    <t>ราคาต่ำสุดต่อหน่วย</t>
  </si>
  <si>
    <t>ราคารวม</t>
  </si>
  <si>
    <t>ราคาที่ต่อรองได้</t>
  </si>
  <si>
    <t>ผลต่าง</t>
  </si>
  <si>
    <t>รวมที่ต่อรองได้</t>
  </si>
  <si>
    <t>% discount</t>
  </si>
  <si>
    <t>Method for discounts</t>
  </si>
  <si>
    <t>Person in charge</t>
  </si>
  <si>
    <t>JAN</t>
  </si>
  <si>
    <t>PO-23000001</t>
  </si>
  <si>
    <t>บริษัท เอทีซี อินดัสตรี (ประเทศไทย)จำกัด</t>
  </si>
  <si>
    <t>ทินเนอร์ THINNER  AAA</t>
  </si>
  <si>
    <t>EA</t>
  </si>
  <si>
    <t>Avoidance</t>
  </si>
  <si>
    <t>Saniya</t>
  </si>
  <si>
    <t xml:space="preserve">Compare + Negotiate </t>
  </si>
  <si>
    <t>PO-23000002</t>
  </si>
  <si>
    <t>บริษัท เอ็นทีดับเบิ้ลยู เอ็นจิเนียริ่ง ซัพพลาย จำกัด</t>
  </si>
  <si>
    <t>สีสเปรย์ KOBE  สีดำด้าน  เบอร์ 912</t>
  </si>
  <si>
    <t>PO-23000016</t>
  </si>
  <si>
    <t>บริษัท บ้านไฟฟ้า จำกัด</t>
  </si>
  <si>
    <t>สายไฟ H07V-K 1*1.5 SQ.MM. GNYE (สีเขียวแถบเหลือง)</t>
  </si>
  <si>
    <t>Roll</t>
  </si>
  <si>
    <t>เพิ่มเครดิต</t>
  </si>
  <si>
    <t>PO-23000077</t>
  </si>
  <si>
    <t>สก๊อตเทปใส Unitape size 1/2" IN x 72 YDS</t>
  </si>
  <si>
    <t>Rebate</t>
  </si>
  <si>
    <t>PO-23000087</t>
  </si>
  <si>
    <t>ห้างหุ้นส่วนจำกัด บางกอกคอปเปอร์</t>
  </si>
  <si>
    <t>ลวดแบนหุ้มกระดาษหนา 0.5 มม. ขนาด 3.0*13 มม.</t>
  </si>
  <si>
    <t>KG</t>
  </si>
  <si>
    <t xml:space="preserve"> Negotiate </t>
  </si>
  <si>
    <t>Pawina</t>
  </si>
  <si>
    <t>Negotiate</t>
  </si>
  <si>
    <t>ลวดแบนหุ้มกระดาษหนา 0.5 มม. ขนาด 2.8*11 มม.</t>
  </si>
  <si>
    <t>ลวดแบนหุ้มกระดาษหนา 0.5 มม. ขนาด 1.8 *4.0 มม.</t>
  </si>
  <si>
    <t>PO-23000014</t>
  </si>
  <si>
    <t>บริษัท ตงเฉินอีเล็คทริคเคเบิ้ลแอนด์ ไวร์ จำกัด</t>
  </si>
  <si>
    <t>ลวดกลมอาบน้ำยา ขนาด 1.50 มม.</t>
  </si>
  <si>
    <t>ลวดกลมอาบน้ำยา ขนาด 1.40 มม.</t>
  </si>
  <si>
    <t>ลวดกลมอาบน้ำยา ขนาด 0.95 มม.</t>
  </si>
  <si>
    <t>ลวดกลมอาบน้ำยา ขนาด 0.75 มม.</t>
  </si>
  <si>
    <t>ลวดกลมอาบน้ำยา ขนาด 1.20 มม.</t>
  </si>
  <si>
    <t>ลวดกลมอาบน้ำยา ขนาด 0.90 มม.</t>
  </si>
  <si>
    <t>ลวดกลมอาบน้ำยา ขนาด 1.10 มม.</t>
  </si>
  <si>
    <t>ลวดกลมอาบน้ำยา ขนาด 1.80 มม.</t>
  </si>
  <si>
    <t>PO-23000104</t>
  </si>
  <si>
    <t>บริษัท ระยองกันเอง จำกัด</t>
  </si>
  <si>
    <t>แผ่นสติ๊กเกอร์ QA PASSED</t>
  </si>
  <si>
    <t>PO-23000112</t>
  </si>
  <si>
    <t>บริษัท อาร์ เจ เอส คอนแทร็ค แอนด์ เซอร์วิส จากัด</t>
  </si>
  <si>
    <t xml:space="preserve"> ถมดินพร้อมทำผนังกั้นดิน ขนาด 38X3X8.1ม. ข้างห้องน้ำนอกอาคาร</t>
  </si>
  <si>
    <t>Job</t>
  </si>
  <si>
    <t>PO-23000071</t>
  </si>
  <si>
    <t>บริษัท ทองเทคพาร์ท แอนด์ คาร์ไบด์ จำกัด</t>
  </si>
  <si>
    <t>Body Frame ใบมีดเครื่องตัดทองแดง Size: 35x85x255 mm.</t>
  </si>
  <si>
    <t>set</t>
  </si>
  <si>
    <t>สร้างใบมีดตัดทองแดง ที่ความหนา 8 มิล Size:8x172.5x160 mm.</t>
  </si>
  <si>
    <t>PO-23000107</t>
  </si>
  <si>
    <t>ตู้อบลมร้อนอบขวดเก็บตัวอย่างน้ำมัน 5 ถาด
ขนาดเครื่อง 80 x 65 x 93 cm. ทำจากสแตนเลส  201</t>
  </si>
  <si>
    <t>PO-23000133</t>
  </si>
  <si>
    <t>บริษัท กิ้มเฮงเชียง  จำกัด</t>
  </si>
  <si>
    <t>ทองแดงเส้นแบน ขนาด 1/8"*1 1/4"</t>
  </si>
  <si>
    <t>ทองแดงเส้นแบน ขนาด 3/16"*2"</t>
  </si>
  <si>
    <t>ทองแดงเส้นแบน ขนาด 1/4"*2 1/2"</t>
  </si>
  <si>
    <t>ทองแดงเส้นแบน ขนาด 3/8"*2 1/2"</t>
  </si>
  <si>
    <t>ทองแดงเส้นแบน ขนาด 3/8"*4"</t>
  </si>
  <si>
    <t>ทองแดงเส้นแบน ขนาด 1/4"*2"</t>
  </si>
  <si>
    <t>PO-23000117</t>
  </si>
  <si>
    <t>ใบเลื่อยสายพาน Hakansson 34*5/8*4150mm.</t>
  </si>
  <si>
    <t>PO-23000125</t>
  </si>
  <si>
    <t>ห้างหุ้นส่วนจำกัด พศินสุข</t>
  </si>
  <si>
    <t>แผ่นสติ๊กเกอร์แรงดัน DANGER 433/250V</t>
  </si>
  <si>
    <t>PO-23000053</t>
  </si>
  <si>
    <t>ใบตัด 4" / ใบตัดบาง SUMO 4" x 1.2 mm. ใยสองชั้น</t>
  </si>
  <si>
    <t>กล่อง</t>
  </si>
  <si>
    <t>PO-23000069</t>
  </si>
  <si>
    <t>บริษัท เอ็นโอบี เอ็นจิเนียริ่ง จำกัด</t>
  </si>
  <si>
    <t>EE-Preventive Maintennance BiltecSOS-220391,StebelSOS-220393</t>
  </si>
  <si>
    <t>PO-23000073</t>
  </si>
  <si>
    <t>Grounding System 500 kVA 3 Ph 50 Hz Dyn11 24000-416/240V.</t>
  </si>
  <si>
    <t>PO-23000076</t>
  </si>
  <si>
    <t>บริษัท โคเน่ จำกัด (มหาชน)</t>
  </si>
  <si>
    <t>ซ่อมลิฟต์ออฟฟิศ กทม.</t>
  </si>
  <si>
    <t>PO-23000096</t>
  </si>
  <si>
    <t>PO-23000098</t>
  </si>
  <si>
    <t>PO-23000111</t>
  </si>
  <si>
    <t>ห้างหุ้นส่วนจำกัด เอ็ม.เอ็น. อีเล็คทริค ซัพพลาย</t>
  </si>
  <si>
    <t>PO-23000140</t>
  </si>
  <si>
    <t>บริษัท ไทยสเปเชี่ยลแก๊ส จำกัด</t>
  </si>
  <si>
    <t>ออกซิเจน</t>
  </si>
  <si>
    <t>ถัง</t>
  </si>
  <si>
    <t>คาร์บอนไดออกไซด์</t>
  </si>
  <si>
    <t>PO-23000166</t>
  </si>
  <si>
    <t>สายไฟ VSF Size 1.5 SQ.MM.(สีขาว)</t>
  </si>
  <si>
    <t>PO-23000200</t>
  </si>
  <si>
    <t>บริษัท ยูไนเต็ด ไทย โลจิสติคส์ จำกัด</t>
  </si>
  <si>
    <t>Pack &amp; Lashing+Cert. SOF-210087 คลุมผ้าใบด้านบนตู้ ( Canvas )</t>
  </si>
  <si>
    <t>Tanida</t>
  </si>
  <si>
    <t>PO-23000241</t>
  </si>
  <si>
    <t>บริษัท เซาท์อีสไทยแลนด์ จำกัด</t>
  </si>
  <si>
    <t>Thermometer "JUMO" Rod/B V-Shaped Glass Thermo.</t>
  </si>
  <si>
    <t>PO-23000194</t>
  </si>
  <si>
    <t>บริษัท สมาพันธ์เทคโนโลยี จำกัด</t>
  </si>
  <si>
    <t>EPSON EB-2065</t>
  </si>
  <si>
    <t>PO-23000197</t>
  </si>
  <si>
    <t>บริษัท แอดวานซ์ เทคโนโลยี อีควิปเม้นท์ จำกัด</t>
  </si>
  <si>
    <t>10kV. Insulation Tester "MEGGER" Model: MIT1025 - Included A</t>
  </si>
  <si>
    <t>PO-23000199</t>
  </si>
  <si>
    <t>สีรองพื้น TOA Red Oxide primer G1024D Size 18.925ลิตร/ถัง</t>
  </si>
  <si>
    <t>PO-23000202</t>
  </si>
  <si>
    <t>บริษัท ไทยพัฒนสิน (จิ้นเส็ง 2000) จำกัด</t>
  </si>
  <si>
    <t>สลิง 2ขา ขนาด 2ตัน ตะขอปากปิดแบบสลัก 1200mm ขนาดโซ่ 8 มม</t>
  </si>
  <si>
    <t>PO-23000209</t>
  </si>
  <si>
    <t>บริษัท บูรณาพากรุ๊ป จำกัด</t>
  </si>
  <si>
    <t>ไม้สน ขนาด 30x180x1000มม.</t>
  </si>
  <si>
    <t>ไม้สน ขนาด 20x150x1000มม.</t>
  </si>
  <si>
    <t>PO-23000210</t>
  </si>
  <si>
    <t>บริษัท เจพี เอเชีย อินโนเวชั่น จำกัด</t>
  </si>
  <si>
    <t>งานพื้นแกรนิตห้องน้ำโรง4</t>
  </si>
  <si>
    <t>PO-23000212</t>
  </si>
  <si>
    <t>บริษัท เอ็มไอ เทค อินสตูเมนท์ จำกัด</t>
  </si>
  <si>
    <t>EXTECH Barometric Pressure/Humidity/Temperature Datalogger</t>
  </si>
  <si>
    <t>PO-23000214</t>
  </si>
  <si>
    <t>หัวแก๊สกระป๋อง (KOJIMA)</t>
  </si>
  <si>
    <t>PO-23000222</t>
  </si>
  <si>
    <t>STANLEY"ตลับเมตร POWER LOCK 3M #33‐231</t>
  </si>
  <si>
    <t>STANLEY"ตลับเมตร POWER LOCK 5M #33‐158</t>
  </si>
  <si>
    <t>PO-23000224</t>
  </si>
  <si>
    <t>Mitutoyo เวอร์เนียดิจิตอล ขนาด 8 นิ้ว #500-197-30 / 200 มม.</t>
  </si>
  <si>
    <t>PO-23000251</t>
  </si>
  <si>
    <t>สติ๊กเกอร์น้ำมันสำหรับใส่กระบอกซิลิก้าเจล</t>
  </si>
  <si>
    <t>PO-23000256</t>
  </si>
  <si>
    <t>บริษัท ชวนันท์ คอร์ปอเรชั่น จำกัด</t>
  </si>
  <si>
    <t>EMGQL32-75 AIR CYLINDER</t>
  </si>
  <si>
    <t>PO-23000265</t>
  </si>
  <si>
    <t>ปืนเป่าลมUnior#1508Aขนาด4นิ้วยาว260มิล (เทสรั่ว ของคมกริช)</t>
  </si>
  <si>
    <t>PO-23000266</t>
  </si>
  <si>
    <t>ฝาครอบป้องกันเลื่อยวงเดือน 10-12 นิ้ว พร้อมขายึด</t>
  </si>
  <si>
    <t>PO-23000282</t>
  </si>
  <si>
    <t>ลวดแบนหุ้มกระดาษหนา 0.5 มม. ขนาด 1.4*8.5 มม.</t>
  </si>
  <si>
    <t>PO-23000333</t>
  </si>
  <si>
    <t>บริษัท สกิลทูลแอนด์เซอร์วิส จำกัด</t>
  </si>
  <si>
    <t>เหล็กดูดแรงสูง นีโอไดเมียม D2503 : 25mm. x 3mm.</t>
  </si>
  <si>
    <t>PO-23000298</t>
  </si>
  <si>
    <t>เครื่องเจียร์ BOSCH รุ่น GWS900-100S</t>
  </si>
  <si>
    <t>สว่านโรตารี่ 3 ระบบ GBH 2-26 DFR BOSCH</t>
  </si>
  <si>
    <t>เครื่องแว็คคั่ม ยี่ห้อ VALUE รุ่น VE225N</t>
  </si>
  <si>
    <t>สว่านโรตารี่ไร้สายระบบ SDS plus GBH 180-LI</t>
  </si>
  <si>
    <t>PO-23000299</t>
  </si>
  <si>
    <t>บริษัท แสงชัยมิเตอร์ จำกัด</t>
  </si>
  <si>
    <t>เครื่องทดสอบความต้านทานดิน KYORITSU 4105A-H</t>
  </si>
  <si>
    <t>PO-23000334</t>
  </si>
  <si>
    <t>บริษัท แคเรีย เทคโนโลยี (ประเทศไทย) จำกัด</t>
  </si>
  <si>
    <t>Transfomer Oil Gas Analyzer " Agilent " Model: 8890</t>
  </si>
  <si>
    <t>PO-23000335</t>
  </si>
  <si>
    <t>ปืนเป่าลมร้อน HEATGUN BOSCH รุ่นGHG 20-63 2000W.</t>
  </si>
  <si>
    <t>PO-23000336</t>
  </si>
  <si>
    <t>PO-23000285</t>
  </si>
  <si>
    <t>Wuhu Zhongyuan Import and Export Co.,Ltd</t>
  </si>
  <si>
    <t>Copper Foil ขนาด 0.40*340 มม.</t>
  </si>
  <si>
    <t>Copper Foil ขนาด 0.45*330 มม.</t>
  </si>
  <si>
    <t>Copper Foil ขนาด 0.45*270 มม.</t>
  </si>
  <si>
    <t>PO-23000274</t>
  </si>
  <si>
    <t>บริษัท อินโนวา ออโตเมชั่น จำกัด</t>
  </si>
  <si>
    <t>ADDITION FOR QTC TTS CONTROL DESK S/N:TTS2003</t>
  </si>
  <si>
    <t>PO-23000339</t>
  </si>
  <si>
    <t>บริษัท วินเนอร์ นัมเบอร์เพลท จำกัด</t>
  </si>
  <si>
    <t xml:space="preserve">แผ่น Stainless316SS  </t>
  </si>
  <si>
    <t>PO-23000340</t>
  </si>
  <si>
    <t>แผ่น Stainless PlateSUS304  ขนาด 105 x 465 มม.</t>
  </si>
  <si>
    <t>FEB</t>
  </si>
  <si>
    <t>PO-23000352</t>
  </si>
  <si>
    <t>ตู้เชื่อมไฟฟ้า ARC 140 WELPRO</t>
  </si>
  <si>
    <t>PO-23000353</t>
  </si>
  <si>
    <t>บริษัท เทคโนโลยี อินสตรูเมนท์ จำกัด</t>
  </si>
  <si>
    <t>เครื่อง Voltage Detector K300 HP (230kV02)</t>
  </si>
  <si>
    <t>PO-23000365</t>
  </si>
  <si>
    <t>คีมล็อค SOLO ขนาด 10 นิ้ว</t>
  </si>
  <si>
    <t>ดอกสว่านเจาะเหล็ก ขนาด 3.5 มิล</t>
  </si>
  <si>
    <t>ดอกสว่านเจาะเหล็ก ขนาด 4 มิล</t>
  </si>
  <si>
    <t>ดอกสว่านเจาะเหล็ก ขนาด 5 มิล</t>
  </si>
  <si>
    <t>PO-23000407</t>
  </si>
  <si>
    <t>แผ่น Stainless316SS  BCT  ขนาด 20x90 มม.</t>
  </si>
  <si>
    <t>PO-23000380</t>
  </si>
  <si>
    <t>บริษัท เอคเม อินซูเลชั่น จำกัด</t>
  </si>
  <si>
    <t xml:space="preserve">Radiator Fin W520 x HL800 x Z9 </t>
  </si>
  <si>
    <t xml:space="preserve">Radiator Fin W520 x HL1000 x Z12 </t>
  </si>
  <si>
    <t xml:space="preserve">Radiator Fin W520 x HL1000 x Z15 </t>
  </si>
  <si>
    <t xml:space="preserve">Radiator fin W520 x HL1400 x Z17 </t>
  </si>
  <si>
    <t xml:space="preserve">Radiator fin W520 x HL1500 x Z18 </t>
  </si>
  <si>
    <t xml:space="preserve">Radiator Fin W520 x HL1400 x Z26 </t>
  </si>
  <si>
    <t>PO-23000392</t>
  </si>
  <si>
    <t>บริษัท ต่อกิจ พัฒนา 2019 จำกัด</t>
  </si>
  <si>
    <t>CABLE BOX TYPE 1 TR.4000 kVA 3Ph 50Hz 22000-400/230V</t>
  </si>
  <si>
    <t xml:space="preserve">PO-23000441 </t>
  </si>
  <si>
    <t>Conservator Tank TR.2800 kVA 3Ph 50Hz 22000-800V</t>
  </si>
  <si>
    <t>PO-23000382</t>
  </si>
  <si>
    <t>PO-23000383</t>
  </si>
  <si>
    <t>ลวดกลมอาบน้ำยา ขนาด 1.60 มม.</t>
  </si>
  <si>
    <t>ลวดกลมอาบน้ำยา ขนาด 1.30 มม.</t>
  </si>
  <si>
    <t>ลวดกลมอาบน้ำยา ขนาด 2.80 มม.</t>
  </si>
  <si>
    <t>ลวดกลมอาบน้ำยา ขนาด 1.70 มม.</t>
  </si>
  <si>
    <t>ลวดกลมอาบน้ำยา ขนาด 2.40 มม.</t>
  </si>
  <si>
    <t>PO-23000419</t>
  </si>
  <si>
    <t>บริษัท ไทย-เยนเนอเรเตอร์ เซลส์ แอนด์ เซอร์วิส จำกัด</t>
  </si>
  <si>
    <t>เครื่องปั่นไฟ (Generator ) 27.5kVA./ 22kW Model.GSC27</t>
  </si>
  <si>
    <t>PO-23000424</t>
  </si>
  <si>
    <t>ลวดแบนหุ้มกระดาษหนา 0.5 มม. ขนาด 2.6*11 มม.</t>
  </si>
  <si>
    <t>ลวดแบนหุ้มกระดาษหนา 0.5 มม. ขนาด 2.2*4.5 มม.</t>
  </si>
  <si>
    <t>ลวดแบนหุ้มกระดาษหนา 0.5 มม. ขนาด 1.5*6.0 มม.</t>
  </si>
  <si>
    <t>PO-23000470</t>
  </si>
  <si>
    <t>ลวดแบนหุ้มกระดาษหนา 0.5 มม. ขนาด 2.0*4.0 มม.</t>
  </si>
  <si>
    <t>ลวดแบนหุ้มกระดาษหนา 0.5 มม. ขนาด 1.5*5.5 มม.</t>
  </si>
  <si>
    <t>PO-23000396</t>
  </si>
  <si>
    <t>ราวแขวนผ้าตั้งโต๊ะพับได้ ขนาด16x20x25.5cm สีฟ้า</t>
  </si>
  <si>
    <t>PO-23000401</t>
  </si>
  <si>
    <t>ไม้บรรทัด 2 เมตร 78นิ้ว ฟุตเหล็กสแตนเลส ENDO KEIKI</t>
  </si>
  <si>
    <t xml:space="preserve"> EA</t>
  </si>
  <si>
    <t>PO-23000381,PO-23000453</t>
  </si>
  <si>
    <t>Wheel Dia.200 mm. thick type/2holes</t>
  </si>
  <si>
    <t>PO-23000485</t>
  </si>
  <si>
    <t>บริษัท ศูนย์บริการเหล็กสยาม จำกัด (มหาชน)</t>
  </si>
  <si>
    <t>Cold Rolled Steel Sheet (SPCC-SD) ขนาด 1.5*900 มม.</t>
  </si>
  <si>
    <t>kg.</t>
  </si>
  <si>
    <t>PO-23000455</t>
  </si>
  <si>
    <t>Cold Rolled Steel Sheet (SPCC-SD) ขนาด 1.5*1200 มม.</t>
  </si>
  <si>
    <t>PO-23000519</t>
  </si>
  <si>
    <t>PO-23000431</t>
  </si>
  <si>
    <t>บริษัท ไทย ซูปาโก้ เอ็นจิเนียริ่ง แอนด์ ซัพพลาย จำกัด</t>
  </si>
  <si>
    <t>HARRIS ชุด ตัด Model : 625F LPG</t>
  </si>
  <si>
    <t>Set</t>
  </si>
  <si>
    <t>HARRIS เกร์ลม Model : 801DB-10-Oxygen</t>
  </si>
  <si>
    <t>LONGWELL เกย์ CO2 พร้อมฮีตเตอร์ CR-220V</t>
  </si>
  <si>
    <t>PO-23000432</t>
  </si>
  <si>
    <t>คีมปากจิ้งจก ยี่ห้อTajima รุ่น SHP-C8/CN ขนาด 200 มม.</t>
  </si>
  <si>
    <t>ประแจแหวนนข้างปากตาย เบอร์ 13 ยี่ห้อ KTC</t>
  </si>
  <si>
    <t>ประแจแหวนนข้างปากตาย เบอร์ 15 ยี่ห้อ KTC</t>
  </si>
  <si>
    <t>ประแจแหวนนข้างปากตาย เบอร์ 17 ยี่ห้อ KTC</t>
  </si>
  <si>
    <t>ค้อนหัวกลม ยี่ห้อTONE รุ่น BH-10 ขนาด 1 Pound</t>
  </si>
  <si>
    <t>PO-23000438</t>
  </si>
  <si>
    <t>บริษัท เจนบรรเจิด จำกัด</t>
  </si>
  <si>
    <t>โต๊ะยกปรับระดับ Manual Lift table (รับน้ำหนัก150kg)</t>
  </si>
  <si>
    <t>PO-23000439</t>
  </si>
  <si>
    <t>เทปวัดเส้นผ่าศูนย์กลาง ขนาด 8 เมตร ชนิดสายเหล็ก</t>
  </si>
  <si>
    <t>PO-23000495</t>
  </si>
  <si>
    <t>สตูดิโอโฟน</t>
  </si>
  <si>
    <t>โทรศัพท์มือถือรุ่น OPPO A17k</t>
  </si>
  <si>
    <t>PO-23000500</t>
  </si>
  <si>
    <t>โทรศัพท์ยี่ห้อ Samsung A13 (64GB)</t>
  </si>
  <si>
    <t>PO-23000504</t>
  </si>
  <si>
    <t>แฮนด์ลิฟท์ไฟฟ้า รับน้ำหนัก 500kg (รับประกันสินค้า1 ปี)</t>
  </si>
  <si>
    <t>PO-23000505</t>
  </si>
  <si>
    <t>บริษัท อีเลคทรอนิคส์ ซอร์ซ จำกัด</t>
  </si>
  <si>
    <t>กล้องถ่ายภาพความร้อนด้วยอินฟราเรด FLUKE Ti401 PRO</t>
  </si>
  <si>
    <t>PO-23000508</t>
  </si>
  <si>
    <t>แผ่นอีพีอีโฟมกันกระแทกหนา 2 นิ้ว ขนาด 100x200 cm.</t>
  </si>
  <si>
    <t>PO-23000541</t>
  </si>
  <si>
    <t>บริษัท โกรเวล แอบเบรชีฟ (ไทยแลนด์) จำกัด</t>
  </si>
  <si>
    <t>ทรายเม็ตกลม SAE-S-230</t>
  </si>
  <si>
    <t>PO-23000558</t>
  </si>
  <si>
    <t>สีสเปรย์  KOBE สีแดง # 955</t>
  </si>
  <si>
    <t>PO-23000550</t>
  </si>
  <si>
    <t>บริษัท ยูไนเต็ดคอปเปอร์ จำกัด</t>
  </si>
  <si>
    <t>ทองแดงเส้นแบน ขนาด 3/8"*3"</t>
  </si>
  <si>
    <t>PO-23000593</t>
  </si>
  <si>
    <t>PO-23000631</t>
  </si>
  <si>
    <t>Cold Rolled Steel Sheet (SPCC-SD) ขนาด 1.2*800 มม.</t>
  </si>
  <si>
    <t>Cold Rolled Steel Sheet (SPCC-SD) ขนาด 1.5*1000 มม.</t>
  </si>
  <si>
    <t>PO-23000493</t>
  </si>
  <si>
    <t>ลวดแบนหุ้มกระดาษหนา 0.5 มม. ขนาด 1.5*5.0 มม.</t>
  </si>
  <si>
    <t>PO-23000498</t>
  </si>
  <si>
    <t>บริษัท สตอบลี (ไทยแลนด์) จำกัด</t>
  </si>
  <si>
    <t>USLKG 6 N-Ground terminal block</t>
  </si>
  <si>
    <t>Terminal Block UK6</t>
  </si>
  <si>
    <t>PO-23000503</t>
  </si>
  <si>
    <t>บริษัท บางกอก เซอร์วิส แอนด์ ซัพพลาย จำกัด</t>
  </si>
  <si>
    <t>Pack &amp; Lashing+Cert. for 1 x 40' FR (SOF-220051) +Wire sling</t>
  </si>
  <si>
    <t>JOB</t>
  </si>
  <si>
    <t>PO-23000511</t>
  </si>
  <si>
    <t>ลวดแบนหุ้มกระดาษหนา 0.5 มม. ขนาด 1.9 *5.0 มม.</t>
  </si>
  <si>
    <t>ลวดแบนหุ้มกระดาษหนา 0.5 มม. ขนาด 2.7*7.5 มม.</t>
  </si>
  <si>
    <t>PO-23000516</t>
  </si>
  <si>
    <t>บริษัท เอสพีซี โกลบอล โลจิสติกส์ จำกัด</t>
  </si>
  <si>
    <t>Pack &amp; Lashing+Cert. for 20'OT (SOF-200071) คลุมผ้าใบด้านบน</t>
  </si>
  <si>
    <t>PO-23000522</t>
  </si>
  <si>
    <t>ลวดกลมอาบน้ำยา ขนาด 2.90 มม.</t>
  </si>
  <si>
    <t>PO-23000576</t>
  </si>
  <si>
    <t>Copper Foil ขนาด 0.45*300 มม. (Fabrication cost)</t>
  </si>
  <si>
    <t>PO-23000589</t>
  </si>
  <si>
    <t>ลวดแบนหุ้มกระดาษหนา 0.5 มม. ขนาด 1.4*4 มม.</t>
  </si>
  <si>
    <t>PO-23000657</t>
  </si>
  <si>
    <t>PO-23000658</t>
  </si>
  <si>
    <t>บริษัท เอกรัฐวิศวกรรม จำกัด (มหาชน)</t>
  </si>
  <si>
    <t>Tap Changer (Voltage) 3Ph 20kV-63A-L290  ขึ้นขวา 5 Position</t>
  </si>
  <si>
    <t>SET</t>
  </si>
  <si>
    <t>PO-23000665</t>
  </si>
  <si>
    <t>บริษัท พรีไซซ อิเลคตริค แมนูแฟคเจอริ่ง จำกัด</t>
  </si>
  <si>
    <t>CT 400/5A Current Transformer Class 1 15VA (ยี่ห้อ PRECISE)</t>
  </si>
  <si>
    <t>PO-23000677</t>
  </si>
  <si>
    <t>Metson Power (Thailand) Co.,Ltd</t>
  </si>
  <si>
    <t>Midel  Oil eN1204 (1000Lit/cube)</t>
  </si>
  <si>
    <t>L</t>
  </si>
  <si>
    <t>PO-23000583</t>
  </si>
  <si>
    <t>บริษัท เดลล์ คอร์ปอเรชั่น (ประเทศไทย) จำกัด</t>
  </si>
  <si>
    <t xml:space="preserve">Desktop - Laptop Dell </t>
  </si>
  <si>
    <t>PO-23000585</t>
  </si>
  <si>
    <t>บริษัท คูลเทค พลัส จำกัด</t>
  </si>
  <si>
    <t>เครื่องปรับอากาศ ขนาด 42,000 BTU (ห้องเก็บ Tap Changer)</t>
  </si>
  <si>
    <t>เครื่องปรับอากาศ ขนาด 42,000 BTU (ห้องเก็บกระดาษฉนวน)</t>
  </si>
  <si>
    <t>PO-23000590</t>
  </si>
  <si>
    <t>PO-23000592</t>
  </si>
  <si>
    <t>Teclock Popular Digital Depth Gauge+Test Certificate ISO/IEC</t>
  </si>
  <si>
    <t>PO-23000643</t>
  </si>
  <si>
    <t>บล๊อกลม KUANI #KI-1469 ขนาด 1/2"</t>
  </si>
  <si>
    <t>PO-23000662</t>
  </si>
  <si>
    <t>บริษัท ดีเอสไอ คอร์ปอเรชั่น จำกัด</t>
  </si>
  <si>
    <t>Scotch 3M Filament Tape 48 มม. x 50 มม. เทปใยแก้ว</t>
  </si>
  <si>
    <t>PO-23000671</t>
  </si>
  <si>
    <t>Thermohygrometer Huato Model:HE230A</t>
  </si>
  <si>
    <t>MAR</t>
  </si>
  <si>
    <t>PO-23000724</t>
  </si>
  <si>
    <t>บริษัท สยาม วิน บอร์น จำกัด</t>
  </si>
  <si>
    <t>เหล็กแผ่น SS400 หนา 19.0 มม. กว้าง 1219 มม. ยาว 2438 มม.</t>
  </si>
  <si>
    <t>แผ่น</t>
  </si>
  <si>
    <t>PO-23000770</t>
  </si>
  <si>
    <t>Cold Rolled Steel Sheet (SPCC-SD) ขนาด 1.2*700 มม.</t>
  </si>
  <si>
    <t>PO-23000762</t>
  </si>
  <si>
    <t>บริษัท พี.เอส.พี.สเปเชียลตี้ส์ จำกัด (มหาชน)</t>
  </si>
  <si>
    <t>น้ำมันหม้อแปลง Transform INH</t>
  </si>
  <si>
    <t>ลิตร</t>
  </si>
  <si>
    <t>PO-23000702</t>
  </si>
  <si>
    <t>ห้างหุุ้นส่วนจำกัด สหสเกล แอนด์ ทูลลิ่ง</t>
  </si>
  <si>
    <t>Digital Scale LOCOSC น้ำหนัก 100 Kg ค่าละเอียด5 K+ISO/IEC 17</t>
  </si>
  <si>
    <t>PO-23000713</t>
  </si>
  <si>
    <t>บริษัท ดิจิตอล สเกล และ เอ็นจิเนียริ่ง จำกัด</t>
  </si>
  <si>
    <t>เครื่องชั่ง พิกัด 2000กิโลกรัม อ่านค่า 0.5 กก.</t>
  </si>
  <si>
    <t>PO-23000716</t>
  </si>
  <si>
    <t>บริษัท เอ็มอี เครน เซอร์วิส แอนด์ ซัพพลาย จำกัด</t>
  </si>
  <si>
    <t>เครนคานเดี่ยว ขนาด 3 ตัน กว้าง 8 เมตร ทางวิ่งเครนยาว-เมตร</t>
  </si>
  <si>
    <t>PO-23000721</t>
  </si>
  <si>
    <t>PO-23000731</t>
  </si>
  <si>
    <t>บริษัท โอเวอร์ซี สเปเชี่ยล ซีวิล เวอร์ค จำกัด</t>
  </si>
  <si>
    <t>งานเคลือบพื้น EPOXY SELF-LEVELING FLOORING SYSTEM Thk.2.0mm.</t>
  </si>
  <si>
    <t>PO-23000738</t>
  </si>
  <si>
    <t>งานรื้อท่อดักแอร์+ชุดพัดลม และประกอบคืน</t>
  </si>
  <si>
    <t>PO-23000743</t>
  </si>
  <si>
    <t>งานตรวจรับรองเครนไม่เกิน 3 ตัน</t>
  </si>
  <si>
    <t>PO-23000787</t>
  </si>
  <si>
    <t>บริษัท มานา แพ็คเกจจิ้ง จำกัด</t>
  </si>
  <si>
    <t>LDPE ROLL(A) 48" x 0.08MM/SD ผ่า 1 ข้าง (กางออกจะได้ 96")</t>
  </si>
  <si>
    <t>PO-23000791</t>
  </si>
  <si>
    <t>เครนคานเดี่ยว ขนาด 10 ตัน กว้าง12 เมตร ทางวิ่งเครนยาว</t>
  </si>
  <si>
    <t>PO-23000798</t>
  </si>
  <si>
    <t>V-WAC Gage  (Scale mm.)+Cer ISO17025</t>
  </si>
  <si>
    <t>เวอร์เนียร์ Digital รุ่นMitutoyo 500-171-30 +Cer. ISO17025</t>
  </si>
  <si>
    <t>PO-23000801</t>
  </si>
  <si>
    <t>GR ด้ามแม่เหล็กจับชิ้นงาน ยาว 240mm.A1</t>
  </si>
  <si>
    <t>Bosch เครื่องฉีดน้ํา รุ่น Easy Aquatak 110 แรงดัน</t>
  </si>
  <si>
    <t>PO-23000803</t>
  </si>
  <si>
    <t>ใบเลื่อยวงเดือน ยี่ห้อMakita 10 นิ้ว 100 ฟัน รูเพลา 25.4 มม.</t>
  </si>
  <si>
    <t>PO-23000805</t>
  </si>
  <si>
    <t>บริษัท ไดนา เวลด์ เทรดดิ้ง จำกัด</t>
  </si>
  <si>
    <t>HARRIS กันไฟย้อนกลับสำหรับเกจ์ (แก๊สออกซิเจน)</t>
  </si>
  <si>
    <t>HARRIS กันไฟย้อนกลับสำหรับเกจ์ (แก๊สอะเซทิลีน)</t>
  </si>
  <si>
    <t>HARRIS กันไฟย้อนกลับสำหรับด้ามจับ Torch (แก๊สออกซิเจน)</t>
  </si>
  <si>
    <t>HARRIS กันไฟย้อนกลับสำหรับด้ามจับ Torch (แก๊สอะเซทิลีน)</t>
  </si>
  <si>
    <t>เข็มขัดรัดสายแก๊ส</t>
  </si>
  <si>
    <t>PO-23000813</t>
  </si>
  <si>
    <t>บริษัท ดาต้า เอ็นทรี่ กรุ๊ป จำกัด</t>
  </si>
  <si>
    <t>Transformer oil testing and analysis (CS-23-0061)</t>
  </si>
  <si>
    <t xml:space="preserve">PO-23000926 </t>
  </si>
  <si>
    <t>เหล็กแผ่น SS400 หนา 9.0 มม. กว้าง 1219 มม. ยาว 2438 มม.</t>
  </si>
  <si>
    <t>เหล็กแผ่น SS400 หนา 6.0 มม. กว้าง 1524 มม. ยาว 3048 มม.</t>
  </si>
  <si>
    <t>PO-23000866</t>
  </si>
  <si>
    <t>สีสเปรย์ TOA. สีส้ม เบอร์ 08</t>
  </si>
  <si>
    <t>PO-23000867</t>
  </si>
  <si>
    <t>ก๊าซ LPG 15kg</t>
  </si>
  <si>
    <t>PO-23000881</t>
  </si>
  <si>
    <t>รถยกลาก รับน้ำหนักได้ 3000 Kgs. (3ตัน) ล้อ PU CNS-306DP</t>
  </si>
  <si>
    <t>PO-23000898</t>
  </si>
  <si>
    <t>RILON ตู้เชื่อมไฟฟ้า ARC315GS 220V/380V</t>
  </si>
  <si>
    <t>PO-23000902</t>
  </si>
  <si>
    <t>DEWALT ไฟฉาย LED 20V Max DCL043N-KR พร้อมแบตเตอร์รี่</t>
  </si>
  <si>
    <t>PO-23000907</t>
  </si>
  <si>
    <t>โทรศัพท์มือถือ Samsung A23 (คุณเจริญศักดิ์)</t>
  </si>
  <si>
    <t>PO-23000915</t>
  </si>
  <si>
    <t>บริษัท ยูนิกซ์ ซัพพลายเออร์ จำกัด</t>
  </si>
  <si>
    <t>Air Filter Sheet Size:W580xL580xT15 mm</t>
  </si>
  <si>
    <t>PO-23000916</t>
  </si>
  <si>
    <t>PO-23000930</t>
  </si>
  <si>
    <t>ห้างหุ้นส่วนจำกัด สะพานสี่ สตีล โปรดักส์</t>
  </si>
  <si>
    <t>งานเจาะประตูเปิด-ปิดเชื่อมระหว่างหอพักกับโรงจอดรถยนต์</t>
  </si>
  <si>
    <t>PO-23000877</t>
  </si>
  <si>
    <t xml:space="preserve">Radiator Fin W520 x HL800 x Z6 </t>
  </si>
  <si>
    <t>Radiator Fin W520 x HL1000 x Z13 (124 Kg.)</t>
  </si>
  <si>
    <t>Radiator Fin W520 x HL800x Z13</t>
  </si>
  <si>
    <t>Radiator Fin W520 x HL1000 x Z11</t>
  </si>
  <si>
    <t>Radiator Fin W520 x HL800 x Z9</t>
  </si>
  <si>
    <t xml:space="preserve">Radiator fin W520 x HL800 x Z4 </t>
  </si>
  <si>
    <t>PO-23000941</t>
  </si>
  <si>
    <t>แผ่นสติ๊กเกอร์แรงดัน DANGER 415/240V</t>
  </si>
  <si>
    <t>PO-23000958</t>
  </si>
  <si>
    <t>ห้างหุ้นส่วนจำกัด ประสิทธิ์สเทชั่นเนอรี่และการพิมพ์</t>
  </si>
  <si>
    <t>นามบัตร พนักงาน QTC</t>
  </si>
  <si>
    <t>PO-23000971</t>
  </si>
  <si>
    <t>GRACODiaphragm Pump Husky 1050 Air-Operated Inlet/Outlet 1</t>
  </si>
  <si>
    <t>PO-23000975</t>
  </si>
  <si>
    <t>YAMABISHI" พัดลมอุตสาหกรรม 30" VF-1760-B/ส่วนประกอบ</t>
  </si>
  <si>
    <t>PO-23000979</t>
  </si>
  <si>
    <t>งานเทพื้นคอนกรีตพื้นที่วาง Cable box 400 ตรม.</t>
  </si>
  <si>
    <t>PO-23000993</t>
  </si>
  <si>
    <t>HE UHP 7M3 V.580 (Purity 99.999%)</t>
  </si>
  <si>
    <t>PO-23001015</t>
  </si>
  <si>
    <t>แผ่นรองรีด (ใช้กับเครื่องรีดเกลียว JDY-30)</t>
  </si>
  <si>
    <t>PO-23001018</t>
  </si>
  <si>
    <t>บริษัท คอมพลีท มาร์ค จำกัด</t>
  </si>
  <si>
    <t>922-C211BK Black Solvent base ink cartridge (1/2inch)</t>
  </si>
  <si>
    <t>HARRIS กันไฟย้อนสำหรับชุดตัด Model : 188</t>
  </si>
  <si>
    <t>PO-23001021</t>
  </si>
  <si>
    <t>PO-23001025</t>
  </si>
  <si>
    <t xml:space="preserve">Inspection Crane capacity </t>
  </si>
  <si>
    <t>PO-23001027</t>
  </si>
  <si>
    <t>บริษัท บิซิเนส เอ็นจิเนียริ่ง โปรดักส์ จำกัด</t>
  </si>
  <si>
    <t>สมุดฉีกคาร์บอนในตัว 1Copy ขนาด 19.5x14.5 cm. (1เล่ม=50 copy)</t>
  </si>
  <si>
    <t>PO-23001037</t>
  </si>
  <si>
    <t>สมาร์ทโฟน vivo Y02s (3+32GB) Fluorite Black</t>
  </si>
  <si>
    <t>PO-23001041</t>
  </si>
  <si>
    <t>งานทำพื้นอีพ็อกซี่ห้องอบและเติมน้ำมัน</t>
  </si>
  <si>
    <t>PO-23000699</t>
  </si>
  <si>
    <t>ลวดแบนหุ้มกระดาษหนา 0.5 มม. ขนาด 2.0*8.0 มม.</t>
  </si>
  <si>
    <t>ลวดแบนหุ้มกระดาษหนา 0.5 มม. ขนาด 2.5*5.5 มม.</t>
  </si>
  <si>
    <t>PO-23000704</t>
  </si>
  <si>
    <t>ลวดแบนหุ้มกระดาษหนา 0.5 มม. ขนาด 2.3*8 มม.</t>
  </si>
  <si>
    <t>ลวดแบนหุ้มกระดาษหนา 0.5 มม. ขนาด 2.2*7.5 มม.</t>
  </si>
  <si>
    <t>ลวดแบนหุ้มกระดาษหนา 0.6 มม. ขนาด 2.5*8 มม.</t>
  </si>
  <si>
    <t>ลวดแบนหุ้มกระดาษหนา 0.6 มม. ขนาด 2.8*12.5 มม.</t>
  </si>
  <si>
    <t>PO-23000736</t>
  </si>
  <si>
    <t>CT 1000/1A Current Transformer Class 5P10 15VA(Cast Resin)</t>
  </si>
  <si>
    <t>PO-23000761</t>
  </si>
  <si>
    <t>PO-23000792</t>
  </si>
  <si>
    <t>บริษัท แพน เอเซีย แพคกิ้ง จำกัด</t>
  </si>
  <si>
    <t>Solid wooden crate 70x70x45 cm.</t>
  </si>
  <si>
    <t>PO-23000852</t>
  </si>
  <si>
    <t>ลวดแบนหุ้มกระดาษหนา 0.5 มม. ขนาด 1.9 * 6 มม.</t>
  </si>
  <si>
    <t>PO-23000873</t>
  </si>
  <si>
    <t>PO-23000900</t>
  </si>
  <si>
    <t>ลวดแบนหุ้มกระดาษหนา 0.5 มม. ขนาด 1.4*5.5 มม.</t>
  </si>
  <si>
    <t>PO-23000911</t>
  </si>
  <si>
    <t>หางปลาหุ้มฉนวนสีเหลือง รูM.6 ใช้กับสาย6-6 sq.mm.</t>
  </si>
  <si>
    <t>หางปลาต่อสายแบบกลมเปลือย ยี่ห้อ T-LUG ขนาด 16-8 มม.</t>
  </si>
  <si>
    <t>หางปลาต่อสายแบบกลมเปลือย ยี่ห้อ T-LUG ขนาด 35-12 มม.</t>
  </si>
  <si>
    <t>PO-23000830</t>
  </si>
  <si>
    <t>PO-23000927</t>
  </si>
  <si>
    <t>PO-23000897</t>
  </si>
  <si>
    <t>ทองแดงเส้นแบน ขนาด 1/4"*1"</t>
  </si>
  <si>
    <t>PO-23000986</t>
  </si>
  <si>
    <t>APR</t>
  </si>
  <si>
    <t>PO-23001007</t>
  </si>
  <si>
    <t xml:space="preserve"> บริษัท พี ซี อีลีแมค จำกัด</t>
  </si>
  <si>
    <t>CABLE BOX ON SIDE TR.2000 kVA 3Ph 50Hz 22000-433/250V</t>
  </si>
  <si>
    <t>Control Box Type 5 / Control Box Type 5</t>
  </si>
  <si>
    <t>ea</t>
  </si>
  <si>
    <t>Cover Box  for Bushing W-450 x L-1000 x H-420</t>
  </si>
  <si>
    <t>PO-23001081</t>
  </si>
  <si>
    <t>ลวดแบนหุ้มกระดาษหนา 0.5 มม. ขนาด 2.0*6 มม.</t>
  </si>
  <si>
    <t>ลวดแบนหุ้มกระดาษหนา 0.5 มม. ขนาด 2.4*6.4 มม.</t>
  </si>
  <si>
    <t>ลวดแบนหุ้มกระดาษหนา 0.5 มม. ขนาด 2.0*6.5 มม.</t>
  </si>
  <si>
    <t>ลวดแบนหุ้มกระดาษหนา 0.6 มม. ขนาด 3.0*6 มม.</t>
  </si>
  <si>
    <t>ลวดแบนหุ้มกระดาษหนา 0.5 มม. ขนาด 2.1*11 มม.</t>
  </si>
  <si>
    <t>ลวดแบนหุ้มกระดาษหนา 0.6 มม. ขนาด 3.2*12 มม.(พิเศษ)</t>
  </si>
  <si>
    <t>ลวดแบนหุ้มกระดาษหนา 0.8 มม. ขนาด 3.0*6 มม.</t>
  </si>
  <si>
    <t>ลวดแบนหุ้มกระดาษหนา 0.5 มม. ขนาด 2.5*8.0 มม.</t>
  </si>
  <si>
    <t>ลวดแบนหุ้มกระดาษหนา 0.5 มม. ขนาด 2 *14 มม.</t>
  </si>
  <si>
    <t>ลวดแบนหุ้มกระดาษหนา 0.6 มม. ขนาด 2.5*7.5 มม.</t>
  </si>
  <si>
    <t>ลวดแบนหุ้มกระดาษหนา 1.0 มม. ขนาด 2.5*8.0 มม.</t>
  </si>
  <si>
    <t>ลวดแบนหุ้มกระดาษหนา 0.5 มม. ขนาด 2.5x7.5 มม</t>
  </si>
  <si>
    <t>PO-23001123</t>
  </si>
  <si>
    <t>ลวดแบนหุ้มกระดาษหนา 0.5 มม. ขนาด 2*11 มม.</t>
  </si>
  <si>
    <t>ลวดแบนหุ้มกระดาษหนา 0.5 มม. ขนาด 2*7.5 มม.</t>
  </si>
  <si>
    <t>ลวดแบนหุ้มกระดาษหนา 0.5 มม. ขนาด 1.7*5.0 มม.</t>
  </si>
  <si>
    <t>PO-23001109</t>
  </si>
  <si>
    <t>KOVETรถเข็นชุดสนาม 6Q 4ล้อ/เดี่ยว(OX)</t>
  </si>
  <si>
    <t>PO-23001112</t>
  </si>
  <si>
    <t>แก๊สอะเซทิลีน</t>
  </si>
  <si>
    <t>แก๊สไนโตรเจน</t>
  </si>
  <si>
    <t>PO-23001141</t>
  </si>
  <si>
    <t>บริษัท โปรเทคทีสท์ จำกัด</t>
  </si>
  <si>
    <t>เครื่องวัดค่าความหยาบ Positector SPG Standard(SPG1)รวมหัวโพล</t>
  </si>
  <si>
    <t>PO-23001139</t>
  </si>
  <si>
    <t>บริษัท โพรเทเรียล (ไทยแลนด์) จำกัด</t>
  </si>
  <si>
    <t>Amorphous Alloy MaDC-A width 8.4" 5-ply ( 213 มม.)</t>
  </si>
  <si>
    <t>kg</t>
  </si>
  <si>
    <t>PO-23001094</t>
  </si>
  <si>
    <t>POSCO International (Thailand) CO., LTD.</t>
  </si>
  <si>
    <t>Silicon Steel Master Coil 027CLF100</t>
  </si>
  <si>
    <t>Silicon Steel Master Coil 023CLF080</t>
  </si>
  <si>
    <t>PO-23001144</t>
  </si>
  <si>
    <t>บริษัท ชูโฟทิค จำกัด</t>
  </si>
  <si>
    <t>เครื่องสำรองไฟ Chuphotic MOON-I 1000va/480w.</t>
  </si>
  <si>
    <t>แบตเตอร์รี่เครื่องสำรองไฟ 12V. 7.5Ah</t>
  </si>
  <si>
    <t>PO-23001152</t>
  </si>
  <si>
    <t>คอนกรีตกันล้อ 10*10 ซม. 2 เมตร</t>
  </si>
  <si>
    <t>PO-23001174</t>
  </si>
  <si>
    <t>บริษัท พี.บี.ลิฟท์แมช (ประเทศไทย) จำกัด</t>
  </si>
  <si>
    <t>Scissor Lift Table (800kg)  ยี่ห้อLitfMach Model : SPS800</t>
  </si>
  <si>
    <t>PO-23001186</t>
  </si>
  <si>
    <t>บริษัท สยามเทคโนอุตสาหกรรม จำกัด</t>
  </si>
  <si>
    <t>ลวดเชื่อม Flux core wire  ขนาด 1.2  มม.*15 kgs</t>
  </si>
  <si>
    <t>PO-23001206</t>
  </si>
  <si>
    <t>PO-23001211</t>
  </si>
  <si>
    <t>บริษัท เทคโนโลยี เทสท์ ซิสเต็ม จำกัด</t>
  </si>
  <si>
    <t>NTi XL2 Audio and Acoustic Analyzer + Certificate ผู้ผลิต</t>
  </si>
  <si>
    <t>NTi M2211 ไมโครโฟน สำหรับเครื่องวัดเสียง NTi  XL2</t>
  </si>
  <si>
    <t>PO-23001220</t>
  </si>
  <si>
    <t>บริษัท พี.อี.แอล. เอ็นจิเนียริ่ง จำกัด</t>
  </si>
  <si>
    <t>งานนำสายไฟลงดิน</t>
  </si>
  <si>
    <t>PO-23001224</t>
  </si>
  <si>
    <t>งานเทพื้นคอนกรีต 282 ตรม. 280 สแลนเดอร์แบบเหนียว</t>
  </si>
  <si>
    <t>PO-23001244</t>
  </si>
  <si>
    <t>บริษัท บิ๊กพาวเวอร์ ซัพพลาย จำกัด</t>
  </si>
  <si>
    <t>งานเปลี่ยนหลังคาโรงงาน 2</t>
  </si>
  <si>
    <t>PO-23001270</t>
  </si>
  <si>
    <t>บริษัท ปลวกแดงกระจกอลูมิเนียม จำกัด</t>
  </si>
  <si>
    <t>งานกั้นห้องกระจก ขนาด 3.425X1.45 cm.</t>
  </si>
  <si>
    <t>PO-23001298</t>
  </si>
  <si>
    <t>ซ่อมแอร์ พันคอล์ย</t>
  </si>
  <si>
    <t>PO-23001154</t>
  </si>
  <si>
    <t>ลวดแบนหุ้มกระดาษหนา 0.5 มม. ขนาด 1.5*6.2 มม.</t>
  </si>
  <si>
    <t>Kg</t>
  </si>
  <si>
    <t>ลวดแบนหุ้มกระดาษหนา 0.5 มม. ขนาด 2.2*5.5 มม.</t>
  </si>
  <si>
    <t>PO-23001105</t>
  </si>
  <si>
    <t>PO-23001156</t>
  </si>
  <si>
    <t>ลวดแบนหุ้มกระดาษหนา 0.5 มม. ขนาด 2.0*4.5 มม.</t>
  </si>
  <si>
    <t>ลวดแบนหุ้มกระดาษหนา 0.5 มม. ขนาด 2.0*5.0 มม.</t>
  </si>
  <si>
    <t>ลวดแบนหุ้มกระดาษหนา 0.5 มม. ขนาด 1.7*5.5 มม.</t>
  </si>
  <si>
    <t>ลวดแบนหุ้มกระดาษหนา 0.6 มม. ขนาด 2.4*16 มม.</t>
  </si>
  <si>
    <t>ลวดแบนหุ้มกระดาษหนา 0.6 มม. ขนาด 2.9*13.5 มม.</t>
  </si>
  <si>
    <t>PO-23001159</t>
  </si>
  <si>
    <t>หางปลาต่อสายแบบกลมเปลือย ยี่ห้อ T-LUG CL240-12</t>
  </si>
  <si>
    <t>PO-23001160</t>
  </si>
  <si>
    <t>แผ่นป้าย LOGO(EPE) ขนาดใหญ่ No.2 (สแตนเลส)</t>
  </si>
  <si>
    <t>PO-23001209</t>
  </si>
  <si>
    <t>หางปลาต่อสายแบบกลมเปลือย ยี่ห้อ T-LUG CL120-12</t>
  </si>
  <si>
    <t>PO-23001229</t>
  </si>
  <si>
    <t>Litre</t>
  </si>
  <si>
    <t>PO-23001235</t>
  </si>
  <si>
    <t>PO-23001236</t>
  </si>
  <si>
    <t>ลวดแบนหุ้มกระดาษหนา 0.5 มม. ขนาด 2.2*5 มม.</t>
  </si>
  <si>
    <t>PO-23001245</t>
  </si>
  <si>
    <t>ลวดแบนหุ้มกระดาษหนา 0.5 มม. ขนาด 3.0*10 มม.</t>
  </si>
  <si>
    <t>PO-23001259</t>
  </si>
  <si>
    <t>ลวดแบนหุ้มกระดาษหนา 0.5 มม. ขนาด 2.1*6.5 มม.</t>
  </si>
  <si>
    <t>PO-23001269</t>
  </si>
  <si>
    <t>CT 100/1A Current Transformer Class 5P10  5VA</t>
  </si>
  <si>
    <t>MAY</t>
  </si>
  <si>
    <t>PO-23001421</t>
  </si>
  <si>
    <t>Insulating Supports แรงสูง12kVยี่ห้อ GEORG JORDAN</t>
  </si>
  <si>
    <t>PO-23001424</t>
  </si>
  <si>
    <t>Conservator Tank TR.12  MVA 3Ph 50Hz 22000-6600V</t>
  </si>
  <si>
    <t>PO-23001326</t>
  </si>
  <si>
    <t>Waterproofing joint Roof metal sheet (โรงงาน 5-6)</t>
  </si>
  <si>
    <t>job</t>
  </si>
  <si>
    <t>PO-23001358</t>
  </si>
  <si>
    <t xml:space="preserve">เทอร์โมไฮโกรมิเตอร์/ดิจิตอล TH-03A,-50 to 70 C (20-99% R H) </t>
  </si>
  <si>
    <t>PO-23001360</t>
  </si>
  <si>
    <t>PO-23001394</t>
  </si>
  <si>
    <t>บริษัท โตโยต้า ที บี เอ็น จำกัด สาขารามคำแหง</t>
  </si>
  <si>
    <t>รถกะบะพื้นเรียบ โตโยต้า รีโว 2.4C-Cab Entry Prerunner A/T แค</t>
  </si>
  <si>
    <t>คัน</t>
  </si>
  <si>
    <t>PO-23001395</t>
  </si>
  <si>
    <t>บริษัท แครี่บอย มาร์เก็ตติ้ง จำกัด</t>
  </si>
  <si>
    <t>Carryboy ตู้คาร์โก้ บ๊อกซ์ CBM(H 1,650 L 1,900 W 1,800 mm ภา</t>
  </si>
  <si>
    <t>PO-23001401</t>
  </si>
  <si>
    <t>งานติดตั้ง Main Breaker โรง 4-5-6</t>
  </si>
  <si>
    <t>PO-23001402</t>
  </si>
  <si>
    <t>งานทำฐาน+ปูแกนิตศาล ขนาด 3.39x3.39x1.07 ม.</t>
  </si>
  <si>
    <t>PO-23001406</t>
  </si>
  <si>
    <t>YAMABISHI พัดลมอุตสาหกรรม 30 นิ้ว รุ่นVF-1760-B - 30 นิ้ว QA</t>
  </si>
  <si>
    <t>บริษัท บางกอก เวลดิ้ง (ประเทศไทย) จำกัด</t>
  </si>
  <si>
    <t>ลวดเชื่อม Gmaw (Co2) ขนาด 1.0 มม.</t>
  </si>
  <si>
    <t>Box</t>
  </si>
  <si>
    <t>PO-23001425</t>
  </si>
  <si>
    <t>บริษัท พี ซี อีลีแมค จำกัด</t>
  </si>
  <si>
    <t>CABLE BOX ON SIDE TR.2000 kVA 3Ph 50Hz 22000-417V</t>
  </si>
  <si>
    <t>PO-23001550</t>
  </si>
  <si>
    <t>บริษัท เค เอ็ม ไอ เอ็นจิเนียริ่ง (ประเทศไทย) จำกัด</t>
  </si>
  <si>
    <t>ชุดกล่องต่อสาย รุ่น DS2.5-01P-11-00A(H)-DS2.5-01P-11-00A(H)</t>
  </si>
  <si>
    <t xml:space="preserve">PO-23001551 </t>
  </si>
  <si>
    <t>CT 2000/1A Current Transformer Class 0.5FS5  5VA (Precise)</t>
  </si>
  <si>
    <t>CT 1000/1A Current Transformer Class 0.5FS5  5VA (Precise)</t>
  </si>
  <si>
    <t>PO-23001552</t>
  </si>
  <si>
    <t>บริษัท เอราวัณรับเบอร์ จำกัด</t>
  </si>
  <si>
    <t>Bird Guard สีเทา  ความสูง 210 มม.(MEA) – Silicone</t>
  </si>
  <si>
    <t>PO-23001587</t>
  </si>
  <si>
    <t>Arrester PRESICE 21kV 5kA HS-F-99-0216</t>
  </si>
  <si>
    <t>PO-23001520</t>
  </si>
  <si>
    <t>CABLE BOX TYPE 1 TR.2000 kVA 3Ph 50Hz 33000-400/230V</t>
  </si>
  <si>
    <t>PO-23001626</t>
  </si>
  <si>
    <t>ทองแดงเส้นแบน ขนาด 1/2"*5"</t>
  </si>
  <si>
    <t>PO-23001641</t>
  </si>
  <si>
    <t>PO-23001598</t>
  </si>
  <si>
    <t>ลวดแบนหุ้มกระดาษหนา 0.5 มม. ขนาด 2.1*4 มม.</t>
  </si>
  <si>
    <t>PO-23001640</t>
  </si>
  <si>
    <t>CABLE BOX TYPE 1 TR.2000 kVA 3Ph 50Hz 22000-400/230V</t>
  </si>
  <si>
    <t>PO-23001357</t>
  </si>
  <si>
    <t>หางปลาต่อสายแบบกลมเปลือย ยี่ห้อ T-LUG CL70-12</t>
  </si>
  <si>
    <t>สายทองแดงเปลือย ขนาด 50 sqm. Ref. TIS</t>
  </si>
  <si>
    <t>Metre</t>
  </si>
  <si>
    <t>PO-23001368</t>
  </si>
  <si>
    <t>บริษัท เอ็น.เอช.เค.สตีล จำกัด</t>
  </si>
  <si>
    <t>PO-23001396</t>
  </si>
  <si>
    <t>Pack &amp; Lashing+Cert. for 40 OT  SOF-220047 คลุมผ้าใบด้านบน</t>
  </si>
  <si>
    <t>PO-23001397</t>
  </si>
  <si>
    <t>สายทองแดงเปลือย ขนาด 120 sqm.  Ref. TIS</t>
  </si>
  <si>
    <t>สายทองแดงเปลือย ขนาด 240 sqm.  Ref. TIS</t>
  </si>
  <si>
    <t>PO-23001398</t>
  </si>
  <si>
    <t>PO-23001408</t>
  </si>
  <si>
    <t>Circuit breaker MCCBMisubishiNF63-CV 3P-50A</t>
  </si>
  <si>
    <t>PO-23001418</t>
  </si>
  <si>
    <t>PO-23001417</t>
  </si>
  <si>
    <t>บริษัท ทีม สยาม จำกัด</t>
  </si>
  <si>
    <t>Switch bar (URTK/S)</t>
  </si>
  <si>
    <t>PO-23001419</t>
  </si>
  <si>
    <t>ลวดแบนหุ้มกระดาษหนา 0.5 มม. ขนาด 3.0*6 มม.</t>
  </si>
  <si>
    <t>PO-23001422</t>
  </si>
  <si>
    <t>บริษัท แอลแอลเอสเอส อิเลคทริเคิล ซัพพลาย จำกัด</t>
  </si>
  <si>
    <t>Fuse Base 12kV (SINUK)</t>
  </si>
  <si>
    <t>HRC. Fuse link 12kV 40A L=292mm. (SINUK)</t>
  </si>
  <si>
    <t>HRC. Fuse link 12kV 10A L=292mm. (SINUK)</t>
  </si>
  <si>
    <t>PO-23001472</t>
  </si>
  <si>
    <t>หางปลาต่อสายแบบกลมเปลือย ยี่ห้อ T-LUG ขนาด 16-6 มม.</t>
  </si>
  <si>
    <t>PO-23001479</t>
  </si>
  <si>
    <t>ทองแดงเส้นแบน 3/4*5"(นำมาใช้ทำชุดช๊อตเตาอบแกนเหล็กอะมอร์ฟัส)</t>
  </si>
  <si>
    <t>PO-23001484</t>
  </si>
  <si>
    <t>Pack &amp; Lashing Cert 40FR (SOF-220065&amp;SOF230001) ผ้าใบคลุมสิน</t>
  </si>
  <si>
    <t>PO-23001485</t>
  </si>
  <si>
    <t>ลวดแบนหุ้มกระดาษหนา 0.5 มม. ขนาด 2.3*5 มม.</t>
  </si>
  <si>
    <t>ลวดแบนหุ้มกระดาษหนา 0.5 มม. ขนาด 1.4*4.5 มม.</t>
  </si>
  <si>
    <t>ลวดแบนหุ้มกระดาษหนา 0.5 มม. ขนาด 2 *14.5 มม.</t>
  </si>
  <si>
    <t>ลวดแบนหุ้มกระดาษหนา 0.5 มม. ขนาด 2.4*8.5 มม.</t>
  </si>
  <si>
    <t>ลวดแบนหุ้มกระดาษหนา 0.5 มม. ขนาด 2.2*12 มม.</t>
  </si>
  <si>
    <t>ลวดแบนหุ้มกระดาษหนา 0.5 มม. ขนาด 1.6*5.5 มม.</t>
  </si>
  <si>
    <t>PO-23001490</t>
  </si>
  <si>
    <t>Partition plate-ATP-UK (UK6N)</t>
  </si>
  <si>
    <t>PO-23001491</t>
  </si>
  <si>
    <t>ลวดแบนหุ้มกระดาษหนา 0.5 มม. ขนาด 2.4*6 มม.</t>
  </si>
  <si>
    <t>PO-23001524</t>
  </si>
  <si>
    <t>ลวดแบนหุ้มกระดาษหนา 0.3 มม. ขนาด 1.4*4.5 มม.</t>
  </si>
  <si>
    <t>PO-23001595</t>
  </si>
  <si>
    <t>PO-23001597</t>
  </si>
  <si>
    <t>PO-23001600</t>
  </si>
  <si>
    <t>Copper Foil ขนาด 1.25*410 มม.</t>
  </si>
  <si>
    <t>Copper Foil ขนาด 1.80*560 มม.</t>
  </si>
  <si>
    <t>PO-23001702</t>
  </si>
  <si>
    <t>Flexible Tin Braid 16 SQ.MM. สายฝอย 48 เส้น</t>
  </si>
  <si>
    <t>PO-23001709</t>
  </si>
  <si>
    <t>CT 200/1 A Current Transformer class 5P20 20VA Cotton</t>
  </si>
  <si>
    <t>PO-23001710</t>
  </si>
  <si>
    <t>PO-23001426</t>
  </si>
  <si>
    <t>PO-23001430</t>
  </si>
  <si>
    <t>แบตเตอรี่ Megger 11 1V 5 2Ah 57.72Wh Part No. 2001-966 - ใช้</t>
  </si>
  <si>
    <t>PO-23001469</t>
  </si>
  <si>
    <t>บริษัท พี.โอ.เค.ฟอร์คลิฟท์ เซอร์วิส จำกัด</t>
  </si>
  <si>
    <t>ซ่อมโฟล์คลิฟท์</t>
  </si>
  <si>
    <t>PO-23001489</t>
  </si>
  <si>
    <t>บริษัท พีพีแอล ซัพพลาย แอนด์ อีควิปเม้นท์ จำกัด</t>
  </si>
  <si>
    <t>เกจวัดเเรงดัน 0.1 Map,1Bar เกลียวออกนอก (เกลียว 1/4" แบบแห้ง</t>
  </si>
  <si>
    <t>PO-23001526</t>
  </si>
  <si>
    <t>พัดลมแบบกันระเบิด รุ่น Explosion proof ขนาด 20 นิ้ว</t>
  </si>
  <si>
    <t>PO-23001528</t>
  </si>
  <si>
    <t>บริษัท ยูเนี่ยน เทค เอ็นจิเนียริ่ง จำกัด</t>
  </si>
  <si>
    <t>SH-MRYM-KP3000'MARUYAMA' KP-3000(Second Hand)Bare Shaft Pump</t>
  </si>
  <si>
    <t>PO-23001569</t>
  </si>
  <si>
    <t>PO-23001573</t>
  </si>
  <si>
    <t>ไม้ท่อน 2x3 นิ้ว x 25 ซม.+Cert</t>
  </si>
  <si>
    <t>PO-23001576</t>
  </si>
  <si>
    <t>ชุดประแจหกเหลี่ยมหัวบอล 9 ตัว (ขนาด1.5-10 มม.) ยี่ห้อ Kenned</t>
  </si>
  <si>
    <t>PO-23001579</t>
  </si>
  <si>
    <t>PO-23001609</t>
  </si>
  <si>
    <t>Elcometer 142 ISO 8502-3 Dust Tape Test Kit</t>
  </si>
  <si>
    <t>PO-23001665</t>
  </si>
  <si>
    <t>งานทาสีรั้วโรงงาน</t>
  </si>
  <si>
    <t>PO-23001695</t>
  </si>
  <si>
    <t>งานเคลือบพื้น POLYURETHANE  FLOORING SYSTEM (MF)-SPOT REPAIR</t>
  </si>
  <si>
    <t>PO-23001697</t>
  </si>
  <si>
    <t>PO-23001683</t>
  </si>
  <si>
    <t>BCT Terminal Box T9015 12pin (PF1")</t>
  </si>
  <si>
    <t>BCT Terminal Box T9002 4pin (PF1/2") ระยะยึด 85 มม.</t>
  </si>
  <si>
    <t>JUN</t>
  </si>
  <si>
    <t xml:space="preserve">PO-23001759 </t>
  </si>
  <si>
    <t>บริษัท คาซูมิ (ไทยแลนด์) จำกัด</t>
  </si>
  <si>
    <t>Radiator fin 94 set.</t>
  </si>
  <si>
    <t>PO-23001757</t>
  </si>
  <si>
    <t>plate</t>
  </si>
  <si>
    <t>เหล็กแผ่น SS400 หนา 6.0 มม. กว้าง 1219 มม. ยาว 2438 มม.</t>
  </si>
  <si>
    <t>PO-23001758</t>
  </si>
  <si>
    <t>PO-23001729</t>
  </si>
  <si>
    <t>สายทองแดงเปลือย + หางปลา</t>
  </si>
  <si>
    <t>PO</t>
  </si>
  <si>
    <t>PO-23001753</t>
  </si>
  <si>
    <t>บริษัท บางกอกแม็กเน็ตไวร์ จำกัด</t>
  </si>
  <si>
    <t>ลวดกลมอาบน้ำยา ขนาด 2.70 มม.</t>
  </si>
  <si>
    <t>PO-23001768</t>
  </si>
  <si>
    <t xml:space="preserve">ลวดแบนหุ้มกระดาษหนา 0.5 มม. </t>
  </si>
  <si>
    <t>PO-23001782</t>
  </si>
  <si>
    <t>PO-23001783</t>
  </si>
  <si>
    <t>PO-23001804</t>
  </si>
  <si>
    <t>PO-23001737</t>
  </si>
  <si>
    <t>สีสเปรย์  WIN สีเหลือง # 218</t>
  </si>
  <si>
    <t>สีสเปรย์ TOA. สีน้ำเงิน เบอร์ 06</t>
  </si>
  <si>
    <t>PO-23001742</t>
  </si>
  <si>
    <t>บริษัท กริด คอนเนคท์ เอ็นเนอร์ยี่ จำกัด</t>
  </si>
  <si>
    <t>Solar Rooftop ขนาด 117.72 kWp เฟส2</t>
  </si>
  <si>
    <t>PO-23001746</t>
  </si>
  <si>
    <t xml:space="preserve">Battery EWAVE GB12-7.5 (N12V7.5Ah) </t>
  </si>
  <si>
    <t>PO-23001747</t>
  </si>
  <si>
    <t>Cartridge FilterID240 X OD350 XH660 MM.</t>
  </si>
  <si>
    <t>PO-23001752</t>
  </si>
  <si>
    <t>MILWAUKEE ประแจเลื่อน 12 นิ้ว</t>
  </si>
  <si>
    <t>PO-23001754</t>
  </si>
  <si>
    <t>ปลอกสาย ขนาด 1 มม.</t>
  </si>
  <si>
    <t>ปลอกสาย ขนาด 2 มม.</t>
  </si>
  <si>
    <t>PO-23001791</t>
  </si>
  <si>
    <t>Smart Power Meter 3 Phase(Wi-Fi) - MSpace485+Power Meter ZGC</t>
  </si>
  <si>
    <t>PO-23001798</t>
  </si>
  <si>
    <t xml:space="preserve">Battery EWAVE GB12-7.5 (N12V7.5Ah)  </t>
  </si>
  <si>
    <t>PO-23001814</t>
  </si>
  <si>
    <t>อะไหล่ใบพัดลมฟาร์มกล่องสแตนเลส พร้อมมู่เล่ย์ ขนาด 50” รูเพลา</t>
  </si>
  <si>
    <t>PO-23001817</t>
  </si>
  <si>
    <t>กระดาษซับ WYPALL L30 WIPERS Code:74263 Size 37.00 x 38.00 cm</t>
  </si>
  <si>
    <t>PO-23001818</t>
  </si>
  <si>
    <t>ปลอกสาย ขนาด 5 มม.</t>
  </si>
  <si>
    <t>สีสเปรย์  WIN สีน้ำเงิน # 242</t>
  </si>
  <si>
    <t>PO-23001821</t>
  </si>
  <si>
    <t>ELCOMETER 456 FERROUS PROBE,SCALE 0.5: MINI, 90 DEGREE, 300M</t>
  </si>
  <si>
    <t>PO-23001824</t>
  </si>
  <si>
    <t>งานทำที่กั้นการ์ดเรล พื้นที่วาง Cable box</t>
  </si>
  <si>
    <t>PO-23001826</t>
  </si>
  <si>
    <t>Bosch" เลื่อยฉลุไฟฟ้า GST 700</t>
  </si>
  <si>
    <t>PO-23001830</t>
  </si>
  <si>
    <t>แย็กพื้นเทสโลปถนนทางเข้าใหม่ทางเข้าลานจอดรถยนต์ด้านหลัง</t>
  </si>
  <si>
    <t>PO-23001903</t>
  </si>
  <si>
    <t>บริษัท เอช.เค.สลักภัณฑ์ จำกัด</t>
  </si>
  <si>
    <t>น้ำยาสังกะสีเหลว (Galvanize)</t>
  </si>
  <si>
    <t>PO-23001953</t>
  </si>
  <si>
    <t>PO-23002044</t>
  </si>
  <si>
    <t>PO-23002081</t>
  </si>
  <si>
    <t>ทองแดงเส้นแบน</t>
  </si>
  <si>
    <t>PO-23001911</t>
  </si>
  <si>
    <t>Air Conditioner Ceiling Suspended Type Cap.24,200 BTU</t>
  </si>
  <si>
    <t>PO-23001960</t>
  </si>
  <si>
    <t>สีน้ำพลาสติกภายนอก TOA ขนาด 3 ลิตร</t>
  </si>
  <si>
    <t>PO-23002012</t>
  </si>
  <si>
    <t>แผ่นอะคริลิค สีใส ขนาด 4ฟุต x 8ฟุต x หนา8มิล</t>
  </si>
  <si>
    <t>PO-23002023</t>
  </si>
  <si>
    <t>ใบตัด ใบตัดไฟเบอร์ 14 นิ้ว ใบตัดเหล็ก</t>
  </si>
  <si>
    <t>MAKITA เครื่องเลื่อยวงเดือน ขนาด 7"</t>
  </si>
  <si>
    <t>PO-23002024</t>
  </si>
  <si>
    <t>ใบเลื่อยวงเดือนชนิดตัดพลาสติกและอะคริลิค SANDWICH 7นิ้ว 100T</t>
  </si>
  <si>
    <t>PO-23002025</t>
  </si>
  <si>
    <t xml:space="preserve">MK9SST HellermannTyton Stainless steel Cable Tie Gun (Brand </t>
  </si>
  <si>
    <t>PO-23002069</t>
  </si>
  <si>
    <t>ซ่อมเครน</t>
  </si>
  <si>
    <t>PO-23002096</t>
  </si>
  <si>
    <t>สายไฟ VSF Size 4 SQ.MM. (สีขาว)</t>
  </si>
  <si>
    <t>PO-23002109</t>
  </si>
  <si>
    <t>ก๊าซ อาร์กอน 80% co2 20%</t>
  </si>
  <si>
    <t>PO-23002131</t>
  </si>
  <si>
    <t>CORE  STEEL  CO.,LTD. (Japan)</t>
  </si>
  <si>
    <t>PO-23001795</t>
  </si>
  <si>
    <t xml:space="preserve"> REINHAUSEN ITALIA SRL</t>
  </si>
  <si>
    <t>Tap Changer (Voltage) 3Ph 24kV-150A-L130 ขึ้นกลาง 5P MR</t>
  </si>
  <si>
    <t>Tap Changer (Voltage) 3Ph 24kV-30A-L320 ขึ้นขวา 5P MR</t>
  </si>
  <si>
    <t>Tap Changer (Voltage) 3Ph 36kV-30A-L320 ขึ้นขวา 5P MR</t>
  </si>
  <si>
    <t>Tap Changer (Voltage) 3Ph 36kV-60A-L320 ขึ้นขวา 5P MR</t>
  </si>
  <si>
    <t>Tap Changer (Voltage) 3Ph 36kV-150A-L320 ขึ้นขวา 5P MR</t>
  </si>
  <si>
    <t>PO-23001836</t>
  </si>
  <si>
    <t>PO-23001843</t>
  </si>
  <si>
    <t>PO-23001872</t>
  </si>
  <si>
    <t>แผ่น Stainless เครื่องหมายการรับรอง PEA PRODUCT ACCEPTANCE+E</t>
  </si>
  <si>
    <t>PO-23001876</t>
  </si>
  <si>
    <t>Pack &amp; Lashing+Cert.SOF-220015 (ตู้ 40’OT และ ตู้ 20’FR)</t>
  </si>
  <si>
    <t>PO-23001905</t>
  </si>
  <si>
    <t>ลวดแบนหุ้มกระดาษหนา 0.5 มม. ขนาด 2.6*6 มม.</t>
  </si>
  <si>
    <t>PO-23001921</t>
  </si>
  <si>
    <t>ลวดแบนหุ้มกระดาษหนา 0.5 มม. ขนาด 3.0*5.5 มม.</t>
  </si>
  <si>
    <t>PO-23001935</t>
  </si>
  <si>
    <t>สายทองแดงเปลือย</t>
  </si>
  <si>
    <t>PO-23001950</t>
  </si>
  <si>
    <t>ข้อตอสายไฟแบบย้ำ-หุ้ม BF 1.5 สีแดง T.LUG</t>
  </si>
  <si>
    <t>Pack</t>
  </si>
  <si>
    <t>PO-23001944</t>
  </si>
  <si>
    <t>PO-23002013</t>
  </si>
  <si>
    <t>ลวดแบนหุ้มกระดาษหนา 0.5 มม. และ 0.6 มม.</t>
  </si>
  <si>
    <t>PO-23002030</t>
  </si>
  <si>
    <t>Wooden Pallet 1900*1110 MM ฐานไม้สำหรับใส่หม้อแปลง Dry type</t>
  </si>
  <si>
    <t>PO-23002051</t>
  </si>
  <si>
    <t>Cover Box for Bushing (W400 * L980 * H350)</t>
  </si>
  <si>
    <t>CABLE BOX  STD TYPE M0 ขนาด 1050x390x900 mm.</t>
  </si>
  <si>
    <t>Cover Box  for Bushing W-400 x L-1000 x H-420</t>
  </si>
  <si>
    <t>Cable box type M0 LV side (ขนาด 1100x690x900 mm.)</t>
  </si>
  <si>
    <t>PO-23002129</t>
  </si>
  <si>
    <t>งานย้ายพาทิชั่นวิศวกรรม</t>
  </si>
  <si>
    <t>PO-23002130</t>
  </si>
  <si>
    <t>PO-23002137</t>
  </si>
  <si>
    <t>Silicon Steel Master Coil 027CLF120</t>
  </si>
  <si>
    <t>PO-23002224</t>
  </si>
  <si>
    <t>PO-23002267</t>
  </si>
  <si>
    <t>Insulating Supports แรงสูง36kV  “Georg Jordan type CA30N”</t>
  </si>
  <si>
    <t>PO-23002134</t>
  </si>
  <si>
    <t>ใบตัดบาง 4"x1.0x16mm ใย 2 ชั้น SUMO</t>
  </si>
  <si>
    <t>ใบเจียรบาง 4นิ้ว SUMO (100x2.2x16mm)</t>
  </si>
  <si>
    <t>สะเก็นตัวยูแกนแดง G210 ขนาด 1/2" รับน้ำหนัก 2 ตัน</t>
  </si>
  <si>
    <t>สะเก็นตัวยูแกนแดง G210 ขนาด 5/8" รับน้ำหนัก 3.25 ตัน</t>
  </si>
  <si>
    <t>บันไดอะลูมิเนียมทรง A รุ่นสมาร์ทมีถาด ยี่ห้อ SANKI 5ขั้น</t>
  </si>
  <si>
    <t>PO-23002135</t>
  </si>
  <si>
    <t>KOBEบล็อคลม ขนาด 1/2" 4หุน KBE2702350K</t>
  </si>
  <si>
    <t>TOHOแม่เหล็กยกชิ้นงาน 400KG</t>
  </si>
  <si>
    <t>KOBEAIR ANGLE DIE GRINDER 1/2"KBE2702020H</t>
  </si>
  <si>
    <t>PO-23002136</t>
  </si>
  <si>
    <t>บริษัท สตาร์เนชั่นยูนิเวอร์แซล จำกัด (สาขาระยอง)</t>
  </si>
  <si>
    <t>METROเครื่องเชื่อมไฟฟ้า ARC200</t>
  </si>
  <si>
    <t>METROเครื่องเชื่อม Mig Mag KR‐350S</t>
  </si>
  <si>
    <t>PO-23002172</t>
  </si>
  <si>
    <t>PO-23002202</t>
  </si>
  <si>
    <t>Air Conditioner Type Cap.24,200 BTU "DAIKIN ห้องบัญชี</t>
  </si>
  <si>
    <t>PO-23002209</t>
  </si>
  <si>
    <t>DELL Optiplex SFF 7010 + Windows 11 Pro OEM</t>
  </si>
  <si>
    <t>DELL 22 Monitor -E2222H</t>
  </si>
  <si>
    <t>PO-23002249</t>
  </si>
  <si>
    <t>K120000072 แผ่นสติ๊กเกอร์ กราวด์(GND) diameter 26 มม.</t>
  </si>
  <si>
    <t>PO-23002255</t>
  </si>
  <si>
    <t>Thermo scan : Fluke Ti480PRO (Thermal imager) (Brand Fluke)</t>
  </si>
  <si>
    <t>Phase Rotation : Fluke 9040 Phase Rotation Indicator - Phase</t>
  </si>
  <si>
    <t>PO-23002244</t>
  </si>
  <si>
    <t>U070000000 ทินเนอร์ THINNER  AAA</t>
  </si>
  <si>
    <t>PO-23002272</t>
  </si>
  <si>
    <t>F600030000 ปลอกสาย ขนาด 3 มม.</t>
  </si>
  <si>
    <t>PO-23002276</t>
  </si>
  <si>
    <t>HTITALIA “MACRO-EVTest" Multifunction EVSE and Electrical In</t>
  </si>
  <si>
    <t>PO-23002314</t>
  </si>
  <si>
    <t xml:space="preserve">เทคอนกรีตพื้นขนาด 135 ตรม.และย้ายโรงจอดรถยนต์พร้อมขออนุญาต  </t>
  </si>
  <si>
    <t>PO-23002320</t>
  </si>
  <si>
    <t>roll</t>
  </si>
  <si>
    <t>PO-23002326</t>
  </si>
  <si>
    <t>U150000048 ลวดเชื่อม Flux core wire  ขนาด 1.2  มม.*15 kgs</t>
  </si>
  <si>
    <t>PO-23002295</t>
  </si>
  <si>
    <t>PO-23002365</t>
  </si>
  <si>
    <t>PO-23002367</t>
  </si>
  <si>
    <t>PO-23002362</t>
  </si>
  <si>
    <t>บริษัท ที พี จี ลูบริแคนท์ส จำกัด</t>
  </si>
  <si>
    <t>Shell Diala  S4 ZX-I</t>
  </si>
  <si>
    <t>PO-23002271</t>
  </si>
  <si>
    <t>PO-23002427</t>
  </si>
  <si>
    <t>สลิปต่อสายขนาด120 sqmm</t>
  </si>
  <si>
    <t>PO-23002338</t>
  </si>
  <si>
    <t>งานก่อสร้างอาคารเก็บหม้อแปลง Dry type ขนาด 8.00 x 17.50 ม. ล</t>
  </si>
  <si>
    <t>PO-23002353</t>
  </si>
  <si>
    <t>U040000012 Scotch 3M Filament Tape 48 มม. x 50 มม. เทปใยแก้ว</t>
  </si>
  <si>
    <t>PO-23002377</t>
  </si>
  <si>
    <t>ท่อย่น N 2017 1/2"</t>
  </si>
  <si>
    <t>เมตร</t>
  </si>
  <si>
    <t>PO-23002390</t>
  </si>
  <si>
    <t>บริษัท นานดีอินเตอร์เทรด จำกัด</t>
  </si>
  <si>
    <t>เครื่องยิงตะปู รุ่น CN-70</t>
  </si>
  <si>
    <t>PO-23002392</t>
  </si>
  <si>
    <t>U140000007 HE UHP 7M3 V.580 (Purity 99.999%)</t>
  </si>
  <si>
    <t>PO-23002393</t>
  </si>
  <si>
    <t>KINGสว่านแท่น Model:KSD-420 ขนาด 1-1/4"</t>
  </si>
  <si>
    <t>MITSUBISHI"มอเตอร์ 1HP 220V SCL‐QR 4P IP22</t>
  </si>
  <si>
    <t>PO-23002402</t>
  </si>
  <si>
    <t>สายยางขนาด 3/8"</t>
  </si>
  <si>
    <t>สายยางขนาด 1/2"</t>
  </si>
  <si>
    <t>PO-23002409</t>
  </si>
  <si>
    <t>Grating Steel 60cm.x163cm.</t>
  </si>
  <si>
    <t>Grating Steel 57.5x150.5cm.</t>
  </si>
  <si>
    <t>PO-23002451</t>
  </si>
  <si>
    <t>PO-23002426</t>
  </si>
  <si>
    <t>Thermometer  Rod/B V-Shaped Glass Thermo.</t>
  </si>
  <si>
    <t>PO-23002469</t>
  </si>
  <si>
    <t>PO-23002471</t>
  </si>
  <si>
    <t>ลวดแบนหุ้มกระดาษหนา 0.5 มม.</t>
  </si>
  <si>
    <t>PO-23002489</t>
  </si>
  <si>
    <t>PO-23002485</t>
  </si>
  <si>
    <t>บริษัท พรอสเปอร์ อี แอนด์ ที จำกัด</t>
  </si>
  <si>
    <t>CABLE GLAND Size 50   TYPE A2F</t>
  </si>
  <si>
    <t>CABLE GLAND Size 50S TYPE A2F</t>
  </si>
  <si>
    <t>AUG</t>
  </si>
  <si>
    <t>PO-23002599</t>
  </si>
  <si>
    <t>PO-23002507</t>
  </si>
  <si>
    <t>PO-23002591</t>
  </si>
  <si>
    <t>เหล็กแผ่นS400 หนา6.0มม.กว้าง1524มม.ยาว3048มม.</t>
  </si>
  <si>
    <t>เหล็กแผ่นS400หนา19.0 มม.กว้าง1219มม.ยาว2438มม.</t>
  </si>
  <si>
    <t>PO-23002448</t>
  </si>
  <si>
    <t>ไนโตรเจน</t>
  </si>
  <si>
    <t>PO-23002501</t>
  </si>
  <si>
    <t xml:space="preserve">Waterproofing joint Roof metal sheet 2 จุดโรงงาน 5 และ 6  </t>
  </si>
  <si>
    <t>PO-23002529</t>
  </si>
  <si>
    <t>PO-23002544</t>
  </si>
  <si>
    <t>TABLI20018 ( Li-ion Blower )เครื่องเป่าลม แบตเตอรี่ ไร้สาย 2</t>
  </si>
  <si>
    <t>PO-23002562</t>
  </si>
  <si>
    <t>Waterproofing joint Roof Sky light =(42x8)=336m. อาคารโรงงาน3</t>
  </si>
  <si>
    <t>PO-23002572</t>
  </si>
  <si>
    <t>กระเป๋าเครื่องมือช่างProfessional Tools Set120ชิ้นBAK PXTool</t>
  </si>
  <si>
    <t>PO-23002585</t>
  </si>
  <si>
    <t>OKURA ตลับเก็บสายลมแบบอัตโนมัติ 15 เมตร PU9.5x15.8mm. OK-A15</t>
  </si>
  <si>
    <t>PO-23002587</t>
  </si>
  <si>
    <t>แบตเตอรี่ Notebook Dell Latitude 3400 Service Tag F2XKLT2</t>
  </si>
  <si>
    <t>PO-23002600</t>
  </si>
  <si>
    <t>iPad Air Gen5 256GB wifi+cellular</t>
  </si>
  <si>
    <t>PO-23002612</t>
  </si>
  <si>
    <t>VR18-AI183  3-Channel analog input card , BRAINCHILD</t>
  </si>
  <si>
    <t>PO-23002633</t>
  </si>
  <si>
    <t>Q010015000 สายไฟ VSF Size 1.5 SQ.MM.(สีขาว)</t>
  </si>
  <si>
    <t>PO-23002636</t>
  </si>
  <si>
    <t>Waterproofing joint Roof Sky light Area โรงพาวเวอร์</t>
  </si>
  <si>
    <t>PO-23002675</t>
  </si>
  <si>
    <t>PO-23002699</t>
  </si>
  <si>
    <t>บริษัท พิณ เอ็ม พาเลท จำกัด</t>
  </si>
  <si>
    <t>U090000003 ไม้สน ขนาด 30x180x1000มม.</t>
  </si>
  <si>
    <t>U090000001 ไม้สน ขนาด 15x100x1000มม.</t>
  </si>
  <si>
    <t>U090000002 ไม้สน ขนาด 20x150x1000มม.</t>
  </si>
  <si>
    <t>PO-23002735</t>
  </si>
  <si>
    <t>Sunny Battery ไฟฉุกเฉิน SN2.9-12(12VOLT-2.9AH)</t>
  </si>
  <si>
    <t>PO-23002763</t>
  </si>
  <si>
    <t>PO-23002764</t>
  </si>
  <si>
    <t>PO-23002835</t>
  </si>
  <si>
    <t>บริษัท ไดมอนด์ สตีลพาร์ท แอนด์ ซัพพลาย 2551 จำกัด</t>
  </si>
  <si>
    <t>เสายึดครีบ  Tie Rod 5/8" TR.5000 kVA</t>
  </si>
  <si>
    <t>PO-23002839</t>
  </si>
  <si>
    <t>Superlene  nylon ขนาด 8 มม.</t>
  </si>
  <si>
    <t>PO-23002849</t>
  </si>
  <si>
    <t>PO-23002790</t>
  </si>
  <si>
    <t>ลวดซีลทองแดง เบอร์ 60</t>
  </si>
  <si>
    <t>PO-23002864</t>
  </si>
  <si>
    <t>U071000007 สีสเปร์ย TOA. สีขาว</t>
  </si>
  <si>
    <t>U071000006 สีสเปรย์ TOA. สีเหลือง  เบอร์ 15</t>
  </si>
  <si>
    <t>PO-23002865</t>
  </si>
  <si>
    <t>บริษัท ตัน แอนด์ ซันส์ จำกัด</t>
  </si>
  <si>
    <t xml:space="preserve">F520000000 Fiber glass banding tape size 0.30mm. x 40mm. </t>
  </si>
  <si>
    <t>PO-23002866</t>
  </si>
  <si>
    <t>PO-23002872</t>
  </si>
  <si>
    <t xml:space="preserve">VR18-AI183 - 3-Channel analog input card  </t>
  </si>
  <si>
    <t>PO-23002874</t>
  </si>
  <si>
    <t>ยางมะตอยสำเร็จรูป GIANT KINGKONG 20 Kgs</t>
  </si>
  <si>
    <t>PO-23002879</t>
  </si>
  <si>
    <t xml:space="preserve">CROMPTON มอเตอร์ ติดเบรค 4kW 5.5HP 3Ph 380V AC  </t>
  </si>
  <si>
    <t>PO-23002885</t>
  </si>
  <si>
    <t>เครื่องพิมพ์วันที่ iMark Handheld Inkjet</t>
  </si>
  <si>
    <t>PO-23002903</t>
  </si>
  <si>
    <t>PO-23002910</t>
  </si>
  <si>
    <t>Cross Cut Tester model: QHF-6 ชุดทดสอบการยึดเกาะสี</t>
  </si>
  <si>
    <t>PO-23002526</t>
  </si>
  <si>
    <t>PO-23002533</t>
  </si>
  <si>
    <t xml:space="preserve">ทองแดงเส้นแบน </t>
  </si>
  <si>
    <t>PO-23002579</t>
  </si>
  <si>
    <t>PO-23002603</t>
  </si>
  <si>
    <t>PO-23002637</t>
  </si>
  <si>
    <t>PO-23002666</t>
  </si>
  <si>
    <t>PO-23002662</t>
  </si>
  <si>
    <t>Terminal Block  URTK/S (ยี่ห้อ Phoenix Contact )</t>
  </si>
  <si>
    <t>Eluk End Bracket</t>
  </si>
  <si>
    <t>PO-23002696</t>
  </si>
  <si>
    <t>ท่อ Flex กันน้ำขนาด 1"</t>
  </si>
  <si>
    <t>PO-23002702</t>
  </si>
  <si>
    <t>สายไฟ THW  Size 16 SQ.MM.(สายแข็งสีดำ)</t>
  </si>
  <si>
    <t>PO-23002710</t>
  </si>
  <si>
    <t>PO-23002768</t>
  </si>
  <si>
    <t>น้ำมันหม้อแปลงไฟฟ้า ELECTRO A IEC 296</t>
  </si>
  <si>
    <t>PO-23002808</t>
  </si>
  <si>
    <t xml:space="preserve">Pack &amp; Lashing+Cert. (ตู้ 40’FR) Lashing sling wire </t>
  </si>
  <si>
    <t>PO-23002817</t>
  </si>
  <si>
    <t>PO-23002831</t>
  </si>
  <si>
    <t>บริษัท ไทยซัพพอร์ทเอ็นจิเนียริ่ง จำกัด</t>
  </si>
  <si>
    <t>หางปลาต่อสาย ขนาด 14-12 มม. Ring type</t>
  </si>
  <si>
    <t>PO-23002894</t>
  </si>
  <si>
    <t>PO-23002906</t>
  </si>
  <si>
    <t>PO-23002909</t>
  </si>
  <si>
    <t>PO-23002981</t>
  </si>
  <si>
    <t>CABLE BOX TYPE 1 TR.5000 kVA 3Ph 50Hz 22000-800/462V / CABLE</t>
  </si>
  <si>
    <t>Control Box  TR.5000 kVA / Control Box  TR.5000 kVA</t>
  </si>
  <si>
    <t>PO-23002929</t>
  </si>
  <si>
    <t>PO-23002974</t>
  </si>
  <si>
    <t>BACKELITE ขนาด 6X1200X2400 มม.</t>
  </si>
  <si>
    <t>PO-23002828</t>
  </si>
  <si>
    <t>PO-23002856</t>
  </si>
  <si>
    <t>PO-23002944</t>
  </si>
  <si>
    <t>PO-23002985</t>
  </si>
  <si>
    <t>Cold Rolled Steel Sheet (SPCC-SD) ขนาด 1.5*1100 มม.</t>
  </si>
  <si>
    <t>PO-23002747</t>
  </si>
  <si>
    <t>SEP</t>
  </si>
  <si>
    <t>PO-23002994</t>
  </si>
  <si>
    <t>บริษัท ชลบุรีธนาคม จำกัด</t>
  </si>
  <si>
    <t>Wooden Crate Tr.500 kVA (IPPC/Heat Treatment)</t>
  </si>
  <si>
    <t>PO-23002965</t>
  </si>
  <si>
    <t>PO-23002992</t>
  </si>
  <si>
    <t>บริษัท เอที เทรดดิ้ง ซัพพลายส์ จำกัด</t>
  </si>
  <si>
    <t>เครื่องดับเพลิง ชนิด carbondioxide Co2 ขนาด 10 ปอนด์</t>
  </si>
  <si>
    <t>PO-23003001</t>
  </si>
  <si>
    <t>บริษัท 3 สุ เอ็นจิเนียริ่ง แอนด์ ซัพพลาย จำกัด</t>
  </si>
  <si>
    <t xml:space="preserve">แผงบอร์ดคอนโทรลประตูเลื่อนอัตโนมัติ รุ่น K329E พร้อมรีโมท 3 </t>
  </si>
  <si>
    <t>PO-23003004</t>
  </si>
  <si>
    <t>ไม้สน หนา20 กว้าง125 ยาว1010 มม.</t>
  </si>
  <si>
    <t>PO-23003012</t>
  </si>
  <si>
    <t>บริษัท ฟูห์เรอร์ ไวร์ แอนด์ เคเบิ้ล จำกัด</t>
  </si>
  <si>
    <t>สายคอนโทรล VSF 1x1.5 SQ.MM.สีขาว FUHRER (100 เมตร/ม้วน)</t>
  </si>
  <si>
    <t>PO-23003045</t>
  </si>
  <si>
    <t>งานตะแกรงแฟลตบาร์ รางระบายน้ำ 3จุด</t>
  </si>
  <si>
    <t>PO-23003070</t>
  </si>
  <si>
    <t>ToneTorqueWrenchT4MN200ประแจปอนด์แบบปรับค่าทอร์ค40-200</t>
  </si>
  <si>
    <t>PO-23003127</t>
  </si>
  <si>
    <t>บริษัท ชนธร ซัพพลายส์ เซ็นเตอร์ จำกัด</t>
  </si>
  <si>
    <t>15-PDGN-R /แผ่นฟิล์มสำหรับเครื่องหุ้มรองเท้า  ขนาด 20.8x40 c</t>
  </si>
  <si>
    <t>PO-23003128</t>
  </si>
  <si>
    <t>กระป๋องเปล่าพร้อมฝาปิด ขนาด 1 ลิตร</t>
  </si>
  <si>
    <t>PO-23003037</t>
  </si>
  <si>
    <t>Pack &amp; Lashing+Cert. (ตู้ 20’FR) Lashing sling wire (SOF-230019)</t>
  </si>
  <si>
    <t>PO-23003039</t>
  </si>
  <si>
    <t>PO-23003040</t>
  </si>
  <si>
    <t>PO-23003041</t>
  </si>
  <si>
    <t>PO-23003044</t>
  </si>
  <si>
    <t>PO-23003049</t>
  </si>
  <si>
    <t>PO-23003093</t>
  </si>
  <si>
    <t>PO-23003092</t>
  </si>
  <si>
    <t>PO-23003095</t>
  </si>
  <si>
    <t>PO-23003113</t>
  </si>
  <si>
    <t>Pack &amp; Lashing+Cert. (1x20’OT &amp; 1x40’OT) // SOF-230037 LOT.1</t>
  </si>
  <si>
    <t>PO-23003112</t>
  </si>
  <si>
    <t>PO-23003150</t>
  </si>
  <si>
    <t>PO-23003164</t>
  </si>
  <si>
    <t>หางปลาต่อสายแบบกลมเปลือย ยี่ห้อ T-LUG CL50-12</t>
  </si>
  <si>
    <t>PO-23003195</t>
  </si>
  <si>
    <t>PO-23003197</t>
  </si>
  <si>
    <t>PO-23003270</t>
  </si>
  <si>
    <t>บริษัท สหมิตรไวร์ แอนด์ เคเบิ้ล จำกัด</t>
  </si>
  <si>
    <t>ลวดแบนหุ้มกระดาษหนา 0.5 มม. ขนาด 2.3*11 มม.</t>
  </si>
  <si>
    <t>PO-23003147</t>
  </si>
  <si>
    <t>PO-23003152</t>
  </si>
  <si>
    <t>PO-23003177</t>
  </si>
  <si>
    <t>PO-23003185</t>
  </si>
  <si>
    <t>PO-23003216</t>
  </si>
  <si>
    <t>โทรศัพท์มือถือ Samsung Galaxy A04</t>
  </si>
  <si>
    <t>PO-23003242</t>
  </si>
  <si>
    <t>OPT KH-16 คีมย้ำหางปลาจิก 1.5-16 mm² (KH-16)</t>
  </si>
  <si>
    <t>PO-23003243</t>
  </si>
  <si>
    <t>Tone ลูกบ็อกซ์เดือยโผล่ 1/2" หัวหกเหลี่ยม ขนาด 6 มม. (4H-06)</t>
  </si>
  <si>
    <t>ลวดทองแดง No.60</t>
  </si>
  <si>
    <t>ประแจแหวนฟรีข้างปากตาย Size 27 mm Length 355 mm (Weight 60g)</t>
  </si>
  <si>
    <t>PO-23003244</t>
  </si>
  <si>
    <t>ปลั๊กไฟ 5 ที่ 5สวิตช์ โตชิโน, 16A/3600W ยาว 5 เมตร</t>
  </si>
  <si>
    <t>PO-23003245</t>
  </si>
  <si>
    <t>ประแจปอนด์ปากเลื่อน (118-492-TMWM) TMWM25</t>
  </si>
  <si>
    <t>Tone Torque Wrench T4MN 200 ปรับค่าทอร์ค 40-200 ปอนด์</t>
  </si>
  <si>
    <t>PO-23003246</t>
  </si>
  <si>
    <t>สีสเปรย์ TOA. สีดำเงา  เบอร์ 2</t>
  </si>
  <si>
    <t>PO-23003254</t>
  </si>
  <si>
    <t>งานระบบไฟออฟฟิศ กทม.</t>
  </si>
  <si>
    <t>PO-23003278</t>
  </si>
  <si>
    <t>Service  Charge งานซ่อมเครนพันคอยล์</t>
  </si>
  <si>
    <t>PO-23003282</t>
  </si>
  <si>
    <t>YEN-CO PRESSURE GAUGE 4" 0-0.1 MPA PGF100A1B-38PT-Y</t>
  </si>
  <si>
    <t>PO-23003283</t>
  </si>
  <si>
    <t>ดอกเจียร์คาร์ไบด์ LD6-1633 Taper Radius End MAXICUT</t>
  </si>
  <si>
    <t>62097 | MULTIPOSITION LARGE CAPACITYคีมล็อคปากโค้งขนาด10นิ้ว</t>
  </si>
  <si>
    <t>62231 | STRAIGHT JAW GRIP PLIER TITACROMคมี ล็อคปากตรง10นิ้ว</t>
  </si>
  <si>
    <t>PO-23003285</t>
  </si>
  <si>
    <t xml:space="preserve">TMS150 โต๊ะปรับระดับติดล้อแบบเท้าเหยียบ ขากรรไกรเดี่ยว </t>
  </si>
  <si>
    <t>PO-23003300</t>
  </si>
  <si>
    <t xml:space="preserve">DRONE : DJI Mavic 3Mavic 3T Combo + RTK Module </t>
  </si>
  <si>
    <t>PO-23003303</t>
  </si>
  <si>
    <t>HUAWEI IdeaHub B2-86-inch Camera 4K No AI</t>
  </si>
  <si>
    <t>PO-23003309</t>
  </si>
  <si>
    <t>PO-23003096</t>
  </si>
  <si>
    <t>PO-23003258</t>
  </si>
  <si>
    <t>PO-23003314</t>
  </si>
  <si>
    <t>OCT</t>
  </si>
  <si>
    <t>PO-23003367</t>
  </si>
  <si>
    <t>Radiator Fin W520 x HL1800x Z13</t>
  </si>
  <si>
    <t>PO-23003318</t>
  </si>
  <si>
    <t>สีสเปร์ย TOA. สีขาว</t>
  </si>
  <si>
    <t>PO-23003321</t>
  </si>
  <si>
    <t>PO-23003323</t>
  </si>
  <si>
    <t>ประแจปอนด์ปากเลื่อน (118-492-TMWM) TMWM100W</t>
  </si>
  <si>
    <t>PO-23003328</t>
  </si>
  <si>
    <t>LPG INDUSTRIAL 48KGS V.510 - PTT</t>
  </si>
  <si>
    <t>PO-23003330</t>
  </si>
  <si>
    <t>บริษัท แอล ที เค อินเตอร์เทรดดิ้ง จำกัด</t>
  </si>
  <si>
    <t>ถังขยะ (ใส) ฝาสี่เหลี่ยม 60 ลิตร)+สกรีน</t>
  </si>
  <si>
    <t>PO-23003349</t>
  </si>
  <si>
    <t>สีสเปรย์ สีเทา ยี่ห้อ TOA เบอร์ 59</t>
  </si>
  <si>
    <t>PO-23003357</t>
  </si>
  <si>
    <t>งานทำบ่อ Manhole สำหรับระบายน้ำฝน และทาสี</t>
  </si>
  <si>
    <t>PO-23003378</t>
  </si>
  <si>
    <t>บริษัท ซีพีแอล กรุ๊ป จำกัด (มหาชน)</t>
  </si>
  <si>
    <t xml:space="preserve">ถุงมือโพลีเอสเตอร์เคลือบ PU </t>
  </si>
  <si>
    <t>PO-23003383</t>
  </si>
  <si>
    <t>บริษัท โกรเวล แมนูแฟคเจอริ่ง จำกัด</t>
  </si>
  <si>
    <t>หมวกคลุมพ่นทราย NAVA 1 HELMET P/N.PPNV-01-05</t>
  </si>
  <si>
    <t>ชุดหมีพ่นทราย ชุดหนัง FREE SIZE</t>
  </si>
  <si>
    <t>PO-23003385</t>
  </si>
  <si>
    <t>KEW-4200 เครื่องวัดความต้านทานดินแบบดิจิตอล - Earth 20/200/1</t>
  </si>
  <si>
    <t>PO-23003397</t>
  </si>
  <si>
    <t xml:space="preserve">ซองจดหมายมีหน้าต่างเบอร์ 9 </t>
  </si>
  <si>
    <t>PO-23003406</t>
  </si>
  <si>
    <t>บริษัท เอส.วาย. สตีล เวิร์ค จำกัด</t>
  </si>
  <si>
    <t>งานวางท่อ 2 นิ้ว ยึดแคล้มป์วางบนพื้น ประกอบ</t>
  </si>
  <si>
    <t>งานวางท่อ 2 นิ้ว ยึดแคล้มป์วางบนพื้น morphous</t>
  </si>
  <si>
    <t>PO-23003407</t>
  </si>
  <si>
    <t xml:space="preserve"> D12SP6FPYQ  Plastic Fiber Optic Sensors output PNP</t>
  </si>
  <si>
    <t>PO-23003450</t>
  </si>
  <si>
    <t>PO-23003517</t>
  </si>
  <si>
    <t>บริษัท วินเทรด โปร จำกัด</t>
  </si>
  <si>
    <t>Flange for radiator fin (SS400 12.0 mm.) with stud support</t>
  </si>
  <si>
    <t xml:space="preserve">PO-23003513 </t>
  </si>
  <si>
    <t>Conservator Tank TR.4000 kVA 3Ph 50Hz 22000-400V</t>
  </si>
  <si>
    <t>PO-23003528</t>
  </si>
  <si>
    <t>PO-23003449</t>
  </si>
  <si>
    <t>PO-23003358</t>
  </si>
  <si>
    <t>ลวดกลมอาบน้ำยา ( จำนวนรวม 1789.28 KG)</t>
  </si>
  <si>
    <t>PO-23003360</t>
  </si>
  <si>
    <t>PO-23003375</t>
  </si>
  <si>
    <t>PO-23003376</t>
  </si>
  <si>
    <t xml:space="preserve">ลวดแบนหุ้มกระดาษหนา 0.6 มม. </t>
  </si>
  <si>
    <t>PO-23003394</t>
  </si>
  <si>
    <t>PO-23003472</t>
  </si>
  <si>
    <t>PO-23003470</t>
  </si>
  <si>
    <t>ลวดกลมอาบน้ำยา ขนาด 0.70 มม.</t>
  </si>
  <si>
    <t>ลวดกลมอาบน้ำยา ขนาด 2.20 มม.</t>
  </si>
  <si>
    <t>PO-23003479</t>
  </si>
  <si>
    <t>ลวดกลมอาบน้ำยา ขนาด 2.10 มม.</t>
  </si>
  <si>
    <t>PO-23003480</t>
  </si>
  <si>
    <t>ลวดแบนหุ้มกระดาษหนา 0.6 มม.</t>
  </si>
  <si>
    <t>PO-23003482</t>
  </si>
  <si>
    <t>ลวดกลมหุ้มกระดาษหนา 3มม. ขนาด 3.00 มม.</t>
  </si>
  <si>
    <t>PO-23003507</t>
  </si>
  <si>
    <t>PO-23003532</t>
  </si>
  <si>
    <t>PO-23003533</t>
  </si>
  <si>
    <t>สาย CVV-S ขนาด 3x1.5 sq.mm</t>
  </si>
  <si>
    <t>M</t>
  </si>
  <si>
    <t>YAZAKI สายไฟ CVV 12 x1.5sq.mm.</t>
  </si>
  <si>
    <t>PO-23003539</t>
  </si>
  <si>
    <t>PO-23003551</t>
  </si>
  <si>
    <t>Flexible Tin Plated  Copper Braid 35 SQ.MM.</t>
  </si>
  <si>
    <t>PO-23003569</t>
  </si>
  <si>
    <t>PO-23003594</t>
  </si>
  <si>
    <t>PO-23003597</t>
  </si>
  <si>
    <t>Flexible Tin plated Copper Braid 120 SQ.MM.</t>
  </si>
  <si>
    <t>PO-23003467</t>
  </si>
  <si>
    <t>สายลมแบบโรลสปริง ยี่ห้อ PUMA รุ่น PM12-16LA</t>
  </si>
  <si>
    <t>กรรไกรตัดแผ่นโลหะมีสปริง IRWIN ยี่ห้อ GILBOW รุ่นTG455/12</t>
  </si>
  <si>
    <t>PO-23003490</t>
  </si>
  <si>
    <t>ไฟจราจรโซล่าเซลล์ครอบกรวยไฟ LED 4ดวง สีเหลือง</t>
  </si>
  <si>
    <t>PO-23003541</t>
  </si>
  <si>
    <t>บริษัท ซีนเธเทค จำกัด</t>
  </si>
  <si>
    <t>ถุงกรอง Size 18 cm X กว้าง 26 cm X สูง 36 cm (ก้นแหลม)</t>
  </si>
  <si>
    <t>PO-23003543</t>
  </si>
  <si>
    <t>Q-006-004 CHROMIUM TIP M6xD8x45MM #1.2MM STAR (J8)</t>
  </si>
  <si>
    <t>PO-23003548</t>
  </si>
  <si>
    <t>สร้าง ใบมีดShear เครื่องEcoline (บน)Size : 23x65x650mm.</t>
  </si>
  <si>
    <t>สร้าง ใบมีดShear เครื่องEcoline (ล่าง)Size : 30x80x650mm.</t>
  </si>
  <si>
    <t>สร้าง ใบมีดV-notch เครื่องEcoline (บน)Size : 23x47x350mm.</t>
  </si>
  <si>
    <t>สร้าง ใบมีดV-notch เครื่องEcoline (ล่าง)Size : 23x55x364mm.</t>
  </si>
  <si>
    <t>PO-23003578</t>
  </si>
  <si>
    <t>PO-23003579</t>
  </si>
  <si>
    <t>PO-23003580</t>
  </si>
  <si>
    <t>แผ่นสติ๊กเกอร์ กราวด์(GND) diameter 26 มม.</t>
  </si>
  <si>
    <t>PO-23003582</t>
  </si>
  <si>
    <t>PO-23003607</t>
  </si>
  <si>
    <t>บริษัท ทรัพย์โชติช่วง จำกัด</t>
  </si>
  <si>
    <t>ค่ารถเทรลเลอร์ 22 ล้อบรรทุก QTC-การไฟฟ้านครหลวง กทม.12/10/66</t>
  </si>
  <si>
    <t>PO-23003611</t>
  </si>
  <si>
    <t xml:space="preserve">ใบเลื่อยสายพานตัดเหล็ก ขนาด M42 27×0.9×5/8 ขนาด 3035mm. </t>
  </si>
  <si>
    <t>PO-23003643</t>
  </si>
  <si>
    <t>REINHAUSEN SINGAPORE PRIVATE LIMITED</t>
  </si>
  <si>
    <t>Cedaspe_Radiator Valve Type TW80-B</t>
  </si>
  <si>
    <t>PO-23003689</t>
  </si>
  <si>
    <t>PO-23003682</t>
  </si>
  <si>
    <t>ลวดกลมอาบน้ำยา ขนาด 0.65 มม.</t>
  </si>
  <si>
    <t>PO-23003678</t>
  </si>
  <si>
    <t>ลูกถ้วยแรงสูง 22kV 20NF250</t>
  </si>
  <si>
    <t>ลูกถ้วยแรงต่ำ DT1 250 A1 เบอร์1 แกน 12 มม.</t>
  </si>
  <si>
    <t>ลูกถ้วยแรงต่ำ DT1 250 B1 เบอร์1 แกน 12 มม.</t>
  </si>
  <si>
    <t>PO-23003681</t>
  </si>
  <si>
    <t>กระดาษ Thermopox ขนาด 0.130*105 มม.</t>
  </si>
  <si>
    <t>กระดาษ Thermopox ขนาด 0.130*211มม.</t>
  </si>
  <si>
    <t>กระดาษ Thermopox ขนาด 0.130*315 มม.</t>
  </si>
  <si>
    <t>Pressure Relief Device "R1" 0.25 bar</t>
  </si>
  <si>
    <t>ปะเก็นไม้ก๊อก ลูกถ้วยแรงสูง</t>
  </si>
  <si>
    <t>ปะเก็นไม้ก๊อกตัวบน ลูกถ้วยแรงต่ำ 12 มม.</t>
  </si>
  <si>
    <t>ปะเก็นไม้ก๊อกตัวกลาง ลูกถ้วยแรงต่ำ 12 มม.</t>
  </si>
  <si>
    <t>ปะเก็นไม้ก๊อกตัวล่าง ลูกถ้วยแรงต่ำ 12 มม.</t>
  </si>
  <si>
    <t>กระดาษ Press Board ขนาด 1x1100x2200มม.</t>
  </si>
  <si>
    <t>กระดาษ Press Board ขนาด 1.6x1100x2200มม.</t>
  </si>
  <si>
    <t>กระดาษ Press Board ขนาด 2x1100x2200มม.</t>
  </si>
  <si>
    <t>กระดาษ ร่องน้ำมัน หนา 3.0 มม.  กว้าง  10 มม.</t>
  </si>
  <si>
    <t>PO-23003692</t>
  </si>
  <si>
    <t>บริษัท บีที สกรูเฮ้าส์ แอนด์ ซัพพลาย จำกัด</t>
  </si>
  <si>
    <t>ปลั๊กอุด ขนาด 1/2"</t>
  </si>
  <si>
    <t>PO-23003680</t>
  </si>
  <si>
    <t>โอริงสำหรับ Oil level ยี่ห้อ ELMEK ขนาด ID28 mm.,OD36mm. NBR</t>
  </si>
  <si>
    <t>Bird Guard สีดำ ขนาดใหญ่ (PEA)</t>
  </si>
  <si>
    <t>ลูกยาง ลูกถ้วยแรงต่ำ 12 มม. เบอร์ 1</t>
  </si>
  <si>
    <t>ปะเก็นยาง ลูกถ้วยแรงสูง ขนาด 12 มม.</t>
  </si>
  <si>
    <t>ลูกยาง ลูกถ้วยแรงสูง แกน 12 มม.</t>
  </si>
  <si>
    <t>PO-23003684</t>
  </si>
  <si>
    <t>พรเจริญ</t>
  </si>
  <si>
    <t>ตัวอักษรบอกเฟส n ตัวอักษร 30 มม. ตัวอักษรปั๊มนูน 2 มม.</t>
  </si>
  <si>
    <t>ตัวอักษรบอกเฟส c ตัวอักษร 30 มม. ตัวอักษรปั๊มนูน 2 มม.</t>
  </si>
  <si>
    <t>ตัวอักษรบอกเฟส b ตัวอักษร 30 มม. ตัวอักษรปั๊มนูน 2 มม.</t>
  </si>
  <si>
    <t>ตัวอักษรบอกเฟส C ตัวอักษร 35 มม. ตัวอักษรปั๊มนูน 2 มม.</t>
  </si>
  <si>
    <t>ตัวอักษรบอกเฟส B ตัวอักษร 35 มม. ตัวอักษรปั๊มนูน 2 มม.</t>
  </si>
  <si>
    <t>ตัวอักษรบอกเฟส A ตัวอักษร 35 มม. ตัวอักษรปั๊มนูน 2 มม.</t>
  </si>
  <si>
    <t>ตัวอักษรบอกเฟส a ตัวอักษร 30 มม. ตัวอักษรปั๊มนูน 2 มม.</t>
  </si>
  <si>
    <t>PO-23003685</t>
  </si>
  <si>
    <t>บริษัท วินเนอร์ นัมเบอร์เพลท จำกัด‬‬‬‬</t>
  </si>
  <si>
    <t>Stainless Plate size 115x170x 1 mm. (Nameplate)</t>
  </si>
  <si>
    <t>Stainless Plate size 15x80x1.5mm.</t>
  </si>
  <si>
    <t>แผ่นป้าย Logo QTC ขนาดเล็ก No.1 พร้อม มอก. และ QR CODE</t>
  </si>
  <si>
    <t>PO-23003687</t>
  </si>
  <si>
    <t>บริษัท เอ วี เอ เอ็นจิเนียริ่ง เซอร์วิส จำกัด</t>
  </si>
  <si>
    <t>เหล็กเพลากลม ขนาด 1/2" (ไม่เต็ม)</t>
  </si>
  <si>
    <t>ฝาครอบลูกถ้วยแรงสูง ขนาด 12 มม.</t>
  </si>
  <si>
    <t>แกนแรงสูง ขนาด 12 มม. ผลิตจากกระบวนการ Forging (รูเข้าสายขนา</t>
  </si>
  <si>
    <t>แคล้มป์ล๊อคลูกถ้วย</t>
  </si>
  <si>
    <t>ลูกล๊อคอลูมิเนียม</t>
  </si>
  <si>
    <t>แกนทองแดง 12 มม. เบอร์ 1 ยาว 220mm. (ใช้กับ แบบบาร์ 4รู PEA)</t>
  </si>
  <si>
    <t>หัวน็อตทองเหลืองชุบ แกน 12 มม. เบอร์ 1</t>
  </si>
  <si>
    <t>แหวนหนา แกน 12 มม.</t>
  </si>
  <si>
    <t>แหวนบาง แกน 12 มม.</t>
  </si>
  <si>
    <t>คลับทองเหลือง แกนแรงต่ำขนาด 12 มม. เบอร์ 1</t>
  </si>
  <si>
    <t>หางปลาแรงสูง แกน 12 มม.</t>
  </si>
  <si>
    <t>หางปลาแรงต่ำแบบบาร์ 4 รู แกน 12 มม. PEA</t>
  </si>
  <si>
    <t>ปลั๊กอุดท่อเติมเต็ม ขนาด 1"</t>
  </si>
  <si>
    <t>หัวน๊อตทองเหลือง ขนาด 12 มม.</t>
  </si>
  <si>
    <t>Earthing  Terminal  E3 (Eye Bolt)</t>
  </si>
  <si>
    <t>PO-23003617</t>
  </si>
  <si>
    <t>ทองแดงเส้นแบนขนาด 10x200mm.</t>
  </si>
  <si>
    <t>PO-23003630</t>
  </si>
  <si>
    <t>PO-23003629</t>
  </si>
  <si>
    <t>PO-23003642</t>
  </si>
  <si>
    <t>ลวดกลมอาบน้ำยา ขนาด 2.60 มม.</t>
  </si>
  <si>
    <t>PO-23003648</t>
  </si>
  <si>
    <t>PO-23003693</t>
  </si>
  <si>
    <t>PO-23003655</t>
  </si>
  <si>
    <t>NINGBO JINTIAN COPPER (GROUP) CO.,LTD</t>
  </si>
  <si>
    <t>Copper Foil (Fabrication cost)</t>
  </si>
  <si>
    <t>PO-23003740</t>
  </si>
  <si>
    <t>PO-23003745</t>
  </si>
  <si>
    <t>Pack &amp; Lashing+Cert. SOF-220067 (Lowbed)</t>
  </si>
  <si>
    <t>PO-23003748</t>
  </si>
  <si>
    <t>PO-23003759</t>
  </si>
  <si>
    <t>ROLL</t>
  </si>
  <si>
    <t>PO-23003660</t>
  </si>
  <si>
    <t>สีสเปร์ย TOA.</t>
  </si>
  <si>
    <t>PO-23003666</t>
  </si>
  <si>
    <t>Monitor 31.5" MSI G32C4X (VA, 2 x HDMI, 1xDisplayport) CURVE</t>
  </si>
  <si>
    <t>PO-23003667</t>
  </si>
  <si>
    <t>ค่ารถเทรลเลอร์ 22 ล้อบรรทุก QTC-การไฟฟ้านครหลวง กทม. 25/10/6</t>
  </si>
  <si>
    <t>PO-23003672</t>
  </si>
  <si>
    <t>งานเจาะพื้นวางรางสายไฟ ขนาด 29x6x6 cm. ยาว17เมตร</t>
  </si>
  <si>
    <t>PO-23003710</t>
  </si>
  <si>
    <t>SANKI STH-35B รถเข็นเครื่องมือช่างแบบมีลิ้นชัก</t>
  </si>
  <si>
    <t>PO-23003713</t>
  </si>
  <si>
    <t>BOSCH GDS250-LI บล็อคไร้สาย18V (พร้อมแบตเตอรี่)</t>
  </si>
  <si>
    <t>PO-23003714</t>
  </si>
  <si>
    <t>FLUKE 15B+ Digital Multi meter</t>
  </si>
  <si>
    <t>PO-23003716</t>
  </si>
  <si>
    <t>เลื่อยตัดกิ่ง OSUKA # OSPS-4V1 4in1 ขนาดบาร์ 6 นิ้ว</t>
  </si>
  <si>
    <t>เลื่อยตัดกิ่ง  MAKITA 339VF + แบต 1 ก้อน</t>
  </si>
  <si>
    <t>PO-23003743</t>
  </si>
  <si>
    <t>PO-23003746</t>
  </si>
  <si>
    <t>บริษัท เอ็มซี อินดัสเทรียลเคมิคัล จำกัด</t>
  </si>
  <si>
    <t>สารกันชื้น(ซิลิกาเจล) สีน้ำเงิน</t>
  </si>
  <si>
    <t>PO-23003747</t>
  </si>
  <si>
    <t>งานตัดแย็กสกัดพื้นคอนกรีตเพื่อฝังท่อเดรนน้ำฝน</t>
  </si>
  <si>
    <t>PO-23003622</t>
  </si>
  <si>
    <t>ตู้ Load Break Switch IME 1300x1300x2500 มม.</t>
  </si>
  <si>
    <t>CABLE BOX TYPE 1 TR.12.5 MVA 3Ph 50Hz 33000/19053-11000V</t>
  </si>
  <si>
    <t>Control Box TR.12500 kVA</t>
  </si>
  <si>
    <t>CABLE BOX WITH LBS TR.1000 kVA 3Ph 50Hz 24000-416/240V</t>
  </si>
  <si>
    <t>CABLE BOX TYPE 4 TR.1600 kVA 3Ph 50Hz 11000-433V</t>
  </si>
  <si>
    <t>CABLE BOX TYPE 4 TR.2000 kVA 3Ph 50Hz 11000-433V</t>
  </si>
  <si>
    <t>PO-23003728</t>
  </si>
  <si>
    <t>CABLE BOX ON SIDE TR. 16 MVA 3Ph 50Hz 33000-11500/6640V</t>
  </si>
  <si>
    <t>Cover Box  for Bushing W-680 x L-1320 x H-400</t>
  </si>
  <si>
    <t>CABLE BOX TYPE 1 TR.7000 kVA 3Ph 50Hz 22000-6600/3811V</t>
  </si>
  <si>
    <t>CABLE BOX WITH LBS TR.630 kVA 3Ph 50Hz 22000-400/230V</t>
  </si>
  <si>
    <t>NOV</t>
  </si>
  <si>
    <t>PO-23003683</t>
  </si>
  <si>
    <t>ลวดแบนหุ้มกระดาษหนา 0.5 มม. ขนาด 3.3*6 มม. 50/22 PEA</t>
  </si>
  <si>
    <t>PO-23003771</t>
  </si>
  <si>
    <t>PO-23003778</t>
  </si>
  <si>
    <t xml:space="preserve">สีสเปรย์ TOA. </t>
  </si>
  <si>
    <t>PO-23003784</t>
  </si>
  <si>
    <t>เครื่องเจียรลม ยี่ห้อVESSEL รุ่นGT-DG100</t>
  </si>
  <si>
    <t>PO-23003798</t>
  </si>
  <si>
    <t>บริษัท ทาซึ เพ้นท์ (ประเทศไทย) จำกัด</t>
  </si>
  <si>
    <t>พื้น PUME FLOOR System 4 mm. 140 m2  อาคารDrytype</t>
  </si>
  <si>
    <t>PO-23003833</t>
  </si>
  <si>
    <t>สติ๊กเกอร์บอกค่า Torque (สีเหลืองสะท้อนแสง3M) (ตัวอักษรสีดำ)</t>
  </si>
  <si>
    <t>PO-23003989</t>
  </si>
  <si>
    <t>PO-23003801</t>
  </si>
  <si>
    <t>PO-23003819</t>
  </si>
  <si>
    <t>แผ่นป้าย Logo SWTS ขนาด 130 x 310 mm.(แผ่นสแตนเลส  ตัวหนังสือสีฟ้า)</t>
  </si>
  <si>
    <t>PO-23003836</t>
  </si>
  <si>
    <t>PO-23003870</t>
  </si>
  <si>
    <t>PO-23003887</t>
  </si>
  <si>
    <t>PO-23003938</t>
  </si>
  <si>
    <t>หางปลาต่อสายแบบกลมเปลือย ยี่ห้อ T-LUG CL50-8</t>
  </si>
  <si>
    <t>หางปลาต่อสายแบบกลมเปลือย ยี่ห้อ T-LUG ขนาด 25-8 มม.</t>
  </si>
  <si>
    <t>PO-23003939</t>
  </si>
  <si>
    <t>ลวดกลมหุ้มกระดาษหนา 3มม. ขนาด 5.00 มม.</t>
  </si>
  <si>
    <t>PO-23003971</t>
  </si>
  <si>
    <t>PO-23003993</t>
  </si>
  <si>
    <t>PO-23004007</t>
  </si>
  <si>
    <t>Wooden Crate Stock Tr.50-250 kVA  (IPPC/Heat Treatment)</t>
  </si>
  <si>
    <t>PO-23003845</t>
  </si>
  <si>
    <t>K120000006 แผ่นสติ๊กเกอร์แรงดัน 33000V</t>
  </si>
  <si>
    <t>PO-23003850</t>
  </si>
  <si>
    <t>PO-23003852</t>
  </si>
  <si>
    <t>โทรศัพท์มือถือ Sumsung Galaxy A04 32GB</t>
  </si>
  <si>
    <t>PO-23003856</t>
  </si>
  <si>
    <t>ตู้เครื่องมือรถเข็น 8 ลิ้นชัก Pumpkin Model:TANK TC8</t>
  </si>
  <si>
    <t>PO-23003877</t>
  </si>
  <si>
    <t>บริษัท พี เอ็น เทค จำกัด</t>
  </si>
  <si>
    <t>งานติดตั้งระบบ Fire Alarm อาคารเก็บหม้อแปลง Dry type (รับประ</t>
  </si>
  <si>
    <t>PO-23003879</t>
  </si>
  <si>
    <t>HEAT EXPLOSION-PROOF 70 C</t>
  </si>
  <si>
    <t>PO-23003882</t>
  </si>
  <si>
    <t>บริษัท สยามแฮนด์ทูล จำกัด</t>
  </si>
  <si>
    <t>ชุดทำงานแบบชุดหมี ซิปเปิด ผ้าคอมพ์ สีกรม SIZE L</t>
  </si>
  <si>
    <t>ชุดทำงานแบบชุดหมี ซิปเปิด ผ้าคอมพ์ สีกรม SIZE XL</t>
  </si>
  <si>
    <t>ชุดทำงานแบบชุดหมี ซิปเปิด ผ้าคอมพ์ สีกรม SIZE 4XL</t>
  </si>
  <si>
    <t>PO-23003907</t>
  </si>
  <si>
    <t>เครื่องดูดฝุ่น-ดูดน้ำ รุ่น WS380_C ยี่ห้อ MATRIX ขนาด 80L</t>
  </si>
  <si>
    <t>PO-23003922</t>
  </si>
  <si>
    <t>เครื่องเจียรไฟฟ้า 4 นิ้ว Makita 9533B</t>
  </si>
  <si>
    <t>PO-23003976</t>
  </si>
  <si>
    <t>หัวจ่ายน้ำมันอัตโนมัติ ZYQ</t>
  </si>
  <si>
    <t>PO-23003996</t>
  </si>
  <si>
    <t>พัดลมป้องกันการระเบิด Atex BTF-20 8"</t>
  </si>
  <si>
    <t>เครื่องตรวจจับควันไฟ SMOKE DETECTOR RELAY OUT WITH SOUND BUZ</t>
  </si>
  <si>
    <t>PO-23004009</t>
  </si>
  <si>
    <t>เครื่องเป่าลมร้อน BOSCH GHG 20-63 2000W</t>
  </si>
  <si>
    <t>PO-23004010</t>
  </si>
  <si>
    <t>บริษัท ซานโต ไฟร์ โปรดักส์ จำกัด</t>
  </si>
  <si>
    <t>เครื่องดับเพลิง ชนิดก๊าซคาร์บอนไดออกไซด์(CO2)  ขนาด 10 ปอนด์</t>
  </si>
  <si>
    <t>PO-23004014</t>
  </si>
  <si>
    <t>แผ่นสติ๊กเกอร์ระวังอันตรายไฟฟ้าแรงสูง ขนาด 15*20 cm. สะท้อนแ</t>
  </si>
  <si>
    <t>PO-23004015</t>
  </si>
  <si>
    <t>PO-23004044</t>
  </si>
  <si>
    <t>บริษัท พีพี อินเทลเลคท์ เอ็นจิเนียริ่ง จำกัด</t>
  </si>
  <si>
    <t>ทําห้องเก็บ cap bank (ราคารวม wiring และ ทำสี)</t>
  </si>
  <si>
    <t>PO-23004055</t>
  </si>
  <si>
    <t>Pack &amp; Lashing+Cert. Container 20'FR (SOF-230037)</t>
  </si>
  <si>
    <t>PO-23004057</t>
  </si>
  <si>
    <t>PO-23004058</t>
  </si>
  <si>
    <t>PO-23004075</t>
  </si>
  <si>
    <t>บริษัท สยาม วิน บอร์น จำกัด‬‬‬‬</t>
  </si>
  <si>
    <t>เหล็กราง ขนาด 125*65*6 มม. ยี่ห้อ SYS</t>
  </si>
  <si>
    <t>เส้น</t>
  </si>
  <si>
    <t>PO-23004128</t>
  </si>
  <si>
    <t>PO-23004153</t>
  </si>
  <si>
    <t>PO-23004160</t>
  </si>
  <si>
    <t>PO-23004193</t>
  </si>
  <si>
    <t>Pack &amp; Lashing+Cert. Container 20'FR SOF-230037 Lot.3</t>
  </si>
  <si>
    <t>PO-23004197</t>
  </si>
  <si>
    <t>บริษัท เมทสัน เพาเวอร์ (ประเทศไทย) จำกัด</t>
  </si>
  <si>
    <t>PO-23004199</t>
  </si>
  <si>
    <t>Pack &amp; Lashing+Cert. Container 40'FR SOF-230046</t>
  </si>
  <si>
    <t>PO-23004194</t>
  </si>
  <si>
    <t>PO-23004198</t>
  </si>
  <si>
    <t>ลวดแบนหุ้มกระดาษหนา 0.5 มม. ขนาด 3.3*6 มม.</t>
  </si>
  <si>
    <t>PO-23004087</t>
  </si>
  <si>
    <t>TV SAMSUNG 50 นิ้ว รุ่นUA50AU7700KXXT AU7700 UHD 4K Smart TV</t>
  </si>
  <si>
    <t>PO-23004089</t>
  </si>
  <si>
    <t>HOBAYASHIล้อเก็บสายไฟ HR‐812 ยาว 15M</t>
  </si>
  <si>
    <t>PO-23004098</t>
  </si>
  <si>
    <t>PO-23004101</t>
  </si>
  <si>
    <t>กป</t>
  </si>
  <si>
    <t xml:space="preserve">สีสเปร์ย TOA. </t>
  </si>
  <si>
    <t>PO-23004107</t>
  </si>
  <si>
    <t>บริษัท ออฟฟิศเมท (ไทย) จำกัด</t>
  </si>
  <si>
    <t>Y086926 LOGITECH Wireless Optical Mouse (M-185D) Black/Grey</t>
  </si>
  <si>
    <t>4006435 เมาส์ ดำ Logitech B100 4006435</t>
  </si>
  <si>
    <t>PO-23004108</t>
  </si>
  <si>
    <t>Moon-i MO1000i V3.1 (1000VA/480W) 220Vac B72 NP31 T885 - รับ</t>
  </si>
  <si>
    <t>Battery EWAVE GB12-7.5 (B12V7.5AhV0) - รับประกัน15 เดือน</t>
  </si>
  <si>
    <t>PO-23004159</t>
  </si>
  <si>
    <t>งาน Renovate ห้องน้ำอาคารสวัสดิการ</t>
  </si>
  <si>
    <t>PO-23004175</t>
  </si>
  <si>
    <t>งานระบบไฟฟ้าอาคาร Dry type (เพิ่มเติม) รายละเอียดสินค้า อ้าง</t>
  </si>
  <si>
    <t>DEC</t>
  </si>
  <si>
    <t>PO-23004235</t>
  </si>
  <si>
    <t>PO-23004245</t>
  </si>
  <si>
    <t>PO-23004281</t>
  </si>
  <si>
    <t>PO-23004266</t>
  </si>
  <si>
    <t>PO-23004301</t>
  </si>
  <si>
    <t>PO-23004339</t>
  </si>
  <si>
    <t>PO-23004293</t>
  </si>
  <si>
    <t>PO-23004256</t>
  </si>
  <si>
    <t>บริษัท ช้าง รับเบอร์ จำกัด</t>
  </si>
  <si>
    <t>NBR RUBBER SHEET Size : T 5mm x W 1.4M x L 2M</t>
  </si>
  <si>
    <t>PO-23004276</t>
  </si>
  <si>
    <t>สีสเปรย์ TOA. สีเหลือง  เบอร์ 15</t>
  </si>
  <si>
    <t>PO-23004277</t>
  </si>
  <si>
    <t>เบนซินขาว</t>
  </si>
  <si>
    <t>GL</t>
  </si>
  <si>
    <t>PO-23004280</t>
  </si>
  <si>
    <t>สติ๊กเกอร์บอกระดับน้ำมัน</t>
  </si>
  <si>
    <t>PO-23004305</t>
  </si>
  <si>
    <t>Cable tie ขนาด 4" สีขาว</t>
  </si>
  <si>
    <t>Cable tie ขนาด 10" สีขาว</t>
  </si>
  <si>
    <t>Cable tie ขนาด 6" สีขาว</t>
  </si>
  <si>
    <t>PO-23004310</t>
  </si>
  <si>
    <t>PO-23004311</t>
  </si>
  <si>
    <t>PO-23004334</t>
  </si>
  <si>
    <t>ทองแดงเส้นแบนขนาด 300x240mm. (สำหรับงาน SOF-220062)</t>
  </si>
  <si>
    <t>PO-23004365</t>
  </si>
  <si>
    <t>PO-23004362</t>
  </si>
  <si>
    <t>PO-23004366</t>
  </si>
  <si>
    <t>PO-23004377</t>
  </si>
  <si>
    <t>บริษัท แอมเทค ลูบริแคนท์ จำกัด</t>
  </si>
  <si>
    <t>PO-23004406</t>
  </si>
  <si>
    <t>Nameplate 50 kVA 3Ph  50Hz  22000-416/240V</t>
  </si>
  <si>
    <t>PO-23004411</t>
  </si>
  <si>
    <t>PO-24000016</t>
  </si>
  <si>
    <t>PO-24000004</t>
  </si>
  <si>
    <t>PO-24000005</t>
  </si>
  <si>
    <t>ลวดแบนหุ้มกระดาษหนา 0.5 มม. ขนาด 1.6*7.5 มม.</t>
  </si>
  <si>
    <t>ลวดแบนหุ้มกระดาษหนา 0.5 มม. ขนาด 2.0*5.5 มม.</t>
  </si>
  <si>
    <t>ลวดแบนหุ้มกระดาษหนา 0.5 มม. ขนาด 2.5*16 มม.</t>
  </si>
  <si>
    <t>PO-24000006</t>
  </si>
  <si>
    <t>PO-24000008</t>
  </si>
  <si>
    <t>บริษัท สยาม แปซิฟิค อีเล็คทริค ไวร์ แอนด์ เคเบิ้ล จำกัด</t>
  </si>
  <si>
    <t>PO-24000011</t>
  </si>
  <si>
    <t>PO-24000014</t>
  </si>
  <si>
    <t>PO-24000047</t>
  </si>
  <si>
    <t>PO-24000069</t>
  </si>
  <si>
    <t xml:space="preserve">PO-24000121 </t>
  </si>
  <si>
    <t>PO-24000070</t>
  </si>
  <si>
    <t>PO-24000073</t>
  </si>
  <si>
    <t>PO-24000081</t>
  </si>
  <si>
    <t>ลวดแบนหุ้มกระดาษหนา 0.5 มม. ขนาด 2.2*8.0 มม.</t>
  </si>
  <si>
    <t>PO-24000149</t>
  </si>
  <si>
    <t>PO-24000098</t>
  </si>
  <si>
    <t>แผ่นสติ๊กเกอร์ CAUTION !</t>
  </si>
  <si>
    <t>PO-24000100</t>
  </si>
  <si>
    <t>PO-24000104</t>
  </si>
  <si>
    <t>PO-24000107</t>
  </si>
  <si>
    <t>บริษัท ไทยเครื่องชั่ง จำกัด</t>
  </si>
  <si>
    <t>เครื่องชั่งอิเล็คทรอนิคส์ TSCALE MODEL MBW 150kg. แท่นชั่งขน</t>
  </si>
  <si>
    <t>PO-24000112</t>
  </si>
  <si>
    <t>ห้างหุ้นส่วนจำกัด วรวัตรผ้าใบ</t>
  </si>
  <si>
    <t>ผ้าใบคลุมเต๊นท์ขนาด 15*40 เมตร พร้อมติดตั้งส่วนที่เป็นหลังคา</t>
  </si>
  <si>
    <t>PO-24000134</t>
  </si>
  <si>
    <t>งานเปลี่ยนหลังคาเมทัลชีทอาคารสวัสดิการ ขนาด 580 ตรม.</t>
  </si>
  <si>
    <t>PO-24000159</t>
  </si>
  <si>
    <t>PO-24000175</t>
  </si>
  <si>
    <t>ULTRACOREตะกั่วบัดกรี 60/40 1.2mm.x1LB</t>
  </si>
  <si>
    <t>ULTRACOREตะกั่วบัดกรี 60/40 1.6mm.x1LB</t>
  </si>
  <si>
    <t>PO-24000179</t>
  </si>
  <si>
    <t>บริษัท ทีโอเอ-ชูโกกุ เพ้นท์ จำกัด</t>
  </si>
  <si>
    <t>สีรองพื้น (EPOXY) CHUGOKU  EPICON  MARINE  HB-NP (KMZ</t>
  </si>
  <si>
    <t>PO-24000195</t>
  </si>
  <si>
    <t>บริษัท ทีดับบลิวที เอ็นเตอร์ไพรซ์ จำกัด</t>
  </si>
  <si>
    <t>Laser Tracking Sensor สำหรับ Robot -  Model: CRP-VLS160GB-</t>
  </si>
  <si>
    <t>PO-24000209</t>
  </si>
  <si>
    <t>บริษัท กรีช่าเดคคอร์แอนด์บิลท์ จำกัด</t>
  </si>
  <si>
    <t>งาน Renovate Office QTC  ชั้น 1</t>
  </si>
  <si>
    <t>PO-24000194</t>
  </si>
  <si>
    <t>ตัวอักษรบอกเฟส n (ตัวอักษรสีดำ)</t>
  </si>
  <si>
    <t>ตัวอักษรบอกเฟส B ขนาด 20x20 มม. (ตัวอักษรขาว)</t>
  </si>
  <si>
    <t>ตัวอักษรบอกเฟส A ขนาด 20x20 มม. (ตัวอักษรสีแดง)</t>
  </si>
  <si>
    <t>ตัวอักษรบอกเฟส C ขนาด 20x20 มม. (ตัวอักษรสีน้ำเงิน)</t>
  </si>
  <si>
    <t>PO-24000218</t>
  </si>
  <si>
    <t>PO-24000233</t>
  </si>
  <si>
    <t>PO-24000244</t>
  </si>
  <si>
    <t>PO-24000245</t>
  </si>
  <si>
    <t>PO-24000246</t>
  </si>
  <si>
    <t>บริษัท เอ็นเอสซี เม็ททอล จำกัด</t>
  </si>
  <si>
    <t>PO-24000268</t>
  </si>
  <si>
    <t>PO-24000279</t>
  </si>
  <si>
    <t>ลวดแบนหุ้มกระดาษหนา 0.5 มม. ขนาด 2.0*7 มม.</t>
  </si>
  <si>
    <t>PO-24000288</t>
  </si>
  <si>
    <t>Wooden Crate Tr.800 kVA (Fumigation)</t>
  </si>
  <si>
    <t>PO-23002777</t>
  </si>
  <si>
    <t>Pack &amp; Lashing+Cert. SOF-230009 LOT.2 (ตู้ 40’FR)</t>
  </si>
  <si>
    <t>PO-24000301</t>
  </si>
  <si>
    <t>บริษัท เมโทรซิสเต็มส์คอร์ปอเรชั่น จำกัด (มหาชน)</t>
  </si>
  <si>
    <t>Windows GGWA - Windows 11 Pro - Legalization Get Genuine</t>
  </si>
  <si>
    <t>PO-24000326</t>
  </si>
  <si>
    <t>ตัวอักษรบอกเฟส a (ตัวอักษรสีแดง)</t>
  </si>
  <si>
    <t>PO-24000331</t>
  </si>
  <si>
    <t>PO-24000348</t>
  </si>
  <si>
    <t>PO-24000349</t>
  </si>
  <si>
    <t>หางปลาต่อสายแบบกลมเปลือย ยี่ห้อ T-LUG ขนาด 6-10 มม.</t>
  </si>
  <si>
    <t>PO-24000214</t>
  </si>
  <si>
    <t>PO-24000236</t>
  </si>
  <si>
    <t>สายลมรุ่น PUN-H-6*1-BL</t>
  </si>
  <si>
    <t>Mete</t>
  </si>
  <si>
    <t>สายลมรุ่น PUN-H-8*1.25-BL</t>
  </si>
  <si>
    <t>สายลมรุ่น PUN-H-12*2-BL</t>
  </si>
  <si>
    <t>PO-24000240</t>
  </si>
  <si>
    <t>กระดาษซับคราบน้ำมัน ออยล์ ซอพเมนต์</t>
  </si>
  <si>
    <t>PO-24000243</t>
  </si>
  <si>
    <t>PO-24000252</t>
  </si>
  <si>
    <t>KOBEGDA2206L เครื่องเจียรลมคองอ 90 องศา</t>
  </si>
  <si>
    <t>PO-24000269</t>
  </si>
  <si>
    <t>PO-24000271</t>
  </si>
  <si>
    <t>ถังอัดจารบีใช้ลม ขนาด 40 ลิตร สายยาว 8 เมตร TOYO</t>
  </si>
  <si>
    <t>PO-24000277</t>
  </si>
  <si>
    <t>ไม้สน ขนาด 20*180*1000</t>
  </si>
  <si>
    <t>PO-24000280</t>
  </si>
  <si>
    <t>Air Angle Die Grinderเครื่องเจียรลมคองอBRP2203 1/4" 25000rpm</t>
  </si>
  <si>
    <t>Air Die Grinder ยี่ห้อ KOBE รุ่น GD22LK  6mm.</t>
  </si>
  <si>
    <t>PO-24000298</t>
  </si>
  <si>
    <t>บริษัท นารา เอ็นจิเนียริ่ง แอนด์ ซัพพลาย จำกัด</t>
  </si>
  <si>
    <t>แบบผลิตUnit Substation MEA Type II (Special) -สำหรับทดสอบ</t>
  </si>
  <si>
    <t>PO-24000300</t>
  </si>
  <si>
    <t>Dell Latitude 3440, XCTO [i5/8GB/256GB]</t>
  </si>
  <si>
    <t>Dell Latitude 3440, XCTO [i7/8GB/512GB]</t>
  </si>
  <si>
    <t>OptiPlex Small Form Factor (Plus 7010) [i5/8GB/256GB]</t>
  </si>
  <si>
    <t>PO-24000315</t>
  </si>
  <si>
    <t>ไม้สน ขนาด 15x100x1000มม.</t>
  </si>
  <si>
    <t>PO-24000334</t>
  </si>
  <si>
    <t>PO-24000337</t>
  </si>
  <si>
    <t>บล็อคลม ยี่ห้อVESSEL รุ่นGT2000P Bolt Dia 20mm.</t>
  </si>
  <si>
    <t>PO-24000338</t>
  </si>
  <si>
    <t>KUANIสว่านลมปรับซ้าย-ขวา  KD‐865 ขนาด 1/2"</t>
  </si>
  <si>
    <t>PO-24000374</t>
  </si>
  <si>
    <t>CABLE BOX ON SIDE TR.2000 kVA 3Ph 50Hz 11000-433/250V</t>
  </si>
  <si>
    <t xml:space="preserve">PO-24000412 </t>
  </si>
  <si>
    <t>PO-24000423</t>
  </si>
  <si>
    <t>PO-24000441</t>
  </si>
  <si>
    <t>PO-24000458</t>
  </si>
  <si>
    <t>PO-24000463</t>
  </si>
  <si>
    <t>PO-24000471</t>
  </si>
  <si>
    <t>ลวดแบนหุ้มกระดาษหนา 0.5 มม. ขนาด 2.2*8.0 มม. = 270 KG</t>
  </si>
  <si>
    <t>PO-24000497</t>
  </si>
  <si>
    <t>ลวดแบนหุ้มกระดาษหนา 0.6 มม. ขนาด 2*12.5 มม.</t>
  </si>
  <si>
    <t>PO-24000379</t>
  </si>
  <si>
    <t>PO-24000383</t>
  </si>
  <si>
    <t>TV UHD LED ยี่ห้อ TCL (85",4K,Android,ปี2023) รุ่น 85P745  (</t>
  </si>
  <si>
    <t>PO-24000386</t>
  </si>
  <si>
    <t>บริษัท สตาร์ดัม เอ็นจิเนียริ่ง จำกัด</t>
  </si>
  <si>
    <t>เครื่องกรอกน้ำมันหม้อแปลงขนาด 2000ลิตร/ชม.</t>
  </si>
  <si>
    <t>PO-24000388</t>
  </si>
  <si>
    <t>ค่ารถเทรลเลอร์ 22 ล้อบรรทุก QTC-คลังไฟฟ้ารังสิต 30-31/1/67</t>
  </si>
  <si>
    <t>PO-24000402</t>
  </si>
  <si>
    <t>งานเปลี่ยนฝ้าโรงอาหาร</t>
  </si>
  <si>
    <t>PO-24000445</t>
  </si>
  <si>
    <t>บริษัท เอเทค ลิฟท์ติ้ง ทูลส์ จำกัด</t>
  </si>
  <si>
    <t>สลิงโพลีฯ แบบมีห่วงหัว-ท้าย WS-2 4T4M</t>
  </si>
  <si>
    <t>PO-24000449</t>
  </si>
  <si>
    <t>บริษัท เครื่องดับเพลิงอิมพีเรียล จำกัด</t>
  </si>
  <si>
    <t>ถังดับเพลิงชนิดเคมีแห้ง ขนาด 15 ปอนด์</t>
  </si>
  <si>
    <t>PO-24000499</t>
  </si>
  <si>
    <t>บริษัท เอชวีเทค รีเซิร์ช แอนด์ เซอร์วิส จำกัด</t>
  </si>
  <si>
    <t xml:space="preserve">ทดสอบหม้อ 400kVA </t>
  </si>
  <si>
    <t>PO-24000523</t>
  </si>
  <si>
    <t>เครื่องเจียรลม ยี่ห้อVESSEL รุ่น GT-DG100</t>
  </si>
  <si>
    <t>PO-24000524</t>
  </si>
  <si>
    <t>PO-24000535</t>
  </si>
  <si>
    <t>PO-24000536</t>
  </si>
  <si>
    <t>HRC FUSE LINK 24kV 200A  L=442MM 80N</t>
  </si>
  <si>
    <t>PO-24000537</t>
  </si>
  <si>
    <t>น้ำมัน Synthetic Ester  ยี่ห้อ MIDEL 7131</t>
  </si>
  <si>
    <t>PO-24000541</t>
  </si>
  <si>
    <t>PO-24000567</t>
  </si>
  <si>
    <t>Solid wooden crate 110x65x90 cm.</t>
  </si>
  <si>
    <t>PO-24000624</t>
  </si>
  <si>
    <t>PO-24000644</t>
  </si>
  <si>
    <t>PO-24000635</t>
  </si>
  <si>
    <t>PO-24000647</t>
  </si>
  <si>
    <t>PO-24000665</t>
  </si>
  <si>
    <t>Aluminum Foil size 2.0*600 mm.</t>
  </si>
  <si>
    <t>Paper Covered Aluminum rectangular strip 0.5 kc 2.5*8.5 mm.</t>
  </si>
  <si>
    <t>PO-24000538</t>
  </si>
  <si>
    <t>Short-circuit IEC 60076-5 22000-416/240 V. 50kVA (S/N: 67310</t>
  </si>
  <si>
    <t>PO-24000562</t>
  </si>
  <si>
    <t>PO-24000586</t>
  </si>
  <si>
    <t>ปืนเชื่อมมิกซ์ Mig Gun TorchP350A(Cable 3m)&amp;End Pana"McWeld"</t>
  </si>
  <si>
    <t>PO-24000596</t>
  </si>
  <si>
    <t>PO-24000687</t>
  </si>
  <si>
    <t>ชุดโซ่ยกประกอบชุด 2 ขา 1.5M รับ นน. 2-2.8T ขนาดโซ่ 8 มม.</t>
  </si>
  <si>
    <t>PO-24000693</t>
  </si>
  <si>
    <t>MAKITA เครื่องเจียร ขนาด4" รุ่น 9533B</t>
  </si>
  <si>
    <t>PO-24000691</t>
  </si>
  <si>
    <t>ลวดแบนหุ้มกระดาษหนา 0.5 มม. (Insulation Class B)</t>
  </si>
  <si>
    <t>PO-24000699</t>
  </si>
  <si>
    <t>PO-24000708</t>
  </si>
  <si>
    <t>Silicon Steel Master Coil 027CLF100 สีขาว</t>
  </si>
  <si>
    <t>Cold Rolled Steel Sheet (SPCC-SD)</t>
  </si>
  <si>
    <t>หางปลาแรงสูง-แรงต่ำ, แกนทองแดง</t>
  </si>
  <si>
    <t>เดือน</t>
  </si>
  <si>
    <t>PO-24000744</t>
  </si>
  <si>
    <t>KG.</t>
  </si>
  <si>
    <t xml:space="preserve">PO-24000746 </t>
  </si>
  <si>
    <t xml:space="preserve">CABLE BOX TYPE 1 TR.1800 kVA 3Ph 50Hz 33000-400/230V </t>
  </si>
  <si>
    <t>SET.</t>
  </si>
  <si>
    <t>CABLE BOX TYPE 1 TR.10 kVA 3Ph 50Hz 5500-460/230V</t>
  </si>
  <si>
    <t xml:space="preserve">PO-24000807 </t>
  </si>
  <si>
    <t>บริษัท ทีเอ็มที สตีล จำกัด (มหาชน)</t>
  </si>
  <si>
    <t>งานจ้างตัด-เจาะ TR.10kVA จำนวน 86 set.</t>
  </si>
  <si>
    <t>PO-24000707</t>
  </si>
  <si>
    <t>PO-24000894</t>
  </si>
  <si>
    <t>เหล็กฉาก ขนาด 50*50*6 มม. ( L = 410 mm.)</t>
  </si>
  <si>
    <t>EA.</t>
  </si>
  <si>
    <t>เหล็กฉาก ขนาด 50*50*6 มม. ( L = 390 mm.)</t>
  </si>
  <si>
    <t>PO-24000732</t>
  </si>
  <si>
    <t>บริษัท ผลิตโชควิศวกรรม จำกัด</t>
  </si>
  <si>
    <t xml:space="preserve">ชุดแบบเสริมอลูมิเนียม แบบพันคอยล์ฟอยล์ (FOIL) 350-400 x 850 </t>
  </si>
  <si>
    <t>PO-24000755</t>
  </si>
  <si>
    <t>บริษัท เค.ซี.อาร์.อิเล็คทริค จํากัด</t>
  </si>
  <si>
    <t>สายทดสอบหัว Plug in ขนาด24 kV</t>
  </si>
  <si>
    <t>PO-24000757</t>
  </si>
  <si>
    <t>บริษัท มาร์เวิลด์ ดีเวลลอปเม้นท์ จำกัด</t>
  </si>
  <si>
    <t>งานเจาะสำรวจและทดสอบดิน Soil Boring Test</t>
  </si>
  <si>
    <t>งานสำรวจ Survey Contour</t>
  </si>
  <si>
    <t>PO-24000769</t>
  </si>
  <si>
    <t xml:space="preserve">Inspection Crane </t>
  </si>
  <si>
    <t>PO-24000775</t>
  </si>
  <si>
    <t>บริษัท วีอาร์ โซลูชั่น คูล จำกัด</t>
  </si>
  <si>
    <t>งานหารั่วซ่อมรั่ว และเปลี่ยนอปุกรณ์สำหรับเครี่องปรับอากาศ ขน</t>
  </si>
  <si>
    <t>PO-24000796</t>
  </si>
  <si>
    <t>แผ่นสติ๊กเกอร์ กราวด์(GND)</t>
  </si>
  <si>
    <t>PO-24000797</t>
  </si>
  <si>
    <t>PO-24000809</t>
  </si>
  <si>
    <t>งานปรับปรุงฝ้าโรงอาหาร ชนิด Iso wall พร้อมระบบแสงสว่างและทาส</t>
  </si>
  <si>
    <t>PO-24000810</t>
  </si>
  <si>
    <t>งานติดตั้งเครื่องปรับอากาศ ยี่ห้อ Carrier รุ่o 42TGV0401A3 /</t>
  </si>
  <si>
    <t>PO-24000832</t>
  </si>
  <si>
    <t>PO-24000841</t>
  </si>
  <si>
    <t>ลังพลาสติกทึบ หนา ขนาด 31*52*18Cm. 23 ลิตร สีน้ำเงิน</t>
  </si>
  <si>
    <t>PO-24000902</t>
  </si>
  <si>
    <t>งานล้างทำความสะอาดเครื่่องปรับอากาศด้วยระบบป้ัมน้ำฉีด -81 เครื่อง</t>
  </si>
  <si>
    <t xml:space="preserve">PO-24000991 </t>
  </si>
  <si>
    <t>ทองแดงเส้นแบนขนาด 10x200mm. (ใช้กับ SOF-240005)</t>
  </si>
  <si>
    <t>PO-24000739</t>
  </si>
  <si>
    <t>PO-24000741</t>
  </si>
  <si>
    <t>PO-24000738</t>
  </si>
  <si>
    <t>ลวดแบนหุ้มกระดาษนอร์แม๊กซ์ หนา 0.5 มม. ขนาด 1.4*4.5 มม.</t>
  </si>
  <si>
    <t>PO-24000783</t>
  </si>
  <si>
    <t>Insulating Supports แรงสูง24kV ยี่ห้อ GEORG JORDRN</t>
  </si>
  <si>
    <t>PO-24000791</t>
  </si>
  <si>
    <t>PO-24000846</t>
  </si>
  <si>
    <t>PO-24000848</t>
  </si>
  <si>
    <t>PO-24000890</t>
  </si>
  <si>
    <t>PO-24000920</t>
  </si>
  <si>
    <t>TRAFOMART PTE LTD.</t>
  </si>
  <si>
    <t>Tap Changer (Voltage) 1Ph 24kV-30A-L70 5Pos (EMC)</t>
  </si>
  <si>
    <t>PO-24000924</t>
  </si>
  <si>
    <t>PO-24000928</t>
  </si>
  <si>
    <t>ลวดกลมอาบน้ำยา ขนาด 2.30 มม.</t>
  </si>
  <si>
    <t>ลวดกลมอาบน้ำยา ขนาด 3.00 มม.</t>
  </si>
  <si>
    <t>PO-24000949</t>
  </si>
  <si>
    <t xml:space="preserve">Fablication cost </t>
  </si>
  <si>
    <t>PO-24000999</t>
  </si>
  <si>
    <t>PO-24000942</t>
  </si>
  <si>
    <t>APEXดอกสว่านเจาะเหล็ก HSS 18.5 mm (ก้านลด)</t>
  </si>
  <si>
    <t>PO-24000943</t>
  </si>
  <si>
    <t>บริษัท เอ.แอล.เค.พรีซิชั่น เวอร์ค(1976) จำกัด</t>
  </si>
  <si>
    <t>FC2403811: หัวย้ำหมุด No.6</t>
  </si>
  <si>
    <t>PO-24000946</t>
  </si>
  <si>
    <t>ตลับเมตร STANLEY ยาว 3 เมตร รุ่น Powerlock #33‐231 - ตลับเมต</t>
  </si>
  <si>
    <t>PO-24001014</t>
  </si>
  <si>
    <t>บริษัท โอฟิซุ จำกัด</t>
  </si>
  <si>
    <t>งานบิ้วอินห้องทำงานฝ่ายบริการ กทม.</t>
  </si>
  <si>
    <t>PO-24001016</t>
  </si>
  <si>
    <t>ค่ารถเทรลเลอร์ 22 ล้อบรรทุก QTC-คลังไฟฟ้ารังสิต 20/3/67</t>
  </si>
  <si>
    <t>PO-24001018</t>
  </si>
  <si>
    <t>บริษัท สปีดเวย์ โรลเลอร์ แอนด์ คอนเวเยอร์ จำกัด</t>
  </si>
  <si>
    <t>Free Roller R76H3-1200EZ SHAFT S20-1250 PZ (PIN LOCK)</t>
  </si>
  <si>
    <t>PO-24001023</t>
  </si>
  <si>
    <t xml:space="preserve">LONGWELL กันย้อนชุดตัด ด้านแก๊ส (มีหางไหล) </t>
  </si>
  <si>
    <t>PO-24001024</t>
  </si>
  <si>
    <t xml:space="preserve">HARRIS ชุดเชื่อม LPG 43-2J </t>
  </si>
  <si>
    <t>PO-24000962</t>
  </si>
  <si>
    <t>Radiator Fin W520 x HL800 x Z11</t>
  </si>
  <si>
    <t xml:space="preserve">Radiator Fin W520 x HL1000 x Z18 </t>
  </si>
  <si>
    <t>PO-24001044</t>
  </si>
  <si>
    <t>PO-24001053</t>
  </si>
  <si>
    <t>PO-24001058</t>
  </si>
  <si>
    <t>FC24031946 Regrind ลับคมใบมีด PUNCH</t>
  </si>
  <si>
    <t>FC24031947 Regrind ลับคมใบมีด DIE</t>
  </si>
  <si>
    <t>PO-24001077</t>
  </si>
  <si>
    <t>เทปกันความร้อนแดง XZ014 ขนาด 1" (25มม)</t>
  </si>
  <si>
    <t>PO-24001080</t>
  </si>
  <si>
    <t>ลวดเชื่อมเงิน0%</t>
  </si>
  <si>
    <t>PO-24001081</t>
  </si>
  <si>
    <t>PO-24001084</t>
  </si>
  <si>
    <t>Fiber glass banding tape size 0.30mm. x 40mm. (100 metre/rol</t>
  </si>
  <si>
    <t>Meter</t>
  </si>
  <si>
    <t>PO-24001086</t>
  </si>
  <si>
    <t>เครื่องทดสอบค่าความต้านทานดิน KYORITSU4105A-H</t>
  </si>
  <si>
    <t>PO-24001087</t>
  </si>
  <si>
    <t>ดิจิตอล แคล้มป์มิเตอร์ KYORITSU 2003A</t>
  </si>
  <si>
    <t>PO-24001088</t>
  </si>
  <si>
    <t xml:space="preserve">เครื่องเทอร์โมสแกน FOTRIC-TK7  </t>
  </si>
  <si>
    <t>PO-24001091</t>
  </si>
  <si>
    <t>งานซ่อมเครน</t>
  </si>
  <si>
    <t>PO-24000776</t>
  </si>
  <si>
    <t>PO-24001092</t>
  </si>
  <si>
    <t>PO-24000826, 908, 990</t>
  </si>
  <si>
    <t xml:space="preserve">PO-24001149 </t>
  </si>
  <si>
    <t>PO-24001163</t>
  </si>
  <si>
    <t>กระดาษ Thermopox ขนาด 0.150*330 มม.Double Layer</t>
  </si>
  <si>
    <t>PO-24001173</t>
  </si>
  <si>
    <t>Supporting Lugs type C  MEA  (TLM)</t>
  </si>
  <si>
    <t>ชุด Support Lugs (Upper - Lower)</t>
  </si>
  <si>
    <t>Flang + Cover  for hand  hole</t>
  </si>
  <si>
    <t>Stud for hand hole</t>
  </si>
  <si>
    <t>PO-24001236</t>
  </si>
  <si>
    <t>บริษัท เคเอ็มไอ.ทีม เอ็นจิเนียริ่ง จำกัด</t>
  </si>
  <si>
    <t>RTD PT 100 Ohm 3wire (Single Element) Tube SUS316L Dia 6 mm.</t>
  </si>
  <si>
    <t>PO-24001229</t>
  </si>
  <si>
    <t>Copper Foil ขนาด 0.3*300 มม.</t>
  </si>
  <si>
    <t>PO-24001139</t>
  </si>
  <si>
    <t xml:space="preserve"> PO-24001170 </t>
  </si>
  <si>
    <t xml:space="preserve">PO-24001241 </t>
  </si>
  <si>
    <t>Cold Rolled Steel Sheet (SPCC-SD) ขนาด 1.2*400 มม.</t>
  </si>
  <si>
    <t>PO-24001121</t>
  </si>
  <si>
    <t>พัดลมอุตสาหกรรม YAMABISHI 30" VF-1760-B</t>
  </si>
  <si>
    <t>PO-24001124</t>
  </si>
  <si>
    <t>iPad 10 (2022)Wifi+Cellular 256GB 10.9 inch</t>
  </si>
  <si>
    <t>Apple Care+for iPad (10th generation)</t>
  </si>
  <si>
    <t>Apple Pencil Gen 1</t>
  </si>
  <si>
    <t>PO-24001127</t>
  </si>
  <si>
    <t>PO-24001128</t>
  </si>
  <si>
    <t>บริษัท สมาร์ทบอนด์ จำกัด</t>
  </si>
  <si>
    <t>เทปกันความร้อนแดง ขนาด 1 นิ้ว</t>
  </si>
  <si>
    <t>PO-24001129</t>
  </si>
  <si>
    <t>KUKENKW-14HP บล็อกลม ขนาด 1/2 นิ้ว 350 N.m.</t>
  </si>
  <si>
    <t>PO-24001156</t>
  </si>
  <si>
    <t>PO-24001176</t>
  </si>
  <si>
    <t>Wooden Crate For  Spare part (Fumigation)</t>
  </si>
  <si>
    <t>PO-24001214</t>
  </si>
  <si>
    <t>โคมติดลอย LED #HFILE3140S 40W DAYLIGHT "HI-TEK"</t>
  </si>
  <si>
    <t>PO-24001245</t>
  </si>
  <si>
    <t>บริษัท นิวแม็ก จำกัด</t>
  </si>
  <si>
    <t>RHR850G10B3/AB1 อะไหลไหล่ไส้กรองใยสังเคราะห์</t>
  </si>
  <si>
    <t>PO-24001247</t>
  </si>
  <si>
    <t>สร้าง Punch Ecoline</t>
  </si>
  <si>
    <t>สร้าง Die Ecoline</t>
  </si>
  <si>
    <t>PO-24001235</t>
  </si>
  <si>
    <t>CT.LExM 250/5 A 5 VA CL.0.5 Fs&lt;5</t>
  </si>
  <si>
    <t>PO-24001112</t>
  </si>
  <si>
    <t>PO-24001262</t>
  </si>
  <si>
    <t>PO-24001283</t>
  </si>
  <si>
    <t>PO-24001281</t>
  </si>
  <si>
    <t xml:space="preserve">CABLE BOX TYPE 1 TR.2500 kVA 3Ph 50Hz 22000-400V </t>
  </si>
  <si>
    <t xml:space="preserve">CABLE BOX TYPE 1 TR.1250 kVA 3Ph 50Hz 22000-400/230V </t>
  </si>
  <si>
    <t>PO-24001307</t>
  </si>
  <si>
    <t>งานจ้างตัดเหล็กตัวถังTR.160 kVA ขนาด720 x1778 มม.(Bottom 01)</t>
  </si>
  <si>
    <t>งานจ้างตัดเหล็กตัวถังTR.160 kVA ขนาด 392 x992 มม.(Bottom 02)</t>
  </si>
  <si>
    <t>งานจ้างตัดเหล็กตัวถังTR.160 kVA ขนาด180 x886 มม.(Bottom03-1)</t>
  </si>
  <si>
    <t>งานจ้างตัดเหล็กตัวถังTR.160 kVA ขนาด160 x886 มม.(Bottom03-2)</t>
  </si>
  <si>
    <t>งานจ้างตัดเหล็กฝาถังTR.160 kVA ขนาด 516x1116 มม. (Cover)</t>
  </si>
  <si>
    <t>เหล็กแผ่น SS400 หนา 2.0 มม.กว้าง 170 มม.ยาว 240มม(Cap plate)</t>
  </si>
  <si>
    <t>เหล็กแผ่น SS400 หนา 2.0 มม.กว้าง 170 มม.ยาว 750มม(PEA Code)</t>
  </si>
  <si>
    <t>เหล็กแผ่น SS400 หนา2.0 มม.กว้าง 210 มม.ยาว 350มม(Manu Plate)</t>
  </si>
  <si>
    <t>เหล็กฉาก ขนาด 50*50*6*283มม.(Angle#2)</t>
  </si>
  <si>
    <t>เหล็กฉาก ขนาด 50*50*6*460มม.(Upper#1)</t>
  </si>
  <si>
    <t>เหล็กฉาก ขนาด 50*50*6*956มม.(Upper#2)</t>
  </si>
  <si>
    <t>เหล็กฉาก ขนาด 50*50*6*283มม.(Angle#1)</t>
  </si>
  <si>
    <t>เหล็กฉาก ขนาด 75*75*9*530มม.(Base)</t>
  </si>
  <si>
    <t>PO-24001261</t>
  </si>
  <si>
    <t>PO-24001341</t>
  </si>
  <si>
    <t>PO-24001292</t>
  </si>
  <si>
    <t>ใบมีดตัดเหล็ก เครื่องพับคีบ Size:17.5x87x800mm. Mat:DC53 -</t>
  </si>
  <si>
    <t>PO-24001293</t>
  </si>
  <si>
    <t>NITTO เครื่องสกัด AIR CHIPPER  รุ่น ACH-16</t>
  </si>
  <si>
    <t>PO-24001299</t>
  </si>
  <si>
    <t>Cutout bracket increase TR202 with BARRIER</t>
  </si>
  <si>
    <t>PO-24001321</t>
  </si>
  <si>
    <t>ห้างหุ้นส่วนจำกัด มารวยคูลลิ่ง</t>
  </si>
  <si>
    <t>ติดตั้งเครื่องปรับอากาศออฟิศ</t>
  </si>
  <si>
    <t>PO-24001323</t>
  </si>
  <si>
    <t>บริษัท บางกอก เอสพีที จำกัด</t>
  </si>
  <si>
    <t>FLUID, TSL 1 QUART BOTTLE</t>
  </si>
  <si>
    <t>PO-24001347</t>
  </si>
  <si>
    <t>ลวดเชื่อม Gmaw (Co2) ขนาด 0.8 มม.</t>
  </si>
  <si>
    <t>PO-24001137</t>
  </si>
  <si>
    <t>PO-24001119</t>
  </si>
  <si>
    <t>Tap changer 3Ph,24kV, 30A,5 Position,L100,PP,ALU Knob with C</t>
  </si>
  <si>
    <t>Tap Changer (Voltage) 3Ph 24kV-60A-L130  ขึ้นกลาง 5 Position</t>
  </si>
  <si>
    <t>Tap Changer 3Ph 20kV-30A-L50  ขึ้นกลาง 2 หัว 2 Sys./5 Positi</t>
  </si>
  <si>
    <t>PO-24001151</t>
  </si>
  <si>
    <t>ลวดแบนหุ้มกระดาษหนา 0.5 มม. ขนาด 2.3*12 มม.</t>
  </si>
  <si>
    <t>PO-24001188</t>
  </si>
  <si>
    <t>TRAFOMART PTE LTD</t>
  </si>
  <si>
    <t xml:space="preserve"> Tap changer 3Ph,24kV,30A,5 Position,L50,PP,ALU Knob with Ca</t>
  </si>
  <si>
    <t>PO-24001190</t>
  </si>
  <si>
    <t>PO-24001207</t>
  </si>
  <si>
    <t>PO-24001239</t>
  </si>
  <si>
    <t>Messko GmbH</t>
  </si>
  <si>
    <t>Thermometer Winding Temperature MT-ST160WR/TTM/4/4m</t>
  </si>
  <si>
    <t>PO-24001252</t>
  </si>
  <si>
    <t>PO-24001254</t>
  </si>
  <si>
    <t>บริษัท โรจน์ไพบูลย์ อีควิ๊ปเม้นท์ จำกัด</t>
  </si>
  <si>
    <t>โกล์พวาวล์ ขนาด 1/2"</t>
  </si>
  <si>
    <t>PO-24001255</t>
  </si>
  <si>
    <t xml:space="preserve"> บริษัท วินเนอร์ นัมเบอร์เพลท จำกัด</t>
  </si>
  <si>
    <t>Nameplate Short Circuit withatand IOT Transformer 135*180 mm</t>
  </si>
  <si>
    <t>PO-24001256</t>
  </si>
  <si>
    <t>PO-24001259</t>
  </si>
  <si>
    <t>ทองแดงเส้นแบนขนาด 10x200mm. (สำหรับงาน SOD-240076)</t>
  </si>
  <si>
    <t>PO-24001257</t>
  </si>
  <si>
    <t>PO-24001277</t>
  </si>
  <si>
    <t>PO-24001279</t>
  </si>
  <si>
    <t>PO-24001282</t>
  </si>
  <si>
    <t>PO-24001284</t>
  </si>
  <si>
    <t>PO-24001304</t>
  </si>
  <si>
    <t>PO-24001318</t>
  </si>
  <si>
    <t>PO-24001314</t>
  </si>
  <si>
    <t>Wooden Crate Tr.4000 kVA (Fumigation)</t>
  </si>
  <si>
    <t>PO-24001339</t>
  </si>
  <si>
    <t>PO-24001344</t>
  </si>
  <si>
    <t>PO-24001345</t>
  </si>
  <si>
    <t>PO-24001375</t>
  </si>
  <si>
    <t>PO-24001401</t>
  </si>
  <si>
    <t>Nameplate Short Circuit withatand IOT Transformer 150*100 mm</t>
  </si>
  <si>
    <t>PO-24001421</t>
  </si>
  <si>
    <t>PO-24001465</t>
  </si>
  <si>
    <t>Steel Enclosure ขนาด 2000 x 2600 x 2600 mm.</t>
  </si>
  <si>
    <t>PO-24001481</t>
  </si>
  <si>
    <t>PO-24001351</t>
  </si>
  <si>
    <t>PO-24001353</t>
  </si>
  <si>
    <t>PO-24001365</t>
  </si>
  <si>
    <t>เครื่องฉีดน้ำแรงดันสูงไร้สายกำลัง (20 V) DEWALT DCMPW 1600+แบต</t>
  </si>
  <si>
    <t>PO-24001366</t>
  </si>
  <si>
    <t>บริษัท วอร์เท็กซ์ แมชชีนเนอรี่  (ประเทศไทย) จำกัด</t>
  </si>
  <si>
    <t>รถโฟล์คลิฟท์ไฟฟ้า ขนาด 3.5 ตัน Heli พร้อมอุปกรณ์เสริม _x001C__x001E__x001F_ CP</t>
  </si>
  <si>
    <t>PO-24001408</t>
  </si>
  <si>
    <t>ก๊าซ LPG</t>
  </si>
  <si>
    <t>PO-24001415</t>
  </si>
  <si>
    <t>PO-24001417</t>
  </si>
  <si>
    <t>ฟิล์มยืด 500 mm.*300 mm.*17 Mic</t>
  </si>
  <si>
    <t>PO-24001429</t>
  </si>
  <si>
    <t>สีทับหน้า (PU) RAL 7032 CHUGOKU  UNY  MARINE 100 (DH)</t>
  </si>
  <si>
    <t>PO-24001445</t>
  </si>
  <si>
    <t>บริษัท เทคนิคอล ลิฟท์-ออล จำกัด</t>
  </si>
  <si>
    <t>สลิงโพลีฯแบบกลม มีตะขอ ประกอบชุดยก2ขา รับ นน.2ตัน ยาว1เมตร</t>
  </si>
  <si>
    <t>สลิงโพลีฯแบบกลม มีตะขอ ประกอบชุดยก2ขา รับ นน.3ตัน ยาว1เมตร</t>
  </si>
  <si>
    <t>สลิงโพลีฯแบบกลม มีตะขอ ประกอบชุดยก2ขา รับ นน.5ตัน ยาว1เมตร</t>
  </si>
  <si>
    <t>PO-24001446</t>
  </si>
  <si>
    <t>สายลม PU OD 16mm. x ID 12mm. (ยาว 100 เมตร) สีดำ</t>
  </si>
  <si>
    <t>PO-24001451</t>
  </si>
  <si>
    <t>KUANI KI-1490 บล็อคลม 1/2"</t>
  </si>
  <si>
    <t>BOSCH เครื่องเจียรไร้สาย GWS180LI  18V  4.0Ah</t>
  </si>
  <si>
    <t>PO-24001452</t>
  </si>
  <si>
    <t>PO-24001453</t>
  </si>
  <si>
    <t>SUMO #6118 เครื่องขัดกระดาษทรายลม 6"</t>
  </si>
  <si>
    <t>BOSCH บล็อคกระแทกไร้สาย GDS250-LI 18V 4.0Ah</t>
  </si>
  <si>
    <t>BOSCH เครื่องเจียรไร้สาย GWS180LI 18V  4.0Ah</t>
  </si>
  <si>
    <t>PO-24001455</t>
  </si>
  <si>
    <t>TOOLMAXเก้าอี้ช่างสแตนเลส แบบไม่มีพนักพิง ล้อเหล็ก 5 ล้อ</t>
  </si>
  <si>
    <t>ลูกล้อโพลียูรีเทน แป้นหมุน มีเบรก 3 นิ้ว</t>
  </si>
  <si>
    <t>ลูกล้อโพลียูรีเทน แป้นหมุน ไม่มีเบรก 3 นิ้ว</t>
  </si>
  <si>
    <t>PO-24001456</t>
  </si>
  <si>
    <t>เข้าหัวสาย Termination kit 1C 70 sq.mm ( 24kv ) Indoor</t>
  </si>
  <si>
    <t>PO-24001457</t>
  </si>
  <si>
    <t>เก้าอี้กลมสแตนเลสโช๊ค มีล้อสีดำ 201 ฐานกลม</t>
  </si>
  <si>
    <t>PO-24001474</t>
  </si>
  <si>
    <t>พาเลทไม้สน ขนาด : กว้าง930 x ยาว1200 x สูง120 มม.</t>
  </si>
  <si>
    <t>PO-24001472</t>
  </si>
  <si>
    <t>คีมจับลวดเชื่อม STAR  ST-50E 500Amp</t>
  </si>
  <si>
    <t>Ground Clamp Lenco Model EG-500 500AMP</t>
  </si>
  <si>
    <t>PO-24001471</t>
  </si>
  <si>
    <t>Power Adapter 25W # SSG-PEPT2510NBEGTH</t>
  </si>
  <si>
    <t xml:space="preserve">ชุดชาร์จ Vivo USB Micro 5V-2A หัวชาร์จ สายชาร์จสําหรับ รุ่น </t>
  </si>
  <si>
    <t>PO-24001459</t>
  </si>
  <si>
    <t>บริษัท อีสเทิร์น ไทย คอนซัลติ้ง 1992 จำกัด</t>
  </si>
  <si>
    <t>ตรวจวิเคราะห์คุณภาพสิ่งแวดล้อม ประจำปี 2567 (ครึ่งปีแรก)</t>
  </si>
  <si>
    <t>PO-24001230</t>
  </si>
  <si>
    <t>Fabrication cost (Copper foil)</t>
  </si>
  <si>
    <t>Kg.</t>
  </si>
  <si>
    <t>ยอดซื้อรวมเดือน เม.ย.</t>
  </si>
  <si>
    <t>PO-24001450</t>
  </si>
  <si>
    <t>หางปลาหัวเสียบก้านไม้ขีดใช้กับสาย 1.5 SQ.MM. (สีแดง  )แบบแบน</t>
  </si>
  <si>
    <t>PO-24001449</t>
  </si>
  <si>
    <t>PO-24001448</t>
  </si>
  <si>
    <t>PO-24001405</t>
  </si>
  <si>
    <t>ห้างหุ้นส่วนจำกัด แมททีเรียล แอนด์ คอนซูม</t>
  </si>
  <si>
    <t>พลาสติกใส ตราช้าง 0.03 มม. x 54 นิ้ว x 15 หลา</t>
  </si>
  <si>
    <t>PO-24001418</t>
  </si>
  <si>
    <t>PO-24001413</t>
  </si>
  <si>
    <t>ห้างหุ้นส่วนจำกัด ทรัพย์มีชัย อินเตอร์มาเก็ตติ้ง</t>
  </si>
  <si>
    <t>เอี้ยมผ้าคอมสีน้ำเงิน ขนาด 56x86 ซ.ม. มีกระเป๋า</t>
  </si>
  <si>
    <t>U150000043 ลวดเชื่อม Gmaw (Co2) ขนาด 1.0 มม.</t>
  </si>
  <si>
    <t>U150000044 ลวดเชื่อม Gmaw (Co2) ขนาด 0.8 มม.</t>
  </si>
  <si>
    <t>PO-24001231</t>
  </si>
  <si>
    <t>ถุงมือโพลีเอสเตอร์เคลือบ PU สีขาว #S</t>
  </si>
  <si>
    <t>PO-24001215</t>
  </si>
  <si>
    <t>ห้างหุ้นส่วนจำกัด ให้พรีเมี่ยม</t>
  </si>
  <si>
    <t xml:space="preserve">PM197 แก้วทรงเยติ ขนาดใหญ่ จุ 30 ออนซ์ </t>
  </si>
  <si>
    <t>PO-24001533</t>
  </si>
  <si>
    <t>CABLE BOX TYPE 1 TR.3000 kVA 3Ph 50Hz 22000-800 V</t>
  </si>
  <si>
    <t>PO-24001487</t>
  </si>
  <si>
    <t>PO-24001488</t>
  </si>
  <si>
    <t>Pack &amp; Lashing+Cert. Container 20'FR (SOF-230054)</t>
  </si>
  <si>
    <t>PO-24001501</t>
  </si>
  <si>
    <t>ลวดแบนหุ้มกระดาษหนา 0.5 มม. ขนาด 2*12 มม.</t>
  </si>
  <si>
    <t>PO-24001524</t>
  </si>
  <si>
    <t>PO-24001544</t>
  </si>
  <si>
    <t>PO-24001586</t>
  </si>
  <si>
    <t>PO-24001589</t>
  </si>
  <si>
    <t>PO-24001551</t>
  </si>
  <si>
    <t>PO-24001490</t>
  </si>
  <si>
    <t>พัดลมอุตสาหกรรม 24 นิ้ว ใบแดง หน้าตะแกรง VENZ IF-24-F-STAND</t>
  </si>
  <si>
    <t>PO-24001491</t>
  </si>
  <si>
    <t>DEWALT DCV584L-QW เครื่องดูดฝุ่นไร้สาย 18 โวลท์ ความจุ 7.5</t>
  </si>
  <si>
    <t>DEWALT แบตเตอรี่ DCB184-20V 5.0 AH</t>
  </si>
  <si>
    <t>PO-24001519</t>
  </si>
  <si>
    <t>บริษัท ฟาเท็ค เวิร์คส์ จำกัด</t>
  </si>
  <si>
    <t>งานติดตั้งผนังกั้นห้องเก็บเสียง</t>
  </si>
  <si>
    <t>PO-24001525</t>
  </si>
  <si>
    <t>PO-24001559</t>
  </si>
  <si>
    <t>บริษัท วงศ์ธนาวุฒิ จำกัด</t>
  </si>
  <si>
    <t>หัว NOZZLE ขนาด 1.0  DOUBLE LAYER</t>
  </si>
  <si>
    <t>เลนส์ป้องกันเลเซอร์ Protective Lens  D37x7</t>
  </si>
  <si>
    <t>PO-24001570</t>
  </si>
  <si>
    <t>บริษัท ซี เอส เอ็น ไอ คอร์ปอเรชั่น จำกัด</t>
  </si>
  <si>
    <t xml:space="preserve">ราง Roller Size W1358xL3000xH200 mm. </t>
  </si>
  <si>
    <t>ราง Roller Size W1358xL5800xH200 mm.</t>
  </si>
  <si>
    <t>PO-24001593</t>
  </si>
  <si>
    <t>บริษัท บอร์เนียว เทคนิเคิล (ประเทศไทย) จำกัด</t>
  </si>
  <si>
    <t>3M PN20352 HOOKIT L­P DISC PAD 5"x3/8"x5/16-24 EX</t>
  </si>
  <si>
    <t>PO-24001594</t>
  </si>
  <si>
    <t>ถุงมือโพลีเอสเตอร์เคลือบ PU สีขาว</t>
  </si>
  <si>
    <t>PO-24001601</t>
  </si>
  <si>
    <t>ลับคมใบมีด Punch</t>
  </si>
  <si>
    <t>ลับคมใบมีด DIE</t>
  </si>
  <si>
    <t>ลับคมใบมีด Shear</t>
  </si>
  <si>
    <t>ลับคมใบมีด V-Notch</t>
  </si>
  <si>
    <t>PO-24001627</t>
  </si>
  <si>
    <t>บริษัท ซุนมาร์ค (ประเทศไทย) จำกัด</t>
  </si>
  <si>
    <t>Fix service fee and delivery - (Change IPC board,wiring cabl</t>
  </si>
  <si>
    <t>PO-24001645</t>
  </si>
  <si>
    <t>บริษัท ศรีราชามงคลชัย จำกัด</t>
  </si>
  <si>
    <t>เครื่องขัดกระดาษทรายกลม ขนาด 5'' ยี่ห้อ 3M รุ่น 20317</t>
  </si>
  <si>
    <t>PO-24001664</t>
  </si>
  <si>
    <t>พาเลทไม้ ขนาด 930*1200*120 (ก*ย*ส)</t>
  </si>
  <si>
    <t xml:space="preserve">PO-24001702 </t>
  </si>
  <si>
    <t>ลูกถ้วยแรงต่ำ DT1 630 A1 เบอร์2 แกน 20 มม.</t>
  </si>
  <si>
    <t>ลูกถ้วยแรงต่ำ DT1 630 B1 เบอร์2 แกน 20 มม.</t>
  </si>
  <si>
    <t>PO-24001697</t>
  </si>
  <si>
    <t>กระดาษ Thermopox ขนาด 0.150*370 มม.Double Layer</t>
  </si>
  <si>
    <t>PO-24001667</t>
  </si>
  <si>
    <t>ร้านจูเนียร์</t>
  </si>
  <si>
    <t>QTC_ผลิตพวงกุญแจที่เปิดขวด 500 ชิ้น_2024 Rev.1</t>
  </si>
  <si>
    <t>PO-24001680</t>
  </si>
  <si>
    <t>PO-24001699</t>
  </si>
  <si>
    <t>Monitor ( จอมอนิเตอร์ ) MSI G32C4X-31.5" VA FHD 250Hz CURVED</t>
  </si>
  <si>
    <t>PO-24001700</t>
  </si>
  <si>
    <t>ขวดบีบพลาสติก 24 Oz. สีใส 700 ml + ฝาขาว</t>
  </si>
  <si>
    <t>PO-24001717</t>
  </si>
  <si>
    <t>PO-24001718</t>
  </si>
  <si>
    <t>PO-24001721</t>
  </si>
  <si>
    <t>TOYOXสายดูดอเนกประสงค์ทนน้ำมัน TS-25 Size:25x33mm (50เมตร/ม้วน)</t>
  </si>
  <si>
    <t>PO-24001724</t>
  </si>
  <si>
    <t>เครื่องย้ำหางปลา ไฮดรอลิค อัตโนมัต ไร้สาย EZ-400</t>
  </si>
  <si>
    <t>PO-24001725</t>
  </si>
  <si>
    <t>PO-24001726</t>
  </si>
  <si>
    <t>PO-24001731</t>
  </si>
  <si>
    <t>สายลมโพลียูลีเทน PU ขนาด 8*12 mm. สีฟ้า</t>
  </si>
  <si>
    <t>PO-24001734</t>
  </si>
  <si>
    <t xml:space="preserve">งานย้ายเต็นท์ ขนาด 5.00 x 6.00 ม. </t>
  </si>
  <si>
    <t>PO-24001711</t>
  </si>
  <si>
    <t>Tap changer 3Ph,24kV,30A,5 Positon,L70,PP, ALU Knob withCata</t>
  </si>
  <si>
    <t>set.</t>
  </si>
  <si>
    <t>PO-24001732</t>
  </si>
  <si>
    <t xml:space="preserve">PO-24001798 </t>
  </si>
  <si>
    <t>Manual pressure relief fitting (ปลั๊กอุดทองเหลือง ขนาด 1/4")</t>
  </si>
  <si>
    <t>ea.</t>
  </si>
  <si>
    <t>PO-24001762</t>
  </si>
  <si>
    <t>Lifting lugs No.2 ( เหล็กแผ่นหนา 19 มม.)</t>
  </si>
  <si>
    <t>PO-24001831</t>
  </si>
  <si>
    <t>PO-24001770</t>
  </si>
  <si>
    <t>คีมย้ำรีเวทใช้ลม KI-4201 KUANI</t>
  </si>
  <si>
    <t>PO-24001771</t>
  </si>
  <si>
    <t>เครื่องเป่าลมร้อน 2000W GHG20-63 BOSCH</t>
  </si>
  <si>
    <t>PO-24001773</t>
  </si>
  <si>
    <t>PO-24001774</t>
  </si>
  <si>
    <t>PO-24001784</t>
  </si>
  <si>
    <t>แท็บเล็ต samsung Galaxy Tab A9 LTE (4+64GB) แถมฟิล์มไฮโดรเจล+สายชาร์จ</t>
  </si>
  <si>
    <t>PO-24001789</t>
  </si>
  <si>
    <t>ท่อเกลียวสำหรับเครื่องดูดฝุ่น ด้านใน38มม. ด้านนอก45มม. ยาว4ม</t>
  </si>
  <si>
    <t>PO-24001812</t>
  </si>
  <si>
    <t>มอเตอร์ประตูเลื่อน ขนาด 750W รับน้ำหนักได้สูงสุด 2000 kg. มอ</t>
  </si>
  <si>
    <t>PO-24001819</t>
  </si>
  <si>
    <t>U140000002 ออกซิเจน</t>
  </si>
  <si>
    <t>PO-24001783</t>
  </si>
  <si>
    <t xml:space="preserve">โครงการติดตั้งระบบผลิตไฟฟ้า Solar Rooftop ขนาด122.08 kWp - โรง 4 </t>
  </si>
  <si>
    <t xml:space="preserve">PO-24001858 </t>
  </si>
  <si>
    <t>Wooden Crate ฐานหม้อปลง Tr.160 kVA (IPPC/Heat Treatment)</t>
  </si>
  <si>
    <t>PO-24001853</t>
  </si>
  <si>
    <t>ลวดทองแดง NO.60</t>
  </si>
  <si>
    <t>PO-24001832</t>
  </si>
  <si>
    <t>ลูกถ้วยแรงต่ำ DT1 2000 A1 เบอร์4 แกน 42 มม.</t>
  </si>
  <si>
    <t>ลูกถ้วยแรงต่ำ DT1 2000 B1 เบอร์4 แกน 42 มม.</t>
  </si>
  <si>
    <t>PO-24001834</t>
  </si>
  <si>
    <t>Cedaspe S.r.l.</t>
  </si>
  <si>
    <t>Thermometer  type BM80/1-BE (G1-2)</t>
  </si>
  <si>
    <t>PO-24001708</t>
  </si>
  <si>
    <t>Pack &amp; Lashing+Cert. Container 40'OT (SOF-230092)</t>
  </si>
  <si>
    <t>PO-24001709</t>
  </si>
  <si>
    <t>Pack &amp; Lashing+Cert. Container 40'FR (SOF-230079)</t>
  </si>
  <si>
    <t>PO-24001719</t>
  </si>
  <si>
    <t xml:space="preserve">Fuhrer สายไฟ VSF 1x4 SQ.MM. </t>
  </si>
  <si>
    <t>PO-24001722</t>
  </si>
  <si>
    <t>PO-24001723</t>
  </si>
  <si>
    <t>PO-24001744</t>
  </si>
  <si>
    <t>PO-24001751</t>
  </si>
  <si>
    <t>PO-24001752</t>
  </si>
  <si>
    <t>PO-24001753</t>
  </si>
  <si>
    <t>PO-24001803</t>
  </si>
  <si>
    <t>PO-24001815</t>
  </si>
  <si>
    <t>PO-24001826</t>
  </si>
  <si>
    <t>KREMPEL</t>
  </si>
  <si>
    <t>เทปพัน Foil(Prepreg) ขนาดกว้าง 40 มม.</t>
  </si>
  <si>
    <t>PO-24001828</t>
  </si>
  <si>
    <t>CT.LExM 400/5 A 5 VA CL.0.5 Fs&lt;5</t>
  </si>
  <si>
    <t>PO-24001805</t>
  </si>
  <si>
    <t>PO-24001806</t>
  </si>
  <si>
    <t>Copper Foil ขนาด 1.80*560 มม.(Fabrication cost)</t>
  </si>
  <si>
    <t>PO-24001861</t>
  </si>
  <si>
    <t>PO-24001877</t>
  </si>
  <si>
    <t>Fiber (ญี่ปุ่น) ขนาด 1.6 mm. *1350 mm.*1.0m. นน. น้ำหนัก ประมาณ 2.88kg./แผ่น</t>
  </si>
  <si>
    <t>Fiber (ญี่ปุ่น) ขนาด 0.80 mm.*1350 mm.*2.0m. นน.2.92 KG/แผ่น</t>
  </si>
  <si>
    <t>Fiber (ญี่ปุ่น) ขนาด 0.40 mm. *1350 mm.*2.0 m.</t>
  </si>
  <si>
    <t>PO-24001837</t>
  </si>
  <si>
    <t>Tap Changer 20kV-30A-L150 (Aluminium knob)</t>
  </si>
  <si>
    <t>PO-24001835</t>
  </si>
  <si>
    <t>AKM  ASIA  PTE  LTD</t>
  </si>
  <si>
    <t>Pressure Relief Valve 5.8 Psi code 205-001-02</t>
  </si>
  <si>
    <t>PO-24001883</t>
  </si>
  <si>
    <t>PO-24001867</t>
  </si>
  <si>
    <t>SANKI บันได 5 ชั้น LD-TSK05</t>
  </si>
  <si>
    <t>PO-24001873</t>
  </si>
  <si>
    <t>PO-24001891</t>
  </si>
  <si>
    <t>สายรัด เหล็กพืด 16 x 0.5 mm.</t>
  </si>
  <si>
    <t>PO-24001892</t>
  </si>
  <si>
    <t>บริษัท เอจิเลนต์ เทคโนโลยีส์ (ประเทศไทย) จำกัด</t>
  </si>
  <si>
    <t>5183-4477 Hdspc Al crmp cap,PTFE/Si sep,20mm,100PK</t>
  </si>
  <si>
    <t>PO-24001919</t>
  </si>
  <si>
    <t>ท่ออ่อนกันน้ำสีดำ ขนาด 1/2"  (1 ม้วน = 50 เมตร)</t>
  </si>
  <si>
    <t>PO-24001921</t>
  </si>
  <si>
    <t>สายไฟ CVV 10x1.0 sq.mm. (10 core คละสี)</t>
  </si>
  <si>
    <t>PO-24001924</t>
  </si>
  <si>
    <t>ลวดแบนหุ้มกระดาษหนา 0.8 มม. ขนาด 4.3*10.5 มม.</t>
  </si>
  <si>
    <t xml:space="preserve">PO-24001800 </t>
  </si>
  <si>
    <t>กระดาษ Kraft ขนาด 0.50*1000 มม.</t>
  </si>
  <si>
    <t>ไม้ลามิเนท (Lignostone) ขนาด 10 มม.</t>
  </si>
  <si>
    <t>PO-24001886</t>
  </si>
  <si>
    <t>Socket for Pressure relief 1" 11G/30 (Tank Cover)</t>
  </si>
  <si>
    <t>Support  lightning arrester (Galvanized) L-90</t>
  </si>
  <si>
    <t>Pipe for drain valve size 1/2" **สั่งซื้อ** Std 160</t>
  </si>
  <si>
    <t>ข้อต่อ Earthing terminal E3</t>
  </si>
  <si>
    <t>ท่อ Slud drain plug ขนาด 1/2" (L=70)</t>
  </si>
  <si>
    <t>PO-24001928</t>
  </si>
  <si>
    <t>RTD PT 100 Ohm 3wire (Single Element) Tube SUS316L Dia 6 mm. Length 100 mm. Connection 1” K-head Big Aluminium</t>
  </si>
  <si>
    <t>PO-24001900</t>
  </si>
  <si>
    <t xml:space="preserve">PO-24001933 </t>
  </si>
  <si>
    <t>Support  lightning arrester</t>
  </si>
  <si>
    <t>Supporting Lug No.1  (Upper-Lower)</t>
  </si>
  <si>
    <t>PO-24001929</t>
  </si>
  <si>
    <t>Terminal box complete set for IoT Transformer</t>
  </si>
  <si>
    <t>PO-24001971</t>
  </si>
  <si>
    <t>Wooden Crate Tr.50 kVA (IPPC/Heat Treatment)</t>
  </si>
  <si>
    <t xml:space="preserve">PO-24001970 </t>
  </si>
  <si>
    <t>Terminal Box for MEA Spec No.233(02-2024)Type 1 (TB062201R12 For QTC)</t>
  </si>
  <si>
    <t>PO-24001993</t>
  </si>
  <si>
    <t>PO-24002007</t>
  </si>
  <si>
    <t>กระดาษ ร่องน้ำมัน หนา 4 มม. กว้าง 10 มม.</t>
  </si>
  <si>
    <t>กระดาษ Press Board ขนาด 4x1100x2200มม.</t>
  </si>
  <si>
    <t>PO-24002005</t>
  </si>
  <si>
    <t>บริษัท บางกอกอินทีเกรท ซัพพลาย จำกัด</t>
  </si>
  <si>
    <t>ชุดตู้และอุปกรณ์ Remote Control Panel (สำหรับงาน 6250 kVA)</t>
  </si>
  <si>
    <t xml:space="preserve">PO-24001968 </t>
  </si>
  <si>
    <t>ปะเก็นไม้ก๊อกตัวบน ลูกถ้วยแรงต่ำ 20 มม.</t>
  </si>
  <si>
    <t>ปะเก็นไม้ก๊อกตัวกลาง ลูกถ้วยแรงต่ำ 20 มม.</t>
  </si>
  <si>
    <t>ปะเก็นไม้ก๊อกตัวล่าง ลูกถ้วยแรงต่ำ 20 มม.</t>
  </si>
  <si>
    <t>PO-24002016</t>
  </si>
  <si>
    <t xml:space="preserve">PO-24001880 </t>
  </si>
  <si>
    <t>Rod ไม้ขนาด  เส้นผ่านศูนย์กลาง 7 มม. ยาว 1500 มม.</t>
  </si>
  <si>
    <t>Rod ไม้ขนาด  เส้นผ่านศูนย์กลาง 6 มม. ยาว 1500 มม.</t>
  </si>
  <si>
    <t>Rod ไม้ขนาด  เส้นผ่านศูนย์กลาง 8 มม. ยาว 1500 มม.</t>
  </si>
  <si>
    <t>PO-24001939</t>
  </si>
  <si>
    <t>Rubber bag size X=2070 Y=1220  G=650 Conser dia. 750x1600mm</t>
  </si>
  <si>
    <t>PO-24001953</t>
  </si>
  <si>
    <t>Nameplate 250 kVA 3Ph  50Hz 22000-416/240V ( IOT 135*180 mm)</t>
  </si>
  <si>
    <t>Nameplate 250 kVA 3Ph  50Hz 22000-416/240V ( IOT 150*100 mm)</t>
  </si>
  <si>
    <t>PO-24001966</t>
  </si>
  <si>
    <t>Tap Changer 3Ph 20kV 60A L100 ขึ้นกลาง 7 Position (CAPT)</t>
  </si>
  <si>
    <t>PO-24001963</t>
  </si>
  <si>
    <t>ลวดแบนหุ้มกระดาษหนา 0.5 มม. ขนาด 1.7*8.5 มม.</t>
  </si>
  <si>
    <t>PO-24002009</t>
  </si>
  <si>
    <t>Rubber bag size X=2085,Y=985,G=900 (Conser dia. 600x1700mm)</t>
  </si>
  <si>
    <t>PO-24002039</t>
  </si>
  <si>
    <t>Conservator Tank TR.50 kVA 3Ph 50Hz 22000-400V</t>
  </si>
  <si>
    <t>PO-24002042</t>
  </si>
  <si>
    <t>Box ตัวเสียบ ขนาด 1170x300x900 มม.</t>
  </si>
  <si>
    <t>PO-24002023</t>
  </si>
  <si>
    <t>PO-24001907</t>
  </si>
  <si>
    <t>Hand pallet truck capacity 2500 kgs. Model : BF - Max lift h</t>
  </si>
  <si>
    <t>PO-24001910</t>
  </si>
  <si>
    <t>ไม้ท่อน (ไม้สน) 2 x 3 นิ้ว x 25 ซม.+Cer.</t>
  </si>
  <si>
    <t>PO-24001960</t>
  </si>
  <si>
    <t xml:space="preserve">โครงการก่อสร้างดัดแปลงอาคารเก็บวัตถุดิบขนาด 9.5X56 ม. </t>
  </si>
  <si>
    <t xml:space="preserve">PO-24002072 </t>
  </si>
  <si>
    <t>แกนแรงสูง ขนาด 12 มม. ผลิตจากกระบวนการ Forging (รูเข้าสายขนาด 5 มม.)</t>
  </si>
  <si>
    <t>PO-24002065</t>
  </si>
  <si>
    <t>สายไฟ VSF Size 1x1.5 SQ.MM.(สีฟ้า)</t>
  </si>
  <si>
    <t>สายไฟ VSF Size 1.5 SQ.MM.(สีแดง)</t>
  </si>
  <si>
    <t>PO-24002076</t>
  </si>
  <si>
    <t xml:space="preserve">Box ตัวเสียบ ขนาด 1170x300x900 มม. </t>
  </si>
  <si>
    <t>PO-24001977</t>
  </si>
  <si>
    <t>PO-24001979</t>
  </si>
  <si>
    <t>PO-24001982</t>
  </si>
  <si>
    <t>เปลี่ยนมอเตอร์เกียร์ "BB" 2.2/0.73 kw, M4 x 18T เครน</t>
  </si>
  <si>
    <t>PO-24001984</t>
  </si>
  <si>
    <t>Bending Roll Machine (เครื่องม้วนเหล็ก)</t>
  </si>
  <si>
    <t>เครื่อง</t>
  </si>
  <si>
    <t>PO-24001985</t>
  </si>
  <si>
    <t>PO-24001990</t>
  </si>
  <si>
    <t>Ratchet tie down 1T5M Complete set  ขนาด 1"</t>
  </si>
  <si>
    <t>PO-24002047</t>
  </si>
  <si>
    <t>PO-24002049</t>
  </si>
  <si>
    <t>หมึก/เครื่องพิมพ์ปลอกสาย3604B001AA,BLACK 100M FOR TM-110</t>
  </si>
  <si>
    <t>ปลอกสายพีวีซี PVC, 4.0MM WHITE  (1ROLL/200m)</t>
  </si>
  <si>
    <t>PO-24002060</t>
  </si>
  <si>
    <t>ดอกเจาะ POLO dia.16mm. X 35mm.</t>
  </si>
  <si>
    <t>ดอกเจาะ POLO dia.18mm. X 35mm.</t>
  </si>
  <si>
    <t>ดอกเจาะ POLO dia.22mm. X 35mm.</t>
  </si>
  <si>
    <t>ดอกเจาะ POLO dia.30mm. X 35mm.</t>
  </si>
  <si>
    <t>ดอกเจาะ POLO dia.38mm. X 35mm.</t>
  </si>
  <si>
    <t>PO-24002078</t>
  </si>
  <si>
    <t>แม่เหล็กยกชิ้นงาน(Magnetic Lifter)รุ่นPML-200 200 KG.</t>
  </si>
  <si>
    <t>PO-24002085</t>
  </si>
  <si>
    <t>บริษัท ไฟร์เทรดเอ็นจิเนียริ่ง จำกัด (มหาชน)</t>
  </si>
  <si>
    <t xml:space="preserve">ย้ายหัวดับเพลิงพร้อมตู้ ข้างอาคารโรงงาน 3  </t>
  </si>
  <si>
    <t>PO-24002088</t>
  </si>
  <si>
    <t>ลับคมใบมีด Slit (1 Set มี 20ชิ้น)</t>
  </si>
  <si>
    <t>PO-24002091</t>
  </si>
  <si>
    <t>"BOSCH"เครื่องเจียรไร้สาย 4" GWS 180‐LI  
‐แบตเตอรี่ GBA 18V</t>
  </si>
  <si>
    <t>BOSCHเครื่องเป่าลมไร้สาย GBL 18V‐120</t>
  </si>
  <si>
    <t>BOSCHแบตเตอรี่ 18V GBA18V 4.0Ah</t>
  </si>
  <si>
    <t>PO-24002110</t>
  </si>
  <si>
    <t>Wooden Crate Tr.200 kVA (Fumigation)</t>
  </si>
  <si>
    <t xml:space="preserve">PO-24002098 </t>
  </si>
  <si>
    <t>เหล็กราง ขนาด 180*75*7 มม. ยี่ห้อ SYS</t>
  </si>
  <si>
    <t>เหล็กฉาก ขนาด 100*100*12 มม. ยี่ห้อ SYS</t>
  </si>
  <si>
    <t>PO-24002111</t>
  </si>
  <si>
    <t>PO-24002112</t>
  </si>
  <si>
    <t>บริษัท แอดวานซ์เมทัลอินดัสตรีส์ จำกัด</t>
  </si>
  <si>
    <t>PO-24002127</t>
  </si>
  <si>
    <t xml:space="preserve">PO-24002141 </t>
  </si>
  <si>
    <t>Faxolif  Industries Pte Ltd</t>
  </si>
  <si>
    <t>FR3 FLUID (1000 lit/IBC)</t>
  </si>
  <si>
    <t>lit</t>
  </si>
  <si>
    <t>FR3  FLUID  (206.50 lit/Drum)</t>
  </si>
  <si>
    <t>drum</t>
  </si>
  <si>
    <t>PO-24002135</t>
  </si>
  <si>
    <t>Box ตัวเสียบ ขนาด 1170x300x900 มม. (Backelite plate)</t>
  </si>
  <si>
    <t>CABLE BOX TYPE 1 TR.1500 kVA 3Ph 50 Hz 11000-433V</t>
  </si>
  <si>
    <t>PO-24002171</t>
  </si>
  <si>
    <t xml:space="preserve">ลวดแบนหุ้มกระดาษหนา 0.8 มม. </t>
  </si>
  <si>
    <t>PO-24002182</t>
  </si>
  <si>
    <t>PO-24002172</t>
  </si>
  <si>
    <t>CT 600/1A Current Transformer 0.1PX, 200R</t>
  </si>
  <si>
    <t>CT 600/1A Current Transformer 0.2M, 5VA</t>
  </si>
  <si>
    <t>PO-24002187</t>
  </si>
  <si>
    <t>Rubber bag X=2640, Y=1140, G=1300 (Conser dia. 700x2200mm)</t>
  </si>
  <si>
    <t>PO-24002106</t>
  </si>
  <si>
    <t xml:space="preserve">งานก่อสร้างอาคารผลิตแกนเหล็ก Amorphous ขนาด 48 x 20 ม.  </t>
  </si>
  <si>
    <t>PO-24002131</t>
  </si>
  <si>
    <t>CHROMIUM TIP M6xD8x45MM #1.0MM STAR (J8)10EA/PACK</t>
  </si>
  <si>
    <t>CHROMIUM TIP M6xD8x45MM #1.2MM STAR (J8)10EA/PACK</t>
  </si>
  <si>
    <t>PO-24002150</t>
  </si>
  <si>
    <t>ไม้กวาดแม่เหล็ก ปลดล๊อคได้ MSW385 ECLIPSE</t>
  </si>
  <si>
    <t>PO-24002155</t>
  </si>
  <si>
    <t>สมาร์ทโฟน Samsung Galaxy รุ่น A15 (8+128GB) Black (5G) แถมหั</t>
  </si>
  <si>
    <t>PO-24002159</t>
  </si>
  <si>
    <t>พาเลทไม้สน ขนาด 930*1200*120 mm.(ก*ย*ส)</t>
  </si>
  <si>
    <t>PO-24002160</t>
  </si>
  <si>
    <t>บริษัท ซินไทย อินดัสเตรียล จำกัด</t>
  </si>
  <si>
    <t>แผ่นรองรีดขนาด 1/2" ใช้กับเครื่องรีดเกลียว JDY-30</t>
  </si>
  <si>
    <t>แผ่นรองรีดขนาด 3/4" ใช้กับเครื่องรีดเกลียว JDY-30</t>
  </si>
  <si>
    <t>PO-24002163</t>
  </si>
  <si>
    <t>PO-24002164</t>
  </si>
  <si>
    <t>สีทับหน้า (PU) RAL 7036 CHUGOKU  UNY  MARINE 100 (DH)</t>
  </si>
  <si>
    <t>PO-24002168</t>
  </si>
  <si>
    <t>ท่อ Flex กันน้ำขนาด 1/2"</t>
  </si>
  <si>
    <t>PO-24002195</t>
  </si>
  <si>
    <t>บริษัท โชคอนันต์ผ้าใบ บ่อวิน จำกัด</t>
  </si>
  <si>
    <t>ผ้าคลุมเต็นท์ ขนาด 8.50*12 ม. หนา 0.5 มม.</t>
  </si>
  <si>
    <t>PO-24002206</t>
  </si>
  <si>
    <t>Regrind ลับคมใบมีด PUNCH</t>
  </si>
  <si>
    <t>Regrind ลับคมใบมีด DIE</t>
  </si>
  <si>
    <t>PO-24002209</t>
  </si>
  <si>
    <t>บริษัท เจ.พี.แมคคานิคอล เอ็นจิเนียริ่ง จำกัด</t>
  </si>
  <si>
    <t>Cable tie Stainless steel รุ่น MBT200S</t>
  </si>
  <si>
    <t xml:space="preserve">PO-24002185 </t>
  </si>
  <si>
    <t>Changshu Youbang Radiator Co., Ltd.</t>
  </si>
  <si>
    <t>Radiator Fin W520 x HL1900 x Z30</t>
  </si>
  <si>
    <t>PO-24002276</t>
  </si>
  <si>
    <t xml:space="preserve">PO-24002276 </t>
  </si>
  <si>
    <t>Conservator Tank TR.15/17.5 MVA 3Ph 50Hz 33000-11000V</t>
  </si>
  <si>
    <t>PO-24002267</t>
  </si>
  <si>
    <t>CT 2000/1A Current Transformer Class 1 10VA (50Hz) (Cotton)</t>
  </si>
  <si>
    <t>PO-24002270</t>
  </si>
  <si>
    <t>PO-24002218</t>
  </si>
  <si>
    <t>Makita ถ่าน CB-203A (CB-203)</t>
  </si>
  <si>
    <t>GRACOKit Diaphragm HUSKY1050 (15R022 / 15R029)</t>
  </si>
  <si>
    <t>PO-24002232</t>
  </si>
  <si>
    <t>รางวายดักส์ ขนาด สูง 60 mm. * กว้าง 25 mm. รางโปร่ง</t>
  </si>
  <si>
    <t>PO-24002236</t>
  </si>
  <si>
    <t>F520000000 Fiber glass banding tape size 0.30mm. x 40mm. (100 metre/rol</t>
  </si>
  <si>
    <t>PO-24002237</t>
  </si>
  <si>
    <t>PO-24002254</t>
  </si>
  <si>
    <t xml:space="preserve">ไม้อัด ฟิล์มดำ 20 มม. 2A </t>
  </si>
  <si>
    <t>PO-24002256</t>
  </si>
  <si>
    <t>ใบเลื่อยสายพานตัดเหล็ก ขนาด M42 27*0.9*5/8*3035mm.</t>
  </si>
  <si>
    <t>PO-24002259</t>
  </si>
  <si>
    <t>เทปผ้าฝ้าย ขนาดกว้าง 3/4"</t>
  </si>
  <si>
    <t>PO-24002265</t>
  </si>
  <si>
    <t>NBR Rubber Strip แบบเหลี่ยม ขนาด 16x16 mm.</t>
  </si>
  <si>
    <t>PO-24002283</t>
  </si>
  <si>
    <t xml:space="preserve">PO-24002271 </t>
  </si>
  <si>
    <t>PO-24002313</t>
  </si>
  <si>
    <t>support Corrugate</t>
  </si>
  <si>
    <t>PO-24002299</t>
  </si>
  <si>
    <t>PO-24002302</t>
  </si>
  <si>
    <t>โกล์พวาวล์ ขนาด 3/4"</t>
  </si>
  <si>
    <t>PO-24002295</t>
  </si>
  <si>
    <t>Nameplate 750 kVA 3Ph  50Hz  24000-416/240V</t>
  </si>
  <si>
    <t>PO-24002281</t>
  </si>
  <si>
    <t>PO-24002339</t>
  </si>
  <si>
    <t>FR3  FLUID  (Drum)</t>
  </si>
  <si>
    <t>PO-24002361</t>
  </si>
  <si>
    <t>ห้างหุ้นส่วนจำกัด อาทิตย์ เวนติเลเตอร์</t>
  </si>
  <si>
    <t>Power Roof Fan Model: AV-G0315#B</t>
  </si>
  <si>
    <t xml:space="preserve">PO-24002370 </t>
  </si>
  <si>
    <t>Supporting Lug No.3</t>
  </si>
  <si>
    <t>PO-24002379</t>
  </si>
  <si>
    <t>Cold Rolled Steel Sheet (SPCC-SD) ขนาด 1.2*500 มม.</t>
  </si>
  <si>
    <t xml:space="preserve">PO-24002376 </t>
  </si>
  <si>
    <t>PO-24002384</t>
  </si>
  <si>
    <t>Amorphous Alloy MaDC-A width 5.6" 5-ply ( 142  มม.)</t>
  </si>
  <si>
    <t>Job.</t>
  </si>
  <si>
    <t>Cold Rolled Steel Sheet(SPCC-SD)ขนาด1.2*500มม.</t>
  </si>
  <si>
    <t>Cold Rolled Steel Sheet(SPCC-SD)ขนาด1.2*800 มม.</t>
  </si>
  <si>
    <t>PO-24002374</t>
  </si>
  <si>
    <t>ข้อต่อขนาด 1 1/4" เกลียว 11G (เกลียวใน) Dia 50</t>
  </si>
  <si>
    <t>Flange for Oil level indicator WO **สั่งซื้อ**</t>
  </si>
  <si>
    <t>ข้อต่อขนาด 1/2 " เกลียว 14G (เกลียวใน) **สั่งซื้อ**</t>
  </si>
  <si>
    <t>PO-24002294</t>
  </si>
  <si>
    <t>PO-24002351</t>
  </si>
  <si>
    <t>CT 75/1A Current Transformer Class 10P20 2.5VA</t>
  </si>
  <si>
    <t>PO-24002346</t>
  </si>
  <si>
    <t>PO-24002369</t>
  </si>
  <si>
    <t>T-Lug ขอดเอ็น CE 1.5-8</t>
  </si>
  <si>
    <t>PO-24002388</t>
  </si>
  <si>
    <t>ลวดแบนหุ้มกระดาษหนา 0.5 มม. ขนาด 2*10 มม.</t>
  </si>
  <si>
    <t>PO-24002389</t>
  </si>
  <si>
    <t>PO-24002290</t>
  </si>
  <si>
    <t>Regrind ลับคมใบมีด SHEAR</t>
  </si>
  <si>
    <t>Regrind ลับคมใบมีด V-NOTCH</t>
  </si>
  <si>
    <t>PO-24002300</t>
  </si>
  <si>
    <t xml:space="preserve">LOAD CUT OUT </t>
  </si>
  <si>
    <t>PO-24002301</t>
  </si>
  <si>
    <t>MAKITA DJS161Z กรรไกรไฟฟ้าไร้สาย 18V</t>
  </si>
  <si>
    <t>BOSCH เครื่องเจียรไร้สาย GWS180LI 18V 4.0Ah</t>
  </si>
  <si>
    <t>PO-24002337</t>
  </si>
  <si>
    <t>เครื่องหินเจียร์ 4 นิ้ว (น้ำหนักเบา) NGF-100 NPK</t>
  </si>
  <si>
    <t>PO-24002338</t>
  </si>
  <si>
    <t>บริษัท ศิริไกรอุตสาหการ จำกัด</t>
  </si>
  <si>
    <t>Welding Fume Collector Coral Cleango 1.1KW,220V(1PH)</t>
  </si>
  <si>
    <t>PO-24002358</t>
  </si>
  <si>
    <t>PO-24002360</t>
  </si>
  <si>
    <t>PO-24002364</t>
  </si>
  <si>
    <t>บริษัท ก้าวหน้า อินดัสทรีส์ แอนด์ เอ็นจิเนียริ่ง จำกัด</t>
  </si>
  <si>
    <t>SPARE PART AIR DRYER "SMC" MODEL : IDFA22E-23 S/N : QV.12922</t>
  </si>
  <si>
    <t>PO-24002367</t>
  </si>
  <si>
    <t>บริษัท ธนากัญญ คอนสตรัคชั่น เวิร์ค จำกัด</t>
  </si>
  <si>
    <t>งานติดต้ั้งแผ่น Checker plate ปิดบน Grating ปิดรางระบายน้ำ</t>
  </si>
  <si>
    <t>PO-24002381</t>
  </si>
  <si>
    <t>พลาสติก LDPE ROLL(A) 48" x 0.08MM/SD ผ่า 1 ข้าง</t>
  </si>
  <si>
    <t>PO-24002394</t>
  </si>
  <si>
    <t>เข็มสแตนเลส เบอร์ 16G ยาว 210mm. Dai1.62 mm (1 ชุด /10 ชิ้น)</t>
  </si>
  <si>
    <t>PO-24002395</t>
  </si>
  <si>
    <t>METREL-A1046 6 x 1.2V NiMH batteries</t>
  </si>
  <si>
    <t>PO-24002398</t>
  </si>
  <si>
    <t>Q45ULIU64BCR Ultrasonic Sensor - diffuse mode sensor with An</t>
  </si>
  <si>
    <t>PO-24002426</t>
  </si>
  <si>
    <t>บริษัท อินโนวิซ โซลูชั่นส์ จำกัด</t>
  </si>
  <si>
    <t>การออกฟอร์มของฝ่ายบริการ</t>
  </si>
  <si>
    <t>PO-24002427</t>
  </si>
  <si>
    <t>บริษัท ทูฟ ซูด (ประเทศไทย) จำกัด</t>
  </si>
  <si>
    <t>Witness Test and CE Eco-Design for Distribution Transformer</t>
  </si>
  <si>
    <t>PO-24002430</t>
  </si>
  <si>
    <t xml:space="preserve">Hagibis G6W ไร้สาย HDMI Video Transmitter Receiver Extender </t>
  </si>
  <si>
    <t>PO-24002433</t>
  </si>
  <si>
    <t>PO-24002438</t>
  </si>
  <si>
    <t>ชุดแบต MAKITA"199995‐3 Power Source Kit DC18SD+BL1830Bx1</t>
  </si>
  <si>
    <t xml:space="preserve">PO-24002451 </t>
  </si>
  <si>
    <t>Shanghai Huaming Power Equipment Sales Co.,Ltd</t>
  </si>
  <si>
    <t>On-Load Tap Changer CVlll-350Y/40.5-12120+PI (HMC-3C) +MDU (SHM-D) ยี่ห้อ Huaming</t>
  </si>
  <si>
    <t xml:space="preserve">PO-24002462 </t>
  </si>
  <si>
    <t>Wooden Crate ฝาข้าง-ฝาบน Tr.250 kVA (IPPC/Heat Treatment)</t>
  </si>
  <si>
    <t>Wooden Crate ฐานหม้อปลง  Tr.250 kVA (IPPC/Heat Treatment)</t>
  </si>
  <si>
    <t>PO-24002329</t>
  </si>
  <si>
    <t>CABLE BOX TYPE 1 TR.1250 kVA 3Ph 50Hz 33000-400/230V</t>
  </si>
  <si>
    <t>PO-24002463</t>
  </si>
  <si>
    <t>Cooling Fan for dry Transformer Model:AKS 80-500</t>
  </si>
  <si>
    <t>PO-24002450</t>
  </si>
  <si>
    <t>PO-24002483</t>
  </si>
  <si>
    <t>Conservator Tank TR.30 MVA 3Ph 50Hz 33000-11000V</t>
  </si>
  <si>
    <t>Conservator Tank TR.4500 kVA 3Ph 50Hz 22000-800V</t>
  </si>
  <si>
    <t xml:space="preserve">PO-24002527 </t>
  </si>
  <si>
    <t xml:space="preserve">PO-24002518 </t>
  </si>
  <si>
    <t>PO-24002517</t>
  </si>
  <si>
    <t>PO-24002548</t>
  </si>
  <si>
    <t>Forming AMTD SS400 137x185x10 มม.(บาก)</t>
  </si>
  <si>
    <t>PO-24002591</t>
  </si>
  <si>
    <t>Conservator Tank TR.6250 kVA 3Ph 50Hz 33000-11000V</t>
  </si>
  <si>
    <t>PO-24002554</t>
  </si>
  <si>
    <t>PO-24002577</t>
  </si>
  <si>
    <t>PO-24002578</t>
  </si>
  <si>
    <t>PO-24002603</t>
  </si>
  <si>
    <t xml:space="preserve">ลวดแบนหุ้มกระดาษหนา 0.5 มม. ขนาด 3.5*10 มม. </t>
  </si>
  <si>
    <t>PO-24001825</t>
  </si>
  <si>
    <t>REINHAUSEN ITALIA SRL</t>
  </si>
  <si>
    <t xml:space="preserve">ค่า Freight ในการขนส่งสินค้า </t>
  </si>
  <si>
    <t>PO-24002571</t>
  </si>
  <si>
    <t>Cold Rolled Steel Sheet (SPCC-SD) ขนาด 1.2*600 มม.</t>
  </si>
  <si>
    <t>PO-24002464</t>
  </si>
  <si>
    <t>PO-24002442</t>
  </si>
  <si>
    <t>PO-24002457</t>
  </si>
  <si>
    <t>PO-24002498</t>
  </si>
  <si>
    <t>สติ๊กเกอร์ pvc print (QA incoming pass)</t>
  </si>
  <si>
    <t>PO-24002506</t>
  </si>
  <si>
    <t>TOYOXสายดูดอเนกประสงค์ทนน้ำมัน Model: TS-25 Size: 25x33mm</t>
  </si>
  <si>
    <t>PO-24002512</t>
  </si>
  <si>
    <t>โทรศัพท์มือถือ  vivo Y03 (4+64GB) Space Black (รับประกัน 1 )</t>
  </si>
  <si>
    <t>PO-24002532</t>
  </si>
  <si>
    <t>บริษัท แสนสมบูรณ์ทรัพย์ สวิตช์บอร์ด จำกัด</t>
  </si>
  <si>
    <t xml:space="preserve">งานติดตั้ง BUSDUCT + Accessories   SOR-240142 </t>
  </si>
  <si>
    <t>PO-24002537</t>
  </si>
  <si>
    <t>Load Chain 7 .1 ( เครน 2 ตันส่วนตัวถัง)</t>
  </si>
  <si>
    <t>PO-24002540</t>
  </si>
  <si>
    <t>G3440-85007 Transformer Oil Gas Checkout Mix 17L</t>
  </si>
  <si>
    <t>5182-0837 Vial,HS,crimp,FB,20ml,clr,cert,100PK</t>
  </si>
  <si>
    <t>PO-24002580</t>
  </si>
  <si>
    <t>เก้าอี้สแตนเลสเก้าอี้กันไฟฟ้าสถิต M25-EC2 ล้อเหล็ก 5 ล้อ</t>
  </si>
  <si>
    <t>PO-24002595</t>
  </si>
  <si>
    <t>กระดาษทรายหนามเตย 5" ไม่มีรู สีเหลือง SUMO#240 (1กล่อง=100ใบ</t>
  </si>
  <si>
    <t>PO-24002596</t>
  </si>
  <si>
    <t>PO-24002570</t>
  </si>
  <si>
    <t>กระดาษ Kraft ขนาด 0.25*1000 มม.</t>
  </si>
  <si>
    <t>กระดาษ Thermopox ขนาด 0.08*40 มม.</t>
  </si>
  <si>
    <t>กระดาษ Press Board ขนาด 2x1100x2200 มม.</t>
  </si>
  <si>
    <t>กระดาษ Kraft ขนาด 0.13*1000 มม.</t>
  </si>
  <si>
    <t>กระดาษ Press Board ขนาด 1.6x1100x2200 มม.</t>
  </si>
  <si>
    <t>กระดาษ ร่องน้ำมัน หนา 5 มม. กว้าง 10 มม.</t>
  </si>
  <si>
    <t>กระดาษ Thermokraft ขนาด 0.05*40 มม.</t>
  </si>
  <si>
    <t>กระดาษ Thermopox ขนาด 0.08*30 มม.</t>
  </si>
  <si>
    <t>PO-24002622</t>
  </si>
  <si>
    <t>PO-24002625</t>
  </si>
  <si>
    <t xml:space="preserve">PO-24002674 </t>
  </si>
  <si>
    <t>Wooden Crate Tr.750 kVA (IPPC/Heat Treatment)</t>
  </si>
  <si>
    <t>PO-24002671</t>
  </si>
  <si>
    <t>PO-24002722</t>
  </si>
  <si>
    <t>PO-24002654</t>
  </si>
  <si>
    <t>PO-24002734</t>
  </si>
  <si>
    <t>PO-24002749</t>
  </si>
  <si>
    <t xml:space="preserve">PO-24002782 </t>
  </si>
  <si>
    <t>PO-24002610</t>
  </si>
  <si>
    <t>PO-24002612</t>
  </si>
  <si>
    <t>งานปรับปรุงห้องน้ำชายอาคาร 1 ชั้น 3</t>
  </si>
  <si>
    <t>PO-24002615</t>
  </si>
  <si>
    <t>เปลี่ยนกระจกหน้าต่าง  โรงอาหาร</t>
  </si>
  <si>
    <t>PO-24002629</t>
  </si>
  <si>
    <t>แบตเตอร์รี่รถยนต์ GS ประเภทกึ่งแห้ง รุ่น MFX-180R</t>
  </si>
  <si>
    <t>PO-24002631</t>
  </si>
  <si>
    <t xml:space="preserve">งานปรับปรุงระบบปั้มน้ำหอพักพนักงาน </t>
  </si>
  <si>
    <t>PO-24002666</t>
  </si>
  <si>
    <t>ฺBox</t>
  </si>
  <si>
    <t>PO-24002668</t>
  </si>
  <si>
    <t>NTi “XL2-PCAL” Sound Calibrator 94/ 114dB, Class1</t>
  </si>
  <si>
    <t>PO-24002677</t>
  </si>
  <si>
    <t>PO-24002702</t>
  </si>
  <si>
    <t>Regrind ลับคมใบมีด Slit (1 Set มี 20 ชิ้น)</t>
  </si>
  <si>
    <t>PO-24002704</t>
  </si>
  <si>
    <t>ห้างหุ้นส่วนจำกัด อาร์เอ็ม คาร์ ดีเทลลิ่ง</t>
  </si>
  <si>
    <t>แผงอบอินฟาเรด แบบ 3 โคม รุ่น RM FY 3 W</t>
  </si>
  <si>
    <t>PO-24002705</t>
  </si>
  <si>
    <t>เครื่องเคาะรอยเชื่อม รุ่น JT-20 NITTO</t>
  </si>
  <si>
    <t>PO-24002706</t>
  </si>
  <si>
    <t xml:space="preserve">กระดาษทรายกลมหนามเตย 5 นิ้ว ไม่มีรู สีเหลือง เบอร์ 100 </t>
  </si>
  <si>
    <t>PO-24002714</t>
  </si>
  <si>
    <t>บริษัท เครื่องใช้ไฟฟ้าอัจฉริยะ จำกัด</t>
  </si>
  <si>
    <t>เครื่องทำน้ำแข็งอัตโนมัติ ULKA 45F</t>
  </si>
  <si>
    <t>PO-24002739</t>
  </si>
  <si>
    <t>Change glass with firm at Test room. - Change glass thk. 6 m</t>
  </si>
  <si>
    <t>PO-24002757</t>
  </si>
  <si>
    <t>เครื่องดูดฝุ่น 2200 วัตต์ เทา ฮิตาชิ CV-960F</t>
  </si>
  <si>
    <t>แผ่นสติ๊กเกอร์กรณีฉุกเฉินโปรด ติดต่อCustomer Service 24 ชม.</t>
  </si>
  <si>
    <t>PO-24002765</t>
  </si>
  <si>
    <t>ม้วนพลาสติก HD กว้าง 48" หนา 100 ไมครอน</t>
  </si>
  <si>
    <t xml:space="preserve">PO-24002814 </t>
  </si>
  <si>
    <t>PO-24002850</t>
  </si>
  <si>
    <t>PO-24002854</t>
  </si>
  <si>
    <t>PO-24002853</t>
  </si>
  <si>
    <t>PO-24002889</t>
  </si>
  <si>
    <t>Superlene  nylon ขนาด 10 มม.</t>
  </si>
  <si>
    <t xml:space="preserve">PO-24002892 </t>
  </si>
  <si>
    <t>PO-24002905</t>
  </si>
  <si>
    <t xml:space="preserve">PO-24002876 </t>
  </si>
  <si>
    <t>PO-24002886</t>
  </si>
  <si>
    <t xml:space="preserve">PO-24002902 </t>
  </si>
  <si>
    <t xml:space="preserve">CABLE BOX Type 1 TR.1500 kVA 3Ph 50 Hz 33000/19053-400V </t>
  </si>
  <si>
    <t>CABLE BOX TYPE 1 TR.1600 kVA 3Ph 50Hz 33000-400/230V</t>
  </si>
  <si>
    <t xml:space="preserve">PO-24002793 </t>
  </si>
  <si>
    <t>PO-24002633</t>
  </si>
  <si>
    <t>PO-24002662</t>
  </si>
  <si>
    <t>Pack &amp; Lashing+Cert. Container 40'FR (SOF-230089)</t>
  </si>
  <si>
    <t>PO-24002660</t>
  </si>
  <si>
    <t>PO-24002685</t>
  </si>
  <si>
    <t>แผ่น Stainless PlateSUS304 (PEA)</t>
  </si>
  <si>
    <t>PO-24002688</t>
  </si>
  <si>
    <t>CT 2500/5A Current Transformer Class 1 30VA</t>
  </si>
  <si>
    <t>PO-24002692</t>
  </si>
  <si>
    <t>PO-24002725</t>
  </si>
  <si>
    <t>PO-24002771</t>
  </si>
  <si>
    <t>PO-24002838</t>
  </si>
  <si>
    <t>PO-24002881</t>
  </si>
  <si>
    <t>PO-24002898</t>
  </si>
  <si>
    <t>PO-24002910</t>
  </si>
  <si>
    <t>PO-24002865</t>
  </si>
  <si>
    <t>PO-24002964</t>
  </si>
  <si>
    <t>PO-24002967</t>
  </si>
  <si>
    <t>PO-24002806</t>
  </si>
  <si>
    <t>บริษัท ไคโตะ จำกัด</t>
  </si>
  <si>
    <t xml:space="preserve">SPARE PARTS FOR CHILLER "ORION"  Model: RKE3750B-VW </t>
  </si>
  <si>
    <t>ค่าบริการ CHILLER ORION Model : RKE3750B-VW เปลี่ยนอะไหล่พาร์ท</t>
  </si>
  <si>
    <t>PO-24002820</t>
  </si>
  <si>
    <t>PO-24002826</t>
  </si>
  <si>
    <t>PO-24002828</t>
  </si>
  <si>
    <t>PO-24002829</t>
  </si>
  <si>
    <t>INFINITY POWER 20V เครื่องยิงรีเวทไร้สาย ไร้แปรงถ่าน INF-5RB</t>
  </si>
  <si>
    <t>PUMPKIN E20 แบตเตอรี่ลิเธียมไอออน ขนาดความจุ 4.0Ah</t>
  </si>
  <si>
    <t>PO-24002830</t>
  </si>
  <si>
    <t xml:space="preserve">MITUTOYO : DIGIMATIC THICKNESS GAGE 547-520S  </t>
  </si>
  <si>
    <t>PO-24002833</t>
  </si>
  <si>
    <t>งานถมดินเพิ่มเติม</t>
  </si>
  <si>
    <t>PO-24002839</t>
  </si>
  <si>
    <t>ดอกเจียรคาร์ไบด์ LD6-1633 Taper Radius End แกน 6มม. MAXICUT</t>
  </si>
  <si>
    <t>PO-24002844</t>
  </si>
  <si>
    <t>PO-24002845</t>
  </si>
  <si>
    <t>บริษัท เทคแทม จำกัด</t>
  </si>
  <si>
    <t xml:space="preserve">WC-01 ชุดทำงานแบบชุดหมี ซิปเปิด-ผ้าคอมพ์ </t>
  </si>
  <si>
    <t>PO-24002859</t>
  </si>
  <si>
    <t>PO-24002863</t>
  </si>
  <si>
    <t>PO-24002869</t>
  </si>
  <si>
    <t>PO-24002900</t>
  </si>
  <si>
    <t>ที่ชาจน์แบตรถยก สำหรับ Ball Lifting Platform รุ่น DPS500-GZ</t>
  </si>
  <si>
    <t>PO-24002912</t>
  </si>
  <si>
    <t>อะไหล่ทุ่นไฟฟ้า 9533BL(9533,9533B) Makita</t>
  </si>
  <si>
    <t>เครื่องเจียร 4" 720W 9533B MAKITA</t>
  </si>
  <si>
    <t>PO-24002918</t>
  </si>
  <si>
    <t>Kimsoft Choice Standard Toilet Roll Tissue</t>
  </si>
  <si>
    <t>BOX</t>
  </si>
  <si>
    <t>PO-24002922</t>
  </si>
  <si>
    <t>ตะปูเกลียว ปืนลม Actryขนาด 2 นิ้วครึ่ง FS-65 V5-9000</t>
  </si>
  <si>
    <t>PO-24002941</t>
  </si>
  <si>
    <t>PO-24002953</t>
  </si>
  <si>
    <t>PO-24002956</t>
  </si>
  <si>
    <t>PO-24002958</t>
  </si>
  <si>
    <t>ลวดเชื่อม MIG ขนาด 1.2 มม. สำหรับ Robot</t>
  </si>
  <si>
    <t>PO-24002974</t>
  </si>
  <si>
    <t>PO-24002970</t>
  </si>
  <si>
    <t xml:space="preserve">ค่ารถเทรลเลอร์ 22 ล้อบรรทุก QTC-คลังไฟฟ้ารังสิต </t>
  </si>
  <si>
    <t>เที่ยว</t>
  </si>
  <si>
    <t>PO-24002971</t>
  </si>
  <si>
    <t>PO-24002977</t>
  </si>
  <si>
    <t>Round sling 40T2M สลิงโพลีฯแบบกลม มีห่วงหัว-ท้าย RS-5 40T2M</t>
  </si>
  <si>
    <t>PO-24002990</t>
  </si>
  <si>
    <t xml:space="preserve">SCOTT Pop-up 200’s </t>
  </si>
  <si>
    <t>PO-24002993</t>
  </si>
  <si>
    <t>งานระบบไฟฟ้าแสงสว่าง ชั้น 3</t>
  </si>
  <si>
    <t>PO-24002930</t>
  </si>
  <si>
    <t>FR3 FLUID</t>
  </si>
  <si>
    <t xml:space="preserve">PO-24003003 </t>
  </si>
  <si>
    <t>CABLE BOX TYPE 1 TR.2500 kVA 3Ph 50Hz 11000-400/230V</t>
  </si>
  <si>
    <t>PO-24003048</t>
  </si>
  <si>
    <t>CABLE BOX TYPE 1 TR.2500 kVA 3Ph 50 Hz 11000-800V</t>
  </si>
  <si>
    <t xml:space="preserve">PO-24003054 </t>
  </si>
  <si>
    <t>PO-24003099</t>
  </si>
  <si>
    <t>PO-24003065</t>
  </si>
  <si>
    <t>PO-24003084</t>
  </si>
  <si>
    <t>PO-24003105</t>
  </si>
  <si>
    <t>PO-24003108</t>
  </si>
  <si>
    <t>PO-24002173</t>
  </si>
  <si>
    <t>ค่าขนส่งสินค้าเข้าโรงงาน</t>
  </si>
  <si>
    <t xml:space="preserve">PO-24003123 </t>
  </si>
  <si>
    <t>PO-24003055</t>
  </si>
  <si>
    <t>PO-24003045</t>
  </si>
  <si>
    <t>PO-24003096</t>
  </si>
  <si>
    <t>PO-24003125</t>
  </si>
  <si>
    <t>PO-24003215</t>
  </si>
  <si>
    <t xml:space="preserve">PO-24003242 </t>
  </si>
  <si>
    <t>Wooden Crate For Radiator Fin Tr.15 MVA</t>
  </si>
  <si>
    <t>Wooden Crate For Conservator Tr.15 MVA</t>
  </si>
  <si>
    <t>Wooden Crate For Cooling Fan Tr.15 MVA</t>
  </si>
  <si>
    <t>PO-24003245</t>
  </si>
  <si>
    <t>ชุดตู้และอุปกรณ์ Remote Control Panel (สำหรับงาน 9000 kVA)</t>
  </si>
  <si>
    <t>PO-24003128</t>
  </si>
  <si>
    <t>สายตีเกลียว 70 sqm. หุ้มกระดาษ Kraft หนา 4.0 มม.</t>
  </si>
  <si>
    <t>PO-24003164</t>
  </si>
  <si>
    <t>Pack &amp; Lashing+Cert. Container 20'FR SOF-240008</t>
  </si>
  <si>
    <t>PO-24003204</t>
  </si>
  <si>
    <t>PO-24003233</t>
  </si>
  <si>
    <t>ลวดแบนหุ้มกระดาษหนา 0.6 มม. ขนาด 2.1*12 มม.</t>
  </si>
  <si>
    <t>ลวดแบนหุ้มกระดาษหนา 0.8 มม. ขนาด  2.8*15.5 มม.</t>
  </si>
  <si>
    <t>PO-24003235</t>
  </si>
  <si>
    <t>Rubber bag size X=2385,Y=985,G=1200 (Conser dia. 600x2000mm)</t>
  </si>
  <si>
    <t>PO-24003265</t>
  </si>
  <si>
    <t>PO-24003266</t>
  </si>
  <si>
    <t>PO-24003270</t>
  </si>
  <si>
    <t>PO-24003304</t>
  </si>
  <si>
    <t>Plate</t>
  </si>
  <si>
    <t>เหล็กแผ่น SS400 หนา 9.0 มม. กว้าง 1524 มม. ยาว 2300 มม.</t>
  </si>
  <si>
    <t>เหล็กแผ่น SS400 หนา 2.0 มม. กว้าง 1219 มม. ยาว 2438 มม.</t>
  </si>
  <si>
    <t>PO-24003330</t>
  </si>
  <si>
    <t>CABLE BOX ON SIDE TR.10 MVA 3Ph 50Hz 22000-11000V</t>
  </si>
  <si>
    <t>PO-24003339</t>
  </si>
  <si>
    <t>CT 5000/5A Current Transformer Class 0.5  20VA (ABS) MSQ-125</t>
  </si>
  <si>
    <t>PO-24003369</t>
  </si>
  <si>
    <t>สายตีเกลียว 240 sqmm. หุ้มกระดาษ Kraft หนา 4.0 มม</t>
  </si>
  <si>
    <t>PO-24003375</t>
  </si>
  <si>
    <t>PO-24003002</t>
  </si>
  <si>
    <t>บริษัท โกรเวล บลาสเทค จำกัด</t>
  </si>
  <si>
    <t>ค่างาน Shot Blast TR.15000kVA (SOF-230062)</t>
  </si>
  <si>
    <t>PO-24003020</t>
  </si>
  <si>
    <t>ซิลิโคนขาว</t>
  </si>
  <si>
    <t>PO-24003022</t>
  </si>
  <si>
    <t>Fiber glass banding tape size 0.30mm. x 40mm. (100 metre/roll)</t>
  </si>
  <si>
    <t>PO-24003023</t>
  </si>
  <si>
    <t>PO-24003031</t>
  </si>
  <si>
    <t>FLUKE TIS60+/9HZ Thermal Imager 9Hz,Resolution 320x2</t>
  </si>
  <si>
    <t>PO-24003034</t>
  </si>
  <si>
    <t>3 Phase 50 Hz. 22000-416/240 V. Short Circuit Test  (160-250 kVA)</t>
  </si>
  <si>
    <t>PO-24003063</t>
  </si>
  <si>
    <t>Regrind ลับคมใบมีด Punch</t>
  </si>
  <si>
    <t>Regrind ลับคมใบมีด SLIT (20ใบ)</t>
  </si>
  <si>
    <t>PO-24003075</t>
  </si>
  <si>
    <t>JOINT ADATOR 20 MM.</t>
  </si>
  <si>
    <t>PO-24003076</t>
  </si>
  <si>
    <t xml:space="preserve">Repair &amp; Maintanace work OTC (งานซ่อมฝ้า 6 จุด) </t>
  </si>
  <si>
    <t>PO-24003081</t>
  </si>
  <si>
    <t>Li-ion battery pack P/N.2001-966</t>
  </si>
  <si>
    <t>PO-24003113</t>
  </si>
  <si>
    <t>ราง Roller Drive Size W900xL14000xH350 mm.</t>
  </si>
  <si>
    <t>ราง Roller  Size W900xL21000xH350 mm.</t>
  </si>
  <si>
    <t>PO-24003146</t>
  </si>
  <si>
    <t>Air Filter Sheet Size:W580 x L580 x T15mm.</t>
  </si>
  <si>
    <t>PO-24003162</t>
  </si>
  <si>
    <t>ปั๊มน้ำพิเศษ สำหรับเครื่องทำน้ำแข็ง ULKA (ULKA-P3B)</t>
  </si>
  <si>
    <t>PO-24003173</t>
  </si>
  <si>
    <t>บริษัท ไพรมัส จำกัด</t>
  </si>
  <si>
    <t>LEAD WIRD PT 100 3 wire sili cone (100 เมตร /ม้วน)</t>
  </si>
  <si>
    <t>PO-24003186</t>
  </si>
  <si>
    <t>เครื่องสกัด NITTO AIR CHIPPER ACH-16</t>
  </si>
  <si>
    <t>PO-24003187</t>
  </si>
  <si>
    <t>เครื่องดูดฝุ่น-ดูดน้ำ ระบบงานอุตสาหกรรม 80ลิตร  RM1 803</t>
  </si>
  <si>
    <t>PO-24003189</t>
  </si>
  <si>
    <t>PO-24003190</t>
  </si>
  <si>
    <t>PO-24003195</t>
  </si>
  <si>
    <t>ไม้สน ขนาด 30x125x1150 mm.</t>
  </si>
  <si>
    <t>PO-24003220</t>
  </si>
  <si>
    <t>QUICK DIS TORCH MAIN BODY,HPR130/260/400XD</t>
  </si>
  <si>
    <t>PO-24003225</t>
  </si>
  <si>
    <t>PO-24003226</t>
  </si>
  <si>
    <t>Drum</t>
  </si>
  <si>
    <t>PO-24003228</t>
  </si>
  <si>
    <t>PO-24003260</t>
  </si>
  <si>
    <t>Elcometer "456-MK-4" Digital Coating Thickness Gauge "Ferrou</t>
  </si>
  <si>
    <t>ELCOMETER 456 FERROUS PROBE, SCALE 0.5: MINI, 90 DEGREE, 150</t>
  </si>
  <si>
    <t>PO-24003263</t>
  </si>
  <si>
    <t>มอเตอร์แบบบานเลื่อน SPL AC 2000Kg - มอเตอร์ AC</t>
  </si>
  <si>
    <t>PO-24003264</t>
  </si>
  <si>
    <t>บริษัท เจริญทรัพย์ พาเลท จำกัด</t>
  </si>
  <si>
    <t xml:space="preserve">พาเลทไม้สน กว้าง930 X ยาว1200 X สูง120 มม.  </t>
  </si>
  <si>
    <t>PO-24003278</t>
  </si>
  <si>
    <t>รอกกำมะลอ/รอกโยก Capacity : 6 tons  Load Chain diamater:10m</t>
  </si>
  <si>
    <t>PO-24003285</t>
  </si>
  <si>
    <t>PO-24003286</t>
  </si>
  <si>
    <t>สีทับหน้า (PU) RAL 7033 CEMENT GRAY CHUGOKU  UNY  MARINE 100</t>
  </si>
  <si>
    <t>PO-24003287</t>
  </si>
  <si>
    <t>บริษัท มิซูมิ (ไทยแลนด์) จำกัด</t>
  </si>
  <si>
    <t>PO-24003290</t>
  </si>
  <si>
    <t>KAPTON TAPE (Polyimide) 0.055mm*25mm*33M</t>
  </si>
  <si>
    <t>PO-24003294</t>
  </si>
  <si>
    <t>ถุงมือเคลือบ PU</t>
  </si>
  <si>
    <t>PO-24003320</t>
  </si>
  <si>
    <t>งานตาขายกันนก</t>
  </si>
  <si>
    <t>PO-24003326</t>
  </si>
  <si>
    <t>ซ่อมเปลี่ยนผ้าใบเต๊นท์ติดตั้ง</t>
  </si>
  <si>
    <t>PO-24003336</t>
  </si>
  <si>
    <t>บริษัท ฟรอนิอูส (ประเทศไทย)จำกัด</t>
  </si>
  <si>
    <t>Robotic Welding System - TPS∕i Robotics for ABB IRB 2600ID-8</t>
  </si>
  <si>
    <t>PO-24003344</t>
  </si>
  <si>
    <t>WTsensor “PCM580-N7k-C5” Digital Pressure Gauge</t>
  </si>
  <si>
    <t>PO-24003345</t>
  </si>
  <si>
    <t>เครื่องปรับอากาศ ประเภทต้ังแขวนยี่ห้อ Carrier - รุ่น 42TGV02  QA</t>
  </si>
  <si>
    <t>PO-24003347</t>
  </si>
  <si>
    <t>สี CTP UNY MARINE 100 RAL 7035  LIGHT  GREY (DH)</t>
  </si>
  <si>
    <t>PO-24003359</t>
  </si>
  <si>
    <t>Regrind ลับคมใบมีด Die</t>
  </si>
  <si>
    <t>PO-24003360</t>
  </si>
  <si>
    <t>WS-2สลิงโพลีฯชนิดแบนมีห่วงหัวท้ายรับ นน.2ตัน ยาว2เมตรสีเขียว</t>
  </si>
  <si>
    <t>PO-24003384</t>
  </si>
  <si>
    <t>PO-24003385</t>
  </si>
  <si>
    <t>PO-24003420</t>
  </si>
  <si>
    <t xml:space="preserve">Conservator Tank TR.9000 kVA 3Ph 50Hz 22000-10500V </t>
  </si>
  <si>
    <t>PO-24003400</t>
  </si>
  <si>
    <t>PO-24003399</t>
  </si>
  <si>
    <t>PO-24003423</t>
  </si>
  <si>
    <t>PO-24003407</t>
  </si>
  <si>
    <t>ลับคมใบเลื่อยขนาด 10 นิ้ว 100T</t>
  </si>
  <si>
    <t>PO-24003417</t>
  </si>
  <si>
    <t>PO-24003418</t>
  </si>
  <si>
    <t>PO-24003468</t>
  </si>
  <si>
    <t>NBR RUBBER SHEET Size: T 10mm x W 10mm x L 50M - Colour : Bl</t>
  </si>
  <si>
    <t>PO-24003472</t>
  </si>
  <si>
    <t xml:space="preserve">Change roof sheet. โรงงาน 3 </t>
  </si>
  <si>
    <t>PO-24003475</t>
  </si>
  <si>
    <t xml:space="preserve">โทรศัพท์มือถือ Samsung Galaxy A15 (8+128GB) Black (5G) </t>
  </si>
  <si>
    <t>PO-24003478</t>
  </si>
  <si>
    <t>PO-24003482</t>
  </si>
  <si>
    <t>น้ำยาป้องกันสะเก็ด Anti Spatter Agent ขนาด 5 กิโลกรัม SUMO</t>
  </si>
  <si>
    <t>PO-24003486</t>
  </si>
  <si>
    <t>Regrind ลับคมใบมีด Slit</t>
  </si>
  <si>
    <t>PO-24003485</t>
  </si>
  <si>
    <t>สายลม PU 8*12 ขนาด OD:12 mm. ID: 8 mm. สีดำ (100 เมตร/ม้วน)</t>
  </si>
  <si>
    <t>PO-24003489</t>
  </si>
  <si>
    <t xml:space="preserve">ติดตั้งเครน Gantry Crane ขนาด10 </t>
  </si>
  <si>
    <t>PO-24003523</t>
  </si>
  <si>
    <t>เกจ N2 801B-10 HARRIS เกจวัดความดัน ไนโตเจน</t>
  </si>
  <si>
    <t>PO-24003526</t>
  </si>
  <si>
    <t xml:space="preserve">5 kV Insulation Tester "Megger" Model: MIT515 </t>
  </si>
  <si>
    <t>PO-24003450</t>
  </si>
  <si>
    <t>บริษัท เทอควอยซ์ โปรเจ็ค จำกัด</t>
  </si>
  <si>
    <t xml:space="preserve">งานปรับปรุงห้องน้ำอาคารรับรอง </t>
  </si>
  <si>
    <t>PO-24003490</t>
  </si>
  <si>
    <t>PO-24003497</t>
  </si>
  <si>
    <t>PO-24003516</t>
  </si>
  <si>
    <t>PO-24003543</t>
  </si>
  <si>
    <t>PO-24003544</t>
  </si>
  <si>
    <t>PO-24003545</t>
  </si>
  <si>
    <t>PO-24003590</t>
  </si>
  <si>
    <t>PO-24003595</t>
  </si>
  <si>
    <t>PO-24003597</t>
  </si>
  <si>
    <t>Copper  Busbar LV side  3/8 " x  10 " ยาว  750 มม.</t>
  </si>
  <si>
    <t>Copper  Busbar LV side  3/8 " x  10 " ยาว  880 มม.</t>
  </si>
  <si>
    <t>PO-24003601</t>
  </si>
  <si>
    <t>หางปลาต่อสายแบบกลมเปลือย ยี่ห้อ T-LUG ขนาด 70-10 มม.</t>
  </si>
  <si>
    <t>PO-24003627</t>
  </si>
  <si>
    <t>PO-24003678</t>
  </si>
  <si>
    <t>ทองแดงเส้นแบนขนาด 10x250mm. (สำหรับงาน  SOD-230579)</t>
  </si>
  <si>
    <t>PO-24003685</t>
  </si>
  <si>
    <t>PO-24003707</t>
  </si>
  <si>
    <t>ทองแดงเส้นแบนขนาด 200x10mm.</t>
  </si>
  <si>
    <t xml:space="preserve"> SET</t>
  </si>
  <si>
    <t>PO-24002474</t>
  </si>
  <si>
    <t xml:space="preserve">ค่ารถขนส่งสินค้าเข้าโรงงานจากสุวรรณภูมิ - QTC </t>
  </si>
  <si>
    <t>PO-24003551</t>
  </si>
  <si>
    <t>HOANG LIEN SON TECHNICAL CERAMICS JOINT STOCK COMPANY</t>
  </si>
  <si>
    <t xml:space="preserve">Freight cost </t>
  </si>
  <si>
    <t>PO-24003573</t>
  </si>
  <si>
    <t>PO-24003585</t>
  </si>
  <si>
    <t>พลาสติกฟองอากาศ เรียบ 1 ด้าน ขนาด1.30ม.x95ม./หนา 35-40gsm</t>
  </si>
  <si>
    <t>PO-24003588</t>
  </si>
  <si>
    <t>ลับคมใบเลื่อย 10" x 100T</t>
  </si>
  <si>
    <t>PO-24003606</t>
  </si>
  <si>
    <t>PO-24003608</t>
  </si>
  <si>
    <t>PO-24003610</t>
  </si>
  <si>
    <t>PO-24003611</t>
  </si>
  <si>
    <t>PO-24003613</t>
  </si>
  <si>
    <t>PO-24003630</t>
  </si>
  <si>
    <t>งานเพิ่มตู้ไฟ อาคารคลังสินค้าใหม่ (รวมPO-24003631)</t>
  </si>
  <si>
    <t>PO-24003648</t>
  </si>
  <si>
    <t>บริษัท วัชรีวงศ์ เทรดดิ้ง แอนด์ ซัพพลาย จำกัด</t>
  </si>
  <si>
    <t>สายปืนเชื่อม MIG GUN 350A ท้าย Pana(5M)</t>
  </si>
  <si>
    <t>PO-24003649</t>
  </si>
  <si>
    <t>Welding Machine ARC-200(IGBTChip,200A) 220V - Weld Machine A</t>
  </si>
  <si>
    <t>PO-24003769</t>
  </si>
  <si>
    <t>Magnetic oil level indicator (ARES) L=308 mm</t>
  </si>
  <si>
    <t>PO-24003785</t>
  </si>
  <si>
    <t>PO-24003462</t>
  </si>
  <si>
    <t>HEINRICH  GEORG  GMBH  MASCHINENFABRIK</t>
  </si>
  <si>
    <t>PO-24003426</t>
  </si>
  <si>
    <t>PO-24003015</t>
  </si>
  <si>
    <t>PO-24003639</t>
  </si>
  <si>
    <t>PO-24003803</t>
  </si>
  <si>
    <t>Pack &amp; Lashing+Cert. Container 40'OT(HQ) SOF-240086</t>
  </si>
  <si>
    <t>PO-24003651</t>
  </si>
  <si>
    <t>BOSCH สว่านกระแทกไร้สาย 18V Model: GSB 18V50+2x2.0+Lca</t>
  </si>
  <si>
    <t>PO-24003653</t>
  </si>
  <si>
    <t>น้ำยาลอกสี Beger Unisoft เบอร์ 9119 ขนาด 1/4 ลิตร</t>
  </si>
  <si>
    <t>PO-24003654</t>
  </si>
  <si>
    <t>ใบตัดเหล็ก,STL 4"x1.2มม. ใย2ชั้น GP SUMO</t>
  </si>
  <si>
    <t>PO-24003655</t>
  </si>
  <si>
    <t>อะไหล่ลูกกลิ้งเคมี 4" 29094 STANLEY</t>
  </si>
  <si>
    <t>PO-24003659</t>
  </si>
  <si>
    <t>สร้าง Punch Ecoline 2</t>
  </si>
  <si>
    <t>สร้าง Die Ecoline 2</t>
  </si>
  <si>
    <t>PO-24003810</t>
  </si>
  <si>
    <t>PO-24003822</t>
  </si>
  <si>
    <t>CABLE BOX TYPE 4 TR.1500 kVA 3Ph 50Hz 22000-200V</t>
  </si>
  <si>
    <t>PO-24003424</t>
  </si>
  <si>
    <t>Box ตัวเสียบ ขนาด 1170x300x900 มม. (SOD-240519) ทำสี  PU7032 ความหนาสี 80 -100 Microns</t>
  </si>
  <si>
    <t>PO-24003444</t>
  </si>
  <si>
    <t>Box ตัวเสียบ ขนาด 1170x300x900 มม. (SOD-240397) ทำสี PU7032 ความหนาสี 80 -100 Micron</t>
  </si>
  <si>
    <t>Box ตัวเสียบ ขนาด 1170x300x900 มม. (SOD-240465) ทำสี PU7032 ความหนาสี 80 -100 Micron</t>
  </si>
  <si>
    <t>PO-24003508</t>
  </si>
  <si>
    <t>Box ตัวเสียบ ขนาด 1170x300x900 มม. (SOD-240263) ทำสี PU7032 ความหนาสี 80 -100 Microns</t>
  </si>
  <si>
    <t>PO-24003716</t>
  </si>
  <si>
    <t>Box ตัวเสียบ ขนาด 1170x300x900 มม. (SOD-240596) ทำสี PU7032 ความหนาสี 80-100 Microns</t>
  </si>
  <si>
    <t>Box ตัวเสียบ ขนาด 1170x300x900 มม. (SOD-240589) ทำสี PU7032 ความหนาสี 80-100 Microns</t>
  </si>
  <si>
    <t>Box ตัวเสียบ ขนาด 1170x300x900 มม.  (SOD-240328) ทำสี PU7032 ความหนาสี 80-100 Microns</t>
  </si>
  <si>
    <t>PO-24003820</t>
  </si>
  <si>
    <t>Box ตัวเสียบ ขนาด 950x300x900 มม. (SOD-240597) ทำสี PU7032 ความหนาสี 80-100 Microns</t>
  </si>
  <si>
    <t>Box ตัวเสียบ ขนาด 1170x300x900 มม. (SOD-240575) ทำสี PU7032 ความหนาสี 80 -100 Micron</t>
  </si>
  <si>
    <t>Box ตัวเสียบ ขนาด 1170x300x900 มม. (SOD-240596) ทำสี PU7032 ความหนาสี 80 -100 Microns</t>
  </si>
  <si>
    <t>PO-24003509</t>
  </si>
  <si>
    <t>Box ตัวเสียบ ขนาด 1170x300x900 มม. (SOD-240553) ทำสี PU7032 ความหนาสี 80 -100 Microns</t>
  </si>
  <si>
    <t>PO-24003593</t>
  </si>
  <si>
    <t>Box ตัวเสียบ ขนาด 1170x450x900 มม.(for LV bar DT2000-DT3150) SOD-240585) ทำสี PU7032 ความหนาสี 80-100 Microns</t>
  </si>
  <si>
    <t>Box ตัวเสียบ ขนาด 1170x300x900 มม. (SOD-240585) ทำสี PU7032 ความหนาสี 80-100 Microns</t>
  </si>
  <si>
    <t>PO-24003717</t>
  </si>
  <si>
    <t>Box ตัวเสียบ ขนาด 1170x300x900 มม. (Backelite plate) Dwg.42002297 (SOD-240574) ทำสี PU7032 ความหนาสี 80 -100 Microns</t>
  </si>
  <si>
    <t>PO-24003797</t>
  </si>
  <si>
    <t>Box ตัวเสียบ ขนาด 950x300x900 mm. (Backelite plate) (SOD-240586) ทำสี PU7032 ความหนาสี 80 -100 Microns</t>
  </si>
  <si>
    <t>Box ตัวเสียบ ขนาด 1170x300x900 มม. (SOD-240597) ทำสี PU7032 ความหนาสี 80 -100 Microns</t>
  </si>
  <si>
    <t>PO-24003821</t>
  </si>
  <si>
    <t>Box ตัวเสียบ ขนาด 1170x300x900 มม. (SOD-240599) ทำสี PU7032 ความหนาสี 80 -100 Microns</t>
  </si>
  <si>
    <t>PO-24003442</t>
  </si>
  <si>
    <t>PO-24003832</t>
  </si>
  <si>
    <t>PO-24003720</t>
  </si>
  <si>
    <t>PO-24003511</t>
  </si>
  <si>
    <t>PO-24002932</t>
  </si>
  <si>
    <t xml:space="preserve">Freight cost shipment by Air </t>
  </si>
  <si>
    <t>PO-24003844</t>
  </si>
  <si>
    <t>PO-24003839</t>
  </si>
  <si>
    <t>PO-24003850</t>
  </si>
  <si>
    <t>PO-24003871</t>
  </si>
  <si>
    <t>PO-24003884</t>
  </si>
  <si>
    <t>สายไฟ VSF Size 1.5 SQ.MM.(สีเหลือง)</t>
  </si>
  <si>
    <t>PO-24003889</t>
  </si>
  <si>
    <t>Tap Changer (Change Voltage) 24kV-64A-L150ขึ้นกลางมาซ้าย</t>
  </si>
  <si>
    <t>PO-24003927</t>
  </si>
  <si>
    <t>PO-24003906</t>
  </si>
  <si>
    <t>PO-24003841</t>
  </si>
  <si>
    <t>PO-24003863</t>
  </si>
  <si>
    <t>บริษัท ไจแมค กรุ๊ป จำกัด</t>
  </si>
  <si>
    <t>ซ่อมเครื่องตัดพลาสม่า CNC</t>
  </si>
  <si>
    <t>PO-24003872</t>
  </si>
  <si>
    <t>2 Legged Round sling สลิงกลมประกอบยกชุด 2 ขา 2M - 2 Legged R</t>
  </si>
  <si>
    <t>PO-24003873</t>
  </si>
  <si>
    <t>สายลมเดี่ยว KOVET 1/4"ยาว100M. (ดำ-ลายริ้ว)</t>
  </si>
  <si>
    <t>PO-24003881</t>
  </si>
  <si>
    <t>Industrial Dust Collector Model : HBC21-4/Y-03F3K9S1-3385 (ร</t>
  </si>
  <si>
    <t>PO-24003887</t>
  </si>
  <si>
    <t>U150000050 ลวดเชื่อม MIG ขนาด 1.2 มม. สำหรับ Robot</t>
  </si>
  <si>
    <t>PO-24003888</t>
  </si>
  <si>
    <t>PO-24003899</t>
  </si>
  <si>
    <t>สว่านไฟฟ้าไร้สาย GIANTTECH รุ่น D008 กำลัง 10.8 โวลต์ - สีแด</t>
  </si>
  <si>
    <t>PO-24003904</t>
  </si>
  <si>
    <t>Mitutoyo รุ่น 500-193 ABSOLUTE Digimatic Caliper 12"</t>
  </si>
  <si>
    <t>Certificate of Calibration ISO17025</t>
  </si>
  <si>
    <t>PO-24003907</t>
  </si>
  <si>
    <t>สายฉีดน้ำแรงดันสูง CARINE 12 เมตร CNEW ZINSANO M22x1.5</t>
  </si>
  <si>
    <t>PO-24003908</t>
  </si>
  <si>
    <t>เครื่องฉีดน้ำแรงดันสูง160บาร์Zinsanoรุ่นAD1601</t>
  </si>
  <si>
    <t>สายยางโรล  DGT1131-S TULIP TAKARA 1/2 นิ้ว x30 ม. สีเขียว</t>
  </si>
  <si>
    <t>PO-24003930</t>
  </si>
  <si>
    <t>PO-24003931</t>
  </si>
  <si>
    <t>สมาร์ททีวี ขนาด 55 นิ้ว Sumsung  แบบแขวนผนัง</t>
  </si>
  <si>
    <t>ขาแขวนทีวี</t>
  </si>
  <si>
    <t>PO-24003932</t>
  </si>
  <si>
    <t>งานติดตั้งระบบไฟฟ้า Main แอร์ และ ตู้ Safety Switch</t>
  </si>
  <si>
    <t>PO-24003937</t>
  </si>
  <si>
    <t>PO-24003951</t>
  </si>
  <si>
    <t>ลวดแบนหุ้มกระดาษหนา 0.8 มม.</t>
  </si>
  <si>
    <t>PO-24003956</t>
  </si>
  <si>
    <t>PO-24003959</t>
  </si>
  <si>
    <t>Arrester "PRESICE" 21kV 10kA</t>
  </si>
  <si>
    <t>CT 4000/1A Current Transformer Class5P20 15VA</t>
  </si>
  <si>
    <t>PO-24003981</t>
  </si>
  <si>
    <t>แผ่นสติ๊กเกอร์แรงดัน DANGER 440/254V</t>
  </si>
  <si>
    <t>PO-24003982</t>
  </si>
  <si>
    <t>Wooden Crate Tr.2000 kVA (Fumigation)</t>
  </si>
  <si>
    <t>PO-24003983</t>
  </si>
  <si>
    <t>Wooden Crate Tr.16 MVA (Fumigation)</t>
  </si>
  <si>
    <t>Wooden Crate Radiator Fin W520 x HL1900 x Z30 (Fumigation)</t>
  </si>
  <si>
    <t>PO-24003942</t>
  </si>
  <si>
    <t>สร้างจุดล้างสารเมี</t>
  </si>
  <si>
    <t>PO-24003949</t>
  </si>
  <si>
    <t>PO-24003965</t>
  </si>
  <si>
    <t>PO-24003978</t>
  </si>
  <si>
    <t>คีมย้ำแบบจิก KH-16 OPT 1.5-16mm.</t>
  </si>
  <si>
    <t>PO-24003980</t>
  </si>
  <si>
    <t>ไม้อัดฟิล์มดำ 120x240ซม. 20มม. ไส้เต็ม 2A</t>
  </si>
  <si>
    <t>PO-24003986</t>
  </si>
  <si>
    <t>A720T1E-1 : Fuse 7200VAC 1A Ferrule Amp-Trap "FERRAZ/MERSEN"</t>
  </si>
  <si>
    <t>PO-24003988</t>
  </si>
  <si>
    <t>K120000000 แผ่นสติ๊กเกอร์ CAUTION !</t>
  </si>
  <si>
    <t>PO-24003989</t>
  </si>
  <si>
    <t>PO-24003990</t>
  </si>
  <si>
    <t>PO-24003991</t>
  </si>
  <si>
    <t>U140000003 คาร์บอนไดออกไซด์</t>
  </si>
  <si>
    <t>PO-24004004</t>
  </si>
  <si>
    <t>บริษัท แอส วัน โปรเกรส จำกัด</t>
  </si>
  <si>
    <t>AS1-WL-BCN-300D Solar Street light SMD 300W 30,000lm 6500K I</t>
  </si>
  <si>
    <t>PO-24003940</t>
  </si>
  <si>
    <t>CT 3200/1A Current Transformer Class 5P10 30VA (Cotton)</t>
  </si>
  <si>
    <t>PO-24004015</t>
  </si>
  <si>
    <t>PO-24004010</t>
  </si>
  <si>
    <t>บริษัท เอนเน โซลูชั่น (ประเทศไทย) จำกัด</t>
  </si>
  <si>
    <t>Butterfly Valve NW80</t>
  </si>
  <si>
    <t>PO-24004029</t>
  </si>
  <si>
    <t>PO-24004032</t>
  </si>
  <si>
    <t>PO-24003975</t>
  </si>
  <si>
    <t>ลูกถ้วยแรงต่ำ DT1 3150 A1 เบอร์5 แกน 48 มม.</t>
  </si>
  <si>
    <t>ลูกถ้วยแรงต่ำ DT1 3150 B1 เบอร์5 แกน 48 มม.</t>
  </si>
  <si>
    <t xml:space="preserve">PO-24003971 </t>
  </si>
  <si>
    <t>Bolt lock Buttefly Valve Radiator Fin</t>
  </si>
  <si>
    <t>PO-24003898</t>
  </si>
  <si>
    <t>PO-24004059</t>
  </si>
  <si>
    <t>PO-24004060</t>
  </si>
  <si>
    <t>PO-24004088</t>
  </si>
  <si>
    <t>PO-24004102</t>
  </si>
  <si>
    <t>PO-24004106</t>
  </si>
  <si>
    <t>PO-24004121</t>
  </si>
  <si>
    <t>PO-24004122</t>
  </si>
  <si>
    <t>หางปลาต่อสายแบบกลมเปลือย ยี่ห้อ T-LUG CL120-16</t>
  </si>
  <si>
    <t>หางปลาต่อสายแบบกลมเปลือย ยี่ห้อ T-LUG CL185-12</t>
  </si>
  <si>
    <t>หางปลาต่อสายแบบกลมเปลือย ยี่ห้อ T-LUG ขนาด 150-12 มม.</t>
  </si>
  <si>
    <t xml:space="preserve">PO-24004147 </t>
  </si>
  <si>
    <t>Solid wooden case (ลังไม้ทึบ) 400x800x230 mm.</t>
  </si>
  <si>
    <t>PO-24004137</t>
  </si>
  <si>
    <t>PO-24004132</t>
  </si>
  <si>
    <t>PO-24004177</t>
  </si>
  <si>
    <t>PO-24004178</t>
  </si>
  <si>
    <t>Bimetal thermometer G1/2" and 2NO contacts (21-33-V-22-D)</t>
  </si>
  <si>
    <t>PO-24004186</t>
  </si>
  <si>
    <t>PO-24004181</t>
  </si>
  <si>
    <t>PO-24004208</t>
  </si>
  <si>
    <t>PO-24004189</t>
  </si>
  <si>
    <t>เหล็กแผ่น SS400 หนา 9.0 มม. กว้าง 1524 มม. ยาว 3048 มม.</t>
  </si>
  <si>
    <t>เหล็กเส้นแบน ขนาด 75*16 มม.</t>
  </si>
  <si>
    <t>เหล็กแผ่น SS400 หนา 16.0 มม. กว้าง 1219 มม. ยาว 2438 มม.</t>
  </si>
  <si>
    <t>เหล็กแผ่น SS400 หนา 25.0 มม. กว้าง 1219 มม. ยาว 2438 มม.</t>
  </si>
  <si>
    <t>PO-24004234</t>
  </si>
  <si>
    <t>PO-24004248</t>
  </si>
  <si>
    <t>Pack &amp; Lashing+Cert. Container 40’FR SOF-240049</t>
  </si>
  <si>
    <t>PO-24004017</t>
  </si>
  <si>
    <t>งานติดตั้งระบบไฟอาคาร Amorphous</t>
  </si>
  <si>
    <t>PO-24004018</t>
  </si>
  <si>
    <t>เครื่องเจียรลม TW (4นิ้ว) 11000rpm OKURA</t>
  </si>
  <si>
    <t>80mm,Adjustable,Pipe Wrench,600mm. KEN5883840K Kennedy</t>
  </si>
  <si>
    <t>PO-24004021</t>
  </si>
  <si>
    <t>นมหนู LPG#0 HARRIS รุ่น 6290</t>
  </si>
  <si>
    <t>นมหนู LPG#3 HARRIS รุ่น 6290</t>
  </si>
  <si>
    <t>PO-24004035</t>
  </si>
  <si>
    <t>N30/130 (80Mesh)  SizeØ18cmXกว้าง26cmXสูง36cm(ก้นแหลม)</t>
  </si>
  <si>
    <t>PO-24004036</t>
  </si>
  <si>
    <t>ตะแกรงร่อนทรายขอบเหล็ก JAGUAR ขนาดเส้นผ่านศูนย์กลาง 50 ซม.</t>
  </si>
  <si>
    <t>PO-24004043</t>
  </si>
  <si>
    <t>PO-24004053</t>
  </si>
  <si>
    <t>สติ้กเกอร์ QA Incoming passed (ไดคัทเป็นดวง)</t>
  </si>
  <si>
    <t>PO-24004054</t>
  </si>
  <si>
    <t>OSUKA เลื่อยตัดเเต่งกิ่งสูงไร้สาย 20v รุ่น OSPS-4V</t>
  </si>
  <si>
    <t>PO-24004066</t>
  </si>
  <si>
    <t>สีสเปร์ย TOA. สีเคลียร์ เบอร์ 30</t>
  </si>
  <si>
    <t>PO-24004077</t>
  </si>
  <si>
    <t>บริษัท ตรงกมล จำกัด</t>
  </si>
  <si>
    <t>ใบเลื่อยสายพาน M42 รุ่น ITP ขนาด 27×0.9×3035มม. ฟัน 5/8</t>
  </si>
  <si>
    <t>PO-24004086</t>
  </si>
  <si>
    <t>Samsung 65" QLED Q65D 4K Tizen OS Smart TV (2024) #QA65Q65DA</t>
  </si>
  <si>
    <t>Samsung 50" QLED Q65D 4K Tizen OS Smart TV (2024) #QA50Q65DA</t>
  </si>
  <si>
    <t>SHARP LED Full HD Smart รุ่น 2T-C40EF2X</t>
  </si>
  <si>
    <t>PO-24004109</t>
  </si>
  <si>
    <t>PO-24004111</t>
  </si>
  <si>
    <t>รางวิ่งชุด Semi-Ganrty Crane - Rail 20.2 kg. ,ยาว 2x10 เมตร</t>
  </si>
  <si>
    <t>PO-24004112</t>
  </si>
  <si>
    <t>บริษัท ทริปเปิ้ล พี กรีน เอ็นจิเนียริ่ง จำกัด</t>
  </si>
  <si>
    <t>เก้าอี้ หน้าลายไม้ ขาเหล็กสูง 75 ชม.</t>
  </si>
  <si>
    <t>PO-24004128</t>
  </si>
  <si>
    <t>ไม้ท่อน 2x3 นิ้ว x 25 ซม.+Cert.</t>
  </si>
  <si>
    <t>PO-24004151</t>
  </si>
  <si>
    <t>PO-24004164</t>
  </si>
  <si>
    <t>PO-24004168</t>
  </si>
  <si>
    <t>PO-24004183</t>
  </si>
  <si>
    <t>ค่ารถเทรลเลอร์ 22 ล้อบรรทุก QTC-การไฟฟ้าคลังมีนบุรี 27/11/67</t>
  </si>
  <si>
    <t>PO-24004203</t>
  </si>
  <si>
    <t>บริษัท อาร์โอไอ เทรดดิ้ง (1988) จำกัด</t>
  </si>
  <si>
    <t>งานติดฟิล์มลดความร้อน # SILVER 15</t>
  </si>
  <si>
    <t>PO-24004204</t>
  </si>
  <si>
    <t>PO-24004216</t>
  </si>
  <si>
    <t>งานทำกำแพงกันดินและงานเทพื้นคอนกรีตหน้า อาคาร Amorphous</t>
  </si>
  <si>
    <t>PO-24004220</t>
  </si>
  <si>
    <t>PO-24004221</t>
  </si>
  <si>
    <t>PO-24004237</t>
  </si>
  <si>
    <t>KEIBA ดอกสว่านเจาะเหล็กHSS  ขนาด 8mm. (6 EA/BOX)</t>
  </si>
  <si>
    <t>KEIBA ดอกสว่านเจาะเหล็กHSS  ขนาด 10mm. (6 EA/BOX)</t>
  </si>
  <si>
    <t>KEIBA ดอกสว่านเจาะเหล็กHSS  ขนาด 12mm. (6 EA/BOX)</t>
  </si>
  <si>
    <t>PO-24004238</t>
  </si>
  <si>
    <t xml:space="preserve">ดอกสว่านเจาะเหล็ก HSS ก้านลด ขนาด 14.0มม.Xยาว140มม. KEIBA </t>
  </si>
  <si>
    <t>ใบเลื่อยจิ๊กซอ #T144D (5ใบ/แพ็ค) BOSCH</t>
  </si>
  <si>
    <t>PO-24004258</t>
  </si>
  <si>
    <t>PO-24004249</t>
  </si>
  <si>
    <t>บริษัท เอสพีเค บิวดิ้ง ดีไซน์ จำกัด</t>
  </si>
  <si>
    <t xml:space="preserve">งาน Renovate ห้องน้ำชั้น 3 </t>
  </si>
  <si>
    <t>งาน Renovate ห้องน้ำชั้น 4</t>
  </si>
  <si>
    <t>PO-24004261</t>
  </si>
  <si>
    <t>ล้อยูริเทนตาย 8 นิ้ว RHINO</t>
  </si>
  <si>
    <t>ล้อยูริเทนเป็นมีเบรค 8 นิ้ว RHINO</t>
  </si>
  <si>
    <t>PO-24004246</t>
  </si>
  <si>
    <t>ลับคมใบมีด Amorphous</t>
  </si>
  <si>
    <t>PO-24004241</t>
  </si>
  <si>
    <t>PO-24004225</t>
  </si>
  <si>
    <t>BOARD CONTORL SPARE PART FOR "HANDAL" - MODEL : KHE75-8 S/</t>
  </si>
  <si>
    <t>PO-24004222</t>
  </si>
  <si>
    <t>เชือกฟางม้วนใหญ่ ความยาว 140 เมตร</t>
  </si>
  <si>
    <t>PO-24004180</t>
  </si>
  <si>
    <t>น้ำมันหม้อแปลง Tranform INH  (209 ลิตร/ถัง)</t>
  </si>
  <si>
    <t>PO-24003853</t>
  </si>
  <si>
    <t>Box ตัวเสียบ ขนาด 1170x300x900 มม. (SOD-240624) ทำสี PU7032 ความหนาสี 80 -100 Microns</t>
  </si>
  <si>
    <t>PO-24003912</t>
  </si>
  <si>
    <t>Box ตัวเสียบ ขนาด 1170x300x900 มม. (FCO-240017) ทำสี PU7032 ความหนาสี 80 -100 Microns</t>
  </si>
  <si>
    <t>Box ตัวเสียบ ขนาด 1170x300x900 มม. (SOD-240346) ทำสี PU7032 ความหนาสี 80 -100 Microns</t>
  </si>
  <si>
    <t>PO-24004072</t>
  </si>
  <si>
    <t>Box ตัวเสียบ ขนาด 1170x300x900 มม. (SOD-240555) ทำสี PU7032 ความหนาสี 80-100 Microns</t>
  </si>
  <si>
    <t>PO-24004114</t>
  </si>
  <si>
    <t>Box ตัวเสียบ ขนาด 1170x300x900 มม. (Backelite plate) (SOD-240661) ทำสี PU7032 ความหนาสี 80-100 Microns</t>
  </si>
  <si>
    <t>PO-24004156</t>
  </si>
  <si>
    <t>Box ตัวเสียบ ขนาด 1170x300x900 มม. (SOD-240620) ทำสี PU7032 ความหนาสี 80-100 Microns</t>
  </si>
  <si>
    <t>PO-24004158</t>
  </si>
  <si>
    <t>Box ตัวเสียบ ขนาด 1170x300x900 มม. (SOD-240668) ทำสี PU7032 ความหนาสี 80-100 Microns</t>
  </si>
  <si>
    <t>PO-24004232</t>
  </si>
  <si>
    <t>Box ตัวเสียบ ขนาด 1170x300x900 มม. (SOD-240676) ทำสี PU7032 ความหนาสี 80-100 Microns</t>
  </si>
  <si>
    <t>Box ตัวเสียบ ขนาด 1170x300x900 มม. (SOD-240671)  ทำสี PU7032 ความหนาสี 80-100 Microns</t>
  </si>
  <si>
    <t>PO-24003941</t>
  </si>
  <si>
    <t>PO-24004202</t>
  </si>
  <si>
    <t>PO-24003968</t>
  </si>
  <si>
    <t>PO-24004288</t>
  </si>
  <si>
    <t>PO-24004269</t>
  </si>
  <si>
    <t>Pack &amp; Lashing+Cert. Container 20’FR SOF-240023</t>
  </si>
  <si>
    <t>PO-24004297</t>
  </si>
  <si>
    <t>PO-24004301</t>
  </si>
  <si>
    <t>ลวดแบนหุ้มกระดาษหนา 0.5 มม. (Gulf project)</t>
  </si>
  <si>
    <t>PO-24004332</t>
  </si>
  <si>
    <t>สายไฟ H07V-K 1*1.5 SQ.MM. สีนํ้าตาล LAPP KABEL</t>
  </si>
  <si>
    <t>PO-24004333</t>
  </si>
  <si>
    <t>PO-24004350</t>
  </si>
  <si>
    <t>คอนเนคเตอร์จับท่ออ่อนกันน้ำ 1" STEEL CITY</t>
  </si>
  <si>
    <t>PO-24004287</t>
  </si>
  <si>
    <t>CABLE BOX TYPE 1 TR.2500 kVA 3Ph 50Hz 33000-400/230V</t>
  </si>
  <si>
    <t>CABLE BOX TYPE 1 TR.1000 kVA 3Ph 50Hz 33000-400/230V</t>
  </si>
  <si>
    <t>CABLE BOX ON SIDE TR.2000 kVA 3Ph 50Hz 33000-433/250V</t>
  </si>
  <si>
    <t>CABLE BOX Type 1 TR.1500 kVA 3Ph 50 Hz 33000-6600/3810V</t>
  </si>
  <si>
    <t>CABLE BOX ON SIDE TR.16 MVA 3Ph 50Hz 33000-11500/6640V</t>
  </si>
  <si>
    <t>CABLE BOX TYPE 1 TR.8000 kVA 3Ph 50Hz 22000-6600V</t>
  </si>
  <si>
    <t>PO-24004392</t>
  </si>
  <si>
    <t>PO-24004410</t>
  </si>
  <si>
    <t>ลวดแบนหุ้มกระดาษ</t>
  </si>
  <si>
    <t>ลวดแบนหุ้มกระดาษหนา 0.8 มม. ขนาด 2.9*6.5 มม.</t>
  </si>
  <si>
    <t>PO-24004408</t>
  </si>
  <si>
    <t>ลูกถ้วยแรงสูง 10kV 2000A 10Nf (DIN 42533)</t>
  </si>
  <si>
    <t>PO-24004307</t>
  </si>
  <si>
    <t xml:space="preserve">Fabrication for Copper foil </t>
  </si>
  <si>
    <t>PO-24004316</t>
  </si>
  <si>
    <t>PO-24004317</t>
  </si>
  <si>
    <t>PO-24004386</t>
  </si>
  <si>
    <t>Wooden Crate For Conservator Tr. 30 MVA</t>
  </si>
  <si>
    <t>PO-24004423</t>
  </si>
  <si>
    <t xml:space="preserve">PO-24004429 </t>
  </si>
  <si>
    <t>CABLE BOX TYPE 1 TR.800 kVA 3Ph 50Hz 22000-400/230V</t>
  </si>
  <si>
    <t>PO-24004335</t>
  </si>
  <si>
    <t>PO-24004369</t>
  </si>
  <si>
    <t xml:space="preserve">PO-24004411 </t>
  </si>
  <si>
    <t>CABLE BOX TYPE 1 TR.400 kVA 3Ph 50Hz 33000-400/230V</t>
  </si>
  <si>
    <t>PO-24004462</t>
  </si>
  <si>
    <t>PO-24004475</t>
  </si>
  <si>
    <t>PO-24004299</t>
  </si>
  <si>
    <t>งานเพิ่มเติมระบบไฟฟ้าแสงสว่าง QTC สำนักงานใหญ่ ชั้น 3</t>
  </si>
  <si>
    <t>PO-24004313</t>
  </si>
  <si>
    <t>บริษัท โตโยต้า ทูโช ฟอร์คลิฟท์ (ไทยแลนด์) จำกัด</t>
  </si>
  <si>
    <t>ซ่อมรถโฟล์คลิฟ ไฟฟ้า 3 ตัน ส่วนขนส่ง</t>
  </si>
  <si>
    <t>PO-24004353</t>
  </si>
  <si>
    <t>iPad Gen 9 (2021) Wi-Fi 64GB (สี Space Gray) 10.2 นิ้ว</t>
  </si>
  <si>
    <t>Apple Pencil 1st Generation With USB-C Adapter</t>
  </si>
  <si>
    <t>PO-24004361</t>
  </si>
  <si>
    <t>ZINSANO เครื่องฉีดน้ำแรงดันสูง 120 บาร์ รุ่น ZN1202</t>
  </si>
  <si>
    <t>PO-24004378</t>
  </si>
  <si>
    <t>งานปรับปรุงรางระบายน้ำฝน อาคารส่วนงานติดตั้ง</t>
  </si>
  <si>
    <t>PO-24004382</t>
  </si>
  <si>
    <t>บริษัท พาวเวอร์ อินฟินิตี้ เซอร์วิส จำกัด</t>
  </si>
  <si>
    <t>Air Circuit Breaker Mitsubishi - Location : MDB.1 (Tr. 1200 kVA)</t>
  </si>
  <si>
    <t>PO-24004383</t>
  </si>
  <si>
    <t>Location : Medium Voltage Panel  UACJ</t>
  </si>
  <si>
    <t>PO-24004395</t>
  </si>
  <si>
    <t>กระป๋องสี IWATA  #PCL7B-2 (700cc)</t>
  </si>
  <si>
    <t>ปืนพ่นสี IWATA#W71‐4S (1.8)</t>
  </si>
  <si>
    <t>PO-24004397</t>
  </si>
  <si>
    <t>ใบเลื่อยจิ๊กซอ #T244D (5ใบ/แพ็ค) BOSCH</t>
  </si>
  <si>
    <t>PO-24004398</t>
  </si>
  <si>
    <t>หมึก/เครื่องพิมพ์ปลอกสาย 3604B001AA,BLACK 100M FOR TM-110</t>
  </si>
  <si>
    <t>ปลอกสายพีวีซี PVC, 4.0MM WHITE (1Roll/200m)</t>
  </si>
  <si>
    <t>PO-24004399</t>
  </si>
  <si>
    <t>PO-24004403</t>
  </si>
  <si>
    <t>ปั๊มน้ำกุลฟอส CMB5-46PT 900W</t>
  </si>
  <si>
    <t>ถังเก็บน้ำบนดิน 2,000 ลิตร GRANITO SB สีทราย</t>
  </si>
  <si>
    <t>PO-24004405</t>
  </si>
  <si>
    <t xml:space="preserve">NR RUBBER SHEET (Black) SIZE T 5 mm x W 1m x L 10m </t>
  </si>
  <si>
    <t>PO-24004406</t>
  </si>
  <si>
    <t>Kimsoft Compact  SRT 24R No : 4091</t>
  </si>
  <si>
    <t>SCOTT Pop-up 200’s  Code : 33773</t>
  </si>
  <si>
    <t>PO-24004407</t>
  </si>
  <si>
    <t>Setting Ruber Bumper&amp;Paint column 100x150x1830 mm.</t>
  </si>
  <si>
    <t>PO-24004443</t>
  </si>
  <si>
    <t>Mitutoyo M-547-520S Thickness Gages เกจวัดความหนาแบบดิจิตอล</t>
  </si>
  <si>
    <t>PO-24004444</t>
  </si>
  <si>
    <t>ประแจหกเหลี่ยมหัวบอล คอสั้น ขนาด 2.5mm.</t>
  </si>
  <si>
    <t>บล็อกกระแทกมุมฉากไร้สาย 12 โวลต์ 1/2" M12FRAIWF12-0ASIA Milw</t>
  </si>
  <si>
    <t>PO-24004451</t>
  </si>
  <si>
    <t>บริษัท สยามพิลิแกน จำกัด</t>
  </si>
  <si>
    <t>WC-01 ชุดทำงานแบบชุดหมี ซิปเปิด-ผ้าคอมพ์ Size : L</t>
  </si>
  <si>
    <t>WC-01 ชุดทำงานแบบชุดหมี ซิปเปิด-ผ้าคอมพ์ Size : XL</t>
  </si>
  <si>
    <t>PO-24004468</t>
  </si>
  <si>
    <t xml:space="preserve">ถุงมือโพลีเอสเตอร์เคลือบ PU สีขาว </t>
  </si>
  <si>
    <t>PO-24004278</t>
  </si>
  <si>
    <t>PO-24004411</t>
  </si>
  <si>
    <t>PO-24004429</t>
  </si>
  <si>
    <t>PO-24004459</t>
  </si>
  <si>
    <t>PO-24004476</t>
  </si>
  <si>
    <t>PO-24004472</t>
  </si>
  <si>
    <t>PO-24004458</t>
  </si>
  <si>
    <t>PO-24004306</t>
  </si>
  <si>
    <t>Fabrication cost for Copper foil</t>
  </si>
  <si>
    <t>บ.โพรเทเรียล (ไทยแลนด์) ,บ.เอราวัณ รับเบอร์</t>
  </si>
  <si>
    <t>เพิ่มเคริตจาก 30 วัน เป็น 60 วัน</t>
  </si>
  <si>
    <t>PO-25000007</t>
  </si>
  <si>
    <t>PO-25000012</t>
  </si>
  <si>
    <t>หางปลาแรงต่ำแบบบาร์ 6 รู แกน 58 มม.</t>
  </si>
  <si>
    <t>คลับทองเหลือง แกนแรงต่ำขนาด 30 มม. เบอร์ 3 (แบบต๊าปเกลียว)</t>
  </si>
  <si>
    <t>หางปลาแรงต่ำแบบบาร์ 5 รู แกน 58 มม. ระยะห่าง 80 มม. แถวเดี่ย</t>
  </si>
  <si>
    <t>PO-25000016</t>
  </si>
  <si>
    <t>PO-25000006</t>
  </si>
  <si>
    <t xml:space="preserve">Steel Enclosure ขนาด 2000 x 2600 x 2600 mm. </t>
  </si>
  <si>
    <t>PO-25000034</t>
  </si>
  <si>
    <t>PO-25000036</t>
  </si>
  <si>
    <t>PO-25000038</t>
  </si>
  <si>
    <t>PO-25000040</t>
  </si>
  <si>
    <t>PO-25000041</t>
  </si>
  <si>
    <t>PO-24004481</t>
  </si>
  <si>
    <t>PO-25000094</t>
  </si>
  <si>
    <t>สายไฟ VSF</t>
  </si>
  <si>
    <t>PO-25000095</t>
  </si>
  <si>
    <t>สายไฟ H07V-K</t>
  </si>
  <si>
    <t>PO-25000106</t>
  </si>
  <si>
    <t>Tap Changer (Voltage) 3Ph 24kV-150A-L98 2ชั้น 5Pos.</t>
  </si>
  <si>
    <t>PO-25000107</t>
  </si>
  <si>
    <t>PO-25000113</t>
  </si>
  <si>
    <t>PO-25000129</t>
  </si>
  <si>
    <t>PO-24003938</t>
  </si>
  <si>
    <t>PO-25000139</t>
  </si>
  <si>
    <t>PO-25000135</t>
  </si>
  <si>
    <t>PO-25000140</t>
  </si>
  <si>
    <t>ลวดกลมอาบน้ำยา</t>
  </si>
  <si>
    <t>Rebate ปี2567</t>
  </si>
  <si>
    <t>PO-25000019</t>
  </si>
  <si>
    <t>PO-25000021</t>
  </si>
  <si>
    <t>PO-25000031</t>
  </si>
  <si>
    <t>PO-25000051</t>
  </si>
  <si>
    <t>สลิงโพลีฯชนิดกลมมีห่วงหัว-ท้าย รับ นน.10T ยาว 4ม. สีส้ม</t>
  </si>
  <si>
    <t>PO-25000061</t>
  </si>
  <si>
    <t>POLO ดอกเจาะเหล็กคัตเตอร์คาร์ไบด์ Dia.16x35มม.</t>
  </si>
  <si>
    <t>POLO ดอกเจาะเหล็กคัตเตอร์คาร์ไบด์ Dia.18x35มม.</t>
  </si>
  <si>
    <t>POLO ดอกเจาะเหล็กคัตเตอร์คาร์ไบด์ Dia.22x35มม.</t>
  </si>
  <si>
    <t>POLO ดอกเจาะเหล็กคัตเตอร์คาร์ไบด์ Dia.25x35มม.</t>
  </si>
  <si>
    <t>POLO ดอกเจาะเหล็กคัตเตอร์คาร์ไบด์ Dia.28x35มม.</t>
  </si>
  <si>
    <t>POLO ดอกเจาะเหล็กคัตเตอร์คาร์ไบด์ Dia.30x35มม.</t>
  </si>
  <si>
    <t>PO-25000070</t>
  </si>
  <si>
    <t>PO-25000072</t>
  </si>
  <si>
    <t xml:space="preserve">สลิงโพลีฯชนิดแบน ประกอบชุด 2ขา 1M รับ นน. 2.00-2.80T </t>
  </si>
  <si>
    <t>สลิงโพลีฯชนิดแบน แบบมีห่วงหัว-ท้าย WS-2 2T2M (60MM.)</t>
  </si>
  <si>
    <t>PO-25000073</t>
  </si>
  <si>
    <t>อะไหล่ลูกกลิ้งเคมี4" 29094 STANLEY(เฉพาะลูกกลิ้ง ไม่เอาด้าม)</t>
  </si>
  <si>
    <t>PO-25000075</t>
  </si>
  <si>
    <t>PO-25000078</t>
  </si>
  <si>
    <t>PO-25000079</t>
  </si>
  <si>
    <t>แผ่นสติ๊กเกอร์แรงดัน 22000V</t>
  </si>
  <si>
    <t>แผ่นสติ๊กเกอร์แรงดัน 33000V</t>
  </si>
  <si>
    <t>แผ่นสติ๊กเกอร์แรงดัน 416/240V</t>
  </si>
  <si>
    <t>แผ่นสติ๊กเกอร์แรงดัน 24000V</t>
  </si>
  <si>
    <t>แผ่นสติ๊กเกอร์แรงดัน 400/230V</t>
  </si>
  <si>
    <t>PO-25000081</t>
  </si>
  <si>
    <t>ติดตั้ง HANDAL Rtarty Screw Air Compressor Model : KHDD-22-8(30 HP)</t>
  </si>
  <si>
    <t>PO-25000082</t>
  </si>
  <si>
    <t xml:space="preserve">PIPE LINE &amp; ACCESSORIES </t>
  </si>
  <si>
    <t>PO-25000083</t>
  </si>
  <si>
    <t>ลวดเชื่อมไฟฟ้า KR-3000 ขนาด 3.2 มม.(1/8"x350mm) ยี่ห้อ kiswel</t>
  </si>
  <si>
    <t>PO-25000086</t>
  </si>
  <si>
    <t>สายไฟ THW Size 6.0 SQ.MM. (สีเขียว-เหลือง แบบสายอ่อน)</t>
  </si>
  <si>
    <t>PO-25000091</t>
  </si>
  <si>
    <t>PO-25000092</t>
  </si>
  <si>
    <t>เม็ดทรายกลม SAE-S-230</t>
  </si>
  <si>
    <t>PO-25000117</t>
  </si>
  <si>
    <t>งานแย็กสกัดฝาบ่อ Manhold คลังสินค้า เดิม</t>
  </si>
  <si>
    <t>PO-25000120</t>
  </si>
  <si>
    <t>กาวน้ำ</t>
  </si>
  <si>
    <t>กระดาษทรายหนามเตย 5" ไม่มีรู สีเหลือง SUMO#240 (1กล่อง=100ใบ)</t>
  </si>
  <si>
    <t>PO-25000123</t>
  </si>
  <si>
    <t>PO-25000124</t>
  </si>
  <si>
    <t>บริษัท เอส พี พี อินดัสเตรียลรับเบอร์ จำกัด</t>
  </si>
  <si>
    <t>ยางรองขอบ Cable Box #2090201</t>
  </si>
  <si>
    <t>PO-25000126</t>
  </si>
  <si>
    <t xml:space="preserve"> Q010015000 สายไฟ VSF Size 1.5 SQ.MM.(สีขาว)</t>
  </si>
  <si>
    <t>PO-25000127</t>
  </si>
  <si>
    <t>PO-25000130</t>
  </si>
  <si>
    <t>Dell Latitude 3450, XCTO [i5]</t>
  </si>
  <si>
    <t>Dell Latitude 3450, XCTO [i7]</t>
  </si>
  <si>
    <t>PO-25000131</t>
  </si>
  <si>
    <t>OptiPlex Small Form Factor 7020 XCTO [i5]</t>
  </si>
  <si>
    <t>Dell 22 Monitor - E2225H -ขนาด 22 นิ้ว</t>
  </si>
  <si>
    <t>PO-25000133</t>
  </si>
  <si>
    <t>บริษัท เอเบิล ซัคเซส จำกัด</t>
  </si>
  <si>
    <t>Autodesk Produck Design &amp; Manufacturing Collection IC Commer</t>
  </si>
  <si>
    <t>ZWCAD Standard 2025 Standalone License (CAD 2D) Training ( 5</t>
  </si>
  <si>
    <t>PO-25000134</t>
  </si>
  <si>
    <t>EQUIPMENT PRODUCT - MANUAL PUSH STATION (FMM)</t>
  </si>
  <si>
    <t>PO-25000165</t>
  </si>
  <si>
    <t>แกนทองแดง 12 มม. เบอร์ 1</t>
  </si>
  <si>
    <t>แกนทองแดง 30 มม. เบอร์ 3</t>
  </si>
  <si>
    <t>แหวนหนา แกน 30 มม.</t>
  </si>
  <si>
    <t>หางปลาแรงต่ำแบบบาร์ 4 รู แกน 30 มม. (PEA)</t>
  </si>
  <si>
    <t>PO-25000170</t>
  </si>
  <si>
    <t xml:space="preserve"> บริษัท เอ็น.เอช.เค.สตีล จำกัด</t>
  </si>
  <si>
    <t xml:space="preserve">Cold Rolled Steel Sheet (SPCC-SD) </t>
  </si>
  <si>
    <t>PO-25000190</t>
  </si>
  <si>
    <t>PO-25000212</t>
  </si>
  <si>
    <t>PO-25000213</t>
  </si>
  <si>
    <t>PO-25000225</t>
  </si>
  <si>
    <t>PO-25000229</t>
  </si>
  <si>
    <t>PO-25000230</t>
  </si>
  <si>
    <t>PO-25000227</t>
  </si>
  <si>
    <t>PO-24003120</t>
  </si>
  <si>
    <t>TMC TRANSFORMERS S.P.A.</t>
  </si>
  <si>
    <t xml:space="preserve">Freight Cost </t>
  </si>
  <si>
    <t>PO-25000245</t>
  </si>
  <si>
    <t>PO-25000241</t>
  </si>
  <si>
    <t>คลับทองเหลือง แกนแรงต่ำขนาด 20 มม. เบอร์ 2</t>
  </si>
  <si>
    <t>PO-25000240</t>
  </si>
  <si>
    <t>หัวน็อตทองเหลืองชุบ แกน 20 มม. เบอร์ 2</t>
  </si>
  <si>
    <t>Lock nut ทองเหลือง แกน 20 มม. เบอร์ 2 แบบบาง</t>
  </si>
  <si>
    <t>แหวนหนา แกน 20 มม.</t>
  </si>
  <si>
    <t>แหวนบาง แกน 20 มม.</t>
  </si>
  <si>
    <t>หางปลาแรงต่ำแบบบาร์ 4 รู แกน 20 มม. (PEA)</t>
  </si>
  <si>
    <t>หัวน็อตทองเหลืองชุบ แกน 30 มม. เบอร์ 3</t>
  </si>
  <si>
    <t>แหวนหนา แกน 42 มม.</t>
  </si>
  <si>
    <t>แหวนบาง แกน 42 มม.</t>
  </si>
  <si>
    <t>คลับทองเหลือง แกนแรงต่ำขนาด 30 มม. เบอร์ 3 (2รู)</t>
  </si>
  <si>
    <t>PO-25000156</t>
  </si>
  <si>
    <t>งานเทพื้นคอนกรีตด้านนอกอาคาร หนา 0.125 ม.</t>
  </si>
  <si>
    <t>PO-25000173</t>
  </si>
  <si>
    <t>PO-25000176</t>
  </si>
  <si>
    <t>Regrind ลับคมใบมีด PUNCH (MTM)</t>
  </si>
  <si>
    <t>Regrind ลับคมใบมีด DIE (MTM)</t>
  </si>
  <si>
    <t>PO-25000181</t>
  </si>
  <si>
    <t>KOBE เครื่องเจียรลม GDA2206L (KBE-270-2020H)</t>
  </si>
  <si>
    <t>SANKI บันได 5ชั้น LD-SKT05</t>
  </si>
  <si>
    <t>PO-25000182</t>
  </si>
  <si>
    <t>โฮลซอ เจาะสแตนเลส/เหล็ก TCT 22 มม. BOSCH</t>
  </si>
  <si>
    <t>โฮลซอ เจาะสแตนเลส/เหล็ก TCT 32 มม. BOSCH</t>
  </si>
  <si>
    <t>PO-25000198</t>
  </si>
  <si>
    <t>iPad Gen 9 (2021) Wi-Fi 64GB (สี Space Gray)</t>
  </si>
  <si>
    <t>Apple Pencil (รุ่นที่ 1)</t>
  </si>
  <si>
    <t>PO-25000199</t>
  </si>
  <si>
    <t>บริษัท อมตะ เมดิแคร์ จำกัด</t>
  </si>
  <si>
    <t>Glass Syringe DGA 50 CC.Metal LuerLock ติดเบอร์3-way stop cock</t>
  </si>
  <si>
    <t>PO-25000228</t>
  </si>
  <si>
    <t>Regrind ลับคมใบมีด PUNCH (Ecoline2)</t>
  </si>
  <si>
    <t>Regrind ลับคมใบมีด DIE (Ecoline2)</t>
  </si>
  <si>
    <t>PO-25000232</t>
  </si>
  <si>
    <t>PO-25000233</t>
  </si>
  <si>
    <t>PO-25000247</t>
  </si>
  <si>
    <t>Portable Monitor 15.6'' VIEWSONIC TD1655 - (IPS, USB-C, S</t>
  </si>
  <si>
    <t>PO-25000271</t>
  </si>
  <si>
    <t>คลับทองเหลือง แกนแรงต่ำขนาด 42 มม. เบอร์ 4</t>
  </si>
  <si>
    <t>หัวน๊อตทองเหลือง ขนาด 20 มม.</t>
  </si>
  <si>
    <t>หัวน็อตทองเหลืองชุบ แกน 42 มม. เบอร์ 4</t>
  </si>
  <si>
    <t>หัวน็อตทองเหลืองชุบ แกน 48 มม. เบอร์ 5</t>
  </si>
  <si>
    <t>แหวนหนา แกน 48 มม.</t>
  </si>
  <si>
    <t>แหวนบาง แกน 30 มม.</t>
  </si>
  <si>
    <t>แหวนบาง แกน 48 มม.</t>
  </si>
  <si>
    <t>คลับทองเหลือง แกนแรงต่ำขนาด 48 มม.เบอร์ 5 (เจาะ4รูขนาด22mm.)</t>
  </si>
  <si>
    <t>แกนทองแดง 58 มม. เบอร์ 6 (บากแกน)</t>
  </si>
  <si>
    <t>หัวน็อตทองเหลืองชุบ แกน 58 มม. เบอร์ 6</t>
  </si>
  <si>
    <t>แหวนหนา แกน 58 มม.</t>
  </si>
  <si>
    <t>แหวนบาง แกน 58 มม.</t>
  </si>
  <si>
    <t xml:space="preserve">PO-25000296 </t>
  </si>
  <si>
    <t>Control Box (Lamp + Limit switch)</t>
  </si>
  <si>
    <t>PO-24003808</t>
  </si>
  <si>
    <t>PO-25000143</t>
  </si>
  <si>
    <t>Radiator Fin W520 x HL1000x Z14 (133 Kg.)</t>
  </si>
  <si>
    <t>Radiator fin W520 x HL1800 x Z12</t>
  </si>
  <si>
    <t>PO-25000219</t>
  </si>
  <si>
    <t>Radiator Fin W520 x HL1000 x Z12</t>
  </si>
  <si>
    <t>Radiator Fin W520 x HL800x Z8 / ใช้กับงาน SOF-240034</t>
  </si>
  <si>
    <t>Radiator Fin W520 x HL1000 x Z9</t>
  </si>
  <si>
    <t>PO-25000272</t>
  </si>
  <si>
    <t>บริษัท พีเอส สตีล โปรเซสซิ่ง เซ็นเตอร์ จำกัด</t>
  </si>
  <si>
    <t>PO-25000279</t>
  </si>
  <si>
    <t>PO-25000311</t>
  </si>
  <si>
    <t>PO-25000313</t>
  </si>
  <si>
    <t>ลวดแบนหุ้มกระดาษหนา 0.5 มม. ขนาด 1.6*5 มม.</t>
  </si>
  <si>
    <t>PO-25000310</t>
  </si>
  <si>
    <t>PO-25000303</t>
  </si>
  <si>
    <t>UNY MARINE 100 RAL 5017 TRAFFIC BLUE (DH)</t>
  </si>
  <si>
    <t>PO-25000305</t>
  </si>
  <si>
    <t>U150000012-1 ลวดเชื่อมไฟฟ้า KR-3000 ขนาด 3.2 มม.(1/8"x350mm) ยี่ห้อ kiswส</t>
  </si>
  <si>
    <t>PO-25000306</t>
  </si>
  <si>
    <t>ลวดเชื่อมไฟฟ้า RB-26 ขนาด 2.6 x 350 มม. ยี่ห้อ KOBE STEEL</t>
  </si>
  <si>
    <t>PO-25000317</t>
  </si>
  <si>
    <t>แกนทองแดง 42 มม. เบอร์ 4</t>
  </si>
  <si>
    <t>หางปลาแรงต่ำแบบบาร์ 2 รู แกน 12 มม.(งานเอกชน)</t>
  </si>
  <si>
    <t>หางปลาแรงต่ำแบบบาร์ 4 รู แกน 48 มม. ระยะห่าง 60 มม.</t>
  </si>
  <si>
    <t>PO-25000358</t>
  </si>
  <si>
    <t xml:space="preserve">PO-25000360 </t>
  </si>
  <si>
    <t>PO-25000367</t>
  </si>
  <si>
    <t>PO-25000371</t>
  </si>
  <si>
    <t>Circuit  breaker 630A 3POLE (MCCB) NF630-HEW</t>
  </si>
  <si>
    <t xml:space="preserve"> Circuit breaker  1600A 3Pole (MCCB) NF1600-SEW</t>
  </si>
  <si>
    <t>Insulation barrier (Lower side) For MCCB NF1600-SEW</t>
  </si>
  <si>
    <t>PO-25000380</t>
  </si>
  <si>
    <t>PO-25000381</t>
  </si>
  <si>
    <t>ลวดแบนหุ้มกระดาษหนา</t>
  </si>
  <si>
    <t>PO-25000396</t>
  </si>
  <si>
    <t>CT 400/1A Current Transformer Class 5P10 10VA</t>
  </si>
  <si>
    <t>PO-25000422</t>
  </si>
  <si>
    <t>PO-25000480</t>
  </si>
  <si>
    <t>หางปลาแรงต่ำแบบบาร์ 6 รู แกน 48 มม.  ระยะห่าง 60 มม.</t>
  </si>
  <si>
    <t xml:space="preserve">PO-25000470 </t>
  </si>
  <si>
    <t>Control Box Type 3</t>
  </si>
  <si>
    <t>PO-25000478</t>
  </si>
  <si>
    <t>PO-25000508</t>
  </si>
  <si>
    <t>PO-25000578</t>
  </si>
  <si>
    <t>PO-25000582</t>
  </si>
  <si>
    <t>CABLE BOX TYPE 1 TR.2000 kVA 3Ph 50Hz 12000/24000-416V</t>
  </si>
  <si>
    <t xml:space="preserve">CABLE BOX TYPE 1 TR.1000 kVA 3Ph 50Hz 6600-400/230V </t>
  </si>
  <si>
    <t>CABLE BOX TYPE 1 TR.250 kVA 3Ph 50Hz 22000-416/240V</t>
  </si>
  <si>
    <t xml:space="preserve">PO-25000612 </t>
  </si>
  <si>
    <t>ข้องอเชื่อมเหล็ก 90 องศา แบบไม่มีตะเข็บ ขนาด 3/4 "</t>
  </si>
  <si>
    <t>ข้องอเชื่อมเหล็ก 90 องศา แบบไม่มีตะเข็บ ขนาด 1.1/2"</t>
  </si>
  <si>
    <t>PO-25000585</t>
  </si>
  <si>
    <t>PO-25000432</t>
  </si>
  <si>
    <t>สีทาถนนสะท้อนแสง#713 3L. เหลือง TOA</t>
  </si>
  <si>
    <t>สีทาถนนสะท้อนแสง#715 3L. แดง TOA</t>
  </si>
  <si>
    <t>สีทาถนนสะท้อนแสง#719 3L.ดำ TOA</t>
  </si>
  <si>
    <t>สีทาถนนไม่สะท้อนแสง#707 3L. ขาว TOA</t>
  </si>
  <si>
    <t>PO-25000436</t>
  </si>
  <si>
    <t>จอมอนิเตอร์  MSI MAG 32CQ6F Gaming Monitor - (Rapid VA 2K 18</t>
  </si>
  <si>
    <t>PO-25000446</t>
  </si>
  <si>
    <t>PO-25000472</t>
  </si>
  <si>
    <t>สายทองแดงเปลือย ขนาด 70 sqm.  Ref. TIS</t>
  </si>
  <si>
    <t xml:space="preserve">เมตร </t>
  </si>
  <si>
    <t>PO-25000492</t>
  </si>
  <si>
    <t xml:space="preserve">รถยกไฟฟ้า Model: CDD15JK-RE/350 - Brand Hely by Vortex </t>
  </si>
  <si>
    <t>PO-25000486</t>
  </si>
  <si>
    <t>ทาสีและตีเส้นพื้นที่จัดเก็บเหล็กซิลิกอน</t>
  </si>
  <si>
    <t>PO-25000519</t>
  </si>
  <si>
    <t>Arrester "PRESICE" 30kV 5kA LAZ-P30</t>
  </si>
  <si>
    <t>PO-25000520</t>
  </si>
  <si>
    <t>PO-25000521</t>
  </si>
  <si>
    <t>PO-25000532</t>
  </si>
  <si>
    <t>PO-25000511</t>
  </si>
  <si>
    <t>ลวดแบนอาบน้ำยา ขนาด 3.3*9.4 มม.</t>
  </si>
  <si>
    <t>PO-25000546</t>
  </si>
  <si>
    <t>PO-25000547</t>
  </si>
  <si>
    <t>PO-25000559</t>
  </si>
  <si>
    <t>ทองแดงเส้นแบนขนาด 10x160mm. (สำหรับงาน SOD-240649)</t>
  </si>
  <si>
    <t>PO-25000561</t>
  </si>
  <si>
    <t>PO-25000564</t>
  </si>
  <si>
    <t>ท่อยาง EPDM ขนาด ID 7mm. OD 10 mm. (50 เมตร/ม้วน) (for เครื่</t>
  </si>
  <si>
    <t>PO-25000565</t>
  </si>
  <si>
    <t>ข้อต่อทองเหลืองเกลียว 3/4" หางไหล 3/4"</t>
  </si>
  <si>
    <t>สาย TOYOSPRING 25x33มม. 1"x50เมตร TS-25 TOYOX(ม้วน)</t>
  </si>
  <si>
    <t>ม้วน</t>
  </si>
  <si>
    <t>สาย TOYOSPRING 19x26มม. 3/4"x50เมตร TS-19 TOYOX(ม้วน)</t>
  </si>
  <si>
    <t>PO-25000586</t>
  </si>
  <si>
    <t>PO-25000592</t>
  </si>
  <si>
    <t>PO-25000615</t>
  </si>
  <si>
    <t>Tool House.ay โฮลซอแบบปรับได้ 40mm-300mm</t>
  </si>
  <si>
    <t xml:space="preserve">ชุด </t>
  </si>
  <si>
    <t>PO-25000616</t>
  </si>
  <si>
    <t>PO-25000655</t>
  </si>
  <si>
    <t>บริษัท เนวีร่า จำกัด</t>
  </si>
  <si>
    <t>บัสบาร์ซัพพอร์ทแรงต่ำ 1 เฟส ยี่ห้อ Muller  รุ่น MLB-100-7/11</t>
  </si>
  <si>
    <t>บัสบาร์ซัพพอร์ทแรงต่ำ 1 เฟส ยี่ห้อ Mullerรุ่นMLB-124-11/13.5</t>
  </si>
  <si>
    <t>PO-25000635</t>
  </si>
  <si>
    <t xml:space="preserve"> บริษัท เอ วี เอ เอ็นจิเนียริ่ง เซอร์วิส จำกัด</t>
  </si>
  <si>
    <t>คลับทองเหลือง แกนแรงต่ำขนาด 42 มม. เบอร์ 4 (แบบต๊าปเกลียว)</t>
  </si>
  <si>
    <t>หางปลาแรงสูงแบบบาร์ แกน 12 มม. (ระยะรู 14 )</t>
  </si>
  <si>
    <t>หางปลาแรงต่ำแบบบาร์ 4 รู แกน 42 มม. (PEA)</t>
  </si>
  <si>
    <t>PO-25000638</t>
  </si>
  <si>
    <t>PO-25000637</t>
  </si>
  <si>
    <t>PO-25000682</t>
  </si>
  <si>
    <t>PO-25000683</t>
  </si>
  <si>
    <t>PO-25000650</t>
  </si>
  <si>
    <t>Pack &amp; Lashing+Cert. Container 40’FR (SOF-240054)</t>
  </si>
  <si>
    <t>PO-25000659</t>
  </si>
  <si>
    <t>Cable Gland Stainless Steel  M40 TYPE A2F</t>
  </si>
  <si>
    <t>PO-25000666</t>
  </si>
  <si>
    <t>Add Slope concrete&amp; Site expense.</t>
  </si>
  <si>
    <t>PO-25000688</t>
  </si>
  <si>
    <t>PO-25000696</t>
  </si>
  <si>
    <t>ติดตั้งหลังคาเมทัลชีท ขนาด 3.00 x 6.00 ม.</t>
  </si>
  <si>
    <t>PO-25000703</t>
  </si>
  <si>
    <t>เสายึดครีบ  Tie Rod 5/8" TR.7000 kVA (Stainless 316)</t>
  </si>
  <si>
    <t>เสายึดครีบ  Tie Rod 5/8" TR.7700 kVA (Stainless 316)</t>
  </si>
  <si>
    <t>PO-25000631</t>
  </si>
  <si>
    <t>CABLE BOX TYPE 1 TR.7700 kVA 3Ph 50Hz 22000-800/800V</t>
  </si>
  <si>
    <t>Box ตัวเสียบ ขนาด 1250x500x1100 มม</t>
  </si>
  <si>
    <t>Box ตัวเสียบ ขนาด 1640x450x1100 มม</t>
  </si>
  <si>
    <t>PO-25000634</t>
  </si>
  <si>
    <t>PO-25000694</t>
  </si>
  <si>
    <t>PO-25000731</t>
  </si>
  <si>
    <t>Emergency Light Sunny CU209CD6 LED12Vdc 9W 12V-7Ah - Back up</t>
  </si>
  <si>
    <t>PO-25000801</t>
  </si>
  <si>
    <t>Aluminium Plate Size 350X160X6 mm.</t>
  </si>
  <si>
    <t>PO-25000765</t>
  </si>
  <si>
    <t>Ladder 6 Step (high 2100 mm.)</t>
  </si>
  <si>
    <t>PO-25000823</t>
  </si>
  <si>
    <t>PO-25000819</t>
  </si>
  <si>
    <t>Silicon Steel Master Coil 020CLF070 (20SQGD070)</t>
  </si>
  <si>
    <t xml:space="preserve">PO-25000820 </t>
  </si>
  <si>
    <t>บริษัท เจเอฟอี โชจิ (ประเทศไทย) จำกัด</t>
  </si>
  <si>
    <t>PO-25000867</t>
  </si>
  <si>
    <t xml:space="preserve">CABLE BOX TYPE 1 TR.7700 kVA 3Ph 50Hz 22000-800/800V </t>
  </si>
  <si>
    <t>Box ตัวเสียบ ขนาด 1250x500x1100 มม.</t>
  </si>
  <si>
    <t>Box ตัวเสียบ ขนาด 1640x450x1100 มม.</t>
  </si>
  <si>
    <t>PO-25000868</t>
  </si>
  <si>
    <t>PO-25000859</t>
  </si>
  <si>
    <t>CABLE BOX TYPE 1  TR.2000 kVA 3Ph 50Hz 22000-400/230V</t>
  </si>
  <si>
    <t>PO-25000872</t>
  </si>
  <si>
    <t>CABLE BOX TYPE 1 TR.50 kVA 3Ph 50Hz 22000-400/230V</t>
  </si>
  <si>
    <t>PO-25000938</t>
  </si>
  <si>
    <t>PO-25000941</t>
  </si>
  <si>
    <t>Busbar support cable lock L140 for OD∅32-1Holes </t>
  </si>
  <si>
    <t>Busbar support cable lock L420 for OD∅26-4Holes</t>
  </si>
  <si>
    <t>Busbar support cable lock L600 for OD∅26-6Holes</t>
  </si>
  <si>
    <t>PO-25000869</t>
  </si>
  <si>
    <t>PO-25000691</t>
  </si>
  <si>
    <t>Vertical Oil Level With Contact (ARES)</t>
  </si>
  <si>
    <t>PO-25000745</t>
  </si>
  <si>
    <t>CABLE GLAND Size 32 TYPE A2F</t>
  </si>
  <si>
    <t>PO-25000776</t>
  </si>
  <si>
    <t>PO-25000778</t>
  </si>
  <si>
    <t>PO-25000792</t>
  </si>
  <si>
    <t>UNIOR ประแจแหวนข้างปากตาย 19mm #120/1-19</t>
  </si>
  <si>
    <t>UNIOR ประแจแหวนข้างปากตาย 21mm #120/1-21</t>
  </si>
  <si>
    <t>UNIOR ประแจแหวนข้างปากตาย 24mm #120/1-24</t>
  </si>
  <si>
    <t>ค้อนยางลดแรงกระแทก Soft Face Hammers 09E-055</t>
  </si>
  <si>
    <t>PO-25000812</t>
  </si>
  <si>
    <t>PO-25000830</t>
  </si>
  <si>
    <t>เครื่องเจียรไร้สาย ไร้แปรงถ่าน 100 MM. 20V Max รุ่น DCG405P2</t>
  </si>
  <si>
    <t>PO-25000835</t>
  </si>
  <si>
    <t>Site expense</t>
  </si>
  <si>
    <t>PO-25000856</t>
  </si>
  <si>
    <t>ตู้แช่เย็นมินิมาร์ท FRESHER 2 ประตู รุ่น FR-2DM8 ขนาด 27.6 Q</t>
  </si>
  <si>
    <t>PO-25000884</t>
  </si>
  <si>
    <t>ตู้ Car-Service (L 2,400 W 1,830 H 900 mm) Shelf Scheme : รถ</t>
  </si>
  <si>
    <t>PO-25000909</t>
  </si>
  <si>
    <t>PO-25000945</t>
  </si>
  <si>
    <t>ประแจแหวนข้างปากตาย KINGTONY No.17</t>
  </si>
  <si>
    <t>ประแจแหวนข้างปากตาย KINGTONY No.19</t>
  </si>
  <si>
    <t>ประแจแหวนข้างปากตาย KINGTONY No.13</t>
  </si>
  <si>
    <t>ประแจแหวนข้างปากตาย KINGTONY No.14</t>
  </si>
  <si>
    <t>ประแจแหวนข้างปากตาย KINGTONY No.10</t>
  </si>
  <si>
    <t>PO-25000963</t>
  </si>
  <si>
    <t>น้ำยาป้องกันสะเก็ดงานเชื่อม  ชนิดน้ำ เทอร์มาเทค ขนาด 5 ลิตร</t>
  </si>
  <si>
    <t>GL.</t>
  </si>
  <si>
    <t>คีมจับสายดิน SUMO ขนาด 500A</t>
  </si>
  <si>
    <t xml:space="preserve">กระบอกฉีดน้ำฟอกกี้ สีเหลือง YA01528 ขนาด 1 ลิตร -  สีเหลือง </t>
  </si>
  <si>
    <t>ตะไบแบนแบบละเอียดด้ามไฟเบอร์ 8" PUMPKIN รุ่น 51106</t>
  </si>
  <si>
    <t>ลังทึบ สีน้ำเงิน GW ขนาด 27.5 x 40.5 x 13 cm.</t>
  </si>
  <si>
    <t>Jumbo Bag ขนาด 95x95x135 cm. ปากกรวย-ก้นเรียบ</t>
  </si>
  <si>
    <t>PO-25000970</t>
  </si>
  <si>
    <t>เครื่องดูดไร้สาย18 โวลต์ ความจุ 7.5 ลิตร DEWALT DCV584L-QW (</t>
  </si>
  <si>
    <t>Battery DEWALT 20V/5.0Ah DCB184</t>
  </si>
  <si>
    <t>PO-25000955</t>
  </si>
  <si>
    <t>PO-25000959</t>
  </si>
  <si>
    <t>PO-25000966</t>
  </si>
  <si>
    <t>MIG/MAG Welding Machine Model : KR-350S 380V - Welding Machi</t>
  </si>
  <si>
    <t>PO-25001022</t>
  </si>
  <si>
    <t>PO-25000939</t>
  </si>
  <si>
    <t xml:space="preserve">CABLE BOX TYPE 1 TR.3500 kVA 3Ph 50Hz 22000-800V </t>
  </si>
  <si>
    <t>CABLE BOX TYPE 1 TR.3850 kVA 3Ph 50Hz 22000-800V</t>
  </si>
  <si>
    <t xml:space="preserve">PO-25001053 </t>
  </si>
  <si>
    <t>รถยกไฟฟ้า CDD15JK-RE/350 ขนาด 1.5 ตัน ยกสูง 3.5 เมตร</t>
  </si>
  <si>
    <t>Dusit</t>
  </si>
  <si>
    <t>PO-25001114</t>
  </si>
  <si>
    <t>งานซ่อมถนนคอนกรีตด้านหน้าโรงงาน QTC (ฝั่งโรง FG)</t>
  </si>
  <si>
    <t xml:space="preserve">PO-25001120 </t>
  </si>
  <si>
    <t>กระดาษ Kraft ขนาด 0.25*595 มม.</t>
  </si>
  <si>
    <t>กระดาษ Kraft ขนาด 0.25*513 มม.</t>
  </si>
  <si>
    <t>PO-25001174</t>
  </si>
  <si>
    <t xml:space="preserve">Control Box Type 1 </t>
  </si>
  <si>
    <t>PO-25001161</t>
  </si>
  <si>
    <t>CABLE BOX TYPE 1 TR.5000 kVA 3Ph 50Hz 22000-800/800V</t>
  </si>
  <si>
    <t>Control Box  Aluminuim gland plate (W350xL250xH500)</t>
  </si>
  <si>
    <t>PO-25001108</t>
  </si>
  <si>
    <t>ลวดแบนหุ้มกระดาษหนา 0.5 มม. ขนาด 2.2x9 มม.</t>
  </si>
  <si>
    <t>PO-25001110</t>
  </si>
  <si>
    <t>PO-25001143</t>
  </si>
  <si>
    <t>Thermal Overload Relay "Mitsubishi รุ่น TH-T18 1NO+1NC"  0.7</t>
  </si>
  <si>
    <t>PO-25000890</t>
  </si>
  <si>
    <t>ผนังกั้นดินสูง 2 เมตร ยาว 53 เมตร</t>
  </si>
  <si>
    <t>PO-25000931</t>
  </si>
  <si>
    <t>งานวางท่อหน้ากว้าง 40 ซม. 30 ท่อน ท่อนละ 1 เมตร</t>
  </si>
  <si>
    <t>PO-25000553</t>
  </si>
  <si>
    <t>XIN CHENG INDUSTRY MATERIAL CO., LTD.</t>
  </si>
  <si>
    <t>PO-25001077</t>
  </si>
  <si>
    <t>PO-25001026</t>
  </si>
  <si>
    <t>บริษัท โมริ-เทค แมชชีนเนอรี่ (ประเทศไทย) จำกัด</t>
  </si>
  <si>
    <t>Laser Source 1500W (RECI)</t>
  </si>
  <si>
    <t>PO-25001033</t>
  </si>
  <si>
    <t>ค่าดำเนินการงานติดตั้งท่อน้ำดี</t>
  </si>
  <si>
    <t>PO-25001065</t>
  </si>
  <si>
    <t>พัดลมอุตสาหกรรมใบฟ้า ติดผนัง VENZ-F3C ขนาด 18 นิ้ว</t>
  </si>
  <si>
    <t>พัดลมติดผนังส่ายได้ VENZ ขนาด 24" รุ่น F1C</t>
  </si>
  <si>
    <t>PO-25001066</t>
  </si>
  <si>
    <t>ตลับเก็บสายลม OK-A15/9.5x15.8มม. ยาว 15 เมตร OKURA</t>
  </si>
  <si>
    <t>YUSHI FF-75M พัดลมตั้งพื้น 30"</t>
  </si>
  <si>
    <t>PO-25001068</t>
  </si>
  <si>
    <t>แม่เหล็กยกชิ้นงาน 600 KG.</t>
  </si>
  <si>
    <t>PO-25001094</t>
  </si>
  <si>
    <t>สว่านกระแทกไร้สาย 13มม. 18V GSB18V-65 แบต 2.0Ahx2 + แท่นชาร์</t>
  </si>
  <si>
    <t>ชุด</t>
  </si>
  <si>
    <t>PO-25001096</t>
  </si>
  <si>
    <t>ค่าดำเนินการ งานซ่อมถนนคอนกรีตด้านหน้าโรงงาน QTC (ฝั่งโรง FG)</t>
  </si>
  <si>
    <t>PO-25001084</t>
  </si>
  <si>
    <t>PO-25000764</t>
  </si>
  <si>
    <t>PO-25001002</t>
  </si>
  <si>
    <t>PO-25001130</t>
  </si>
  <si>
    <t>PO-25001206</t>
  </si>
  <si>
    <t>PO-25001252</t>
  </si>
  <si>
    <t>Copper Bar สำเร็จรูป สำหรับTR.7700 kVA</t>
  </si>
  <si>
    <t>PO-25001334</t>
  </si>
  <si>
    <t>ข้อต่อตรงเกลียวใน 1/2" (14G) x  เกลียวนอก M25 *1.5 (สแตนเลส)</t>
  </si>
  <si>
    <t xml:space="preserve">PO-25001384 </t>
  </si>
  <si>
    <t>สตัดโบลท์สแตนเลส ขนาด M8 x 140 mm. (เกลียว 1.25 มม.)</t>
  </si>
  <si>
    <t>สตัดโบลท์สแตนเลส ขนาด M8 x 210 mm. (เกลียว 1.25 มม.)</t>
  </si>
  <si>
    <t>สตัดโบลท์สแตนเลส ขนาด M8 x 250 mm. (เกลียว 1.25 มม.)</t>
  </si>
  <si>
    <t>สตัดโบลท์สำเร็จรูปสแตนเลส ขนาด M8 x 230 มม. (เกลียว 1.25 มม.</t>
  </si>
  <si>
    <t>สตัดโบลท์สำเร็จรูปสแตนเลส ขนาด M8 x 320 มม.(เกลียว 1.25 มม.)</t>
  </si>
  <si>
    <t>PO-25001440</t>
  </si>
  <si>
    <t>เหล็กแผ่น SS400 หนา 25.0 มม. ขนาด 170 x 300 มม. (Part No.1)</t>
  </si>
  <si>
    <t>เหล็กแผ่น SS400 หนา 25.0 มม. ขนาด 240 x 190 มม. (Part No.2)</t>
  </si>
  <si>
    <t>เหล็กแผ่น SS400 หนา 25.0 มม. ขนาด 295 x 75 มม. (Part No.3)</t>
  </si>
  <si>
    <t>PO-25001395</t>
  </si>
  <si>
    <t>Control Box Type 1</t>
  </si>
  <si>
    <t>PO-25001445</t>
  </si>
  <si>
    <t>Pipe  fo pressurerelief VP080-QT</t>
  </si>
  <si>
    <t>PO-25001281</t>
  </si>
  <si>
    <t>CABLE BOX TYPE 1 TR.1500 kVA 3Ph 50Hz 22000/12702-800V</t>
  </si>
  <si>
    <t>CABLE BOX TYPE 1 TR.4500(2250/2250) kVA 3Ph 50Hz 22000/1270V</t>
  </si>
  <si>
    <t>PO-25001453</t>
  </si>
  <si>
    <t>LV Stainless Plate  SUS 304  ขนาด 330*700*6 มม.</t>
  </si>
  <si>
    <t>PO-25001210</t>
  </si>
  <si>
    <t>PO-25001271</t>
  </si>
  <si>
    <t>PO-25001286</t>
  </si>
  <si>
    <t>Rubber bag size X=1300,Y=750,G=350 (Conser dia. 450x1000mm)</t>
  </si>
  <si>
    <t>PO-25001312</t>
  </si>
  <si>
    <t>PO-25001313</t>
  </si>
  <si>
    <t>PO-25001343</t>
  </si>
  <si>
    <t xml:space="preserve">ลวดแบนหุ้มกระดาษหนา </t>
  </si>
  <si>
    <t>PO-25001371</t>
  </si>
  <si>
    <t>PO-25001376</t>
  </si>
  <si>
    <t>PO-25001382</t>
  </si>
  <si>
    <t>PO-25001383</t>
  </si>
  <si>
    <t>PO-25001475</t>
  </si>
  <si>
    <t>ทองแดงเส้นแบนขนาด 10x200mm. (สำหรับงาน SOD-250112)</t>
  </si>
  <si>
    <t>PO-25001520</t>
  </si>
  <si>
    <t>ลวดแบนหุ้มกระดาษหนา 0.5 มม. ขนาด 2.6*7 มม.</t>
  </si>
  <si>
    <t>PO-25001529</t>
  </si>
  <si>
    <t>CT 25/1A Current Transformer Class 5P10 5VA Cast resin</t>
  </si>
  <si>
    <t>PO-25001484</t>
  </si>
  <si>
    <t xml:space="preserve">Control Box (Lamp + Limit switch) </t>
  </si>
  <si>
    <t xml:space="preserve">PO-25001558 </t>
  </si>
  <si>
    <t>CABLE BOX TYPE 1 TR.7000 kVA 3Ph 50Hz 22000-800/800V</t>
  </si>
  <si>
    <t>PO-25001591</t>
  </si>
  <si>
    <t>Copper Bar สำเร็จรูป สำหรับTR.7000 kVA</t>
  </si>
  <si>
    <t>PO-25001592</t>
  </si>
  <si>
    <t>PO-25001526</t>
  </si>
  <si>
    <t>PO-25001192</t>
  </si>
  <si>
    <t>ถังขยะ(ใส)ฝาสี่เหลี่ยม 60 ลิตร(ฝาสีเหลือง สกรีน ขยะรีไซเคิล)</t>
  </si>
  <si>
    <t>ถังขยะ (ใส) ฝาสี่เหลี่ยม 60 ลิตร (ฝาสีน้ำเงิน) สกีนขยะทั่วไป</t>
  </si>
  <si>
    <t>PO-25001194</t>
  </si>
  <si>
    <t xml:space="preserve">ไฟฉุกเฉิน Sunny รุ่น CU209CD6 LED 12V 9Watt (12V7Ah) backup </t>
  </si>
  <si>
    <t>PO-25001260</t>
  </si>
  <si>
    <t>บริษัท ดีเคเอสเอช เทคโนโลยี จำกัด</t>
  </si>
  <si>
    <t>Nittoseiko Analytech COULOMETRIC CELL W/O DRAIN - PORT CA-31</t>
  </si>
  <si>
    <t>PO-25001261</t>
  </si>
  <si>
    <t>ลูกขัดสก็อตไบรค์ ขนาด 4"*515"</t>
  </si>
  <si>
    <t>PO-25001303</t>
  </si>
  <si>
    <t>Transformer testing system (ATTS)</t>
  </si>
  <si>
    <t>Unit</t>
  </si>
  <si>
    <t>PO-25001323</t>
  </si>
  <si>
    <t>โคมสปอร์ตไลท์แบบโซล่าเซล์ 1000 W</t>
  </si>
  <si>
    <t>PO-25001398</t>
  </si>
  <si>
    <t xml:space="preserve">เชือกฟางม้วนใหญ่ หน้ากว้าง 2.5-3นิ้ว ยาวประมาณ 130-140 เมตร </t>
  </si>
  <si>
    <t>PO-25001400</t>
  </si>
  <si>
    <t>ดอกเจียรคาร์ไบด์ MD6-1625 Cone Shape Super Cut</t>
  </si>
  <si>
    <t>PO-25001401</t>
  </si>
  <si>
    <t>น้ำยาเคลือบเงาพื้น 3M SUPER SHINE 3.8L (บรรจุ4แกลลอน/ลัง)</t>
  </si>
  <si>
    <t>PO-25001402</t>
  </si>
  <si>
    <t>5006681 กระดาษโฟโต้ชนิดมันเงา A4 180แกรม (50แผ่น) แกมม่า</t>
  </si>
  <si>
    <t>แพ็ค</t>
  </si>
  <si>
    <t>PO-25001423</t>
  </si>
  <si>
    <t>รถเข็นเหล็ก 2ล้อ หลังโค้ง รับน้ำหนักได้ 100 kg. - 150kg.</t>
  </si>
  <si>
    <t>PO-25001427</t>
  </si>
  <si>
    <t>คอปเปอร์สายลม SF ขนาด 3/8”</t>
  </si>
  <si>
    <t>คอปเปอร์สายลม PF ขนาด 3/8”</t>
  </si>
  <si>
    <t>สีน้ำมันเงา Glipton #175 BUTTER CUP (กล) TOA</t>
  </si>
  <si>
    <t>สีน้ำมันเงา Glipton #359 DEEP BLUE (กล) TOA</t>
  </si>
  <si>
    <t>PO-25001430</t>
  </si>
  <si>
    <t xml:space="preserve">NBR RUBBER SHEET Size: T.10mm x W. 10m x L. 50m </t>
  </si>
  <si>
    <t>PO-2500147</t>
  </si>
  <si>
    <t>ค้อนแปดเหลี่ยม ขนาด 3 ปอนด์ ความยาว 300มม.</t>
  </si>
  <si>
    <t>PO-25001473</t>
  </si>
  <si>
    <t>กรรไกรตัดสังกระสี STANLEY 10" รุ่น : 14-564</t>
  </si>
  <si>
    <t>PO-25001481</t>
  </si>
  <si>
    <t>โอเค พรีเมี่ยม</t>
  </si>
  <si>
    <t>พัดสปริงผ้าเงินซิลเวอร์ สกรีน 1 จุด 1 สี</t>
  </si>
  <si>
    <t>PO-25001422</t>
  </si>
  <si>
    <t>สายพาน GATES Micro-V 150J8 ฟันนูน ความยาวรอบวง15นิ้ว 8ฟันนูน</t>
  </si>
  <si>
    <t>PO-25001562</t>
  </si>
  <si>
    <t>ตลับเมตร STANLEY ยาว 5 เมตร รุ่น Powerlock #33‐158 - ตลับเมต</t>
  </si>
  <si>
    <t>PO-25001607</t>
  </si>
  <si>
    <t>หางปลาต่อสายแบบกลมเปลือย ยี่ห้อ T-LUG CL300-12</t>
  </si>
  <si>
    <t>PO-25001606</t>
  </si>
  <si>
    <t>บริษัท ฟูจิ ทัสโก้ คอร์รูเกท จำกัด</t>
  </si>
  <si>
    <t>Tank-Cover TR.7700 kVA 3Ph 50Hz 22000-800/800V</t>
  </si>
  <si>
    <t>PO-25001538</t>
  </si>
  <si>
    <t>PO-25001556</t>
  </si>
  <si>
    <t>PO-25001369</t>
  </si>
  <si>
    <t>PO-25001467</t>
  </si>
  <si>
    <t>PO-25001500</t>
  </si>
  <si>
    <t>PO-25001638</t>
  </si>
  <si>
    <t>PO-25001634</t>
  </si>
  <si>
    <t>PO-25001656</t>
  </si>
  <si>
    <t>PO-25001657</t>
  </si>
  <si>
    <t>ลวดแบนหุ้มกระดาษหนา 0.5 มม. ขนาด 2.6*8 มม.</t>
  </si>
  <si>
    <t>PO-25001675</t>
  </si>
  <si>
    <t>PO-25001687</t>
  </si>
  <si>
    <t>PO-25001711</t>
  </si>
  <si>
    <t>บริษัท ตั้งเซียะปิงโลหะ จำกัด</t>
  </si>
  <si>
    <t>ฝาถังหม้อแปลง TR.5140 kVA 3Ph 50Hz 22000-690V</t>
  </si>
  <si>
    <t>ตัวถังหม้อแปลง TR.5140 kVA 3Ph 50Hz 22000-690V</t>
  </si>
  <si>
    <t>PO-25001672</t>
  </si>
  <si>
    <t>PO-25001723</t>
  </si>
  <si>
    <t>PO-25001722</t>
  </si>
  <si>
    <t>PO-25001712</t>
  </si>
  <si>
    <t>PO-25001763</t>
  </si>
  <si>
    <t>PO-25001770</t>
  </si>
  <si>
    <t xml:space="preserve">PO-25001768 </t>
  </si>
  <si>
    <t>PO-25001706</t>
  </si>
  <si>
    <t>CABLE BOX TYPE 1 TR.5140 kVA 3Ph 50Hz 22000-690V</t>
  </si>
  <si>
    <t>PO-25001819</t>
  </si>
  <si>
    <t>สแต๊กเกอร์ลากพาเลทกึ่งไฟฟ้า งาแบบ Fork over Model: CBS15J/M300</t>
  </si>
  <si>
    <t>PO-25001869</t>
  </si>
  <si>
    <t>PO-25001870</t>
  </si>
  <si>
    <t>PO-25001868</t>
  </si>
  <si>
    <t>PO-25001805</t>
  </si>
  <si>
    <t>ทองแดงเส้นแบนขนาด 10x200mm. (L=300 มม.)</t>
  </si>
  <si>
    <t>PO-25001806</t>
  </si>
  <si>
    <t>PO-25001841</t>
  </si>
  <si>
    <t>CT 400/5A Current Transformer Class 5P20 5VA(Cast Resin) P</t>
  </si>
  <si>
    <t>PO-25001843</t>
  </si>
  <si>
    <t>PO-25001855</t>
  </si>
  <si>
    <t>หางปลาต่อสายแบบกลมเปลือย ยี่ห้อ T-LUG CL50-12 / T-LUG CL50-8</t>
  </si>
  <si>
    <t>PO-25001886</t>
  </si>
  <si>
    <t>PO-25001887</t>
  </si>
  <si>
    <t>PO-25001890</t>
  </si>
  <si>
    <t>PO-25001891</t>
  </si>
  <si>
    <t>บริษัท ยู-อิเล็คทริค ซิสเต็ม จำกัด</t>
  </si>
  <si>
    <t>Plug in Bushing (Formfit)  FMBOM-250-24kV.  Interface A</t>
  </si>
  <si>
    <t>ELBOW SEPARABLE CONNECTOR FMCE-250-G-24-T3-C70</t>
  </si>
  <si>
    <t>PO-25001894</t>
  </si>
  <si>
    <t>PO-25001926</t>
  </si>
  <si>
    <t>PO-25001927</t>
  </si>
  <si>
    <t>ลวดกลมอาบน้ำยา ขนาด 2.00 มม.</t>
  </si>
  <si>
    <t>PO-25001956</t>
  </si>
  <si>
    <t>น้ำมันหม้อแปลง HYVOLT II (ASTM D3487)</t>
  </si>
  <si>
    <t>PO-25001976</t>
  </si>
  <si>
    <t>บริษัท บี.เค.เอทีเอ็ม เซอร์วิส จำกัด</t>
  </si>
  <si>
    <t>รับจ้างรายวัน รถเครน 50 ตัน 12 ล้อ ใช้งาน วันที่ 28/5/68</t>
  </si>
  <si>
    <t>PO-25001977</t>
  </si>
  <si>
    <t>รับจ้างรายวัน รถเครน 50 ตัน 12 ล้อ ใช้งาน วันที่ 24/5/68</t>
  </si>
  <si>
    <t>PO-25001980</t>
  </si>
  <si>
    <t>PO-25002003</t>
  </si>
  <si>
    <t>PO-25002013</t>
  </si>
  <si>
    <t>PO-25002014</t>
  </si>
  <si>
    <t>PO-25001986</t>
  </si>
  <si>
    <t>บริษัท ตั้งเซียะปิงโลหะกิจ จำกัด</t>
  </si>
  <si>
    <t>Conservator Tank TR.2000 kVA 3Ph 50Hz 22000-400V</t>
  </si>
  <si>
    <t>Conservator Tank TR.7000 kVA 3Ph 50Hz 22000-800/800V</t>
  </si>
  <si>
    <t>Conservator Tank TR.7700 kVA 3Ph 50Hz 22000-800/800V</t>
  </si>
  <si>
    <t>Conservator Tank TR.5140 kVA 3Ph 50Hz 22000 - 690V</t>
  </si>
  <si>
    <t>PO-25002012</t>
  </si>
  <si>
    <t>หางปลาต่อสายแบบกลมเปลือย ยี่ห้อ T-LUG CL50-12 /  T-LUG CL50-8</t>
  </si>
  <si>
    <t>PO-25001679</t>
  </si>
  <si>
    <t>PO-25001678</t>
  </si>
  <si>
    <t>Tap Changer 36kV-60A-L320 BIL200 5 Position</t>
  </si>
  <si>
    <t>PO-25002064</t>
  </si>
  <si>
    <t>PO-25002051</t>
  </si>
  <si>
    <t>บัสบาร์ซัพพอร์ทแรงต่ำ 1 เฟส ยี่ห้อ Muller รุ่น MLR-40-8</t>
  </si>
  <si>
    <t>PO-25001615</t>
  </si>
  <si>
    <t>สลิงโพลีเอสเตอร์ (สลิงผ้าใบ) หน้ากว้าง 125 มม. ยาว 10 เมตร W</t>
  </si>
  <si>
    <t>PO-25001653</t>
  </si>
  <si>
    <t xml:space="preserve">ขวดใส่สารละลายเคมี PE Size: 250ml. (ฝาสีดำ/จุกใน) </t>
  </si>
  <si>
    <t xml:space="preserve">PO-25001658 </t>
  </si>
  <si>
    <t>ALLWAY ชอล์คหินขีดเหล็กสีขาวแท่งเหลี่ยม ขนาด 100X10X10mm. (ข</t>
  </si>
  <si>
    <t>PO-25001677</t>
  </si>
  <si>
    <t>บริษัท อิมพีเรียลไฟร์เอ็นจิเนียริ่ง จำกัด</t>
  </si>
  <si>
    <t>เปลี่ยนตู้ Control FM-200 System (RP-2002E) Server Room กทม.</t>
  </si>
  <si>
    <t>PO-25001681</t>
  </si>
  <si>
    <t>Marvel ME-60 Cable Cutters คีมตัดสายไฟ</t>
  </si>
  <si>
    <t>ตราช้าง ที่เจาะกระดาษ 1 รู รุ่น SP-100</t>
  </si>
  <si>
    <t>PO-25001682</t>
  </si>
  <si>
    <t>KENNEDY คีมปากจิ้งจก กันไฟ 180mm/7"</t>
  </si>
  <si>
    <t>PO-25001694</t>
  </si>
  <si>
    <t>สายลมPU ยี่ห้อ FESTO (PUN 10*1.5-BL)</t>
  </si>
  <si>
    <t>สายลมPU ยี่ห้อ FESTO (PUN 8*1.25-BL)</t>
  </si>
  <si>
    <t>สายลมPU ยี่ห้อ FESTO (PUN 6*1-BL)</t>
  </si>
  <si>
    <t>WURTH สเปรย์จารบี HHS200 ขนาด 500ml</t>
  </si>
  <si>
    <t>PO-25001703</t>
  </si>
  <si>
    <t>เจาะบาดาลลึก 160 เมตร ขนาด 6 นิ้ว</t>
  </si>
  <si>
    <t>PO-25001713</t>
  </si>
  <si>
    <t xml:space="preserve">เครื่องสแกนใบหน้า ยี่ห้อ HIP รุ่น CI F69S </t>
  </si>
  <si>
    <t>กล่องอะลีลิคครอปเครื่องสแกนนิ้ว สีใส สำหรับรุ่น CIF69S</t>
  </si>
  <si>
    <t>งานติดตั้งเครื่องสแกนใบหน้า</t>
  </si>
  <si>
    <t xml:space="preserve">PO-25001738 </t>
  </si>
  <si>
    <t>ม่านบังแดดด้านหน้าผ้าซิลเวอร์ ทรงแว่นตาไม่มีชาย พร้อมซองกลม</t>
  </si>
  <si>
    <t xml:space="preserve">PO-25001750 </t>
  </si>
  <si>
    <t>คอปเปอร์สายลม SM-30 ข้อต่อสวมเร็ว ช็อคเก็ต 3/8"เกลียวนอก</t>
  </si>
  <si>
    <t>คอปเปอร์สายลม PM-30 ข้อต่อสวมเร็ว ปลั๊ก 3/8"เกลียวนอก</t>
  </si>
  <si>
    <t>PO-25001751</t>
  </si>
  <si>
    <t>WURTH HHS 2000 – สเปร์ยจารบีใส ขนาด 500 มิลลิลิตร</t>
  </si>
  <si>
    <t xml:space="preserve">PO-25001771 </t>
  </si>
  <si>
    <t>โฮลซอเจาะสแตนเลส/เหล็ก TCT 40 มม. BOSCH</t>
  </si>
  <si>
    <t>PO-25001774</t>
  </si>
  <si>
    <t>รถเข็นเครื่องมือ 3 ชั้นโล่ง+1 ลิ้นชัก G-SM-TTC03-1D SMART</t>
  </si>
  <si>
    <t>PO-25001777</t>
  </si>
  <si>
    <t>ถ่านอัลคาไลน์ PANASONIC ไซค์ C LR14T แพ็ก 2 ก้อน</t>
  </si>
  <si>
    <t>ถ่านกระดุมลิเธี่ยม Panasonic CR-2032PT/1B</t>
  </si>
  <si>
    <t>PO-25001779</t>
  </si>
  <si>
    <t>บริษัท โบลิน ยูนิฟอร์ม จำกัด</t>
  </si>
  <si>
    <t>เสื้อยืดคอกลมแขนสั้น สกรีนอกซ้าย 1จุด "Freesize"</t>
  </si>
  <si>
    <t>PO-25001793</t>
  </si>
  <si>
    <t>รถเข็น 4 ล้อ MATALL สีดำ รับน้ำหนักสูงสุด: 300 กก.</t>
  </si>
  <si>
    <t>PO-25001794</t>
  </si>
  <si>
    <t>0010711 กล่องลิ้นชักใส่ของอเนกประสงค์ คีย์เวย์ CK-224</t>
  </si>
  <si>
    <t>2003521 ชุดเครื่องเย็บ+ลวด No.10 แม็กซ์ HD-10D</t>
  </si>
  <si>
    <t>1121263 ปากกาเขียนแผ่นใสลบไม่ได้ น้ำเงิน เอ็ดติ้ง 142M</t>
  </si>
  <si>
    <t>PO-25001832</t>
  </si>
  <si>
    <t>2IN1 Wireless Logitech MK235 Black - เมาส์และคีย์บอร์ดไร้สาย</t>
  </si>
  <si>
    <t>PO-25001833</t>
  </si>
  <si>
    <t>PO-25001857</t>
  </si>
  <si>
    <t>STANLEY กรรไกรตัดแผ่นโลหะ ตัดตรง 14 นิ้ว #14-166</t>
  </si>
  <si>
    <t>B-0007 ลังพลาสติกทึบ ขนาดภายใน : 345x565x180mm.</t>
  </si>
  <si>
    <t>PO-25001888</t>
  </si>
  <si>
    <t>พาเลทไม้ขนาด 1000*800*120 (ก*ย*ส) มม.</t>
  </si>
  <si>
    <t>PO-25001896</t>
  </si>
  <si>
    <t>แบตเตอรี่ 12V 5.0Ah M12 HB5 MILWAUKEE</t>
  </si>
  <si>
    <t>PO-25001897</t>
  </si>
  <si>
    <t>รื้อถอนงานร้ัวเก่า มาติดใหม่ตรงงานร้ัวที่พัง</t>
  </si>
  <si>
    <t>PO-25001899</t>
  </si>
  <si>
    <t>PCS</t>
  </si>
  <si>
    <t>PO-25001930</t>
  </si>
  <si>
    <t>งานรื้อเต็นท์เก่าออกและติดตั้งเต็นท์ใหม่</t>
  </si>
  <si>
    <t>PO-25001932</t>
  </si>
  <si>
    <t>เครื่องตัดหญ้าสะพายบ่า 4 จังหวะ HONDA รุ่น UMK435 T</t>
  </si>
  <si>
    <t>PO-25001943</t>
  </si>
  <si>
    <t>ชั้นวางของ 5 ชั้น สแตนเลส กว้าง 73 x ลึก 40 x สูง 175 ซม.</t>
  </si>
  <si>
    <t xml:space="preserve">PO-25001960 </t>
  </si>
  <si>
    <t>PO-25001962</t>
  </si>
  <si>
    <t>ชุดด้าม SJEASYMOP รุ่น ALL RIGHT สีทองแดง ไม้ถูพื้น</t>
  </si>
  <si>
    <t>PO-25001975</t>
  </si>
  <si>
    <t>TONE ลูกบล็อคยาว 6 เหลี่ยม ขนาด 1/2” ขนาด17มม. Model 4S-17L</t>
  </si>
  <si>
    <t>TONE ลูกบล็อคยาว 6 เหลี่ยม ขนาด 1/2” ขนาด19มม. Model 4S-19L</t>
  </si>
  <si>
    <t>TONE ลูกบล็อคยาว 6 เหลี่ยม ขนาด 1/2” ขนาด20มม. Model 4S-20L</t>
  </si>
  <si>
    <t>TONE ลูกบล็อคยาว 6 เหลี่ยม ขนาด 1/2” ขนาด21มม. Model 4S-21L</t>
  </si>
  <si>
    <t>PO-25002072</t>
  </si>
  <si>
    <t>PO-25002027</t>
  </si>
  <si>
    <t>PO-25002039</t>
  </si>
  <si>
    <t>Shell Diala  S4 ZX-I (ถังละ 200 ลิตร)</t>
  </si>
  <si>
    <t>PO-25002087</t>
  </si>
  <si>
    <t>PO-25002104</t>
  </si>
  <si>
    <t>Terminal Block UK6 No.3004524</t>
  </si>
  <si>
    <t>PO-25002150</t>
  </si>
  <si>
    <t>Insulating Supports แรงสูง24kV ยี่ห้อ GEORG JORDRN และรุ่น AB</t>
  </si>
  <si>
    <t>PO-25002160</t>
  </si>
  <si>
    <t>PO-25002135</t>
  </si>
  <si>
    <t>PO-25002231</t>
  </si>
  <si>
    <t>โกล์พวาวล์ ขนาด 1 1/4"10SJBF</t>
  </si>
  <si>
    <t>PO-25002235</t>
  </si>
  <si>
    <t>PO-25002171</t>
  </si>
  <si>
    <t>CABLE BOX TYPE 1 TR.2000 kVA 3Ph 50Hz 33000-400V</t>
  </si>
  <si>
    <t>PO-25002249</t>
  </si>
  <si>
    <t>Pack &amp; Lashing +Cert. Container 20FR SOF240093</t>
  </si>
  <si>
    <t>PO-25002275</t>
  </si>
  <si>
    <t>Support for thermometer</t>
  </si>
  <si>
    <t>PO-25002294</t>
  </si>
  <si>
    <t xml:space="preserve">แผ่น Aluminium Plate </t>
  </si>
  <si>
    <t>PO-25002295</t>
  </si>
  <si>
    <t>PO-25002299</t>
  </si>
  <si>
    <t>PO-25002298</t>
  </si>
  <si>
    <t>PO-25002337</t>
  </si>
  <si>
    <t>PO-25002366</t>
  </si>
  <si>
    <t>Rubber bag size X=1985,Y=985,G=800 (Conser dia. 600x1600mm)</t>
  </si>
  <si>
    <t>PO-25002438</t>
  </si>
  <si>
    <t>PO-25002415</t>
  </si>
  <si>
    <t>ค่ารถเครน 50 ตัน ยกหม้อแปลง QTC 14-15/6/68</t>
  </si>
  <si>
    <t>PO-25002445</t>
  </si>
  <si>
    <t>PO-25002473</t>
  </si>
  <si>
    <t>PO-25002085</t>
  </si>
  <si>
    <t>คอปเปอร์เหล็กสายลม SF-20</t>
  </si>
  <si>
    <t>คอปเปอร์เหล็กสายลม PF-20</t>
  </si>
  <si>
    <t>PO-25002099</t>
  </si>
  <si>
    <t xml:space="preserve">บล็อกไร้สาย MAKITA TW161DWYE 12V ขนาด 1/2 นิ้ว </t>
  </si>
  <si>
    <t>PO-25002105</t>
  </si>
  <si>
    <t>ข้อต่อสวมเร็ว แบบเหล็ก 80SN NITTO</t>
  </si>
  <si>
    <t>PO-25002113</t>
  </si>
  <si>
    <t>รถยกลาก 2.5 ตัน BF P.B.LIFTMACH หน้ากว้าง 520x1150 ล้อคู่ PU</t>
  </si>
  <si>
    <t>PO-25002153</t>
  </si>
  <si>
    <t>TOTAL ประแจแหวนฟรีข้างปากตาย 10mm TCSPAR101</t>
  </si>
  <si>
    <t>KENNEDY ประแจปากตายข้างเดียว 46mm.</t>
  </si>
  <si>
    <t>KENNEDY ประแจเลื่อน 250mm. KEN5011100K</t>
  </si>
  <si>
    <t>KENNEDY ประแจปากตายข้างเดียว 55mm.</t>
  </si>
  <si>
    <t>PO-25002154</t>
  </si>
  <si>
    <t>กล่องพลาสติก#137 สีน้ำเงิน ขนาดภายนอก150x230x125 mm. (กxยxส)</t>
  </si>
  <si>
    <t>กล่องพลาสติก#139 สีน้ำเงิน ขนาดภายนอก295x455x185 mm. (กxยxส)</t>
  </si>
  <si>
    <t>ลังพลาสติกทึบ#171 สีน้ำเงิน External: 420x610x405 mm.</t>
  </si>
  <si>
    <t>ประแจหกเหลี่ยมหัวบอลด้ามตัว T 4mm. 83108 SATA</t>
  </si>
  <si>
    <t>PO-25002164</t>
  </si>
  <si>
    <t>Concrete fence 1.Dismantle concrete old fence154m.2. Transpo</t>
  </si>
  <si>
    <t>PO-25002192</t>
  </si>
  <si>
    <t>ดินสอพองถุง ยี่ห้อชลมณี(ลพบุรี) ผงบดละเอียด</t>
  </si>
  <si>
    <t>PO-25002193</t>
  </si>
  <si>
    <t>ดอกเจียร์คาร์ไบท์แกนมิล รุ่น SL 60466-16X33XL77มิล IMCO</t>
  </si>
  <si>
    <t>PO-25002199</t>
  </si>
  <si>
    <t>Cartridge Ribbon EPSON LQ-590 Original S015589</t>
  </si>
  <si>
    <t>PO-25002201</t>
  </si>
  <si>
    <t>กล่องอะไหล่ #139 กว้าง 295 x ยาว 455 x สูง 185 mm. สีน้ำเงิน</t>
  </si>
  <si>
    <t>PO-25002220</t>
  </si>
  <si>
    <t>รถยกลาก 3 ตัน BF P.B.LIFTMACH หน้ากว้าง 685x1220 ลายงามี 2ล้อ ล้อ PU</t>
  </si>
  <si>
    <t>PO-25002221</t>
  </si>
  <si>
    <t>3001345 แท่นตัดเทป น้ำเงิน ONE ESSENTIALS</t>
  </si>
  <si>
    <t>PO-25002222</t>
  </si>
  <si>
    <t>THAI SUN SPORT ไม้ถูพื้นแบบแบน รุ่น CLEANING07</t>
  </si>
  <si>
    <t>Cleaning OKER</t>
  </si>
  <si>
    <t>ที่ถอนลวด 2.1*13*6.1 ซม.</t>
  </si>
  <si>
    <t>PO-25002224</t>
  </si>
  <si>
    <t>ไฟฉายคาดหัว LED SAFETY ANZEN</t>
  </si>
  <si>
    <t>PO-25002225</t>
  </si>
  <si>
    <t xml:space="preserve">สว่านกระแทกไร้สายBOSCH GSB 18V-65 Professional (รุ่นใหม่) </t>
  </si>
  <si>
    <t>ตะกร้าผลไม้หูเหล็ก บรรจุ 25kg. ขนาด 38 x 59 x 33 (สีเขียว)</t>
  </si>
  <si>
    <t>PO-25002226</t>
  </si>
  <si>
    <t>POLO ดอกเจาะเหล็กคัตเตอร์คาร์ไบด์ Dia. 22x35mm.</t>
  </si>
  <si>
    <t>POLO ดอกเจาะเหล็กคัตเตอร์คาร์ไบด์ Dia. 38x35มม.</t>
  </si>
  <si>
    <t>PO-25002259</t>
  </si>
  <si>
    <t>Z-ONEZK-0206B ชุดปืนใช้ดูดฝุ่นได้</t>
  </si>
  <si>
    <t>PO-25002270</t>
  </si>
  <si>
    <t>ปลั๊กตัวผู้ 3 ขา HALOSHI</t>
  </si>
  <si>
    <t>PO-25002271</t>
  </si>
  <si>
    <t>บอลลำเลียงมีฐานยึด รุ่น 25SSBRA25</t>
  </si>
  <si>
    <t>ล้อแป้นหมุนมีเบรค รุ่น PA100B1</t>
  </si>
  <si>
    <t>PO-25002281</t>
  </si>
  <si>
    <t>เลื่อยตัดเหล็กโครงเหล็ก 12" 15-166 STANLEY</t>
  </si>
  <si>
    <t>อัน</t>
  </si>
  <si>
    <t>PO-25002282</t>
  </si>
  <si>
    <t>YA40926 STANLEY STHT65188-8 ไขควงปากแบน 5x150 mm.</t>
  </si>
  <si>
    <t>PO-25002283</t>
  </si>
  <si>
    <t>ปลอกหุ้มหางปลา สีเทา VC-014GR - ขนาด 16  SQ.MM.</t>
  </si>
  <si>
    <t>ปลอกหุ้มหางปลา สีดำ VC-014B - ขนาด 16 SQ.MM.</t>
  </si>
  <si>
    <t>ปลอกหุ้มหางปลา สีน้ำตาล VC-014BR - ขนาด 16 SQ.MM.</t>
  </si>
  <si>
    <t>กรรไกรจีน ขนาด 10 นิ้ว สีเหลือง-แดง</t>
  </si>
  <si>
    <t>PO-25002284</t>
  </si>
  <si>
    <t>PO-25002287</t>
  </si>
  <si>
    <t>ประแจแหวนข้างปากตาย STANLEY เบอร์ 17</t>
  </si>
  <si>
    <t>PO-25002288</t>
  </si>
  <si>
    <t>แท่นตัดเทปรุ่นM-01คละสี Elephant ใส่เทปหน้ากว้าง1/2"หรือ 3/4</t>
  </si>
  <si>
    <t>PO-25002483</t>
  </si>
  <si>
    <t>บันไดติดล้อสแตนเลส SUS304 W800xD1700xH1:2000xH2:900xH2900</t>
  </si>
  <si>
    <t>PO-25002451</t>
  </si>
  <si>
    <t>ค่าเครน 25 ตัน สำหรับงานย้ายและติดตั้งผนังกันดินสำเร็จรูป</t>
  </si>
  <si>
    <t>วัน</t>
  </si>
  <si>
    <t>ค่าเครน 25 ตัน สำหรับงานย้ายและติดตั้งผนังกันดินสำเร็จรูป อาคารอะมอฟัส</t>
  </si>
  <si>
    <t>PO-25002532</t>
  </si>
  <si>
    <t>งานปรับปรุงห้องน้ำอาคารโรงงาน 3 (รายการตาม BOQ)</t>
  </si>
  <si>
    <t>PO-25002553</t>
  </si>
  <si>
    <t>PO-25002571</t>
  </si>
  <si>
    <t>PO-25002243</t>
  </si>
  <si>
    <t>PO-25002325</t>
  </si>
  <si>
    <t>PO-25002183</t>
  </si>
  <si>
    <t>ค่ารถเครน 50 ตัน ยกหม้อแปลง QTC 29/5/68</t>
  </si>
  <si>
    <t>PO-25002215</t>
  </si>
  <si>
    <t>รถเครน 50 ตัน 12 ล้อ ยกหม้อแปลง QTC ใช้งานวันที่ 7/06/2568</t>
  </si>
  <si>
    <t>PO-25002548</t>
  </si>
  <si>
    <t xml:space="preserve">รถเครน 50 ตัน 12 ล้อ ยกหม้อแปลง QTC </t>
  </si>
  <si>
    <t>PO-25002359</t>
  </si>
  <si>
    <t>PO-25002484</t>
  </si>
  <si>
    <t>PO-25002530</t>
  </si>
  <si>
    <t>PO-25002556</t>
  </si>
  <si>
    <t>PO-25002580</t>
  </si>
  <si>
    <t>ลวดกลมอาบน้ำยา ขนาด 1.90 มม.</t>
  </si>
  <si>
    <t>ลวดกลมอาบน้ำยา ขนาด 2.90 มม. + 3.00 มม.</t>
  </si>
  <si>
    <t>PO-25002581</t>
  </si>
  <si>
    <t>Breather-Drain Plugs type OSBD M25(with Lock Nut+Seal washer</t>
  </si>
  <si>
    <t>PO-25002596</t>
  </si>
  <si>
    <t>PO-25002568</t>
  </si>
  <si>
    <t>Comemde  Pte Ltd.</t>
  </si>
  <si>
    <t>Oil Level Indicator With Contact model L140 “LA” (diagram W)</t>
  </si>
  <si>
    <t>Buchholz relay ยี่ห้อ "COMEM" Type BR50 (Type G)</t>
  </si>
  <si>
    <t>PO-25002567</t>
  </si>
  <si>
    <t>PO-25002624</t>
  </si>
  <si>
    <t>ค่ารถเครน 50 ตัน ยกหม้อแปลง QTC วันที่ 28/6/68</t>
  </si>
  <si>
    <t>ค่ารถเครน 50 ตัน ยกหม้อแปลง QTC วันที่ 2/7/68</t>
  </si>
  <si>
    <t>PO-25002654</t>
  </si>
  <si>
    <t>PO-25002538</t>
  </si>
  <si>
    <t>CABLE GLAND OS-A2F-U-40/M40 = 751 EA</t>
  </si>
  <si>
    <t>LOT</t>
  </si>
  <si>
    <t>PO-25002612</t>
  </si>
  <si>
    <t>PO-25002622</t>
  </si>
  <si>
    <t>เคสฝาพับ เคส Samsung Tab S6 lite (สีเขียวเข้ม)</t>
  </si>
  <si>
    <t>PO-25002625</t>
  </si>
  <si>
    <t>นันทภัค บ้านน็อคดาวน์</t>
  </si>
  <si>
    <t>งานฟุตติ้ง ขนาด 50*40*35 cm. 8 ต้น/หลัง</t>
  </si>
  <si>
    <t>PO-25002641</t>
  </si>
  <si>
    <t>PO-25002642</t>
  </si>
  <si>
    <t>PO-25002662</t>
  </si>
  <si>
    <t>PO-25002670</t>
  </si>
  <si>
    <t>CT 200/1A Current Transformer Vk-350V,Rct-20 OHM (Resin)</t>
  </si>
  <si>
    <t>PO-25002675</t>
  </si>
  <si>
    <t>PO-25002679</t>
  </si>
  <si>
    <t>ผ้าคลุมรถจักรยาน ขนาด : 200*100 ซม.</t>
  </si>
  <si>
    <t>บันไดไฟเบอร์กลาสทรงเอขึ้นลงได้ 2 ทาง จำนวนขั้น : 6+6ฟุต</t>
  </si>
  <si>
    <t>PO-25002696</t>
  </si>
  <si>
    <t>PO-25002660</t>
  </si>
  <si>
    <t>หางปลาแรงสูงแบบบาร์ 2 รู แกน 12 มม.</t>
  </si>
  <si>
    <t>หางปลาแรงต่ำแบบบาร์ 4 รู แกน 20 มม.ระยะห่าง44.5มม.(630A EN50386)</t>
  </si>
  <si>
    <t>PO-25002717</t>
  </si>
  <si>
    <t>PO-25002708</t>
  </si>
  <si>
    <t>เหล็กแผ่น SS400 หนา 3.2 มม. กว้าง 1219 มม. ยาว 2438 มม.</t>
  </si>
  <si>
    <t>เหล็กราง ขนาด 150*75*6.5 มม. ยี่ห้อ SYS</t>
  </si>
  <si>
    <t>เหล็กราง ขนาด 200*90*8มม.</t>
  </si>
  <si>
    <t>เหล็กราง ขนาด 200*80*7.5 มม.</t>
  </si>
  <si>
    <t>PO-25002724</t>
  </si>
  <si>
    <t>PO-25002705</t>
  </si>
  <si>
    <t xml:space="preserve"> บริษัท ยูไนเต็ดคอปเปอร์ จำกัด</t>
  </si>
  <si>
    <t>PO-25002453</t>
  </si>
  <si>
    <t xml:space="preserve">Radiator Fin W520 x HL800x Z13 </t>
  </si>
  <si>
    <t xml:space="preserve">Radiator Fin W520 x HL800 x Z16 </t>
  </si>
  <si>
    <t>PO-25002789</t>
  </si>
  <si>
    <t>PO-25002793</t>
  </si>
  <si>
    <t>แผ่นสติ๊กเกอร์  Warning  DE-ENERGISE</t>
  </si>
  <si>
    <t>PO-25002658</t>
  </si>
  <si>
    <t>บริษัท ทรัพย์บริบูรณ์ เอ็นจิเนียริ่ง จำกัด</t>
  </si>
  <si>
    <t>Terminal Box for MEA Spec No.233 (04-2025)(TB052501R1) With Insulation Support</t>
  </si>
  <si>
    <t>PO-25002733</t>
  </si>
  <si>
    <t>PO-25002719</t>
  </si>
  <si>
    <t>งานซ่อมอุปกรณ์ห้องน้ำ</t>
  </si>
  <si>
    <t>OT</t>
  </si>
  <si>
    <t>PO-25002772</t>
  </si>
  <si>
    <t>ทองแดงเส้นแบน ขนาด 1/4"*1" + ทองแดงเส้นแบน ขนาด 1/4"*2"</t>
  </si>
  <si>
    <t>PO-25002746</t>
  </si>
  <si>
    <t>ลวดแบนหุ้มกระดาษหนา 0.5 มม. ขนาด 2.6*14 มม.</t>
  </si>
  <si>
    <t>PO-25002747</t>
  </si>
  <si>
    <t>PO-25002770</t>
  </si>
  <si>
    <t>งานติดตั้งท่อน้ำดี</t>
  </si>
  <si>
    <t>PO-25002828</t>
  </si>
  <si>
    <t>Cable Gland PG21, Stainless Steel</t>
  </si>
  <si>
    <t>PO-25002755</t>
  </si>
  <si>
    <t>CABLE BOX TYPE 1 TR.1000 kVA 3Ph 50Hz 22000-500/289V</t>
  </si>
  <si>
    <t>sET</t>
  </si>
  <si>
    <t>PO-25002854</t>
  </si>
  <si>
    <t>PO-25002855</t>
  </si>
  <si>
    <t>PO-25002829</t>
  </si>
  <si>
    <t>ลูกถ้วยแรงสูง 36kV 30NF250 C.D.1320 (ELKOM)</t>
  </si>
  <si>
    <t>PO-25002833</t>
  </si>
  <si>
    <t>บริษัท โลหะประทีป เน็กซ์เจน จำกัด</t>
  </si>
  <si>
    <t>งานเพิ่มชั้นวางอาคารเก็บซิลิกอน</t>
  </si>
  <si>
    <t>PO-25002846</t>
  </si>
  <si>
    <t>IP68 Flexible Conduit Fitting With Oring, Locknut AD10/PG7</t>
  </si>
  <si>
    <t>IP68 Flexible Conduit Fitting With Oring, Locknut AD13/PG9</t>
  </si>
  <si>
    <t>PO-25002862</t>
  </si>
  <si>
    <t>PO-25002866</t>
  </si>
  <si>
    <t>PO-25002867</t>
  </si>
  <si>
    <t>PO-25002745</t>
  </si>
  <si>
    <t>Thermometer "Cedaspe" TESS-Y-100-PM1</t>
  </si>
  <si>
    <t>PO-25002706</t>
  </si>
  <si>
    <t>PO-25002914</t>
  </si>
  <si>
    <t>ทองแดงเส้นแบน ขนาด 3/8"*2 1/2"+ขนาด 3/8"*4"</t>
  </si>
  <si>
    <t>PO-25002929</t>
  </si>
  <si>
    <t>PO-25002904</t>
  </si>
  <si>
    <t>บริษัท เบสท์พ้อยท์ แมชชีน แอนด์เซอร์วิส จำกัด</t>
  </si>
  <si>
    <t>งานล้างแอร์ ตั้งแขวน 18000-62000 BTU</t>
  </si>
  <si>
    <t>งานล้างแอร์ฝังฝ้า/แอร์สี่ทิศทาง</t>
  </si>
  <si>
    <t>PO-25002882</t>
  </si>
  <si>
    <t>POLO ดอกเจาะเหล็กคัตเตอร์คาร์ไบด์ Dia.18x35mm.</t>
  </si>
  <si>
    <t>PO-25002884</t>
  </si>
  <si>
    <t>ดอกเร้าเตอร์ HI-TOP รุ่น DY10318 กัดตรง ใบมีด 2" แกน 1/2" (4</t>
  </si>
  <si>
    <t>PO-25002926</t>
  </si>
  <si>
    <t>PO-25002799</t>
  </si>
  <si>
    <t>โครงสร้างงานเหล็ก ประกอบด้วย คานเครนแบบคานคู่รับน้ำหนัก10ตัน</t>
  </si>
  <si>
    <t>โครงสร้างงานเหล็ก ประกอบด้วย คานเครนแบบคานคู่รับน้ำหนัก20ตัน</t>
  </si>
  <si>
    <t>PO-25002968</t>
  </si>
  <si>
    <t>ลวดกลมอาบน้ำยา ขนาด 1.00 มม.</t>
  </si>
  <si>
    <t>PO-25002990</t>
  </si>
  <si>
    <t>ลวดแบนหุ้มกระดาษหนา 0.5 มม. ขนาด 2.1*14 มม.</t>
  </si>
  <si>
    <t>PO-25002981</t>
  </si>
  <si>
    <t>ตลับโรลสายลม 8x12มม. PM12-16LA PUMA</t>
  </si>
  <si>
    <t>PO-25002982</t>
  </si>
  <si>
    <t>หลอดไฟ หลอดกลม แสงสีขาว LED Bulbs 220V 18W</t>
  </si>
  <si>
    <t>PO-25002983</t>
  </si>
  <si>
    <t>เจลทำความสะอาดหัวเชื่อมมิกซ์ NOZZEL KV-507 KOVET</t>
  </si>
  <si>
    <t>PO-25002903</t>
  </si>
  <si>
    <t>บริษัท เอพซิลอน เอนเตอร์ไพรซ์ จำกัด</t>
  </si>
  <si>
    <t>Clean Spray boost Factory 6 &amp; Installation parts Factory 6</t>
  </si>
  <si>
    <t xml:space="preserve">PO-25002996 </t>
  </si>
  <si>
    <t>เสายึดครีบ  Tie Rod 5/8" TR.2500 kVA</t>
  </si>
  <si>
    <t>PO-25002937</t>
  </si>
  <si>
    <t>เหล็กฉาก ขนาด 50*50*6 มม.</t>
  </si>
  <si>
    <t>PO-25003010</t>
  </si>
  <si>
    <t>PO-25003003</t>
  </si>
  <si>
    <t>CABLE BOX ON SIDE TR.2500 kVA 3Ph 50Hz 33000-415V</t>
  </si>
  <si>
    <t>Control Box Type 12</t>
  </si>
  <si>
    <t>PO-25003021</t>
  </si>
  <si>
    <t>ลวดกลมอาบน้ำยา ขนาด 0.55 มม.</t>
  </si>
  <si>
    <t>PO-25002980</t>
  </si>
  <si>
    <t>งานปรับปรุงห้องน้ำหญิง อาคารโรงงาน 3</t>
  </si>
  <si>
    <t>PO-25003023</t>
  </si>
  <si>
    <t>PO-25003018</t>
  </si>
  <si>
    <t>PO-25003026</t>
  </si>
  <si>
    <t>CABLE GLAND Size 50S TYPE A2F "Electroless Nickel Plated Bra</t>
  </si>
  <si>
    <t>CABLE GLAND Size 40 TYPE A2F "Electroless Nickel Plated Bras</t>
  </si>
  <si>
    <t>CABLE GLAND Size 32 TYPE A2F "Electroless Nickel Plated Bras</t>
  </si>
  <si>
    <t>PO-25002979</t>
  </si>
  <si>
    <t>PO-25002895</t>
  </si>
  <si>
    <t>PO-25002915</t>
  </si>
  <si>
    <t xml:space="preserve">ลิตร </t>
  </si>
  <si>
    <t>PO-25002931</t>
  </si>
  <si>
    <t>N620262600 Steel Enclosure ขนาด 2000 x 2600 x 2600 mm.</t>
  </si>
  <si>
    <t>N620262601 Steel Enclosure ขนาด 2000 x 2600 x 2600 mm.</t>
  </si>
  <si>
    <t>PO-25003066</t>
  </si>
  <si>
    <t>เครื่องเจียร 7 นิ้ว 2400W GA7030 MAKITA</t>
  </si>
  <si>
    <t>PO-25003074</t>
  </si>
  <si>
    <t>PO-25003016</t>
  </si>
  <si>
    <t>PO-25003079</t>
  </si>
  <si>
    <t>PO-25003047</t>
  </si>
  <si>
    <t>PO-25003048</t>
  </si>
  <si>
    <t>PO-25001755</t>
  </si>
  <si>
    <t>PO-25001165</t>
  </si>
  <si>
    <t>PO-25002651</t>
  </si>
  <si>
    <t>PO-25002816</t>
  </si>
  <si>
    <t>PO-25002916</t>
  </si>
  <si>
    <t>PO-25003077</t>
  </si>
  <si>
    <t>PO-25002628</t>
  </si>
  <si>
    <t>PO-25002682</t>
  </si>
  <si>
    <t>PO-25002751</t>
  </si>
  <si>
    <t>PO-25002941</t>
  </si>
  <si>
    <t>PO-25003032</t>
  </si>
  <si>
    <t>งานเทถนน 264 ตารางเมตร</t>
  </si>
  <si>
    <t>PO-25003080</t>
  </si>
  <si>
    <t xml:space="preserve">Milwaukee M18 FPD3-502BB สว่านกระแทกไร้สาย 18 V - แบตเตอรี่ </t>
  </si>
  <si>
    <t>PO-25003082</t>
  </si>
  <si>
    <t>บริษัท โตไกล จำกัด</t>
  </si>
  <si>
    <t>เหล็กพืด ขนาด 16 มม. 5/8" เคลือบดำ (6 ม้วน)</t>
  </si>
  <si>
    <t>PO-25003083</t>
  </si>
  <si>
    <t>ดอกเจาะเหล็กคัตเตอร์คาร์ไบด์ 14X35มม. TCT รุ่น DNTC POLO</t>
  </si>
  <si>
    <t>PO-25003146</t>
  </si>
  <si>
    <t>PO-25003142</t>
  </si>
  <si>
    <t>PO-25003152</t>
  </si>
  <si>
    <t>PO-25003170</t>
  </si>
  <si>
    <t>Cover 7000kVA No.1 ขนาด 1168x2518x9t (SS400)</t>
  </si>
  <si>
    <t>Tank 7000kVA No.1 ขนาด 2274x3070x9t (SS400)</t>
  </si>
  <si>
    <t>Tank 7000kVA No.2 ขนาด 2274x3070x9t (SS400)</t>
  </si>
  <si>
    <t>Tank 7000kVA No.3 ขนาด 900x2250x9t (SS400)</t>
  </si>
  <si>
    <t>PO-25003167</t>
  </si>
  <si>
    <t>PO-25003206</t>
  </si>
  <si>
    <t>งานเทพื้นสำหรับวางเต๊นท์กว้าง22เมตร ยาว44เมตร หนา15เซนติเมตร</t>
  </si>
  <si>
    <t xml:space="preserve">Job </t>
  </si>
  <si>
    <t>PO-25003207</t>
  </si>
  <si>
    <t>งานดาดปูนด้านฝั่งติดถนนโรงงาน 1280 ตารางเมตร</t>
  </si>
  <si>
    <t>PO-25003208</t>
  </si>
  <si>
    <t>งานเทพื้นข้างโรงงาน 618 ตารางเมตร</t>
  </si>
  <si>
    <t xml:space="preserve">PO-25003244 </t>
  </si>
  <si>
    <t>Conservator Tank TR.6000 kVA 3Ph 50Hz 33000-6600V</t>
  </si>
  <si>
    <t>PO-25003245</t>
  </si>
  <si>
    <t>PO-25003257</t>
  </si>
  <si>
    <t>PO-25003251</t>
  </si>
  <si>
    <t>PO-25003264</t>
  </si>
  <si>
    <t>PO-25003265</t>
  </si>
  <si>
    <t>PO-25003294</t>
  </si>
  <si>
    <t xml:space="preserve">PO-25003319 </t>
  </si>
  <si>
    <t>PO-25003305,PO-25003306,PO-25003308,PO-25003309</t>
  </si>
  <si>
    <t>งานจ้างตัดเหล็กฝาถัง TR.5140 kVA 3Ph 50Hz 22000-690V</t>
  </si>
  <si>
    <t>งานจ้างตัดเหล็กตัวถังTR.5140 kVA 3Ph50Hz22000-690V(TankNo.1)</t>
  </si>
  <si>
    <t>งานจ้างตัดเหล็กตัวถังTR.5140 kVA3Ph50Hz22000-690V(Tank No.2)</t>
  </si>
  <si>
    <t>งานจ้างตัดเหล็กตัวถังTR.5140 kVA3Ph50Hz22000-690V(Tank No.3)</t>
  </si>
  <si>
    <t>PO-25003291</t>
  </si>
  <si>
    <t>แกนทองแดง 48 มม. เบอร์ 5 L280</t>
  </si>
  <si>
    <t xml:space="preserve">PO-25003295 </t>
  </si>
  <si>
    <t>PO-25003353</t>
  </si>
  <si>
    <t>PO-25003321</t>
  </si>
  <si>
    <t>เหล็กราง ขนาด 100*50*5 มม.</t>
  </si>
  <si>
    <t>เหล็กฉาก ขนาด 65*65*8 มม.</t>
  </si>
  <si>
    <t>เหล็กฉาก ขนาด 40*40*5 มม.</t>
  </si>
  <si>
    <t>เหล็กราง ขนาด 50*25*5 มม.</t>
  </si>
  <si>
    <t>PO-25003217</t>
  </si>
  <si>
    <t>PO-25003288</t>
  </si>
  <si>
    <t>ลวดกลมอาบน้ำยา ขนาด 3.20 มม.</t>
  </si>
  <si>
    <t>PO-25003318</t>
  </si>
  <si>
    <t>CT 100/1A Current Transformer Class 5P10  5VA (RESIN) </t>
  </si>
  <si>
    <t>PO-25003335</t>
  </si>
  <si>
    <t>PO-25003346</t>
  </si>
  <si>
    <t>แผ่นป้าย Logo QTC ขนาดเล็ก มอก.384-2567</t>
  </si>
  <si>
    <t>แผ่นป้าย Logo QTC ขนาดใหญ่ มอก.384-2567</t>
  </si>
  <si>
    <t>PO-25003357</t>
  </si>
  <si>
    <t>PO-25003364</t>
  </si>
  <si>
    <t>บริษัท ศิรา เซฟตี้แอนด์ทูล จำกัด</t>
  </si>
  <si>
    <t>ทุ่นกักน้ํามันยาว20 ม. ทุ่น 90 cm.เหนือผิวน้ํา 30cm.ลงใต้น้ำ</t>
  </si>
  <si>
    <t>PO-25003365</t>
  </si>
  <si>
    <t>Copper Foil ขนาด 2.0*600 มม.</t>
  </si>
  <si>
    <t>PO-25003405</t>
  </si>
  <si>
    <t>PO-25003455</t>
  </si>
  <si>
    <t>CABLE BOX TYPE 1 TR.400 kVA 3Ph 50Hz 22000-400/230V</t>
  </si>
  <si>
    <t>PO-25003470</t>
  </si>
  <si>
    <t>PO-25003344</t>
  </si>
  <si>
    <t>Manual Lift Table - Double Scissors 800Kg #TMD800</t>
  </si>
  <si>
    <t>Yuwanit</t>
  </si>
  <si>
    <t>PO-25003325</t>
  </si>
  <si>
    <t>งานซ่อมประตูรั้ว ด้านหน้าโรงงาน</t>
  </si>
  <si>
    <t>PO-25003369</t>
  </si>
  <si>
    <t xml:space="preserve">เครื่องชั่งอิเล็คทรอนิคส์ TSCALE Model MBW 150 kg. </t>
  </si>
  <si>
    <t>PO-25003424</t>
  </si>
  <si>
    <t xml:space="preserve">เครนคานคู่ขนาด10 ตัน กว้าง 30 เมตร ทางวิ่งเครนยาว 54 เมตร </t>
  </si>
  <si>
    <t>PO-25003429</t>
  </si>
  <si>
    <t>งานซ่อมรอยรั่วระเบียงชั้น2 บริเวณใต้คอมแอร์ QTC โรงงาน 1</t>
  </si>
  <si>
    <t xml:space="preserve">PO-25003448 </t>
  </si>
  <si>
    <t>ประแจแหวน-ปากตาย #8-22 48-22-9515 ชุด 15ชิ้น Milwaukee</t>
  </si>
  <si>
    <t>PO-25003260</t>
  </si>
  <si>
    <t>งานปรับพื้นคอนกรีต ด้านหน้าอาคารอะมอฟัส เพิ่่มเติม</t>
  </si>
  <si>
    <t>PO-25003458</t>
  </si>
  <si>
    <t>เหล็กแผ่น SS400 หนา 4.5 มม. กว้าง 1219 มม. ยาว 2438 มม.</t>
  </si>
  <si>
    <t>เหล็กแผ่นดำ หนา 4.5 มม. กว้าง 1524 มม. ยาว 3048 มม.</t>
  </si>
  <si>
    <t>PO-25003158</t>
  </si>
  <si>
    <t>PO-25003243</t>
  </si>
  <si>
    <t>PO-25003319</t>
  </si>
  <si>
    <t>PO-25003418</t>
  </si>
  <si>
    <t>PO-25003454</t>
  </si>
  <si>
    <t>PO-25003115</t>
  </si>
  <si>
    <t>PO-25003518</t>
  </si>
  <si>
    <t>PO-25003525</t>
  </si>
  <si>
    <t>Terminal Block  URTK/S (ยี่ห้อ Phoenix Contact ) No.311087</t>
  </si>
  <si>
    <t>Partition plate-ATP-UK (UK6N) No.3003224</t>
  </si>
  <si>
    <t>Partition plate-ATP-UK (URTK/S)</t>
  </si>
  <si>
    <t>PO-25003539</t>
  </si>
  <si>
    <t>PO-25003551</t>
  </si>
  <si>
    <t>เสายึดครีบ  Tie Rod 5/8" TR.5140 kVA (Stainless 316)</t>
  </si>
  <si>
    <t>เสายึดครีบ  Tie Rod 5/8" TR.7700 kVA (Stainless 316)</t>
  </si>
  <si>
    <t>เสายึดครีบ  Tie Rod 5/8" TR.7000 kVA (Stainless 316)</t>
  </si>
  <si>
    <t>PO-25003534</t>
  </si>
  <si>
    <t>บริษัท เจเอ็มซี เอ็นจิเนียริ่ง แอนด์ แมชชินเนอรี่ (ประเทศไทย) จำกัด</t>
  </si>
  <si>
    <t>PO-25003533</t>
  </si>
  <si>
    <t>Support radiator fin ( No.1 , No.2 , No.3 )</t>
  </si>
  <si>
    <t>Support radiator fin No.4 ( Left  )</t>
  </si>
  <si>
    <t>Support radiator fin No.4 ( Right )</t>
  </si>
  <si>
    <t>PO-25003568</t>
  </si>
  <si>
    <t>แผ่นป้าย Logo QTC ขนาดใหญ่ No.2 (สแตนเลส) New Logo</t>
  </si>
  <si>
    <t>PO-25003592</t>
  </si>
  <si>
    <t>PO-25003593</t>
  </si>
  <si>
    <t>ทองแดงเส้นแบนขนาด 10x160mm. (สำหรับงาน SOF-250043)</t>
  </si>
  <si>
    <t>PO-25003600</t>
  </si>
  <si>
    <t>หางปลาต่อสายแบบกลมเปลือย ยี่ห้อ T-LUG CL50-12,T-LUG CL50-8</t>
  </si>
  <si>
    <t>PO-25003612</t>
  </si>
  <si>
    <t>PO-25003652</t>
  </si>
  <si>
    <t>PO-25003663</t>
  </si>
  <si>
    <t>PO-25003676</t>
  </si>
  <si>
    <t>PO-25003620</t>
  </si>
  <si>
    <t>PO-25003688</t>
  </si>
  <si>
    <t>LV Stainless Plate  Grade 304  ขนาด 330*700*9 มม.</t>
  </si>
  <si>
    <t>PO-25003672</t>
  </si>
  <si>
    <t>PO-25003721</t>
  </si>
  <si>
    <t>PO-25003632</t>
  </si>
  <si>
    <t>เสายึดครีบ  Tie Rod 5/8" TR.2000 kVA (Stainless  316)</t>
  </si>
  <si>
    <t>เสายึดครีบ  Tie Rod 5/8" TR.2000 kVA (Stainless  316)</t>
  </si>
  <si>
    <t>เสายึดครีบ  Tie Rod 5/8" TR.2500 kVA (Stainless  316)</t>
  </si>
  <si>
    <t>เสายึดครีบ  Tie Rod 5/8" TR.2570 kVA (Stainless  316)</t>
  </si>
  <si>
    <t>เสายึดครีบ  Tie Rod 5/8" TR.3500kVA (Stainless  316)</t>
  </si>
  <si>
    <t>PO-25003730</t>
  </si>
  <si>
    <t>CABLE BOX TYPE 1 TR.315 kVA 3Ph 50Hz 800-400/230V</t>
  </si>
  <si>
    <t>PO-25003747</t>
  </si>
  <si>
    <t>PO-25003760</t>
  </si>
  <si>
    <t>PO-25003788</t>
  </si>
  <si>
    <t>PO-25003790</t>
  </si>
  <si>
    <t>PO-25003583</t>
  </si>
  <si>
    <t>PO-25003507</t>
  </si>
  <si>
    <t>Copper Foil ขนาด 2.0*750 มม.</t>
  </si>
  <si>
    <t>Copper Foil ขนาด 1.10*530 มม.</t>
  </si>
  <si>
    <t>PO-25000989</t>
  </si>
  <si>
    <t>PO-25003781</t>
  </si>
  <si>
    <t xml:space="preserve">Control Box Type 4 </t>
  </si>
  <si>
    <t>PO-25003848</t>
  </si>
  <si>
    <t>Wooden Crate Tr.300 kVA</t>
  </si>
  <si>
    <t>PO-25003805</t>
  </si>
  <si>
    <t>Control  Box  (Plate 6 รู)</t>
  </si>
  <si>
    <t>CABLE BOX TYPE 1 TR.2500 kVA 3Ph 50Hz 22000-800V</t>
  </si>
  <si>
    <t>PO-25003821</t>
  </si>
  <si>
    <t>CABLE BOX TYPE 1 TR.2570 kVA 3Ph 50Hz 22000-690V</t>
  </si>
  <si>
    <t xml:space="preserve">Box ตัวเสียบ ขนาด 1290x500x1100 มม (HV) </t>
  </si>
  <si>
    <t>Box ตัวเสียบ ขนาด 1290x500x1100 มม (HV)</t>
  </si>
  <si>
    <t>PO-25003824</t>
  </si>
  <si>
    <t>PO-25003863</t>
  </si>
  <si>
    <t>CABLE BOX TYPE 1 TR.3500 kVA 3Ph 50Hz 22000-800V</t>
  </si>
  <si>
    <t>PO-25003862</t>
  </si>
  <si>
    <t>บริษัท เอ็กซ์เชนจ์ อินเตอร์ จำกัด</t>
  </si>
  <si>
    <t xml:space="preserve"> J-Bolt SS400 M20x300xT100xJ100mm.HDG</t>
  </si>
  <si>
    <t>PO-25003871</t>
  </si>
  <si>
    <t>CABLE BOX TYPE 1 TR.2000 kVA 3Ph 50Hz 22000-400V</t>
  </si>
  <si>
    <t>PO-25003906</t>
  </si>
  <si>
    <t>PO-25003892</t>
  </si>
  <si>
    <t>Oil Level Indicator  With Contact model L140 “LA”</t>
  </si>
  <si>
    <t>PO-25003838</t>
  </si>
  <si>
    <t>Copper Foil</t>
  </si>
  <si>
    <t>PO-25003843</t>
  </si>
  <si>
    <t>Control Box Type 4</t>
  </si>
  <si>
    <t>Gulf project</t>
  </si>
  <si>
    <t>Box ตัวเสียบ ขนาด 1640x450x1100 มม (LV) 5รู</t>
  </si>
  <si>
    <t>Control  Box</t>
  </si>
  <si>
    <t>PO-25003938</t>
  </si>
  <si>
    <t>PO-25002637</t>
  </si>
  <si>
    <t xml:space="preserve">Freight charge </t>
  </si>
  <si>
    <t>PO-25003964</t>
  </si>
  <si>
    <t>บริษัท สาย4 พีพีดรักส์ จำกัด</t>
  </si>
  <si>
    <t>8149 เครื่องวัดแอลกอฮอล์ AT8100 + Printer</t>
  </si>
  <si>
    <t>PO-25003940</t>
  </si>
  <si>
    <t>เหล็กราง ขนาด 75*40*5 มม.</t>
  </si>
  <si>
    <t>PO-25003952</t>
  </si>
  <si>
    <t>PO-25003640</t>
  </si>
  <si>
    <t>เครนโรง Power 5 ton</t>
  </si>
  <si>
    <t>เครนโรง Power 50 ton</t>
  </si>
  <si>
    <t>PO-25003522</t>
  </si>
  <si>
    <t>บริษัท เคเอ็มเอส ดีไซน์ แอนด์ คอนสตรัคชั่น จำกัด</t>
  </si>
  <si>
    <t>ปรับระดับดิน</t>
  </si>
  <si>
    <t>PO-25003482</t>
  </si>
  <si>
    <t>บล็อกกระแทกมุม</t>
  </si>
  <si>
    <t>พัดลมติดผนัง 16" W16M1 HATARI</t>
  </si>
  <si>
    <t>PO-25003519</t>
  </si>
  <si>
    <t>"GRUNDFOS" PUMP CMB 5-46 PT</t>
  </si>
  <si>
    <t>PO-25003512</t>
  </si>
  <si>
    <t>OSCILLATOR SWITCH,24VDC</t>
  </si>
  <si>
    <t>PO-25003513</t>
  </si>
  <si>
    <t>งานทำกำแพงกันดินโรงงาน QTMC และโรง Power</t>
  </si>
  <si>
    <t>PO-25003543</t>
  </si>
  <si>
    <t>บริษัท เอสที แอสฟัลต์ แอนด์ คอนสตรัคชั่น จำกัด</t>
  </si>
  <si>
    <t>งานขุดลอกงานแอสฟัลท์เดิมพร้อมขนทิ้ง</t>
  </si>
  <si>
    <t>PO-25003556</t>
  </si>
  <si>
    <t>งานติดตั้งแผ่นเมทัลชีท กันนกเข้าอาคาร master coil</t>
  </si>
  <si>
    <t>PO-25003571</t>
  </si>
  <si>
    <t>งานแก้ไขและซ่อมแซมทาสีช่องจอดรถมอเตอร์ไซต์ หน้าหอพัก</t>
  </si>
  <si>
    <t>PO-25003618</t>
  </si>
  <si>
    <t>แบตเตอรี่ GBA 18V 4.0Ah M-C BOSCH</t>
  </si>
  <si>
    <t>PO-25003720</t>
  </si>
  <si>
    <t>เครนโรง Power Factory  10 ton</t>
  </si>
  <si>
    <t>PO-25003666</t>
  </si>
  <si>
    <t>งานรื้อย้ายติดตั้งเต๊นท์ด้านหลังโรงงาน</t>
  </si>
  <si>
    <t>PO-25003693</t>
  </si>
  <si>
    <t>ตู้กดน้ำร้อน-เย็น</t>
  </si>
  <si>
    <t>PO-25003708</t>
  </si>
  <si>
    <t xml:space="preserve">Fiber glass banding tape size 0.30mm. x 40mm. </t>
  </si>
  <si>
    <t>PO-25003737</t>
  </si>
  <si>
    <t>ซ่อมพื้นทรุดโรง Amorphous</t>
  </si>
  <si>
    <t>PO-25003719</t>
  </si>
  <si>
    <t>เพิ่มความยาวถนน Main 32 เมตร</t>
  </si>
  <si>
    <t>PO-25003709</t>
  </si>
  <si>
    <t>คีมแหวนล็อคสลัก เหล็กกล้าคาร์บอน</t>
  </si>
  <si>
    <t>PO-25003758</t>
  </si>
  <si>
    <t>บริษัท พี.เค.กรุ๊ป ซัพพลาย จำกัด</t>
  </si>
  <si>
    <t>ซีลยางไหล (7.5/21x6/16.5x10) (NBR) 70 shore A</t>
  </si>
  <si>
    <t>PO-25003777</t>
  </si>
  <si>
    <t>โต๊ะ/TV Stand ห้องประชุมชั้น 2 ดาเเวนพอร์ต</t>
  </si>
  <si>
    <t>PO-25003856</t>
  </si>
  <si>
    <t>อุปกรณ์ทำงานของส่วนงานซ่อมบำรุง</t>
  </si>
  <si>
    <t>PO-25003887</t>
  </si>
  <si>
    <t>งานรางระบายน้ำ</t>
  </si>
  <si>
    <t>PO-25003882</t>
  </si>
  <si>
    <t>งานเจาะหลุม Ground Grid</t>
  </si>
  <si>
    <t>PO-25003868</t>
  </si>
  <si>
    <t>ซ่อมบำรุงรักษาเครนภายในตามคอมเม้นต์วิศวกรส่วนสร้าง/ซ่อมบำรุง</t>
  </si>
  <si>
    <t>PO-25003867</t>
  </si>
  <si>
    <t>เครื่องดับเพลิง BF-2000 ขนาด 10 ปอนด์ "FIREMAN"</t>
  </si>
  <si>
    <t>PO-25003891</t>
  </si>
  <si>
    <t>แบตเตอรี่ 18 V BOSCH รุ่น GBA</t>
  </si>
  <si>
    <t>PO-25003936</t>
  </si>
  <si>
    <t>บริษัท เอ็นทีพี58 รับเหมาก่อสร้าง จำกัด</t>
  </si>
  <si>
    <t>งานระบบน้ำ-ไฟเข้าบ้านน็อคดาวน์</t>
  </si>
  <si>
    <t>PO-25003923</t>
  </si>
  <si>
    <t>PO-25003977</t>
  </si>
  <si>
    <t>ทำความสะอาดปล่องดูดควันโรงอาหาร</t>
  </si>
  <si>
    <t>PO-25003982</t>
  </si>
  <si>
    <t>งานปรับปรุงด้านหน้าโรงขยะ</t>
  </si>
  <si>
    <t>PO-25003653-2</t>
  </si>
  <si>
    <t>PO-25003744-2</t>
  </si>
  <si>
    <t>PO-25003768-2</t>
  </si>
  <si>
    <t>PO-25003980-1</t>
  </si>
  <si>
    <t>PO-25003841-1</t>
  </si>
  <si>
    <t>PO-25003624-1</t>
  </si>
  <si>
    <t>PO-25004013</t>
  </si>
  <si>
    <t>PO-25004019</t>
  </si>
  <si>
    <t>PO-25004030</t>
  </si>
  <si>
    <t>ทองแดงเส้นแบนขนาด 1/2" x 6"</t>
  </si>
  <si>
    <t>PO-25004014</t>
  </si>
  <si>
    <t>Nickel Brass Screw Cap M Type (TPE-SC-M22) GL=10mm.</t>
  </si>
  <si>
    <t>PO-25004059</t>
  </si>
  <si>
    <t>PO-25004055</t>
  </si>
  <si>
    <t>PO-25004004</t>
  </si>
  <si>
    <t>PO-25004077</t>
  </si>
  <si>
    <t>ทองแดงเส้นแบน ขนาด 1/2"*4"</t>
  </si>
  <si>
    <t>PO-25004074</t>
  </si>
  <si>
    <t>CT 100/5A Current Transformer Class 1  10VA (Cotton) PRESICE</t>
  </si>
  <si>
    <t>CT 250/5A Current Transformer Class1 15VA Fs10</t>
  </si>
  <si>
    <t>PO-25004092</t>
  </si>
  <si>
    <t>PO-25004116</t>
  </si>
  <si>
    <t>Pack&amp;Lashing+Cert. Container40’OT(HQ)SOF-240089+SOF-240090</t>
  </si>
  <si>
    <t>PO-25004103</t>
  </si>
  <si>
    <t>Forming AMTD SS400 208x240x10 มม.(บาก)</t>
  </si>
  <si>
    <t>Forming AMTD SS400 208x125x9 มม.(บาก)</t>
  </si>
  <si>
    <t>Forming AMTD SS400 212x680x10 มม.</t>
  </si>
  <si>
    <t>Forming AMTD SS400 212x221x10 มม.</t>
  </si>
  <si>
    <t>PO-25004108</t>
  </si>
  <si>
    <t>ลวดกลมหุ้มกระดาษหนา 3มม. ขนาด 3.00 มม. = 100 KG</t>
  </si>
  <si>
    <t>PO-25004138</t>
  </si>
  <si>
    <t>PO-25004143</t>
  </si>
  <si>
    <t>Bimetal Thermo TEK14, G1/2" and 2NO contacts (21-33-V-22-X)</t>
  </si>
  <si>
    <t>PO-25004072</t>
  </si>
  <si>
    <t>PO-25004017</t>
  </si>
  <si>
    <t>PO-25004161</t>
  </si>
  <si>
    <t>PO-25004184</t>
  </si>
  <si>
    <t>PO-25004167</t>
  </si>
  <si>
    <t>CABLE BOX TYPE 1 TR.2500 kVA 3Ph 50Hz 22000-400/230V</t>
  </si>
  <si>
    <t>PO-25003989</t>
  </si>
  <si>
    <t>PO-25004210</t>
  </si>
  <si>
    <t>PO-25001727</t>
  </si>
  <si>
    <t>PO-25002740</t>
  </si>
  <si>
    <t>PO-25003070</t>
  </si>
  <si>
    <t>PO-25004245</t>
  </si>
  <si>
    <t>195.00</t>
  </si>
  <si>
    <t>PO-25004213</t>
  </si>
  <si>
    <t>CABLE BOX Type 1 TR.1500 kVA 3Ph 50 Hz 11000-433V</t>
  </si>
  <si>
    <t>PO-25004215</t>
  </si>
  <si>
    <t>CABLE BOX TYPE 1 TR.3000 kVA 3Ph 50Hz 33000-800/462V</t>
  </si>
  <si>
    <t>PO-25004231</t>
  </si>
  <si>
    <t>PO-25004246</t>
  </si>
  <si>
    <t>PO-25004317</t>
  </si>
  <si>
    <t>PO-25004352</t>
  </si>
  <si>
    <t>PO-25003988</t>
  </si>
  <si>
    <t>งานรีโนเวทหอพัก QTC</t>
  </si>
  <si>
    <t xml:space="preserve">PO-25004002 </t>
  </si>
  <si>
    <t>SOS-250571 บริษัท โกลบอล ไบโอ พาวเวอร์ จำกัด</t>
  </si>
  <si>
    <t>PO-25004005</t>
  </si>
  <si>
    <t>บริษัท ไทย ทาซากิ เอ็นจิเนียริ่ง จำกัด</t>
  </si>
  <si>
    <t>โครงการติดตั้งเครื่องปรับอากาศไลน์ผลิต</t>
  </si>
  <si>
    <t>PO-25004058</t>
  </si>
  <si>
    <t>งานตกแต่งภายในโรง Power (Smart Factory)</t>
  </si>
  <si>
    <t>PO-25004053</t>
  </si>
  <si>
    <t>บริษัท เวลล์2ดู โปร จำกัด</t>
  </si>
  <si>
    <t>ม่านสำหรับบ้านน็อคดาวน์ 6 หลัง</t>
  </si>
  <si>
    <t>PO-25004041</t>
  </si>
  <si>
    <t>ใบเลื่อยสายพานตัดเหล็ก / ส่วนประกอบ</t>
  </si>
  <si>
    <t>PO-25004039</t>
  </si>
  <si>
    <t>ชุดประแจหกเหลี่ยมL 9ชิ้น</t>
  </si>
  <si>
    <t>PO-25004037</t>
  </si>
  <si>
    <t xml:space="preserve">ไขควงแบนแกนทะลุ </t>
  </si>
  <si>
    <t>PO-25004095</t>
  </si>
  <si>
    <t>แปรงถ่าน CB-100A #B-80298 MAKITA</t>
  </si>
  <si>
    <t>พัดลมติดผนัง 24" DFP600-TW YUSHI</t>
  </si>
  <si>
    <t>PO-25004112</t>
  </si>
  <si>
    <t>Air Compressor(Smart Factory)</t>
  </si>
  <si>
    <t>PO-25004125</t>
  </si>
  <si>
    <t>งานติดตั้งถังน้ำ 35000 x 2 ถัง และระบท่อ(Smart Factory)</t>
  </si>
  <si>
    <t>PO-25004144</t>
  </si>
  <si>
    <t>บริษัท พีดี เอ็นจิเนียริ่ง แอนด์ ซัพพลาย 2018 จำกัด</t>
  </si>
  <si>
    <t>อุปกรณ์หลอด UPVC สำหรับถังน้ำมัน 3</t>
  </si>
  <si>
    <t>PO-25004220</t>
  </si>
  <si>
    <t>งานเพิ่ม-ลด ตกแต่งห้องน้ำ (Smart Factory)</t>
  </si>
  <si>
    <t>PO-25004346</t>
  </si>
  <si>
    <t>PO-25004378</t>
  </si>
  <si>
    <t>ทองแดงเส้นแบนขนาด 10x200mm. (สำหรับงาน SOD-250441)</t>
  </si>
  <si>
    <t>PO-25004380</t>
  </si>
  <si>
    <t>PO-25004423</t>
  </si>
  <si>
    <t>หางปลาต่อสายแบบกลมเปลือย ยี่ห้อ T-LUG ขนาด 6-5 มม.</t>
  </si>
  <si>
    <t>PO-25001228</t>
  </si>
  <si>
    <t>Shanghai Trihope International Co., Ltd.</t>
  </si>
  <si>
    <t xml:space="preserve">Sea freight cost </t>
  </si>
  <si>
    <t>PO-25002745
PO-25003068</t>
  </si>
  <si>
    <t>Air freight cost</t>
  </si>
  <si>
    <t>PO-25002406
PO-25003061
PO-25003459</t>
  </si>
  <si>
    <t>Barberi Rubinetterie Industriali Srl</t>
  </si>
  <si>
    <t>PO-25004445</t>
  </si>
  <si>
    <t>PO-25004456</t>
  </si>
  <si>
    <t>PO-25004097</t>
  </si>
  <si>
    <t>ล้อเก็บสายไฟ 16A (1.5sq.mm.) 20m AD1520 SUNTECH</t>
  </si>
  <si>
    <t>PO-25004311</t>
  </si>
  <si>
    <t>ซ่อมประตูห้องพาวเวอร์</t>
  </si>
  <si>
    <t>PO-25004354</t>
  </si>
  <si>
    <t>แท่นตัดเทป,ใบเลื่อย,กรรไกร/ส่วนพันคอยล์</t>
  </si>
  <si>
    <t>PO-25004383</t>
  </si>
  <si>
    <t>ค่าตรวจเช็คเครื่องจักร</t>
  </si>
  <si>
    <t>PO-25004384</t>
  </si>
  <si>
    <t>SOS-250621 บริษัท ออโตเมติก เอ็นเตอร์ไพรส์(ไทยแลนด์) จำกัด</t>
  </si>
  <si>
    <t>PO-25004372</t>
  </si>
  <si>
    <t>งานทาสีพื้นถนน พื้นที่โรงงาน</t>
  </si>
  <si>
    <t>PO-25004393</t>
  </si>
  <si>
    <t>เครื่องพิมพ์ปลอกสายไฟ/ส่วนติดตั้งอุปกรณ์</t>
  </si>
  <si>
    <t>PO-25004404</t>
  </si>
  <si>
    <t>PO-25004427</t>
  </si>
  <si>
    <t>งานซ่อมประตู ชัตเตอร์ อาคารโรงงาน 5  -งานถอนรื้อใบประตูชัตเต</t>
  </si>
  <si>
    <t>PO-25004431</t>
  </si>
  <si>
    <t>HOLEX แคลมป์คันโยกเหล็ก #860650 ขนาด 300mm.</t>
  </si>
  <si>
    <t>PO-25004437</t>
  </si>
  <si>
    <t>รถเข็นพื้นเหล็กชั้นเดียวHB-210JCสีเทา/ดำ รองรับน้ำหนัก370กก.</t>
  </si>
  <si>
    <t>PO-25004442</t>
  </si>
  <si>
    <t>งานติดตั้งมอเตอร์ Hitashi 2 แรงม้า ไฟ 3 เฟส</t>
  </si>
  <si>
    <t>PO-25004211</t>
  </si>
  <si>
    <t>PO-25004401</t>
  </si>
  <si>
    <t>PO-25004479</t>
  </si>
  <si>
    <t>PO-25004498</t>
  </si>
  <si>
    <t>PO-25004502</t>
  </si>
  <si>
    <t>PO-25004516</t>
  </si>
  <si>
    <t>PO-25004482</t>
  </si>
  <si>
    <t>PO-25004147</t>
  </si>
  <si>
    <t>Ground Grid โรง Power &amp; QTMC(Project Smart Factory)</t>
  </si>
  <si>
    <t>PO-25004510</t>
  </si>
  <si>
    <t>PO-25003352</t>
  </si>
  <si>
    <t>Henan YAAN Electric Power Technology Co.,Ltd</t>
  </si>
  <si>
    <t>PO-25004472</t>
  </si>
  <si>
    <t>งานเทลานคอนกรีตเพิ่มเติม(Smart Factory)</t>
  </si>
  <si>
    <t xml:space="preserve">PO-25004528 </t>
  </si>
  <si>
    <t>PO-25004547</t>
  </si>
  <si>
    <t>PO-25004592</t>
  </si>
  <si>
    <t>PO-25004593</t>
  </si>
  <si>
    <t>PO-25004508</t>
  </si>
  <si>
    <t>CABLE BOX ON SIDE TR.2500 kVA 3Ph 50Hz 33000-420/242V</t>
  </si>
  <si>
    <t>PO-25004486</t>
  </si>
  <si>
    <t>PO-25004611</t>
  </si>
  <si>
    <t>PO-25004633</t>
  </si>
  <si>
    <t>Thermometer Position No.4  1" ,11 NPT</t>
  </si>
  <si>
    <t>Pipe for drain valve size 1"</t>
  </si>
  <si>
    <t>PO-25004639</t>
  </si>
  <si>
    <t>PO-25004643</t>
  </si>
  <si>
    <t>PO-25004605</t>
  </si>
  <si>
    <t>PO-25004664</t>
  </si>
  <si>
    <t>Flange for Thermometer  W/C  for Tag name  No.2</t>
  </si>
  <si>
    <t>Flange for oil level indicator W/C</t>
  </si>
  <si>
    <t>Arcing horn base No.1</t>
  </si>
  <si>
    <t>Flang for drain valve size 1"</t>
  </si>
  <si>
    <t>Socket for Oil sampling Valve</t>
  </si>
  <si>
    <t>PO-25004691</t>
  </si>
  <si>
    <t>PO-25004645</t>
  </si>
  <si>
    <t>PO-25004695</t>
  </si>
  <si>
    <t>PO-25004698</t>
  </si>
  <si>
    <t>บริษัท สหกิจเจริญ อินเตอร์เนชั่นแนล จำกัด</t>
  </si>
  <si>
    <t>PO-25004714</t>
  </si>
  <si>
    <t>Thermometer Position No.2 1/2" ,14 NPT</t>
  </si>
  <si>
    <t>PO-25004729</t>
  </si>
  <si>
    <t>PO-25004734</t>
  </si>
  <si>
    <t>PO-25004744</t>
  </si>
  <si>
    <t>Flange for pressure guage (AKM)</t>
  </si>
  <si>
    <t>PO-25004750</t>
  </si>
  <si>
    <t>Socket for clamp (Bolt M12)</t>
  </si>
  <si>
    <t>Flange for radiator fin (L=110)</t>
  </si>
  <si>
    <t>Socket for manual pressure relift</t>
  </si>
  <si>
    <t>PO-25004793</t>
  </si>
  <si>
    <t>CT 800/5A Current Transformer Class 1 15VA (PRECISE)</t>
  </si>
  <si>
    <t>CT 500/5A Current Transformer class1 15VA</t>
  </si>
  <si>
    <t>PO-25004797</t>
  </si>
  <si>
    <t>Oil filling pipe with oil level 22 kV ( L= 340 mm.)</t>
  </si>
  <si>
    <t>Earthing Terminal E1</t>
  </si>
  <si>
    <t>PO-25004811</t>
  </si>
  <si>
    <t>บริษัท ออล อินเตอร์ โกลบอล จำกัด</t>
  </si>
  <si>
    <t>Pack &amp; Lashing Service+Certificate : 1x20'FR (SOF-240016 EPE</t>
  </si>
  <si>
    <t>PO-25004825</t>
  </si>
  <si>
    <t>PO-25004834</t>
  </si>
  <si>
    <t>Oil Level Indicator R1"  “ELMEK” Type KSS-C  Code 53101</t>
  </si>
  <si>
    <t xml:space="preserve"> </t>
  </si>
  <si>
    <t>Bimetal thermometer TEK-16, G1" and 2 N/O contacts (42133)</t>
  </si>
  <si>
    <t>PO-25004837</t>
  </si>
  <si>
    <t>PO-25004841</t>
  </si>
  <si>
    <t>PO-25004845</t>
  </si>
  <si>
    <t>LED High Bay 400W</t>
  </si>
  <si>
    <t>PO-25004838</t>
  </si>
  <si>
    <t>Thermometer Black Entry Type T1102A G02</t>
  </si>
  <si>
    <t>PO-25003736</t>
  </si>
  <si>
    <t>PO-25001831</t>
  </si>
  <si>
    <t>Changzhou ZEMU Machinery Technology Co., Ltd.</t>
  </si>
  <si>
    <t>PO-25002680
PO-25002690
PO-25001226</t>
  </si>
  <si>
    <t>WUXI HAOSHUO TECHNOLOGY CO., LTD.</t>
  </si>
  <si>
    <t>PO-25002681</t>
  </si>
  <si>
    <t>PO-25004540</t>
  </si>
  <si>
    <t>สายรัดโพลีเอสเตอร์ ขนาด 32 มม. (1ม้วนยาว 300 เมตร)</t>
  </si>
  <si>
    <t>PO-25004554</t>
  </si>
  <si>
    <t>แม่เหล็กยกของ PML-600A</t>
  </si>
  <si>
    <t>PO-25004559</t>
  </si>
  <si>
    <t xml:space="preserve">KEN5259460K ค้อนไร้แรงสะท้อน 28oz หัวโต 48 มม. POLYURETHANE </t>
  </si>
  <si>
    <t>PO-25004576</t>
  </si>
  <si>
    <t xml:space="preserve">งานป้ายอักษรโลหะสแตนเลส Logo QTMC  </t>
  </si>
  <si>
    <t>PO-25004572</t>
  </si>
  <si>
    <t>ฟิล์มฝ้า # GT1-005-2  จำนวน 81 ตารางฟุต</t>
  </si>
  <si>
    <t>PO-25004626</t>
  </si>
  <si>
    <t>พัดลมอุตสาหกรรมล้อเลื่อนขนาด 30 นิ้ว YAMABISHI VF-1760-B</t>
  </si>
  <si>
    <t>PO-25004638</t>
  </si>
  <si>
    <t>บริษัท เวอร์ทัส จำกัด</t>
  </si>
  <si>
    <t>Coupling R&amp;W MK2 020/44 Bore 3x3</t>
  </si>
  <si>
    <t>PO-25004658</t>
  </si>
  <si>
    <t>งานเทถนนระหว่างอาคารโรง Power, โรง QTMC (Smart Factory)</t>
  </si>
  <si>
    <t>PO-25004659</t>
  </si>
  <si>
    <t>งานกำแพงกันดิน (Smart Factory)</t>
  </si>
  <si>
    <t>PO-25004685</t>
  </si>
  <si>
    <t>แปรงลวดเหล็ก ด้ามไม้ S02-5ROW</t>
  </si>
  <si>
    <t>ดอกสว่านเจาะเหล็ก MAXICUT 4.5 มม.</t>
  </si>
  <si>
    <t>ดอกเจียรคาร์ไบด์ MD6-1225 Cone Shape Super Cut</t>
  </si>
  <si>
    <t>ดอกเจียรคาร์ไบด์ LD6-1228 Taper Radius End Super Cut</t>
  </si>
  <si>
    <t>สายลม PU 5x8 มม. ขนาด 100 เมตร (สีฟ้า)</t>
  </si>
  <si>
    <t>UNIOR 1508A ปืนเป่าฝุ่น ขนาด 4 นิ้ว</t>
  </si>
  <si>
    <t>PO-25004736</t>
  </si>
  <si>
    <t>ที่นอนหุ้มหนัง 3.5 ฟุต หนา 6 นิ้ว</t>
  </si>
  <si>
    <t>PO-25004737</t>
  </si>
  <si>
    <t>งานซ่อมคอนกรีตแตกร้าวบริเวณกันชนด้านหน้าอาคารเก็บเหล็กซิลิกอ</t>
  </si>
  <si>
    <t>PO-25004754</t>
  </si>
  <si>
    <t>งานระเบียงวางคอยล์ร้อนแอร์(Smart Factory)</t>
  </si>
  <si>
    <t>PO-25004748</t>
  </si>
  <si>
    <t>ค่าทดสอบหม้อแปลงไฟฟ้า 8 EA</t>
  </si>
  <si>
    <t>PO-25004773</t>
  </si>
  <si>
    <t>งานขนย้ายและติดตั้งเต้นท์ 6.50*12*3 เมตร (หลังเล็ก)</t>
  </si>
  <si>
    <t>PO-25004794</t>
  </si>
  <si>
    <t xml:space="preserve">งานขนย้าย และติดตั้งเต้นท์ ขนาด 8*12*3 เมตร </t>
  </si>
  <si>
    <t xml:space="preserve">PO-25004848 </t>
  </si>
  <si>
    <t>เครื่องปรับอากาศโรง Power, QTM(Smart Factory)</t>
  </si>
  <si>
    <t>PO-25004788</t>
  </si>
  <si>
    <t>Data Logger Real time Monitor Model : Frigga V5</t>
  </si>
  <si>
    <t>PO-25004528</t>
  </si>
  <si>
    <t>PO-25004893</t>
  </si>
  <si>
    <t>Conduit Flexible black 1/4" Polyamind 6</t>
  </si>
  <si>
    <t>PO-25004858</t>
  </si>
  <si>
    <t>PO-25004892</t>
  </si>
  <si>
    <t>Conduit Flexible black 5/16" Polyamind 6</t>
  </si>
  <si>
    <t>PO-25004891</t>
  </si>
  <si>
    <t>PO-25004886</t>
  </si>
  <si>
    <t>Oil filling pipe with oil level 11 kV ( L= 270 mm.)</t>
  </si>
  <si>
    <t>Lifting eyes No.5 (ขนาด 25 มม.)</t>
  </si>
  <si>
    <t>Flange for CT  No.1  (4 Pin)</t>
  </si>
  <si>
    <t>Flang for drain valve size 1 1/4"</t>
  </si>
  <si>
    <t>Pipe + Flange for conservator tank</t>
  </si>
  <si>
    <t>Pipe for drain valve size 1 1/4" L=60</t>
  </si>
  <si>
    <t>Flange for Thermometer  W/C  for Tag name  No.1</t>
  </si>
  <si>
    <t>PO-25004904</t>
  </si>
  <si>
    <t>PO-25004869</t>
  </si>
  <si>
    <t>บริษัท เช้งเก้อร์ (ไทย) จำกัด</t>
  </si>
  <si>
    <t>ค่าเทรลเลอร์ Lowbed 3axles สำหรับงาน กัลฟ์ เฟส3</t>
  </si>
  <si>
    <t>PO-25004925</t>
  </si>
  <si>
    <t>TPL-PT100 (PP0120010-MC00-AS01 202507)</t>
  </si>
  <si>
    <t>PO-25004918</t>
  </si>
  <si>
    <t>CABLE BOX TYPE 1 TR.4000 kVA 3Ph 50Hz 33000-3300/1905VAB</t>
  </si>
  <si>
    <t>PO-25004946</t>
  </si>
  <si>
    <t>Pressure Relief Device R1 0.35bar (ARES)</t>
  </si>
  <si>
    <t>PO-25004950</t>
  </si>
  <si>
    <t>PO-25004955</t>
  </si>
  <si>
    <t>PO-25004957</t>
  </si>
  <si>
    <t>PO-25004962</t>
  </si>
  <si>
    <t>PO-25004966</t>
  </si>
  <si>
    <t>PO-25004967</t>
  </si>
  <si>
    <t>ปลั๊กอุด ขนาด 3/4"</t>
  </si>
  <si>
    <t>ปลั๊กอุด ขนาด 1"</t>
  </si>
  <si>
    <t>PO-25004968</t>
  </si>
  <si>
    <t>15.30</t>
  </si>
  <si>
    <t>25.50</t>
  </si>
  <si>
    <t>49.00</t>
  </si>
  <si>
    <t>185.00</t>
  </si>
  <si>
    <t>PO-25005005</t>
  </si>
  <si>
    <t>PO-25004949</t>
  </si>
  <si>
    <t>PO-25005013</t>
  </si>
  <si>
    <t>PO-25005032</t>
  </si>
  <si>
    <t>แผ่นสติ๊กเกอร์การปรับแท็ป (MEA)</t>
  </si>
  <si>
    <t>PO-25005034</t>
  </si>
  <si>
    <t>แผ่น Stainless  Plate "AMORPHOUS" ขนาด 80*340 มม.</t>
  </si>
  <si>
    <t>Stainless Plate size 115x195x 1 mm. (Nameplate)</t>
  </si>
  <si>
    <t>แผ่น Stainless Plate SUS304 60x60mm for MEA</t>
  </si>
  <si>
    <t>PO-25005035</t>
  </si>
  <si>
    <t>PO-25005030</t>
  </si>
  <si>
    <t>PO-25005042</t>
  </si>
  <si>
    <t>ลูกถ้วยแรงสูง 24-36kV 250A (EN50180) Hoceratec</t>
  </si>
  <si>
    <t>PO-25005017</t>
  </si>
  <si>
    <t>PO-25005060</t>
  </si>
  <si>
    <t>Amorphous Alloy MaDC-A width 6.7" 5-ply (170  มม.)</t>
  </si>
  <si>
    <t>PO-25004997</t>
  </si>
  <si>
    <t>Earthing Terminal  E5</t>
  </si>
  <si>
    <t>Lifting lugs No.1 ( เหล็กแผ่นหนา 12 มม.)</t>
  </si>
  <si>
    <t>Pipe for drain valve size 1/2"</t>
  </si>
  <si>
    <t>Thermometer Pocket Type A1 (SS400)</t>
  </si>
  <si>
    <t>ฐานรองบุชชิ่งเอียง H=30 mm.(incline B'g base) Dimeter 75</t>
  </si>
  <si>
    <t>Earthing Terminal E4</t>
  </si>
  <si>
    <t>PO-25005080</t>
  </si>
  <si>
    <t>PO-25004948</t>
  </si>
  <si>
    <t>Junction Box for MEA Spec No.2331 (03-2025) For AMDT(TB052505R1) With Insulation Support</t>
  </si>
  <si>
    <t>Terminal Box for MEA Spec No.2331 (03-2025)For AMDT(TB052504R3) With Insulation Support</t>
  </si>
  <si>
    <t>PO-25005048</t>
  </si>
  <si>
    <t>Core locking pieces</t>
  </si>
  <si>
    <t>Stud bolt 5/8" เกลียว 11G (L-190)</t>
  </si>
  <si>
    <t>Arcing hore base No.2</t>
  </si>
  <si>
    <t>ชุด lifting lugs (ขนาด 110*150 มม.)</t>
  </si>
  <si>
    <t>PO-25005094</t>
  </si>
  <si>
    <t>PO-25005099</t>
  </si>
  <si>
    <t>PO-25005083</t>
  </si>
  <si>
    <t>Tap Changer (Voltage) 3Ph 24kV-30A-L130  ขึ้นกลาง 5 Position</t>
  </si>
  <si>
    <t>PO-25005084</t>
  </si>
  <si>
    <t>บริษัท เฮลแมน เวิร์ลไวด์ โลจิสติคส์ จำกัด</t>
  </si>
  <si>
    <t>งาน Move เครื่องจักร</t>
  </si>
  <si>
    <t>PO-25005119</t>
  </si>
  <si>
    <t>Magnetic Oil Level Indicator KSS-F L=308mm. HITACHI</t>
  </si>
  <si>
    <t>PO-25005150</t>
  </si>
  <si>
    <t>PO-25005151</t>
  </si>
  <si>
    <t>PO-25005173</t>
  </si>
  <si>
    <t>ชุดลูกถ้วยแรงต่ำ DT1 1250เบอร์3 แกน 30 มมWith Flag(EN 50386)</t>
  </si>
  <si>
    <t>PO-25005175</t>
  </si>
  <si>
    <t>บริษัท เค.เอ็น.พี.ซัพพลาย จำกัด</t>
  </si>
  <si>
    <t>PO-25005176</t>
  </si>
  <si>
    <t>PO-25005178</t>
  </si>
  <si>
    <t>PO-25005167</t>
  </si>
  <si>
    <t>PO-25005225</t>
  </si>
  <si>
    <t>PO-25005238</t>
  </si>
  <si>
    <t>PO-25005236</t>
  </si>
  <si>
    <t xml:space="preserve"> บริษัท สยาม วิน บอร์น จำกัด</t>
  </si>
  <si>
    <t>PO-25005165</t>
  </si>
  <si>
    <t xml:space="preserve"> บริษัท เอราวัณรับเบอร์ จำกัด</t>
  </si>
  <si>
    <t>PO-25005153</t>
  </si>
  <si>
    <t>ลูกยาง ลูกถ้วยแรงต่ำ 20 มม. เบอร์ 2</t>
  </si>
  <si>
    <t>ลูกยาง ลูกถ้วยแรงต่ำ 30 มม. เบอร์ 3</t>
  </si>
  <si>
    <t>ลูกยาง ลูกถ้วยแรงต่ำ 48 มม. เบอร์ 5</t>
  </si>
  <si>
    <t>PO-25005248</t>
  </si>
  <si>
    <t>PO-25005247</t>
  </si>
  <si>
    <t xml:space="preserve">PO-25005246 </t>
  </si>
  <si>
    <t>PO-25005245</t>
  </si>
  <si>
    <t>PO-25004894</t>
  </si>
  <si>
    <t>ระบบไฟฟ้าโรง Power (ใหม่)(Smart Factory)</t>
  </si>
  <si>
    <t>PO-25004945</t>
  </si>
  <si>
    <t>บริษัท อนุสรณ์ เบสเซฟ จำกัด</t>
  </si>
  <si>
    <t>ถังดับเพลิงยกหิ้ว ชนิดผงเคมีแห้ง 15 ปอนด์ SATURN 6A-20B</t>
  </si>
  <si>
    <t>ป้ายถังดับเพลิง ขนาด 22 x 22 x 30 cm.</t>
  </si>
  <si>
    <t>ป้ายไฟฉุกเฉิน Sunny รุ่น SLS6-10LED/S</t>
  </si>
  <si>
    <t>PO-25004896</t>
  </si>
  <si>
    <t>ปรับปรุงห้องประชุมกาลิเลโอ</t>
  </si>
  <si>
    <t>PO-25004895</t>
  </si>
  <si>
    <t>ปรับปรุงห้องประชุมแอมแปร์</t>
  </si>
  <si>
    <t>PO-25004922</t>
  </si>
  <si>
    <t>SOS-250678-80 บจก. ไดกิ อลูมิเนียม อินดัสทรี (ประเทศไทย)</t>
  </si>
  <si>
    <t>PO-25004906</t>
  </si>
  <si>
    <t>ANITECH เมาส์ไร้สาย รุ่น W231 สีดำ</t>
  </si>
  <si>
    <t>OKER คีย์บอร์ดมัลติมีเดีย รุ่น K699 สีดำ</t>
  </si>
  <si>
    <t>สเปรย์ล้างคอนแทค ทำความสะอาดอุปกรณ์ไฟฟ้า BOSNY B131 ขนาด 200</t>
  </si>
  <si>
    <t>คีมเข้าหัวตัวผู้ RJ45,RJ11,4 Pos LINK รุ่น TL-1103R</t>
  </si>
  <si>
    <t>PO-25004930</t>
  </si>
  <si>
    <t>ประตูม้วนส่วนขยายโรง Power (Smart Factory)</t>
  </si>
  <si>
    <t>PO-25004926</t>
  </si>
  <si>
    <t>บล็อคลม VESSEL SUPER LIGHT V-HAMMER Model GT-1600VP</t>
  </si>
  <si>
    <t>PO-25004931</t>
  </si>
  <si>
    <t>สายไฟ YK FD-0.6/1 KV-CV 1*240 SQ.MM. YAZAKI</t>
  </si>
  <si>
    <t>สายไฟ YK FD-0.6/1 KV-CV 1*70 SQ.MM. YAZAKI</t>
  </si>
  <si>
    <t>สายไฟ YK FD-0.6/1 KV-CV 1*95 SQ.MM. YAZAKI
(ใช้งาน Power Fac</t>
  </si>
  <si>
    <t>สายไฟ YK FD-0.6/1 KV-CV 1*95 SQ.MM. YAZAKI
(ใช้งาน QTMC)</t>
  </si>
  <si>
    <t>สายไฟ YK 60227 IEC 01 THW1*150 SQ.MM.เขียว 450/750V YAZAKI</t>
  </si>
  <si>
    <t>สายไฟ YK 60227 IEC 01 THW1*95 SQ.MM.เขียว 450/750V YAZAKI</t>
  </si>
  <si>
    <t>PO-25004942</t>
  </si>
  <si>
    <t>YAZAKI สายไฟ THW 1x185สีดำ</t>
  </si>
  <si>
    <t>YAZAKI สายไฟ VCT 4x6 sq.mm.</t>
  </si>
  <si>
    <t>PO-25004956</t>
  </si>
  <si>
    <t>Apple iPad 11 Wi-Fi + Cellular 256GB Silver+Applecare 2Years</t>
  </si>
  <si>
    <t>PO-25004965</t>
  </si>
  <si>
    <t>งานปรับปรุงกำแพงโรงงานฝั่งอาคารสวัสดิการ</t>
  </si>
  <si>
    <t>PO-25004995</t>
  </si>
  <si>
    <t>งานต่อเติมห้อง MDB และห้อง Air Pump 2 อาคาร</t>
  </si>
  <si>
    <t>งานต่อเติมขยายอาคารและงานเปลี่ยนแปลงส่วนออฟฟิต อาคารb 54x40m</t>
  </si>
  <si>
    <t>งานปรับปรุงแก้ไขส่วนวางเครื่องจักร รางขนส่งและถนนภายนอกกว้าง</t>
  </si>
  <si>
    <t>PO-25004985</t>
  </si>
  <si>
    <t>รางเหล็กจุดโหลดน้ำมัน</t>
  </si>
  <si>
    <t>PO-25005062</t>
  </si>
  <si>
    <t>ปืนลม ชุด5ชิ้น DG-10 SUMO มาพร้อมหัวต่อ 3 ขนาด</t>
  </si>
  <si>
    <t>แบตเตอรี่ 18V 3.0Ah รุ่น BL1830B (199283-8) MAKITA</t>
  </si>
  <si>
    <t>PO-25005068</t>
  </si>
  <si>
    <t>Implement D365 Visual Studio and Azure VM B8MS</t>
  </si>
  <si>
    <t>PO-25005102</t>
  </si>
  <si>
    <t>ปืนลม ชุด 5 ชิ้น DG-10 SUMO</t>
  </si>
  <si>
    <t>PO-25005126</t>
  </si>
  <si>
    <t>แก้ไขฝ้าห้องตัดกระดาษ</t>
  </si>
  <si>
    <t>PO-25005243</t>
  </si>
  <si>
    <t>ปั๊มน้ำ โรงอาหาร</t>
  </si>
  <si>
    <t>PO-25005242</t>
  </si>
  <si>
    <t>เทเบิ้ลลิฟต์รถยกของ / ส่วนอบและเติมน้ำมัน</t>
  </si>
  <si>
    <t>PO-25005209</t>
  </si>
  <si>
    <t>ผนังขึ้นราห้อง R&amp;D</t>
  </si>
  <si>
    <t>PO-25005188</t>
  </si>
  <si>
    <t>ห้างหุ้นส่วนจำกัด จิปาถะ เอ็นจิเนียริ่ง</t>
  </si>
  <si>
    <t>งานติดตั้งท่อลมพร้อมต่อเข้าระบบAirR Compreessor(อาคาร QTMC)</t>
  </si>
  <si>
    <t>งานติดตั้งท่อลมพร้อมต่อเข้าระบบAirR Compreessor(อาคาร Power)</t>
  </si>
  <si>
    <t>PO-25005149</t>
  </si>
  <si>
    <t>เครนโรงพับครีบตัวถัง ขนาด 5 Ton</t>
  </si>
  <si>
    <t>PO-25005132</t>
  </si>
  <si>
    <t>งานดาดคอนกรีตผนังกันดิน</t>
  </si>
  <si>
    <t>PO-25005172</t>
  </si>
  <si>
    <t>งานเพิ่มเติมก่อสร้างอาคาร 15.5m x 60m (Smart Factory)</t>
  </si>
  <si>
    <t>งานประตูบานเหล็กม้วน อาคาร 15.5x60 m.</t>
  </si>
  <si>
    <t>PO-25005169</t>
  </si>
  <si>
    <t>เดินสายเมนเครื่องจักร เตาอบ โรงงาน1</t>
  </si>
  <si>
    <t>PO-25005168</t>
  </si>
  <si>
    <t xml:space="preserve">งานเดินสายไฟเมนแอร์อาคาร1 ระยะ 55 เมตร
</t>
  </si>
  <si>
    <t xml:space="preserve">งานเดินสายเมนแอร์ โรง Amorphous ระยะ 55 เมตร 
</t>
  </si>
  <si>
    <t>PO-25005141</t>
  </si>
  <si>
    <t>PO-25005134</t>
  </si>
  <si>
    <t>PO-25005133</t>
  </si>
  <si>
    <t>กาวยางตราหมา  DOX  X-66</t>
  </si>
  <si>
    <t>CAN</t>
  </si>
  <si>
    <t>กระดาษกาวย่น ขนาดกว้าง* 3/4 " ยี่ห้อ  INTER TAPE</t>
  </si>
  <si>
    <t>PO-25005185</t>
  </si>
  <si>
    <t>บริษัท โปรเฟสชั่นแนล แคริเบรชั่น แอนด์ เซอร์วิสเซส จำกัด</t>
  </si>
  <si>
    <t>AC/DC Hi Test ,SN #17975074 / Keithley / HHT710-4L-121156</t>
  </si>
  <si>
    <t>AC High Voltage Tester ,SN #013550-00 / Hubbell / T775-20</t>
  </si>
  <si>
    <t>PO-25004923</t>
  </si>
  <si>
    <t>บริษัท คิวทีซี อีเอสเอส จำกัด</t>
  </si>
  <si>
    <t>เบรคเกอร์ Eaton โรง QTMC(Smart Factory)</t>
  </si>
  <si>
    <t>PO-25004858, PO-25005097, PO-25005171, PO-25005235</t>
  </si>
  <si>
    <t xml:space="preserve">PO-26000017 </t>
  </si>
  <si>
    <t>PO-26000026</t>
  </si>
  <si>
    <t>PO-26000030</t>
  </si>
  <si>
    <t>PO-26000028</t>
  </si>
  <si>
    <t>PO-26000015</t>
  </si>
  <si>
    <t>Earthing Terminal E2 (Terminal  base + Terminal  Clamp )</t>
  </si>
  <si>
    <t>ข้อต่อขนาด 1/2 " เกลียว 14G (เกลียวใน)</t>
  </si>
  <si>
    <t>Flange for Oil level indicator WO</t>
  </si>
  <si>
    <t xml:space="preserve">PO-26000020 </t>
  </si>
  <si>
    <t>PO-26000019</t>
  </si>
  <si>
    <t>Drain Valve with sampler 1 Inch(Type DV-SP-B-1 in brass)</t>
  </si>
  <si>
    <t>PO-26000018</t>
  </si>
  <si>
    <t>CABLE BOX TYPE 1 TR.3000 kVA 3Ph 50Hz 22000-3300/1905 V</t>
  </si>
  <si>
    <t>PO-26000016</t>
  </si>
  <si>
    <t>Terminal Box for MEA Spec No.233 (04-2025)(TB052501R3) With Insulation Support</t>
  </si>
  <si>
    <t>PO-26000001</t>
  </si>
  <si>
    <t>PO-26000060</t>
  </si>
  <si>
    <t>PO-26000055</t>
  </si>
  <si>
    <t>Steel Enclosure ขนาด 2000 x 2600 x 2600 mm. (IP31) / Steel E</t>
  </si>
  <si>
    <t>Steel Enclosure ขนาด 2000 x 2800 x 2900 mm (IP31) / Steel En</t>
  </si>
  <si>
    <t>Steel Enclosure ขนาด 1400 x 2000 x 2200 mm. (IP31) / Steel E</t>
  </si>
  <si>
    <t>PO-26000035</t>
  </si>
  <si>
    <t>PO-26000040</t>
  </si>
  <si>
    <t>บริษัท บีเอสเค โลจิสติกส์ แอนด์ แพคกิ้ง จำกัด</t>
  </si>
  <si>
    <t>Move ,Include Packing 1 w/case - included Survey , Jacking &amp;</t>
  </si>
  <si>
    <t>PO-26000039</t>
  </si>
  <si>
    <t>Rubber bag size X=1400,Y=750,G=450 (Conser dia. 450x1100mm)</t>
  </si>
  <si>
    <t>PO-26000056</t>
  </si>
  <si>
    <t>แกนทองแดง 20 มม. เบอร์ 2</t>
  </si>
  <si>
    <t>แกนทองแดง 48 มม. เบอร์ 5</t>
  </si>
  <si>
    <t>หางปลาแรงต่ำแบบบาร์ 4 รู แกน 42 มม.</t>
  </si>
  <si>
    <t>หางปลาแรงต่ำแบบบาร์ 5 รู แกน 48 มม. Zigzag (ระยะห่าง 60 มม.)</t>
  </si>
  <si>
    <t>คลับทองเหลือง แกนแรงต่ำขนาด 48 มม. เบอร์ 5(แบบต๊าปเกลียว4รู)</t>
  </si>
  <si>
    <t>หางปลาแรงต่ำแบบบาร์ 5 รู แกน 48 มม. ระยะห่าง 70 มม.</t>
  </si>
  <si>
    <t>PO-25002756</t>
  </si>
  <si>
    <t>PO-26000091</t>
  </si>
  <si>
    <t>PO-26000096</t>
  </si>
  <si>
    <t>PO-26000092</t>
  </si>
  <si>
    <t xml:space="preserve">PO-26000066 </t>
  </si>
  <si>
    <t>PO-26000118</t>
  </si>
  <si>
    <t>หัวน๊อตชุบ H.D.G ขนาด 12 มม. (เกลียว 1.75 มม.)</t>
  </si>
  <si>
    <t>PO-26000087</t>
  </si>
  <si>
    <t>แหวนอีแปะเหล็ก ขนาด 3/8"</t>
  </si>
  <si>
    <t>แหวนสปริงเหล็กชุบ ขนาด 10 มม. #2</t>
  </si>
  <si>
    <t>PO-26000093</t>
  </si>
  <si>
    <t>Socket for support CT (Round Bar ขนาด 25มม. M10*1.5)</t>
  </si>
  <si>
    <t>PO-26000088</t>
  </si>
  <si>
    <t>โบลท์เหล็กดำ ขนาด M10*90 มม.(เกลียว 1.50 มม.)เกลียวไม่ตลอด</t>
  </si>
  <si>
    <t>โบลท์เหล็ก หัวTaper ขนาด M10*40 mm. เกลียว 1.50 มม.</t>
  </si>
  <si>
    <t>หัวน๊อตมิลดำ ชุบ ZINC 10M x 1.50</t>
  </si>
  <si>
    <t>หัวน๊อตมิลขาว 12M x 1.5  ขอบ 17</t>
  </si>
  <si>
    <t>หัวน๊อตเหล็กดำ ขนาด 12 มม. เกลียว 1.75 มม.</t>
  </si>
  <si>
    <t>แหวนจักรนอกชุบ ขนาด M12 (1/2")</t>
  </si>
  <si>
    <t>แหวนเตเปอร์ 5 องศา ขนาด 1/2" ชุบขาว</t>
  </si>
  <si>
    <t>แหวนอีแปะชุบ H.D.G ขนาด 12 มม. ขอบ 24 มม.</t>
  </si>
  <si>
    <t>แหวนสปริงชุบ H.D.G ขนาด 12 มม. (1/2")</t>
  </si>
  <si>
    <t>โบลท์เหล็กชุบ ขนาด M10*35 มม. เกลียว 1.25 มม.</t>
  </si>
  <si>
    <t>แหวนอีแปะเหล็ก ขนาด 1"</t>
  </si>
  <si>
    <t>แหวนสปริงเหล็ก ขนาด 1"</t>
  </si>
  <si>
    <t>หัวน๊อตชุบ ขนาด 10 มม. เกลียว 1.25 มม</t>
  </si>
  <si>
    <t>แหวนจักรนอกชุบ ขนาด M16 (5/8")</t>
  </si>
  <si>
    <t>แหวนเตเปอร์ 5 องศา ขนาด 1" ชุบขาว</t>
  </si>
  <si>
    <t>แหวนสปริงเหล็ก ขนาด 1 1/4"</t>
  </si>
  <si>
    <t>โบลท์เหล็กชุบ ขนาด M12*45 มม. เกลียว 1.50 มม.</t>
  </si>
  <si>
    <t>แหวนอีแปะเหล็ก ขนาด 1 1/4"</t>
  </si>
  <si>
    <t>แหวนสปริงเหล็กชุบ ขนาด 12 มม. #2</t>
  </si>
  <si>
    <t>โบลท์เหล็กชุบ ขนาด M16*60 มม. (เกลียว 2.00 มม.)เกลียวไม่ตลอด</t>
  </si>
  <si>
    <t>แหวนเตเปอร์ 5 องศา ขนาด 1 1/4" ชุบขาว</t>
  </si>
  <si>
    <t>PO-26000089</t>
  </si>
  <si>
    <t>โบลท์เหล็ก หัวTaper ขนาด M10*65 mm.</t>
  </si>
  <si>
    <t>โบลท์เหล็กดำ ขนาด M10*60 มม.(เกลียว 1.50 มม.)เกลียวไม่ตลอด</t>
  </si>
  <si>
    <t>โบลท์เหล็กดำ ขนาด M10*70 มม. เกลียวไม่ตลอด</t>
  </si>
  <si>
    <t>สกรูมิลดำ 8.8 12Mx1.75x35 mm.(เกลียวตลอด)</t>
  </si>
  <si>
    <t>โบลท์สแตนเลส ขนาด M10*20 มม. (เกลียว 1.50 มม.)</t>
  </si>
  <si>
    <t>แหวนอีแปะสแตนเลส ขนาด 12 มม.</t>
  </si>
  <si>
    <t>โบลท์สแตนเลส ขนาด M10*25 มม. (เกลียว 1.50 มม.)</t>
  </si>
  <si>
    <t>แหวนอีแปะสแตนเลส ขนาด 10 มม. ขอบ 22 มม.</t>
  </si>
  <si>
    <t>โบลท์เหล็กดำ ขนาด M12*30 มม. (เกลียว 1.75 มม.)</t>
  </si>
  <si>
    <t>โบลท์เหล็กดำ ขนาด M12*90 มม. (เกลียว 1.75 มม.)</t>
  </si>
  <si>
    <t>แหวนอีแปะเหล็ก ขนาด 5/8"</t>
  </si>
  <si>
    <t>แหวนสปริงดำ #2 20M  ขนาด 3/4"</t>
  </si>
  <si>
    <t>โบลท์เหล็ก H.D.G ขนาด M12*40 มม. (เกลียว 1.75 มม.)</t>
  </si>
  <si>
    <t>โบลท์เหล็กดำ ขนาด M12*100 มม. เกลียว 1.75 มม.(เกลียวตลอด)</t>
  </si>
  <si>
    <t>แหวนจักรนอกชุบ ขนาด M20 (3/4")</t>
  </si>
  <si>
    <t>แหวนเตเปอร์ 5 องศา ขนาด 3/4" ชุบขาว</t>
  </si>
  <si>
    <t>โบลท์สแตนเลส หัวหกเหลี่ยม ขนาด M6*35 มม. (เกลียว 1.00 มม.)</t>
  </si>
  <si>
    <t>แหวนอีแปะสแตนเลส ขนาด 6 มม.</t>
  </si>
  <si>
    <t>โบลท์เหล็กชุบ ขนาด M16*50 มม. (เกลียว 2.00 มม.)เกลียวตลอด</t>
  </si>
  <si>
    <t>โบลท์สแตนเลส ขนาด M12*20 มม. (เกลียว 1.75 มม.)</t>
  </si>
  <si>
    <t>โบลท์เหล็กชุบ ขนาด M12*30 มม.เกลียว 1.5 มม</t>
  </si>
  <si>
    <t>สกรูมิลดำ 8.8 HDG 12Mx1.75x60 mm.(เกลียวตลอด)</t>
  </si>
  <si>
    <t>แหวนอีแปะชุบ ขนาด 3/8" ชุบขาว</t>
  </si>
  <si>
    <t>แหวนอีแปะสแตนเลส ขนาด 8 มม.</t>
  </si>
  <si>
    <t>โบลท์สแตนเลส ขนาด M10*60 มม. เกลียว 1.5</t>
  </si>
  <si>
    <t>โบลท์สแตนเลส หัวหกเหลี่ยม ขนาด M4*30 มม. (เกลียว  0.7 มม.)</t>
  </si>
  <si>
    <t>แหวนอีแปะสแตนเลส ขนาด M4</t>
  </si>
  <si>
    <t>แหวนสปริงสแตนเลส ขนาด M4</t>
  </si>
  <si>
    <t>แหวนอีแปะชุบ H.D.G ขนาด M16</t>
  </si>
  <si>
    <t>โบลท์สแตนเลส ขนาด M12*90 มม. (เกลียว 1.75 มม.)</t>
  </si>
  <si>
    <t>PO-26000115</t>
  </si>
  <si>
    <t>เหล็กเพลากลม ขนาด 8 mm</t>
  </si>
  <si>
    <t>PO-26000098</t>
  </si>
  <si>
    <t>PO-26000062</t>
  </si>
  <si>
    <t>ลูกถ้วยแรงสูง 33kV 30NF250</t>
  </si>
  <si>
    <t>PO-26000063</t>
  </si>
  <si>
    <t>ลูกถ้วยแรงต่ำ DT1 1000 A1 เบอร์3 แกน 30 มม.</t>
  </si>
  <si>
    <t>ลูกถ้วยแรงต่ำ DT1 1000 B1 เบอร์3 แกน 30 มม.</t>
  </si>
  <si>
    <t>PO-26000136</t>
  </si>
  <si>
    <t>PO-26000182</t>
  </si>
  <si>
    <t>PO-26000070</t>
  </si>
  <si>
    <t>ล่อฟ้าตัวบน 22 kV</t>
  </si>
  <si>
    <t>ล่อฟ้าตัวล่าง 22 kV</t>
  </si>
  <si>
    <t>ล่อฟ้าตัวบน 33 kV</t>
  </si>
  <si>
    <t>ล่อฟ้าตัวล่าง 33 kV</t>
  </si>
  <si>
    <t>Lock nut ทองเหลือง (MEA) แกน 30 มม. เบอร์ 3 หนา 5 มม.</t>
  </si>
  <si>
    <t>PO-26000200</t>
  </si>
  <si>
    <t xml:space="preserve">CABLE BOX TYPE 1 TR.500 kVA 3Ph 50Hz 22000-400/230V / CABLE </t>
  </si>
  <si>
    <t>PO-26000201</t>
  </si>
  <si>
    <t>Radiator Fin W520 x HL800x Z13 (Hot dip galvanized)</t>
  </si>
  <si>
    <t>Radiator Fin W520 x HL1000 x Z18</t>
  </si>
  <si>
    <t>Radiator Fin W520 x HL800 x Z12</t>
  </si>
  <si>
    <t>Radiator Fin W520 x HL800x Z5</t>
  </si>
  <si>
    <t>Radiator Fin W520 x HL1000 x Z22</t>
  </si>
  <si>
    <t>PO-26000197</t>
  </si>
  <si>
    <t>Flang for drain valve size 1/2"</t>
  </si>
  <si>
    <t>PO-26000229</t>
  </si>
  <si>
    <t>กระดาษ Kraft ขนาด 0.18*1000 มม.</t>
  </si>
  <si>
    <t>กระดาษ Kraft ขนาด 0.25*30 มม.</t>
  </si>
  <si>
    <t>PO-26000198</t>
  </si>
  <si>
    <t>ปะเก็นไม้ก๊อกตัวบน ลูกถ้วยแรงต่ำ 30 มม.</t>
  </si>
  <si>
    <t>ปะเก็นไม้ก๊อกตัวกลาง ลูกถ้วยแรงต่ำ 30 มม.</t>
  </si>
  <si>
    <t>ปะเก็นไม้ก๊อกตัวล่าง ลูกถ้วยแรงต่ำ 30 มม.</t>
  </si>
  <si>
    <t>ปะเก็นไม้ก๊อกตัวกลาง ลูกถ้วยแรงต่ำ 42 มม.</t>
  </si>
  <si>
    <t>ปะเก็นไม้ก๊อกตัวล่าง ลูกถ้วยแรงต่ำ 42 มม.</t>
  </si>
  <si>
    <t>ปะเก็นไม้ก๊อกตัวบน ลูกถ้วยแรงต่ำ 48 มม.</t>
  </si>
  <si>
    <t>ปะเก็นไม้ก๊อกตัวกลาง ลูกถ้วยแรงต่ำ 48 มม.</t>
  </si>
  <si>
    <t>ปะเก็นไม้ก๊อกตัวล่าง ลูกถ้วยแรงต่ำ 48 มม.</t>
  </si>
  <si>
    <t>PO-26000235</t>
  </si>
  <si>
    <t>เหล็กแผ่น S400 หนา 6.0 มม. กว้าง 1219 มม. ยาว 1900 มม</t>
  </si>
  <si>
    <t>เหล็กแผ่น S400 หนา 6.0 มม. กว้าง 1530 มม. ยาว 1700 มม.</t>
  </si>
  <si>
    <t>PO-26000237</t>
  </si>
  <si>
    <t>แหวนอีแปะชุบ ขนาด 16 มม. (ขอบกว้าง 0.3 นิ้ว)</t>
  </si>
  <si>
    <t>หัวน๊อตชุบ ขนาด 16 มม. เกลียว 2.0</t>
  </si>
  <si>
    <t xml:space="preserve">PO-26000283 </t>
  </si>
  <si>
    <t>PO-26000285</t>
  </si>
  <si>
    <t>PO-26000284</t>
  </si>
  <si>
    <t xml:space="preserve">PO-26000288 </t>
  </si>
  <si>
    <t xml:space="preserve">PO-26000316 </t>
  </si>
  <si>
    <t>หญ้าเทียม ขนาด 2 ซม. AAA WG2</t>
  </si>
  <si>
    <t>ตรม.</t>
  </si>
  <si>
    <t>PO-26000325</t>
  </si>
  <si>
    <t>PO-26000307</t>
  </si>
  <si>
    <t>บริษัท ทีทีเจ โคทติ้งส์ จำกัด</t>
  </si>
  <si>
    <t>TTJ EPOTEX SL RAL 7016-2 PART A +B</t>
  </si>
  <si>
    <t>PO-26000342</t>
  </si>
  <si>
    <t>เหล็กเส้นแบน ขนาด 50*6*6000 มม.</t>
  </si>
  <si>
    <t>PO-26000327</t>
  </si>
  <si>
    <t>PO-26000323</t>
  </si>
  <si>
    <t>กระดาษ Thermopox ขนาด 0.08*40มม.</t>
  </si>
  <si>
    <t>กระดาษ Thermopox ขนาด 0.08*25มม.</t>
  </si>
  <si>
    <t>PO-26000168</t>
  </si>
  <si>
    <t>PO-26000169</t>
  </si>
  <si>
    <t>PO-26000170</t>
  </si>
  <si>
    <t>PO-26000226</t>
  </si>
  <si>
    <t>PO-26000195</t>
  </si>
  <si>
    <t>PO-26000249</t>
  </si>
  <si>
    <t xml:space="preserve">CT500/1A </t>
  </si>
  <si>
    <t>PO-26000282</t>
  </si>
  <si>
    <t>ปลั๊กอุดทองเหลืองขนาด 1/4"</t>
  </si>
  <si>
    <t>PO-26000294</t>
  </si>
  <si>
    <t>Eluk End Bracket No.1201442</t>
  </si>
  <si>
    <t>PO-26000329</t>
  </si>
  <si>
    <t>ทองแดงเส้นแบนขนาด 10x200mm. (สำหรับงาน SOD-250849)</t>
  </si>
  <si>
    <t>PO-26000058</t>
  </si>
  <si>
    <t>ถุงพลาสติก PE หนา ขนาด 4*7"</t>
  </si>
  <si>
    <t>ถุงพลาสติก PE หนา ขนาด 7*11"</t>
  </si>
  <si>
    <t>ถุงพลาสติก PE หนา ขนาด 12*18"</t>
  </si>
  <si>
    <t>PO-26000048</t>
  </si>
  <si>
    <t>สายยาง(ใส) 2.1/2" (25kg) (30M/ขด)</t>
  </si>
  <si>
    <t>PO-26000082</t>
  </si>
  <si>
    <t>เชื่อมประตูห้องเก็บสารเคมี</t>
  </si>
  <si>
    <t>PO-26000083</t>
  </si>
  <si>
    <t>ซ่อมยางกันกระแทกประตู</t>
  </si>
  <si>
    <t>PO-26000132</t>
  </si>
  <si>
    <t>Dell Pro Slim QCS1250 [Ultra 5 235/16GB/512GB/No OS]</t>
  </si>
  <si>
    <t>PO-26000130</t>
  </si>
  <si>
    <t>ฝ้า หอพักห้อง201</t>
  </si>
  <si>
    <t>PO-26000126</t>
  </si>
  <si>
    <t>บริษัท เอสจีเอส (ประเทศไทย) จำกัด</t>
  </si>
  <si>
    <t>การทวนสอบคาร์บอนฟุตพริ้นท์ขององค์กร</t>
  </si>
  <si>
    <t>PO-26000142</t>
  </si>
  <si>
    <t>บริษัท อาร์ เจ เอส คอนแทร็ค แอนด์ เซอร์วิส จำกัด</t>
  </si>
  <si>
    <t>งานดาดคอนกรีต (เพิ่มเติม)</t>
  </si>
  <si>
    <t>PO-26000161</t>
  </si>
  <si>
    <t>Can</t>
  </si>
  <si>
    <t>PO-26000163</t>
  </si>
  <si>
    <t>ลูกรีเวท อลูมิเนียม 5-4 (1000ตัว/กล่อง)</t>
  </si>
  <si>
    <t>PO-26000186</t>
  </si>
  <si>
    <t>PO-26000181</t>
  </si>
  <si>
    <t>น้ำมันสน ยี่ห้อ Eagle (แกลลอน)</t>
  </si>
  <si>
    <t>PO-26000175</t>
  </si>
  <si>
    <t>โล่รางวัล QTC Kaizen Award 2025</t>
  </si>
  <si>
    <t>PO-26000180</t>
  </si>
  <si>
    <t>ถังปั่นม็อบ 3M รุ่น 7T ECO Dual Wash+ไม้ถู</t>
  </si>
  <si>
    <t>PO-26000179</t>
  </si>
  <si>
    <t>2061960 เครื่องเจาะ ตราช้าง DP-500</t>
  </si>
  <si>
    <t>PO-26000223</t>
  </si>
  <si>
    <t>PO-26000270</t>
  </si>
  <si>
    <t>งานปรับปรุงระบบน้ำปะปาโรงงานซื้อถังเพิ่ม 3 จุด</t>
  </si>
  <si>
    <t>PO-26000250</t>
  </si>
  <si>
    <t>งานซ่อมพื้นปูนแตกหน้าข้างอาคารคลังสินค้าเก็บเหล็กซิลิกอนใหม่</t>
  </si>
  <si>
    <t>PO-26000345</t>
  </si>
  <si>
    <t>ซ่อมแซมและเปลี่ยนชุดสุขภัณฑ์ห้องน้ำใหม่ 3 จุด</t>
  </si>
  <si>
    <t>PO-26000338</t>
  </si>
  <si>
    <t>บริษัท ซิสเต็มส์สโตน จำกัด</t>
  </si>
  <si>
    <t>ค่าบริการเปิดใช้และดูแลรักษาระบบ Factorium CMMS (ต่ออายุ)</t>
  </si>
  <si>
    <t>PO-26000350</t>
  </si>
  <si>
    <t>ปรับปรุง ทำสีตู้ Unit Substation</t>
  </si>
  <si>
    <t>PO-26000080</t>
  </si>
  <si>
    <t>Program Autodesk Product  Design&amp;Drawing</t>
  </si>
  <si>
    <t>PO-26000306</t>
  </si>
  <si>
    <t>บริษัท ออเรนจ์ กรีน อินสทรูเมนต์ จำกัด</t>
  </si>
  <si>
    <t xml:space="preserve">เครื่อง Winding Resistance รุ่น Sonel:MMR650 </t>
  </si>
  <si>
    <t>PO-26000361</t>
  </si>
  <si>
    <t>กระดาษ Thermopox ขนาด 0.130*40มม.</t>
  </si>
  <si>
    <t>กระดาษ Thermopox (DDP) ขนาด 0.40*40มม.</t>
  </si>
  <si>
    <t>PO-26000271</t>
  </si>
  <si>
    <t>PO-25004008</t>
  </si>
  <si>
    <t>Air Freight cost</t>
  </si>
  <si>
    <t>Transportation cost</t>
  </si>
  <si>
    <t>PO-25002944</t>
  </si>
  <si>
    <t xml:space="preserve">PO-26000374 </t>
  </si>
  <si>
    <t>เหล็กฉาก ขนาด 75*75*9 มม.</t>
  </si>
  <si>
    <t>PO-26000396</t>
  </si>
  <si>
    <t>เหล็กท่อดำกลม ขนาด 1/2"x 2 มม.</t>
  </si>
  <si>
    <t>เหล็กเส้นแบน ขนาด 75*9*6000 มม.</t>
  </si>
  <si>
    <t>Stainless  Plate  size 1200x2400x6 mm.</t>
  </si>
  <si>
    <t>PO-26000485</t>
  </si>
  <si>
    <t xml:space="preserve">CABLE BOX TYPE 1 TR.250 kVA 3Ph 50Hz 22000-416/240V / CABLE </t>
  </si>
  <si>
    <t>PO-26000490</t>
  </si>
  <si>
    <t>CABLE BOX TYPE 1 TR.2500 kVA 3Ph 50Hz 33000-400/230V / CABLE</t>
  </si>
  <si>
    <t xml:space="preserve">CABLE BOX TYPE 1 TR.250 kVA 3Ph 50Hz 22000-400/230V / CABLE </t>
  </si>
  <si>
    <t>PO-26000554</t>
  </si>
  <si>
    <t>PO-26000435</t>
  </si>
  <si>
    <t>PO-26000446</t>
  </si>
  <si>
    <t>PO-26000467</t>
  </si>
  <si>
    <t>ชุดลูกถ้วยแรงสูง 12kV 10NF1000 (DIN 42533) With Flag (ELKOM)</t>
  </si>
  <si>
    <t>PO-26000469</t>
  </si>
  <si>
    <t>PO-26000477</t>
  </si>
  <si>
    <t>LITRE</t>
  </si>
  <si>
    <t>PO-26000493</t>
  </si>
  <si>
    <t>PO-26000590</t>
  </si>
  <si>
    <t>PO-26000528</t>
  </si>
  <si>
    <t>ชุดลูกถ้วยแรงสูง 36kV 30NF630 (DIN 42532) With Flag (ELKOM)</t>
  </si>
  <si>
    <t>PO-26000634</t>
  </si>
  <si>
    <t>PO-26000662</t>
  </si>
  <si>
    <t>CABLE BOX ON SIDE TR.Earthing 22000V 1000A/10Sec.</t>
  </si>
  <si>
    <t>CABLE BOX TYPE 1 TR.1250 kVA 3Ph 50Hz 22000-210V</t>
  </si>
  <si>
    <t>PO-26000371</t>
  </si>
  <si>
    <t>PO-26000375</t>
  </si>
  <si>
    <t>PO-26000372</t>
  </si>
  <si>
    <t>พื้น PU โรงพับครีบ (Smart Factory Phase 2)</t>
  </si>
  <si>
    <t>PO-26000376</t>
  </si>
  <si>
    <t>PO-26000418</t>
  </si>
  <si>
    <t>ตีเส้นพื้นที่จัดเก็บหม้อแปลง (FG)</t>
  </si>
  <si>
    <t>PO-26000383</t>
  </si>
  <si>
    <t>บริษัท ซานโต ไฟร์ โปรดักท์ จำกัด</t>
  </si>
  <si>
    <t>เครื่องดับเพลิง ABC 15 ปอนด์ST 6A20B</t>
  </si>
  <si>
    <t>ตู้แสตนเลส เก็บเครื่องเดี่ยว ขนาด 40*70*20 ซมแบบมีขาตั้ง</t>
  </si>
  <si>
    <t>ตู้แสตนเลส เก็บเครื่องเดี่ยว ขนาด 40*70*20 ซมแบบแขวนติดผนัง</t>
  </si>
  <si>
    <t>PO-26000408</t>
  </si>
  <si>
    <t>ถังปั่นม็อบ 3M รุ่น T7 Eco Dual Wash+ไม้ถู</t>
  </si>
  <si>
    <t>PO-26000465</t>
  </si>
  <si>
    <t>งานตกแต่งภายในโรง Power (เพิ่มเติม)</t>
  </si>
  <si>
    <t>PO-26000494</t>
  </si>
  <si>
    <t>งานติดตั้งระบบไฟรองรับ EV Charger</t>
  </si>
  <si>
    <t>PO-26000394</t>
  </si>
  <si>
    <t>แอร์ห้องฟาราเดย์</t>
  </si>
  <si>
    <t>PO-26000412</t>
  </si>
  <si>
    <t>Microsoft Dynamics 365 : Subscription (for Go-Live Year)</t>
  </si>
  <si>
    <t>PO-26000415</t>
  </si>
  <si>
    <t>ห้างหุ้นส่วนจำกัด ทอฟ้า การ์เมนท์</t>
  </si>
  <si>
    <t xml:space="preserve">เสื้อโปโลผ้า Endurance #Mesh </t>
  </si>
  <si>
    <t>PO-26000463</t>
  </si>
  <si>
    <t>งานเพิ่มปั้มน้ำและ main น้ำดีจ่ายอาคารเก่า</t>
  </si>
  <si>
    <t>งานเพิ่มวาล์วท่อน้ำดี HDPE อาคารเดิม</t>
  </si>
  <si>
    <t>PO-26000462</t>
  </si>
  <si>
    <t>M12 HB5 ASIA แบตเตอรี่ 12 โวลต์ 5.0 แอมป์อาว HIGH OUTPUT</t>
  </si>
  <si>
    <t>PO-26000457</t>
  </si>
  <si>
    <t>KEIBA ต๊าปตัวผู้ M6x1.0  ( 3ea/set )</t>
  </si>
  <si>
    <t>PO-26000453</t>
  </si>
  <si>
    <t>บริษัท ไทยสเปเชี่ยลเวลด์ จำกัด</t>
  </si>
  <si>
    <t>Robot Maintenance and inspection IRB2600</t>
  </si>
  <si>
    <t>Private Maintenance Service (PM)</t>
  </si>
  <si>
    <t>PO-26000473</t>
  </si>
  <si>
    <t>Wooden Pallet IPPC Size : (W)930 X (L)1200 X (H)120 mm.</t>
  </si>
  <si>
    <t>PO-26000521</t>
  </si>
  <si>
    <t>KOVET เกจวัดแรงดันแก๊ส อาร์กอน KV95-AR</t>
  </si>
  <si>
    <t>Makita 9533B เครื่องเจียรไฟฟ้า 4 นิ้ว Slim body</t>
  </si>
  <si>
    <t>PO-26000520</t>
  </si>
  <si>
    <t>งานติดตั้งไฟแสงสว่าง Solar Cell</t>
  </si>
  <si>
    <t>PO-26000539</t>
  </si>
  <si>
    <t>เครน 3 Ton โรง Amorphous</t>
  </si>
  <si>
    <t>PO-26000514</t>
  </si>
  <si>
    <t>PO-26000523</t>
  </si>
  <si>
    <t>NS-324 กาว</t>
  </si>
  <si>
    <t>PO-26000558</t>
  </si>
  <si>
    <t>PO-26000513</t>
  </si>
  <si>
    <t>บริษัท ทิงค์เน็ต จำกัด</t>
  </si>
  <si>
    <t>ค่าโฆษณารับสมัครงาน Premium Package แบบราย 1 ปี 10 ตำแหน่ง</t>
  </si>
  <si>
    <t>PO-26000527</t>
  </si>
  <si>
    <t>ย้ายตู้เอกสาร</t>
  </si>
  <si>
    <t>PO-26000551</t>
  </si>
  <si>
    <t>ตู้เย็น Haier 20.1 คิว รุ่น HRF-SBS569MS CB</t>
  </si>
  <si>
    <t>PO-26000566</t>
  </si>
  <si>
    <t>เครื่อง Laser ยิง Nameplate Marco-SM33-Q-autoZ</t>
  </si>
  <si>
    <t>PO-26000584</t>
  </si>
  <si>
    <t>บริษัท โอต้า เอ็นจิเนียริ่ง(ประเทศไทย) จำกัด</t>
  </si>
  <si>
    <t>LASER CUTTING MACHINE (K3-65-12000W)</t>
  </si>
  <si>
    <t>PO-26000557</t>
  </si>
  <si>
    <t>งานถนนคอนกรีต ข้างอาคาร 54x40 ม.</t>
  </si>
  <si>
    <t>PO-26000568</t>
  </si>
  <si>
    <t>PO-26000549</t>
  </si>
  <si>
    <t>ชุดช็อตกราวด์ PORTABLE EARTHING EQUIPMENT (275kV)</t>
  </si>
  <si>
    <t>PO-26000636</t>
  </si>
  <si>
    <t>"ASAHI"SS0038 ประแจปากตายหัวเดี่ยวสีดำ 38mm</t>
  </si>
  <si>
    <t xml:space="preserve">"UNIOR"#120SET-26PCS ประแจแหวนข้างปากตาย ตัวยาว ขนาด 6-32mm </t>
  </si>
  <si>
    <t>"KUKEN" KW-40P บล็อกลม 1" 1500N.m</t>
  </si>
  <si>
    <t>Unior # 190-6P24 บีอกซ์ชุด 24 ชิ้น/ชุด 6 เหลี่ยม ขนาด 1/2" -</t>
  </si>
  <si>
    <t>"SUPERTOOL" KP17 ประแจแหวนข้างเดี่ยว 17mm</t>
  </si>
  <si>
    <t>"SUPERTOOL" KP19 ประแจแหวนข้างเดี่ยว 19mm</t>
  </si>
  <si>
    <t>"SUPERTOOL" KP21 ประแจแหวนข้างเดี่ยว 21mm</t>
  </si>
  <si>
    <t>"SUPERTOOL" KP24 ประแจแหวนข้างเดี่ยว 24mm</t>
  </si>
  <si>
    <t>"SUPERTOOL" KP27 ประแจแหวนข้างเดี่ยว 27mm</t>
  </si>
  <si>
    <t>"SUPERTOOL"RN14 ประแจหางหนู 14mm</t>
  </si>
  <si>
    <t>"SUPERTOOL"RN17 ประแจหางหนู 17mm</t>
  </si>
  <si>
    <t>"SUPERTOOL"RN19 ประแจหางหนู 19mm</t>
  </si>
  <si>
    <t>"SUPERTOOL"RN21 ประแจหางหนู 21mm</t>
  </si>
  <si>
    <t>"SUPERTOOL"RN24 ประแจหางหนู 24mm</t>
  </si>
  <si>
    <t>"ASAHI"SS0046 ประแจปากตายหัวเดี่ยวสีดำ 46mm</t>
  </si>
  <si>
    <t>"ASAHI"SS0055 ประแจปากตายหัวเดี่ยวสีดำ 55mm</t>
  </si>
  <si>
    <t>PO-26000573</t>
  </si>
  <si>
    <t>2013530 ELEPHANT เครื่องเย็บกระดาษ No.HS-10EN/Y2 คละสี</t>
  </si>
  <si>
    <t>PO-26000599</t>
  </si>
  <si>
    <t>ขวดบีบไม่มีสเกล 500 ML</t>
  </si>
  <si>
    <t>PO-26000684</t>
  </si>
  <si>
    <t>PO-26000690</t>
  </si>
  <si>
    <t>Rubber bag size X=2415 Y=1065  G=1150 Conser dia. 650x2000mm</t>
  </si>
  <si>
    <t>PO-26000714</t>
  </si>
  <si>
    <t>PO-25004619</t>
  </si>
  <si>
    <t>PO-26000603</t>
  </si>
  <si>
    <t>1100 โฟมอุดหู ไม่มีสาย NRR29(200คู่/กล่อง)(8151­HC000664637)</t>
  </si>
  <si>
    <t>คู่</t>
  </si>
  <si>
    <t>2097P100แผ่นกรองไอระเหยสารอินทรีย์ (8151­WX700900086)</t>
  </si>
  <si>
    <t>3200K หน้ากากไส้กรองเดี่ยวขนาดมาตรฐาน (8151­XH003869522)</t>
  </si>
  <si>
    <t>7502 ขนาดกลางหน้ากากครึ่งหน้าไส้กรองคู่ (8151­XP002045522)</t>
  </si>
  <si>
    <t>3301J­100 ตลับกรองไอระเหย (8151­XA010030808)</t>
  </si>
  <si>
    <t>6001 ตลับกรองไอระเหย (8151­WX700900094)</t>
  </si>
  <si>
    <t xml:space="preserve">5N11 N95 แผ่นกรองฝุ่นละออง ฟูมโลหะ </t>
  </si>
  <si>
    <t>PO-26000606</t>
  </si>
  <si>
    <t>Leadset HV. 3x3 m. Medium clips "MEGGER" C/N : 1008-022</t>
  </si>
  <si>
    <t>PO-26000629</t>
  </si>
  <si>
    <t>เครื่องดูดฝุ่น DEWALT DCV584L-QW</t>
  </si>
  <si>
    <t>แบตเตอรี่ DEWALT DCB184 20V 5.0 ah</t>
  </si>
  <si>
    <t>แท่นชาร์จ DEWALT DCD1104</t>
  </si>
  <si>
    <t>PO-26000628</t>
  </si>
  <si>
    <t>งานทำถนนทางเดินออกกำลังรอบสระน้ำ</t>
  </si>
  <si>
    <t>งานทำคานพร้อมเทพื้นกันดินลงของสระใหม่</t>
  </si>
  <si>
    <t>PO-26000647</t>
  </si>
  <si>
    <t>เครื่องเป่าลมไร้สาย BLOWER ยี่ห้อ DEWAIT 18V DCE100N-KR</t>
  </si>
  <si>
    <t>PO-26000641</t>
  </si>
  <si>
    <t>ท่อระบายน้ำถนน Main (smart factory phase2)</t>
  </si>
  <si>
    <t>PO-26000645</t>
  </si>
  <si>
    <t>IRWIN คีมล็อกปากตรง ขนาด 10นิ้ว รุ่น 10R</t>
  </si>
  <si>
    <t>คีมตัดสายเคเบิลรุ่นงานหนัก STANLEY รุ่น 84-258 ขนาด10นิ้ว</t>
  </si>
  <si>
    <t>KEN-525-9460K ค้อนไร้แรงสะท้อน 28oz หัวโต 48 มม. - POLYURETH</t>
  </si>
  <si>
    <t>กรรไกรตัดเหล็กเส้น ขนาด18นิ้ว ยาว450มม.</t>
  </si>
  <si>
    <t>ประแจแหวนข้างปากตาย ขนาด 38 mm.</t>
  </si>
  <si>
    <t>ประแจแหวนข้างปากตาย ขนาด 29 mm.</t>
  </si>
  <si>
    <t>หัวเชื่อมแก๊ส LPG (1390N) ยี่ห้อHARRIS 43-2J</t>
  </si>
  <si>
    <t>PO-26000671</t>
  </si>
  <si>
    <t>ซ่อมบำรุงรักษาAir Compressor ส่วนซ่อมบำรุง</t>
  </si>
  <si>
    <t>PO-26000699</t>
  </si>
  <si>
    <t>ซ่อมบำรุงรักษาAir Compressor หลังห้องเลื่อยไม้ ส่วนซ่อมบำรุง</t>
  </si>
  <si>
    <t>PO-26000709</t>
  </si>
  <si>
    <t>KENNEDY ไขควงหัวหกเหลี่ยม 4.0 mm.</t>
  </si>
  <si>
    <t>SENATOR ประแจแหวนข้างปากตาย 30mm.</t>
  </si>
  <si>
    <t>PO-26000715</t>
  </si>
  <si>
    <t>งานเพิ่มเหล็ก Support Crane QTMC, Crane โรง Power(smart fact</t>
  </si>
  <si>
    <t>PO-26000710</t>
  </si>
  <si>
    <t>ค่าทดสอบ Lab HV-Tech อ้างอิง FCO-250028 หม้อขนาด 315/22 kVA.</t>
  </si>
  <si>
    <t>PO-26000721</t>
  </si>
  <si>
    <t>PO-26000719</t>
  </si>
  <si>
    <t>โต๊ะประชุม ขนาด กว้าง 110 cm ยาว 200 cm สูง 73 cm ติดลามิเนต</t>
  </si>
  <si>
    <t>PO-26000717</t>
  </si>
  <si>
    <t xml:space="preserve">ค่าทดสอบ Lab HV-Tech อ้างอิง FCO-250028 หม้อขนาด 500/22 kVA </t>
  </si>
  <si>
    <t>PO-26000716</t>
  </si>
  <si>
    <t>ค่าทดสอบ Lab HV-Tech อ้างอิง FCO-250028 หม้อขนาด 500/33 kVA</t>
  </si>
  <si>
    <t>PO-26000713</t>
  </si>
  <si>
    <t>บริษัท โตโยต้า ที บี เอ็น จำกัด</t>
  </si>
  <si>
    <t>รถยนต์ TRA VO 2.8 C-Cab Prerunner Smat A/T</t>
  </si>
  <si>
    <t>PO-26000712</t>
  </si>
  <si>
    <t>ตู้ CAR -Service</t>
  </si>
  <si>
    <t>PO-26000711</t>
  </si>
  <si>
    <t>สติ๊กเกอร์ อิงค์เก็ท (แบบ เคลือบ)</t>
  </si>
  <si>
    <t>PO-26000423</t>
  </si>
  <si>
    <t>ชุดสว่านกระแทก,บล็อกไร้สาย,ไขควงวัดไฟ/ส่วนติดตั้งฯ</t>
  </si>
  <si>
    <t>PO-26000672</t>
  </si>
  <si>
    <t>PO-26000727</t>
  </si>
  <si>
    <t xml:space="preserve">PO-26000785 </t>
  </si>
  <si>
    <t>PO-26000844</t>
  </si>
  <si>
    <t>Socket for Bolt ยึดฝาถัง ขนาด 25 มม.</t>
  </si>
  <si>
    <t xml:space="preserve">PO-26000882 </t>
  </si>
  <si>
    <t xml:space="preserve">PO-26000883 </t>
  </si>
  <si>
    <t>PO-26000843</t>
  </si>
  <si>
    <t>PO-26000738</t>
  </si>
  <si>
    <t>Copper Foil ขนาด 0.35*330 มม.</t>
  </si>
  <si>
    <t>PO-26000739</t>
  </si>
  <si>
    <t>Copper Foil (Stock)</t>
  </si>
  <si>
    <t>PO-26000807</t>
  </si>
  <si>
    <t>PO-26000838</t>
  </si>
  <si>
    <t>PO-26000850</t>
  </si>
  <si>
    <t>PO-26000852</t>
  </si>
  <si>
    <t>ลวดกลมอาบน้ำยา ขนาด 2.50 มม.</t>
  </si>
  <si>
    <t>PO-26000853</t>
  </si>
  <si>
    <t>PO-26000854</t>
  </si>
  <si>
    <t>PO-26000857</t>
  </si>
  <si>
    <t>CT 900/1A Current Transformer Class 1 15VA Cast Resin</t>
  </si>
  <si>
    <t>PO-26000922</t>
  </si>
  <si>
    <t>Pack &amp; Lashing+Cert. EPE = 1x20'FR (SOF-240094)</t>
  </si>
  <si>
    <t>PO-26000977</t>
  </si>
  <si>
    <t>PO-26001015</t>
  </si>
  <si>
    <t>ทองแดงเส้นแบน ขนาด 1/4"*4"</t>
  </si>
  <si>
    <t>PO-26000961</t>
  </si>
  <si>
    <t>Copper Foil (MEA)</t>
  </si>
  <si>
    <t>PO-26000962</t>
  </si>
  <si>
    <t>PO-26000963</t>
  </si>
  <si>
    <t>PO-26000964</t>
  </si>
  <si>
    <t>PO-26000965</t>
  </si>
  <si>
    <t>PO-26000966</t>
  </si>
  <si>
    <t>PO-26001075</t>
  </si>
  <si>
    <t>PO-26001076</t>
  </si>
  <si>
    <t>Insulating Supports แรงสูง24kV ยี่ห้อ GEORG JORDAN</t>
  </si>
  <si>
    <t xml:space="preserve">PO-26001040 </t>
  </si>
  <si>
    <t>น้ำมันหม้อแปลงไฟฟ้า ELECTRO A IEC 296 (1ถัง=210 ลิตร)</t>
  </si>
  <si>
    <t>PO-26001042</t>
  </si>
  <si>
    <t>PO-26001039</t>
  </si>
  <si>
    <t>บริษัท อินทิเกรท เคม แอนด์ เซอร์วิส จำกัด</t>
  </si>
  <si>
    <t>ชุดตู้และอุปกรณ์ Remote Control Panel (สำหรับงาน 7500 kVA)</t>
  </si>
  <si>
    <t>PO-26001138</t>
  </si>
  <si>
    <t>บริษัท มาย พี.เอส กรุ๊ป จำกัด</t>
  </si>
  <si>
    <t>แหวนอีแปะ Epoxy Sheet G11 T5XOD 50 x ID 22mm.</t>
  </si>
  <si>
    <t>PO-26000734</t>
  </si>
  <si>
    <t>KENNEDY กรรไกรตัดเหล็กแผ่น 12 นิ้ว</t>
  </si>
  <si>
    <t>PO-26000737</t>
  </si>
  <si>
    <t>ซ่อมถนนคอนกรีต</t>
  </si>
  <si>
    <t>PO-26000762</t>
  </si>
  <si>
    <t>ซ่อมบำรุงรักษาเครน 5 ตัน ส่วนคลังสินค้า</t>
  </si>
  <si>
    <t>PO-26000761</t>
  </si>
  <si>
    <t>งานปูหญ้าเทียมสวนป่า BD250074</t>
  </si>
  <si>
    <t>PO-26000794</t>
  </si>
  <si>
    <t>ชุดระบบกราวด์</t>
  </si>
  <si>
    <t>PO-26000793</t>
  </si>
  <si>
    <t>เครื่องมือวัด Winding Resistance and Ratio ใช้สำหรับโรงPower</t>
  </si>
  <si>
    <t>PO-26000806</t>
  </si>
  <si>
    <t>2.6 ตรวจรับรอง/Load test เครนมากกว่า 3 ตัน 2569</t>
  </si>
  <si>
    <t>PO-26000808</t>
  </si>
  <si>
    <t>2.6 ตรวจรับรอง/Load test เครนไม่เกิน 3 ตัน 2569</t>
  </si>
  <si>
    <t>PO-26000909</t>
  </si>
  <si>
    <t>ตราชั่ง10ตัน/ส่วนเหล็กแกน</t>
  </si>
  <si>
    <t>PO-26000815</t>
  </si>
  <si>
    <t>ซ่อมบำรุงรักษาAir Compressor  ส่วนตัวถัง</t>
  </si>
  <si>
    <t>PO-26000830</t>
  </si>
  <si>
    <t>มู่ลี่โรงสำนักงาน Power (Smart Factory Phase2)</t>
  </si>
  <si>
    <t>PO-26000837</t>
  </si>
  <si>
    <t>เข็มขัดนิรภัยทีม 10</t>
  </si>
  <si>
    <t>PO-26000831</t>
  </si>
  <si>
    <t>ถุงมือแรงสูง</t>
  </si>
  <si>
    <t>PO-26000839</t>
  </si>
  <si>
    <t>ระบบไฟโรง QTMC (Smart Factory Phase2)</t>
  </si>
  <si>
    <t>PO-26000876</t>
  </si>
  <si>
    <t>ค่าทดสอบLeak Test Lab HV-Techอ้างอิง FCO-250028 TR.500/22kVA</t>
  </si>
  <si>
    <t>PO-26000875</t>
  </si>
  <si>
    <t>ค่าทดสอบLeak Test Lab HV-Techอ้างอิง FCO-250028 TR.500/33kVA</t>
  </si>
  <si>
    <t>PO-26000869</t>
  </si>
  <si>
    <t>ค่าทดสอบLeak Test Lab HV-Techอ้างอิง FCO-250028 TR.315/22kVA</t>
  </si>
  <si>
    <t>PO-26000874</t>
  </si>
  <si>
    <t>ติดตั้งกระจกไวท์บอร์ด ออฟฟิศวิศวกรรม (Smart Factory Phase2)</t>
  </si>
  <si>
    <t>PO-26000908</t>
  </si>
  <si>
    <t>โครงการก่อสร้างโรงซ่อมหม้อแปลง, โรง R&amp;D (Smart Factory Phase</t>
  </si>
  <si>
    <t>PO-26000926</t>
  </si>
  <si>
    <t>PO-26000927</t>
  </si>
  <si>
    <t>PO-26000955</t>
  </si>
  <si>
    <t>ปรับปรุงห้องน้ำอาคารโรงงาน 1 ชั้นล่าง</t>
  </si>
  <si>
    <t>PO-26000940</t>
  </si>
  <si>
    <t>ประแจขันปอนด์ SQ.DR.1/2 10-60 Nm</t>
  </si>
  <si>
    <t>PO-26000941</t>
  </si>
  <si>
    <t>ประแจจับท่อ RIDGID รุ่นด้ามตรง 12 นิ้ว</t>
  </si>
  <si>
    <t>ประแจจับท่อ RIDGID รุ่นด้ามตรง 24 นิ้ว (อลูมิเนียม)</t>
  </si>
  <si>
    <t>PO-26000944</t>
  </si>
  <si>
    <t>BI4-M12-AP6X Proximity sensor : Inductive std. Brand TURCK</t>
  </si>
  <si>
    <t>PO-26000946</t>
  </si>
  <si>
    <t>บริษัท จีเอ็มโอ-แซด.คอม เน็ตดีไซน์ จำกัด</t>
  </si>
  <si>
    <t>ต่ออายุ mail hosting qtc-energy.net 3Y</t>
  </si>
  <si>
    <t>PO-26000949</t>
  </si>
  <si>
    <t>ทำความสะอาดทำสี เครื่องพับครีบ</t>
  </si>
  <si>
    <t>PO-26001002</t>
  </si>
  <si>
    <t>ข้อต่อสวมเร็ว แบบเหล็ก 80SN NITTO </t>
  </si>
  <si>
    <t>ข้อต่อสวมเร็ว แบบเหล็ก 80PN NITTO</t>
  </si>
  <si>
    <t>PO-26000995</t>
  </si>
  <si>
    <t>Turns Ratio Meter 3 Phase</t>
  </si>
  <si>
    <t>PO-26001135</t>
  </si>
  <si>
    <t>งานแก้ไขประตูม้วนอาคาร 2(ส่วนงานทดสอบ)</t>
  </si>
  <si>
    <t>PO-26001097</t>
  </si>
  <si>
    <t>ซ่อมบำรุงรักษาเครน 3 ตัน ส่วนอบและเติมน้ำมัน</t>
  </si>
  <si>
    <t>PO-26001146</t>
  </si>
  <si>
    <t>งานเทลานคอนกรีต และกำแพงกันดิน</t>
  </si>
  <si>
    <t>PO-26001144</t>
  </si>
  <si>
    <t>Renovate ออฟฟิศฝ่ายผลิต (Smart Factory Phase 3)</t>
  </si>
  <si>
    <t>PO-26001050</t>
  </si>
  <si>
    <t xml:space="preserve"> บริษัท ซีซ่า เอ็นจิเนียริ่ง จำกัด</t>
  </si>
  <si>
    <t xml:space="preserve">รายการจ้างเหมาทําความสะอาดและตรวจเช็คหม้อแปลงไฟฟ้า </t>
  </si>
  <si>
    <t>PO-26001053</t>
  </si>
  <si>
    <t>งานเพิ่มช่องแสงส่วนต่อเติม (Smart Factory Phase 2)</t>
  </si>
  <si>
    <t>PO-26000840</t>
  </si>
  <si>
    <t>บริษัท เอช เซม เทรดดิ้ง คอร์ปอเรชั่น จำกัด</t>
  </si>
  <si>
    <t>รถ 3 ล้อไฟฟ้า</t>
  </si>
  <si>
    <t>PO-26000935</t>
  </si>
  <si>
    <t>PO-26001088</t>
  </si>
  <si>
    <t>PO-26001132</t>
  </si>
  <si>
    <t>ลวดแบนหุ้มกระดาษหนา 0.6 มม. และ 0.8 มม.</t>
  </si>
  <si>
    <t>PO-26001157</t>
  </si>
  <si>
    <t>PO-26001038</t>
  </si>
  <si>
    <t>PO-26001260</t>
  </si>
  <si>
    <t>Cold Rolled Steel Sheet (SPCC-SD) ขนาด 1.2*900 มม.</t>
  </si>
  <si>
    <t>PO-26001372</t>
  </si>
  <si>
    <t>ชุดตู้และอุปกรณ์ Remote Control Panel (SOD250875 12.5 MVA)</t>
  </si>
  <si>
    <t xml:space="preserve">PO-26001335 </t>
  </si>
  <si>
    <t>PO-26001477</t>
  </si>
  <si>
    <t>CABLE BOX TYPE 1 TR.10 MVA 3Ph 50Hz 22000-6900V</t>
  </si>
  <si>
    <t>PO-26001200</t>
  </si>
  <si>
    <t>งานทางเดินคอนกรีตข้างอาคาร (Smart Factory Phase 3)</t>
  </si>
  <si>
    <t>PO-26001148</t>
  </si>
  <si>
    <t>ศาลานั่งพักลานหม้อแปลง (Smart Factory Phase 2)</t>
  </si>
  <si>
    <t>PO-26001152</t>
  </si>
  <si>
    <t>เครนโรงซ่อมหม้อแปลง, โรง R&amp;D (Smart Factory Phase 3)</t>
  </si>
  <si>
    <t>PO-26001149</t>
  </si>
  <si>
    <t>รางน้ำโรงพับครีบ</t>
  </si>
  <si>
    <t>PO-26001214</t>
  </si>
  <si>
    <t xml:space="preserve">ดอกเจียรคาร์ไบด์ LD6-1228  		</t>
  </si>
  <si>
    <t xml:space="preserve">ดอกเจียรคาร์ไบด์ LD6-1633 		</t>
  </si>
  <si>
    <t xml:space="preserve">แบตเตอรี่ Leoch Battery 6V 12AH DJW6-12	</t>
  </si>
  <si>
    <t xml:space="preserve">SUMO ใบตัดไฟเบอร์ ใย 1 ชั้น สีดำ 14"		</t>
  </si>
  <si>
    <t>PO-26001243</t>
  </si>
  <si>
    <t xml:space="preserve">Shield Cap 130A Item 220747		</t>
  </si>
  <si>
    <t xml:space="preserve">Electrod MS/AL 130A  Item 220181		</t>
  </si>
  <si>
    <t xml:space="preserve">Nozzle  130A  Item 220182		</t>
  </si>
  <si>
    <t>PO-26001182</t>
  </si>
  <si>
    <t>KENNEDY ประแจแหวนข้าง-ปากตายเกียร์ 12 mm.</t>
  </si>
  <si>
    <t>KENNEDY ประแจแหวนข้าง-ปากตายเกียร์ 27 mm.</t>
  </si>
  <si>
    <t>PO-26001180</t>
  </si>
  <si>
    <t>งานซ่อมประตูชัตเตอร์ ห้องพันคอยล์</t>
  </si>
  <si>
    <t>งานซ่อมฝ้าเพดาน ห้องตัดไม้</t>
  </si>
  <si>
    <t>PO-26001231</t>
  </si>
  <si>
    <t>วางท่อลอดสายไฟโรงซ่อมหม้อแปลง, โรง R&amp;D(Smart Factory Phase 3</t>
  </si>
  <si>
    <t>PO-26001205</t>
  </si>
  <si>
    <t>"ORION" Brand DC Inverter Chiller (Air cooled)</t>
  </si>
  <si>
    <t>หม้อแปลงไฟฟ้า 5 kVA. -3p 50/60Hz in380VAC/out220,200vac</t>
  </si>
  <si>
    <t>PO-26001204</t>
  </si>
  <si>
    <t>ระบบไฟฟ้าแรงต่ำโรงพับครีบ (Smart Factory Phase 2)</t>
  </si>
  <si>
    <t>PO-26001223</t>
  </si>
  <si>
    <t>Lead Set HV.3x3 m. Medium Clips "MEGGER" C/N:1008-022</t>
  </si>
  <si>
    <t>PO-26001236</t>
  </si>
  <si>
    <t>งานติดตั้งเพิ่มเติมของเครื่องดูดควัน LAE/พันคอยล์</t>
  </si>
  <si>
    <t>PO-26001281</t>
  </si>
  <si>
    <t>KENNEDY ชุดประแจหกเหลี่ยมหัวบอล 1.5-10mm</t>
  </si>
  <si>
    <t>PO-26001288</t>
  </si>
  <si>
    <t>WebHosting Plan M 3Y (05/05/2026 - 05/05/2029)</t>
  </si>
  <si>
    <t>PO-26001291</t>
  </si>
  <si>
    <t>รางปลั๊กไฟ(มอก.) 4 ช่อง 3 เมตร ขาว โตชิโน ET-914</t>
  </si>
  <si>
    <t>PO-26001404</t>
  </si>
  <si>
    <t>งานเพิ่มช่องแสงห้องพันคอยล์ (Smart Factory Phase 2)</t>
  </si>
  <si>
    <t>PO-26001475</t>
  </si>
  <si>
    <t>งานเพิ่มห้องน้ำและสุขภัณฑ์ (Smart Factory Phase 3)</t>
  </si>
  <si>
    <t>PO-26001318</t>
  </si>
  <si>
    <t>ลานจอดรถโฟล์คลิฟ (Smart Factory Phase 2)</t>
  </si>
  <si>
    <t>PO-26001351</t>
  </si>
  <si>
    <t>Autodesk Product Design &amp; Manufacturing User 3 Year</t>
  </si>
  <si>
    <t>PO-26001398</t>
  </si>
  <si>
    <t>"SENATOR"1/2"SQ.DR. TORQUE WRENCH42-210NM - #1-13-571ด้ามขัน</t>
  </si>
  <si>
    <t>PO-26001401</t>
  </si>
  <si>
    <t>TRUSCO แคล้มป์จับชิ้นงาน ขนาด 600x120มม. G-60C12</t>
  </si>
  <si>
    <t>PO-26001399</t>
  </si>
  <si>
    <t>OVERHAUL AIR DRYER FOR "SMC" Model: IDFA75E S/N: RR01445</t>
  </si>
  <si>
    <t>PO-26001431</t>
  </si>
  <si>
    <t>3-Phase Transformer Turns Ratiometer ( QTC-868 ) - SN #353-1</t>
  </si>
  <si>
    <t>Turns Ratio Meter 3 Phase ( QTC-1146 ) - SN #402-109 / Rayte</t>
  </si>
  <si>
    <t>Turns Ratio ( QTC-338 ) ,SN #273-182 / Raytech / TR-1P</t>
  </si>
  <si>
    <t>PO-26001434</t>
  </si>
  <si>
    <t>สายไฟ YK FD-0.6/1 KV-CV 1*95 SQ.MM. YAZAKI</t>
  </si>
  <si>
    <t>สายไฟ YK 60227 IEC 01 THW 1*95 SQ.MM. เขียว 450/750V YAZAKI</t>
  </si>
  <si>
    <t>สายไฟ YK 60227 IEC 01 THW 1*25 SQ.MM. เขียว 450/750V YAZAKI</t>
  </si>
  <si>
    <t>PO-26001422</t>
  </si>
  <si>
    <t>คุณอรรถพล พรมประไพ</t>
  </si>
  <si>
    <t>SOS-260077 บริษัท คิมบอล อิเล็คทรอนิคส์ (ประเทศไทย) จำกัด</t>
  </si>
  <si>
    <t>PO-26001458</t>
  </si>
  <si>
    <t>งานติดตั้งประตูเหล็กแบบ ยืด - หดได้ ขนาด 1.60 x 5.40 ม.</t>
  </si>
  <si>
    <t>PO-26001491</t>
  </si>
  <si>
    <t>กล่องอะไหล่ #139 ก 295 x ย 455 x ส 185 mm. สีน้ำเงิน</t>
  </si>
  <si>
    <t>PO-26001216</t>
  </si>
  <si>
    <t>PO-26001241</t>
  </si>
  <si>
    <t>PO-26001299</t>
  </si>
  <si>
    <t>PO-26001347</t>
  </si>
  <si>
    <t>Copper Foil ขนาด 0.35*250 มม.</t>
  </si>
  <si>
    <t>Copper Foil ขนาด 0.9x370 มม.</t>
  </si>
  <si>
    <t>Copper Foil ขนาด 2*630 มม.</t>
  </si>
  <si>
    <t>Copper Foil ขนาด 0.25*215 มม.</t>
  </si>
  <si>
    <t xml:space="preserve">Copper Foil ขนาด 1.50*560 มม. </t>
  </si>
  <si>
    <t xml:space="preserve">Copper Foil ขนาด 0.6*330 มม. </t>
  </si>
  <si>
    <t xml:space="preserve">Copper Foil ขนาด 0.7*390 มม. </t>
  </si>
  <si>
    <t xml:space="preserve">Copper Foil ขนาด 0.85*390 มม. </t>
  </si>
  <si>
    <t xml:space="preserve">Copper Foil ขนาด 0.95*400 มม. </t>
  </si>
  <si>
    <t xml:space="preserve">Copper Foil ขนาด 1.10*530 มม. </t>
  </si>
  <si>
    <t xml:space="preserve">Copper Foil ขนาด 2.0*600 มม. </t>
  </si>
  <si>
    <t>PO-26001379</t>
  </si>
  <si>
    <t>Pack &amp; Lashing+Cert. SOF-250085 EPE = 1 x 20'FR</t>
  </si>
  <si>
    <t>PO-26001384</t>
  </si>
  <si>
    <t>PO-26001403</t>
  </si>
  <si>
    <t>PO-26001414</t>
  </si>
  <si>
    <t>PO-26001480</t>
  </si>
  <si>
    <t>PO-26001497</t>
  </si>
  <si>
    <t>PO-26001504</t>
  </si>
  <si>
    <t>วีที ประเภท VOG-VOG-362,33000/sqrt3:110/sqrt3,50VA CL0.5&amp;3P</t>
  </si>
  <si>
    <t>PO-26000910</t>
  </si>
  <si>
    <t>PO-25005136</t>
  </si>
  <si>
    <t>PO-26000748</t>
  </si>
  <si>
    <t>LEPLAST N SRL</t>
  </si>
  <si>
    <t>PO-26000971</t>
  </si>
  <si>
    <t>Jilin Wanguang Electronics Co., Ltd</t>
  </si>
  <si>
    <t>PO-26001221</t>
  </si>
  <si>
    <t>บริษัท คอมเซเว่น จำกัด (มหาชน)</t>
  </si>
  <si>
    <t>Tablet 11" (Wifi,6+128GB) Samsung Galaxy Tab A11+(X230NZAATHL) Gray</t>
  </si>
  <si>
    <t>PO-26001464</t>
  </si>
  <si>
    <t>บริษัท ซันโช (ประเทศไทย) จำกัด</t>
  </si>
  <si>
    <t>ทรายเม็ดกลม SAE-S-230</t>
  </si>
  <si>
    <t xml:space="preserve">PO-26001512 </t>
  </si>
  <si>
    <t>Conservator Tank TR.7500 kVA 3Ph 50Hz 22000/12702-6600V</t>
  </si>
  <si>
    <t>PO-26001528</t>
  </si>
  <si>
    <t>PO-26001529</t>
  </si>
  <si>
    <t>PO-26001509</t>
  </si>
  <si>
    <t>แกนทองแดง M56 x 4.0 mm. แบบบาก ยาว 380 mm.</t>
  </si>
  <si>
    <t>หางปลาแรงต่ำแบบบาร์ 6 รู (M56x4.0 mm.)</t>
  </si>
  <si>
    <t>PO-26001535</t>
  </si>
  <si>
    <t>PO-26001624</t>
  </si>
  <si>
    <t>PO-26001616</t>
  </si>
  <si>
    <t>ข้องอเชื่อมเหล็ก 90 องศา แบบไม่มีตะเข็บ ขนาด 1"</t>
  </si>
  <si>
    <t>ชุด lifting lugs (กว้าง 120 ท่อตัน ขนาด 50 มม.)</t>
  </si>
  <si>
    <t>PO-26001625</t>
  </si>
  <si>
    <t xml:space="preserve">CABLE BOX TYPE 1 TR.315 kVA 3Ph 50Hz 12000/24000-416/240V / </t>
  </si>
  <si>
    <t>CABLE BOX Type 1 TR.1500 kVA 3Ph 50 Hz 33000-400/230V / CABL</t>
  </si>
  <si>
    <t>PO-26001658</t>
  </si>
  <si>
    <t>TS-120-SB : Thermostat 0C~120C, 20A/ 250V Certificate of UL</t>
  </si>
  <si>
    <t xml:space="preserve">PO-26001714 </t>
  </si>
  <si>
    <t>CABLE BOX TYPE 1 TR.1000 kVA 3Ph 50Hz 33000-3450/1991V</t>
  </si>
  <si>
    <t>PO-26001709</t>
  </si>
  <si>
    <t xml:space="preserve">PO-26001774 </t>
  </si>
  <si>
    <t>PO-26001833</t>
  </si>
  <si>
    <t xml:space="preserve">Radiator Fin W520 x HL1600 x Z25 </t>
  </si>
  <si>
    <t>PO-26001825</t>
  </si>
  <si>
    <t>PO-26001775</t>
  </si>
  <si>
    <t xml:space="preserve"> บริษัท อินโนวา ออโตเมชั่น จำกัด</t>
  </si>
  <si>
    <t>ชุด Smart Transformer Monitoring System V.3  (INNOVA)</t>
  </si>
  <si>
    <t>PO-26001868</t>
  </si>
  <si>
    <t>CABLE BOX TYPE 1 TR.12.5 MVA 3Ph 50Hz 33000/19053-6600V</t>
  </si>
  <si>
    <t>PO-26001886</t>
  </si>
  <si>
    <t>พัดลมอุตสาหกรรมใบแดง พร้อมขาตั้ง 24 นิ้ว</t>
  </si>
  <si>
    <t>PO-26001904</t>
  </si>
  <si>
    <t>CT 2000/5A Current Transformer  Class 1  15VA</t>
  </si>
  <si>
    <t>CT 800/1A Current Transformer Class 1 15VA (PRECISE)</t>
  </si>
  <si>
    <t>CT 500/5A Current Transformer class5P20 30VA</t>
  </si>
  <si>
    <t>PO-26001908</t>
  </si>
  <si>
    <t>Bolt lock Butterfly Valve Radiator Fin</t>
  </si>
  <si>
    <t>PO-26001905</t>
  </si>
  <si>
    <t>Pipe  for Oil  level</t>
  </si>
  <si>
    <t>PO-26001527</t>
  </si>
  <si>
    <t>ลวดแบนหุ้มกระดาษหนา 0.5 มม. ขนาด 2.8*8 มม.</t>
  </si>
  <si>
    <t>PO-26001562</t>
  </si>
  <si>
    <t>PO-26001609</t>
  </si>
  <si>
    <t>PO-26001619</t>
  </si>
  <si>
    <t>PO-26001620</t>
  </si>
  <si>
    <t>PO-26001653</t>
  </si>
  <si>
    <t>PO-26001673</t>
  </si>
  <si>
    <t>Cut &amp; Stripping Machine Model EW-05F-2 (Short Model)</t>
  </si>
  <si>
    <t>PO-26001676</t>
  </si>
  <si>
    <t>PO-26001679</t>
  </si>
  <si>
    <t>PO-26001686</t>
  </si>
  <si>
    <t>รางเก็บสายไฟขนาด L1500(No.2)</t>
  </si>
  <si>
    <t>PO-26001605</t>
  </si>
  <si>
    <t>PO-26001740</t>
  </si>
  <si>
    <t>PO-26001784</t>
  </si>
  <si>
    <t>PO-26001817</t>
  </si>
  <si>
    <t>PO-26001860</t>
  </si>
  <si>
    <t>ชุดลูกถ้วยแรงต่ำ 3KV 6500A ELKOM design without flag  </t>
  </si>
  <si>
    <t>PO-26001858</t>
  </si>
  <si>
    <t>PO-26001862</t>
  </si>
  <si>
    <t>Vacuum Heating and Oil Filling Oven</t>
  </si>
  <si>
    <t>PO-26001865</t>
  </si>
  <si>
    <t>PO-26001564</t>
  </si>
  <si>
    <t>บริษัท เคป อินดัสเตรียล จำกัด</t>
  </si>
  <si>
    <t>XA-Series,Hydraulic hose,Gauge,Pressure/อะมอร์ฟัส</t>
  </si>
  <si>
    <t>PO-26001549</t>
  </si>
  <si>
    <t>งานซ่อมรอยรั่วหลังคา ห้องตัดไม้</t>
  </si>
  <si>
    <t>PO-26001561</t>
  </si>
  <si>
    <t>Clamp beass 143mm. x 50mm. x 17.5mm. (ตัวบาง)C3604</t>
  </si>
  <si>
    <t>Clamp beass 143mm. x 50mm. x 28.8mm. (ตัวหนา)C3604</t>
  </si>
  <si>
    <t>PO-26001574</t>
  </si>
  <si>
    <t>ฟิลม์ติดกระจกกันแสง 80%</t>
  </si>
  <si>
    <t>PO-26001591</t>
  </si>
  <si>
    <t>ไฟทางเดินบ้านน็อคดาวน์</t>
  </si>
  <si>
    <t>PO-26001570</t>
  </si>
  <si>
    <t>XZ0014 เทปกันความร้อนแดงขนาด1นิ้วทนความร้อนได้สูงถึง 350 องศ</t>
  </si>
  <si>
    <t>PO-26001675</t>
  </si>
  <si>
    <t>Cover Laser (LS-CL) Fiber Laser Cutting Machine (Model:GS-30</t>
  </si>
  <si>
    <t>PO-26001610</t>
  </si>
  <si>
    <t>ดอกสว่าน Jet Broach FUKA ขนาด 46x35 mm.</t>
  </si>
  <si>
    <t>PO-26001607</t>
  </si>
  <si>
    <t>บริษัท พิกเซอร์ (ประเทศไทย) จำกัด</t>
  </si>
  <si>
    <t>PREM REM-T CHIP HPQ CF230X Black for HPQ - M203dn , M203dw ,</t>
  </si>
  <si>
    <t>PO-26001588</t>
  </si>
  <si>
    <t>เหล็กแผ่นลายตีนไก่ 2.0mm x 4 x 8 (ft.) สห</t>
  </si>
  <si>
    <t>PO-26001592</t>
  </si>
  <si>
    <t>เครื่องบันทึกความดันบรรยากาศ HTB-772SD</t>
  </si>
  <si>
    <t>PO-26001602</t>
  </si>
  <si>
    <t>บริษัท ซี.อาร์. เม็คเท็ค จำกัด</t>
  </si>
  <si>
    <t>Calibration Service for IRON LOSS Tester complete with Calib</t>
  </si>
  <si>
    <t>PO-26001743</t>
  </si>
  <si>
    <t>งานระบบไฟฟ้าแรงสูงโรงซ่อมหม้อแปลง และโรง R&amp;D (Smart Factory</t>
  </si>
  <si>
    <t>PO-26001649</t>
  </si>
  <si>
    <t>แท่นชาร์จ 12V C12 C MILWAUKEE</t>
  </si>
  <si>
    <t>แบตเตอรี่ 12V 4.0Ah M12 B4 MILWAUKEE</t>
  </si>
  <si>
    <t>บล็อกมุมฉากไร้สาย½”12V M12 FRAIWF12-0 (เฉพาะเครื่อง) MILWAUK</t>
  </si>
  <si>
    <t>PO-26001648</t>
  </si>
  <si>
    <t>KOBE GDA2206L เครื่องเจียรลม 90องศา</t>
  </si>
  <si>
    <t>PO-26001655</t>
  </si>
  <si>
    <t>รื้อถอนบันไดข้างห้องน้ำโรง 1 (Smart Factory Phase 3)</t>
  </si>
  <si>
    <t>PO-26001654</t>
  </si>
  <si>
    <t>งานเพิ่มเติมออฟฟิศวิศวกรรม (Smart Factory Phase 2)</t>
  </si>
  <si>
    <t>PO-26001744</t>
  </si>
  <si>
    <t>PO-26001665</t>
  </si>
  <si>
    <t>ซ่อมบำรุงรักษาเครน 2 ตัน และ ชุดแขวนตัวถัง เครื่องพ่นเม็ดเหล</t>
  </si>
  <si>
    <t>PO-26001660</t>
  </si>
  <si>
    <t>PO-26001661</t>
  </si>
  <si>
    <t>ท่อกลมสแตนเลส304 ขนาด1นิ้ว หนา2.0มม. ยาว6เมตร (แบบเงา)</t>
  </si>
  <si>
    <t>PO-26001697</t>
  </si>
  <si>
    <t>SOR-260108  บริษัท เอลเม็ค วิศวกรรม จำกัด</t>
  </si>
  <si>
    <t>PO-26001694</t>
  </si>
  <si>
    <t>SOE-260001 บริษัท คิวทีซี อีวี จำกัด</t>
  </si>
  <si>
    <t>PO-26001693</t>
  </si>
  <si>
    <t>งานปรับปรุงพื้นที่ชั้น 3 พื้นที่ทำงาน RE</t>
  </si>
  <si>
    <t>PO-26001700</t>
  </si>
  <si>
    <t>ซ่อมบำรุงรักษาเครน 5 ตัน ส่วนตัวถัง</t>
  </si>
  <si>
    <t>PO-26001773</t>
  </si>
  <si>
    <t>บริษัท โกรเวล แมนูแฟคเจอริ่ง จำกัด (สาขา 00001)</t>
  </si>
  <si>
    <t>FILTER CARTRIDGE P/N. 0112-06/R</t>
  </si>
  <si>
    <t>PO-26001699</t>
  </si>
  <si>
    <t>บริษัท สัตหีบมณีรักษ์ จำกัด</t>
  </si>
  <si>
    <t>ตู้เอกสาร 3 ชั้น โครงขาวลิ้นฟ้าใส ออร์ก้า CFB-3</t>
  </si>
  <si>
    <t>ปากกาเขียนแผ่นใสลบไม่ได้ 0.4 มม. นง. #313S  STAEDTLER</t>
  </si>
  <si>
    <t>PO-26001718</t>
  </si>
  <si>
    <t>บริษัท สปริง มิเนราล วอเตอร์ จำกัด</t>
  </si>
  <si>
    <t>น้ำแร่ธรรมชาติขนาด 300 มล. ทรงกระบอก (แพ็คชริ้งฟิล์ม)</t>
  </si>
  <si>
    <t>pack</t>
  </si>
  <si>
    <t>ค่าขนส่ง 1 จุด บริษัท คิวทีซี เอนเนอร์ยี่ จำกัด (มหาชน) จ.ระ</t>
  </si>
  <si>
    <t>PO-26001777</t>
  </si>
  <si>
    <t>เทคอนกรีตถนนข้างโรงอะมอร์ฟัส (Smart Factory Phase 2)</t>
  </si>
  <si>
    <t>PO-26001757</t>
  </si>
  <si>
    <t>ลูกล้อยูรีเทน ล้อTPP แป้นหมุน ขนาด 4 นิ้วรับน้ำหนัก 80-150kg</t>
  </si>
  <si>
    <t>ลูกล้อยูรีเทน ล้อTPP แป้นตาย ขนาด 4 นิ้วรับน้ำหนัก 80-150kg</t>
  </si>
  <si>
    <t>PO-26001779</t>
  </si>
  <si>
    <t>ซ่อมแซมและแก้ไขปรับปรุงพื้นที่ส่วนกลางของบริษัท</t>
  </si>
  <si>
    <t>PO-26001780</t>
  </si>
  <si>
    <t>คุณนภดล เอ่งฉ้วน</t>
  </si>
  <si>
    <t>งานผลิตป้ายยื่นห้องน้ำและป้ายหมายเลขโรงงาน</t>
  </si>
  <si>
    <t>PO-26001820</t>
  </si>
  <si>
    <t>น้ำยาถูพื้นฆ่าเชื้อโรค โรแมนติกโรส 3.8 L</t>
  </si>
  <si>
    <t>สบู่เหลวล้างมือ 3M แฮนด์ซอฟ 3.8 ลิตร</t>
  </si>
  <si>
    <t>น้ำยาล้างจาน 3M Lemon 3.8 ลิตร</t>
  </si>
  <si>
    <t>PO-26001762</t>
  </si>
  <si>
    <t>SOS-260127 บริษัท แซนด์-เอ็ม โกลบอล จำกัด</t>
  </si>
  <si>
    <t>PO-26001781</t>
  </si>
  <si>
    <t>บริษัท ซีเคเอ็ม เอ็นจิเนียริ่ง จำกัด</t>
  </si>
  <si>
    <t>ระบบท่อน้ำมันเตาอบ Heat+Vac+Oil Filling (Smart Factory Phase</t>
  </si>
  <si>
    <t>PO-26001763</t>
  </si>
  <si>
    <t>ซ่อมบำรุงรักษาปั๊มลม โรงงาน 3 ส่วนเหล็กแกน</t>
  </si>
  <si>
    <t>PO-26001785</t>
  </si>
  <si>
    <t>บริษัท เพาเวอร์ พีดี เอ็นจิเนียริ่ง จำกัด</t>
  </si>
  <si>
    <t>SOR-260071  บริษัท เอลเม็ด วิศกรรม จำกัด</t>
  </si>
  <si>
    <t>PO-26001786</t>
  </si>
  <si>
    <t>SOR-260129 บริษัท ปิยะดา เซอร์วิส จำกัด</t>
  </si>
  <si>
    <t>PO-26001793</t>
  </si>
  <si>
    <t>5183-4477 Tan PTFE/White Silicone septa, silver</t>
  </si>
  <si>
    <t>PO-26001819</t>
  </si>
  <si>
    <t>สแต๊กเกอร์ไฟฟ้า Brand:Heli By VORTEX Model:CDD15J-RE/M350</t>
  </si>
  <si>
    <t>PO-26001822</t>
  </si>
  <si>
    <t>รถแฮนด์ลิฟท์ 3ตัน Brand:JUMBO รุ่น:CNS-306DP</t>
  </si>
  <si>
    <t>PO-26001807</t>
  </si>
  <si>
    <t>PO-26001818</t>
  </si>
  <si>
    <t>ชุดนั่งร้านสำหรับฝึกอบรมทีม service (Smart Factory Phase 2)</t>
  </si>
  <si>
    <t>PO-26001856</t>
  </si>
  <si>
    <t>PO-26001864</t>
  </si>
  <si>
    <t>ไม้กวาดแม่เหล็ก Eclipse Magnatics รุ่น MSW385</t>
  </si>
  <si>
    <t>PO-26001867</t>
  </si>
  <si>
    <t>"KENNEDY" ประแจแหวน 2 ข้าง 17x19mm</t>
  </si>
  <si>
    <t>PO-26001854</t>
  </si>
  <si>
    <t>บริษัท กิ๊ฟท์ไวซ์เอเชีย จำกัด</t>
  </si>
  <si>
    <t>ร่มพับ 3 ตอนผ้า PG ออโต้เปิด 21 นิ้ว สีขาวพิมพ์ดิจิตอลรอบคัน</t>
  </si>
  <si>
    <t>PO-26001900</t>
  </si>
  <si>
    <t>เดินท่อน้ำดีโรงซ่อม, โรง R&amp;D (Smart Factory Phase 3)</t>
  </si>
  <si>
    <t>PO-26001898</t>
  </si>
  <si>
    <t>งานขนย้ายดินและบดอัด (Smart Factory Phase 3)</t>
  </si>
  <si>
    <t>PO-26001893</t>
  </si>
  <si>
    <t>สลิงผ้าใบชนิดแบนมีห่วงหัวท้ายสีเขียว ขนาด 2 ตันยาว 3 เมตร หน</t>
  </si>
  <si>
    <t>KZ ชั้นวางของ 5ชั้น 120*50*180 สีฟ้า-เหลือง</t>
  </si>
  <si>
    <t>PO-26001895</t>
  </si>
  <si>
    <t>"STAHLWILLE" 730N Torque wrench 1/2"Drive,40-200Nm ความยาวโด</t>
  </si>
  <si>
    <t>PO-26001896</t>
  </si>
  <si>
    <t>52LR-C5250 200A DEADBREAK ELBOW CONNECTOR 70mm2</t>
  </si>
  <si>
    <t>PO-26001897</t>
  </si>
  <si>
    <t>ผนังเตาอบโรง Power (Smart Factory Phase 2)</t>
  </si>
  <si>
    <t>PO-26001892</t>
  </si>
  <si>
    <t>งานPMพัดลมโรงงาน 4,5,6</t>
  </si>
  <si>
    <t>PO-26001875</t>
  </si>
  <si>
    <t>SOE-260002 บริษัท อาร์เอส โปรแอคทีฟ เอ็นเตอร์ไพรส์ จำกัด</t>
  </si>
  <si>
    <t>PO-26001933</t>
  </si>
  <si>
    <t>แปรงลวดทองเหลืองกลม ขนาด 100 mm x 1/2"</t>
  </si>
  <si>
    <t>PO-26001929</t>
  </si>
  <si>
    <t>นาย วินัย ศิริประทุม</t>
  </si>
  <si>
    <t>ซ่อมแซมทาสีใหม่ถังเก็บน้ำประปา</t>
  </si>
  <si>
    <t>Radiator Fin W520 x HL1600 x Z25 ทำสี PU7033 ความหนาสี 100-120 microns</t>
  </si>
  <si>
    <t>ใช้สินค้าจาก PO-25004835</t>
  </si>
  <si>
    <t>Winding Temperature Indicator AKM Gen 3 3540112X4, IP66,TD76</t>
  </si>
  <si>
    <t>ใช้สินค้าจาก PO-25004835 แทนการสั่งซื้อใหม่</t>
  </si>
  <si>
    <t>PO-26001948</t>
  </si>
  <si>
    <t>PO-26001966</t>
  </si>
  <si>
    <t>ชุดลูกถ้วยแรงสูง 12kV 10NF1000 (DIN 42533) With Flag CEDASPE</t>
  </si>
  <si>
    <t>นำเสนอยี่อื่นทดแทน</t>
  </si>
  <si>
    <t>ชุดลูกถ้วยแรงสูง 24kV 20NF630 (DIN42532) CEDASPE</t>
  </si>
  <si>
    <t>PO-26001946</t>
  </si>
  <si>
    <t>CABLE BOX TYPE 1 TR.4200 kVA 3Ph 50Hz 22000-800V / CABLE BOX</t>
  </si>
  <si>
    <t>CABLE BOX TYPE 1 TR.3500 kVA 3Ph 50Hz 22000-400V / CABLE BOX</t>
  </si>
  <si>
    <t>PO-26001958</t>
  </si>
  <si>
    <t>PO-26002013</t>
  </si>
  <si>
    <t>PO-26001971</t>
  </si>
  <si>
    <t>PO-26001975</t>
  </si>
  <si>
    <t>บริษัท แอมพ์ทรอน อินสทรูเม็นทส์ (ประเทศไทย) จำกัด</t>
  </si>
  <si>
    <t>CT 1000/5A Current Transformer Class0.5 15VA (Indoor)</t>
  </si>
  <si>
    <t>PO-26001980</t>
  </si>
  <si>
    <t>PO-26002033</t>
  </si>
  <si>
    <t>PO-26002042</t>
  </si>
  <si>
    <t>ทองแดงเส้นแบนขนาด 10x250mm.</t>
  </si>
  <si>
    <t>PO-26002051</t>
  </si>
  <si>
    <t>Buchholz relay ยี่ห้อ "COMEM" Type BR50</t>
  </si>
  <si>
    <t>PO-26002076</t>
  </si>
  <si>
    <t>PO-26002049</t>
  </si>
  <si>
    <t>Winding Temperature Indicator AKM Gen 3 3540112X4, IP66,TD76 + Match</t>
  </si>
  <si>
    <t>Reinhausen GmbH</t>
  </si>
  <si>
    <t>Oil Temperature MT-ST160SK/3/4m</t>
  </si>
  <si>
    <t>PO-26002075</t>
  </si>
  <si>
    <t>PO-26002107</t>
  </si>
  <si>
    <t>PO-26002086</t>
  </si>
  <si>
    <t>TAPCON 230 Basic</t>
  </si>
  <si>
    <t>On-Load Tap Changer OILTAP V V III 400Y-40-10193W  +-10</t>
  </si>
  <si>
    <t>PO-26002089</t>
  </si>
  <si>
    <t>Oil Level indicator MTO-ST160G/2CO L=583mm.</t>
  </si>
  <si>
    <t>PO-26002093</t>
  </si>
  <si>
    <t>CABLE BOX TYPE 1 TR.5000 kVA 3Ph 50Hz 22000-6600/3810V</t>
  </si>
  <si>
    <t>PO-26002125</t>
  </si>
  <si>
    <t xml:space="preserve">PO-26002126 </t>
  </si>
  <si>
    <t>PO-26002092</t>
  </si>
  <si>
    <t xml:space="preserve">CABLE BOX TYPE 1 TR.3600 kVA 3Ph 50Hz 22000-800V </t>
  </si>
  <si>
    <t>PO-26002137</t>
  </si>
  <si>
    <t>PO-26002138</t>
  </si>
  <si>
    <t>PO-26002202</t>
  </si>
  <si>
    <t>PO-26002269</t>
  </si>
  <si>
    <t>PO-26002352</t>
  </si>
  <si>
    <t>ลวดแบนหุ้มกระดาษหนา 0.5 มม. ขนาด 2.1*5 มม.</t>
  </si>
  <si>
    <t>ลวดแบนหุ้มกระดาษหนา 0.5 มม. ขนาด 2.1*6 มม.</t>
  </si>
  <si>
    <t>ลวดแบนหุ้มกระดาษหนา 0.5 มม. ขนาด 2.8*12 มม.</t>
  </si>
  <si>
    <t>ลวดแบนหุ้มกระดาษหนา 0.5 มม. ขนาด1.7*6มม</t>
  </si>
  <si>
    <t>PO-26002296</t>
  </si>
  <si>
    <t>Steel Enclosure ขนาด 2765x1860x2750 mm.(IP31)</t>
  </si>
  <si>
    <t>PO-26002286</t>
  </si>
  <si>
    <t>ชุดตู้และอุปกรณ์ Remote Control Panel (สำหรับงาน 12.5MVAShan</t>
  </si>
  <si>
    <t>PO-26002351</t>
  </si>
  <si>
    <t>Fan holder for drytype cooling fan ขนาด 2300x185  หนา 3.0mm</t>
  </si>
  <si>
    <t>PO-26002356</t>
  </si>
  <si>
    <t>ลวดแบนหุ้มกระดาษหนา 0.6 มม. ขนาด 2.7*6มม.</t>
  </si>
  <si>
    <t>PO-26002357</t>
  </si>
  <si>
    <t>ลวดแบนหุ้มกระดาษหนา 0.6 มม. ขนาด 2.7*10.5 มม.</t>
  </si>
  <si>
    <t>ลวดแบนหุ้มกระดาษหนา 0.8 มม. ขนาด 2.2*13 มม.</t>
  </si>
  <si>
    <t>PO-26001967</t>
  </si>
  <si>
    <t>บริษัท เอ็ม.เค.ที. แม็กเนติค จำกัด</t>
  </si>
  <si>
    <t>Lifting Magnet PML 1000 A</t>
  </si>
  <si>
    <t>PO-26001982</t>
  </si>
  <si>
    <t xml:space="preserve">ค่าซ่อม EVAL/REP/CAL Cost of service </t>
  </si>
  <si>
    <t>PO-26001965</t>
  </si>
  <si>
    <t>บริษัท แพรคทิคคอล โลจิสติกส์ โซลูชั่น จำกัด</t>
  </si>
  <si>
    <t>ค่ารถเทรเลอร์พื้นเรียบ QTC-MEA ปากน้ำ สมุทรปราการ วันที่ 28/</t>
  </si>
  <si>
    <t>PO-26001961</t>
  </si>
  <si>
    <t>ระบบท่อลมโรงพับครีบ (Smart Factory Phase 2)</t>
  </si>
  <si>
    <t>PO-26002074</t>
  </si>
  <si>
    <t>บริษัท เอสที แฟคทอรี่ ออโตเมชั่น จำกัด</t>
  </si>
  <si>
    <t>"COAX" Coaxial ValveSeries: 2/2 way coaxial direct acting</t>
  </si>
  <si>
    <t>PO-26002025</t>
  </si>
  <si>
    <t>เทปกาว 2 หน้าเนิ้อใส 19มม.x4ม. #4010 SCOTCH 3M</t>
  </si>
  <si>
    <t>PO-26002030</t>
  </si>
  <si>
    <t>งานทาสี 3 อาคาร, งานเทพื้นคอนกรีตโรงพับครีบ</t>
  </si>
  <si>
    <t>PO-26002021</t>
  </si>
  <si>
    <t>ตู้สเเตนเลส เก็บเครื่องเดี่ยว ขนาด 40*70*20 ซม.พร้อมขาตั้งสู</t>
  </si>
  <si>
    <t>PO-26002073</t>
  </si>
  <si>
    <t>งานแก้ไขซ่อมแซมผนัง ISOWALL เนื่องจากอุบัติเหตุ</t>
  </si>
  <si>
    <t>งานเพิ่มความกว้างหลังคากันสาดด้านหน้าอาคาร</t>
  </si>
  <si>
    <t>งานเพิ่มถนนคอนกรีดด้านหลังอาคารห้องน้ำ อาคาร54x20m.</t>
  </si>
  <si>
    <t>PO-26002029</t>
  </si>
  <si>
    <t>ราวกันตก ถนน Main (โรงอะมอร์ฟัส)(Smart Factory Phase 2)</t>
  </si>
  <si>
    <t>PO-26002028</t>
  </si>
  <si>
    <t>"A-SAFE" เชือกกลม 11 มม. 2 ขา+ตะขอใหญ่ รุ่น FL122NKY-112 ควา</t>
  </si>
  <si>
    <t>PO-26002053</t>
  </si>
  <si>
    <t>เครื่องเป่าวัดคาร์บอนมอนอกไซด์ (Pico Smokerlyzer)</t>
  </si>
  <si>
    <t>PO-26002072</t>
  </si>
  <si>
    <t>ระบบไฟโรง Power (งานเพิ่มเติม) (Smart Factory Phase 2)</t>
  </si>
  <si>
    <t>PO-26002166</t>
  </si>
  <si>
    <t>เสาล้มลุก เสาจราจร เสากั้นเขตจราจร</t>
  </si>
  <si>
    <t>ป้ายจำกัดความเร็ว 20 กม./ชม.</t>
  </si>
  <si>
    <t>ชุดเสาพร้อม "ป้ายทางลงลาดชัน"</t>
  </si>
  <si>
    <t>ชุดเสาพร้อม "ป้ายที่จอดรถ"</t>
  </si>
  <si>
    <t>PO-26002115</t>
  </si>
  <si>
    <t>SOS-260165 บริษัท อีเลคตริคคอล โปรเจคท์ จำกัด</t>
  </si>
  <si>
    <t>PO-26002122</t>
  </si>
  <si>
    <t>งานเพื่มหลังคาคลุมทางเดินระหว่างอาคารห้องน้ำและอาคาร</t>
  </si>
  <si>
    <t>PO-26002121</t>
  </si>
  <si>
    <t>งานเพิ่หลังคาคลุมทางเดินระหว่างอาคารห้องน้ำและอาคาร</t>
  </si>
  <si>
    <t>งานเพิ่มพื้นคอนกรีตระหว่างลานคอนกรีตกับอาคาร54x20m.</t>
  </si>
  <si>
    <t>PO-26002120</t>
  </si>
  <si>
    <t>เจาะหลุมวางระบบ Ground โรงซ่อม, โรง R&amp;D (Smart Factory Phase</t>
  </si>
  <si>
    <t>PO-26002158</t>
  </si>
  <si>
    <t>งานเพิ่มผนัง Metal Sheet เหนือฝ้าชั้น2 อาคาร54x40m.</t>
  </si>
  <si>
    <t>PO-26002101</t>
  </si>
  <si>
    <t>งานแก้ไขสลิงขับลิฟต์หลุดร่อง</t>
  </si>
  <si>
    <t>PO-26002133</t>
  </si>
  <si>
    <t>TMS300A โต๊ะยกปรับระดับติดล้อเท้าเหยียบ ขากรรไกรเดี่ยว300กก.</t>
  </si>
  <si>
    <t>PO-26002190</t>
  </si>
  <si>
    <t>งานซ่อมท่อ เปลี่ยนวาล์น้ำในหอพักและซ่อมท่อรั่วหลังโรงอาหาร</t>
  </si>
  <si>
    <t>PO-26002192</t>
  </si>
  <si>
    <t>ติดตั้ง Spotlight และกล้องวงจรปิด (Smart Factory Phase 3)</t>
  </si>
  <si>
    <t>PO-26002191</t>
  </si>
  <si>
    <t>งานรื้อถอนเทพื้นคอนกรีตถนนใหม่และทาสีบริเวณหน้าโรงงานพับคีบ</t>
  </si>
  <si>
    <t>PO-26002174</t>
  </si>
  <si>
    <t>PO-26002295</t>
  </si>
  <si>
    <t>สายไฟ YK 60227 IEC 01 THW 1*35 SQ.MM. เขียว 450/750V YAZAKI</t>
  </si>
  <si>
    <t>สายไฟ YK 60227 IEC 01 THW 1*16 SQ.MM. เขียว 450/750V YAZAKI</t>
  </si>
  <si>
    <t>PO-26002238</t>
  </si>
  <si>
    <t>ซ่อมท่อน้ำปะปาแตก</t>
  </si>
  <si>
    <t>PO-26002259</t>
  </si>
  <si>
    <t>DCCT ที่ติดไปกับเครื่องทดสอบ</t>
  </si>
  <si>
    <t>PO-26002258</t>
  </si>
  <si>
    <t>เครื่อง Megger รุ่น 1015/2</t>
  </si>
  <si>
    <t>PO-26002257</t>
  </si>
  <si>
    <t>เครื่อง Thermal Camera Fluke TiS65 PRO</t>
  </si>
  <si>
    <t>PO-26002280</t>
  </si>
  <si>
    <t>บริษัท เอ็นเอ แคลเทคโนโลยี จำกัด</t>
  </si>
  <si>
    <t>Remote Display True RMS Clamp Meter / 381 / Fluke - 68280144</t>
  </si>
  <si>
    <t>Remote Display True RMS Clamp Meter / 381 / Fluke - 68280145</t>
  </si>
  <si>
    <t>PO-26002284</t>
  </si>
  <si>
    <t>งานติดตั้งแอร์ออฟฟิศฝ่ายผลิต (Smart Factory Phase 3)</t>
  </si>
  <si>
    <t>PO-26002297</t>
  </si>
  <si>
    <t>5 KV Insulation Tester MEGGER Model BM5200</t>
  </si>
  <si>
    <t>PO-26002300</t>
  </si>
  <si>
    <t>ซ่อมบำรุงรักษาระบบลม ส่วนทดสอบ</t>
  </si>
  <si>
    <t>PO-26002325</t>
  </si>
  <si>
    <t>Freight cost (5th shipment)</t>
  </si>
  <si>
    <t>PO-26002523</t>
  </si>
  <si>
    <t>Comemde Pte Ltd.</t>
  </si>
  <si>
    <t>Gas Detecting Devices Comem R1 Type A</t>
  </si>
  <si>
    <t>PO-26002558</t>
  </si>
  <si>
    <t>PO-26002144</t>
  </si>
  <si>
    <t>PO-26002366</t>
  </si>
  <si>
    <t>ทองแดงเส้นแบนขนาด10x200mm(SOF260031)</t>
  </si>
  <si>
    <t>PO-26002389</t>
  </si>
  <si>
    <t>ลวดแบนหุ้มกระดาษหนา 0.5 มม. ขนาด 2.2*11 มม.</t>
  </si>
  <si>
    <t>ลวดแบนหุ้มกระดาษหนา 0.5 มม. ขนาด 2.2*6 มม.</t>
  </si>
  <si>
    <t>ลวดแบนหุ้มกระดาษหนา 0.5 มม. ขนาด 1.6*5.6 มม.</t>
  </si>
  <si>
    <t>ลวดแบนหุ้มกระดาษหนา 0.5 มม. ขนาด 1.6*7.5 มม.(มาร์จุด 4 จุดเท่าๆ กัน)</t>
  </si>
  <si>
    <t>PO-26002440</t>
  </si>
  <si>
    <t>หางปลาต่อสายแบบกลมเปลือย ยี่ห้อ T-LUG ขนาด 50-10 มม.</t>
  </si>
  <si>
    <t>PO-26002530</t>
  </si>
  <si>
    <t>CT 5000/5A Current Transformer Class 0.5 20VA (ABS)MSQ-125</t>
  </si>
  <si>
    <t>PO-26002526</t>
  </si>
  <si>
    <t>ลวดกลมอาบนํ้ายา ขนาด 2.30 มม.</t>
  </si>
  <si>
    <t>ลวดกลมอาบนํายา ขนาด 0.80 มม.</t>
  </si>
  <si>
    <t>PO-26002600</t>
  </si>
  <si>
    <t>ลวดแบนหุ้มกระดาษหนา 0.5 มม. ขนาด 2.3*4.5มม.</t>
  </si>
  <si>
    <t>ลวดแบนหุ้มกระดาษหนา 0.5 มม. ขนาด 2.5*12 มม.</t>
  </si>
  <si>
    <t>PO-26002452</t>
  </si>
  <si>
    <t>Copper Foil ขนาด 0.7*390 มม.</t>
  </si>
  <si>
    <t>PO-26002605</t>
  </si>
  <si>
    <t>เสายึดครีบ  Tie Rod 5/8" TR.12.5 MVA</t>
  </si>
  <si>
    <t>PO-26002608</t>
  </si>
  <si>
    <t xml:space="preserve">CABLE BOX TYPE 1 TR.3000 kVA 3Ph 50Hz 22000-400/230V </t>
  </si>
  <si>
    <t xml:space="preserve">CABLE BOX TYPE 4 TR.1250 kVA 3Ph 50Hz 22000-400/230V </t>
  </si>
  <si>
    <t>CABLE BOX TYPE 4 TR.1250 kVA 3Ph 50Hz 22000-210V</t>
  </si>
  <si>
    <t xml:space="preserve">CABLE BOX TYPE 4 TR.800 kVA 3Ph 50Hz 22000-400/230V </t>
  </si>
  <si>
    <t>CABLE BOX TYPE 4 TR.2500 kVA 3Ph 50Hz 22000-400/230V</t>
  </si>
  <si>
    <t xml:space="preserve">CABLE BOX TYPE 1 TR.500 kVA 3Ph 50Hz 24000-416/240V </t>
  </si>
  <si>
    <t>PO-26002619</t>
  </si>
  <si>
    <t>PO-26002621</t>
  </si>
  <si>
    <t>Sponge rubber tube CR shore A35 size ID31xOD41xL40 mm.</t>
  </si>
  <si>
    <t>PO-26002641</t>
  </si>
  <si>
    <t>งานล้างแอร์ประจำปี 2569</t>
  </si>
  <si>
    <t>PO-26002633</t>
  </si>
  <si>
    <t>น้ำมัน Hyvolt  NE</t>
  </si>
  <si>
    <t>PO-26002663</t>
  </si>
  <si>
    <t>PO-26002612</t>
  </si>
  <si>
    <t>บริษัท บางกอกแม็กเน็ตไวร์ จํากัด</t>
  </si>
  <si>
    <t>PO-26002617</t>
  </si>
  <si>
    <t>PO-26002656</t>
  </si>
  <si>
    <t>PO-26002661</t>
  </si>
  <si>
    <t>บริษัท เซาท์อีสไทยแลนด์ จํากัด</t>
  </si>
  <si>
    <t>PO-26002441</t>
  </si>
  <si>
    <t>Tap Changer (Voltage) 3Ph 24kV-120A-L414 Short tank sidewall</t>
  </si>
  <si>
    <t>PO-26002674</t>
  </si>
  <si>
    <t>ลวดแบนหุ้มกระดาษหนา 0.5 มม. ขนาด 3.0*7 มม.</t>
  </si>
  <si>
    <t>ลวดแบนหุ้มกระดาษหนา 0.5 มม. ขนาด 3.0*15 มม.</t>
  </si>
  <si>
    <t>PO-26002675</t>
  </si>
  <si>
    <t>บริษัท ยูไนเต็ดคอปเปอร์ จํากัด</t>
  </si>
  <si>
    <t>PO-26002611</t>
  </si>
  <si>
    <t>CABLE BOX TYPE 1 TR.630 kVA 3Ph 50Hz  22000-400/230V</t>
  </si>
  <si>
    <t>PO-26002750</t>
  </si>
  <si>
    <t> บริษัท พรอสเปอร์ อี แอนด์ ที จำกัด</t>
  </si>
  <si>
    <t>PO-26002751</t>
  </si>
  <si>
    <t> บริษัท สหมิตรไวร์ แอนด์ เคเบิ้ล จำกัด</t>
  </si>
  <si>
    <t>PO-26002443</t>
  </si>
  <si>
    <t>งานพื้นกระเบื้องยางชั้น 2 ส่วนออฟฟิศ อาคาร 54x20m.(2 อาคาร)</t>
  </si>
  <si>
    <t>งานเพิ่มลานคอนกรีตโรงซ่อมหม้อแปลง 54x20m</t>
  </si>
  <si>
    <t>PO-26002444</t>
  </si>
  <si>
    <t>ตัวอักษรโลหะ สแตนเลส ทำสีตามแบบบSize กว้างรวม500 x สูงรวม 100-โลโก้ QTC + กรอบ สูงรวม 83 ยกขอบ 10</t>
  </si>
  <si>
    <t>PO-26002402</t>
  </si>
  <si>
    <t>ค่าโฆษณารับสมัครงาน Premium Package แบบราย 1 ปี</t>
  </si>
  <si>
    <t>PO-26002427</t>
  </si>
  <si>
    <t>ระบบไฟแรงต่ำโรงซ่อมหม้อแปลง, โรง R&amp;D</t>
  </si>
  <si>
    <t>PO-26002418</t>
  </si>
  <si>
    <t>Winding Resistance Meter ( QTC-444 ) ,SN #304-123 / Raytech</t>
  </si>
  <si>
    <t>Winding Analyser and Ratio Meter ( QTC-715 ) ,SN #178369</t>
  </si>
  <si>
    <t>Barometric Pressure/Humidity/Temperature Datalogger</t>
  </si>
  <si>
    <t>PO-26002419</t>
  </si>
  <si>
    <t>"NOTIFIER"Conventional Fire Suppression Control PanelRP2002E</t>
  </si>
  <si>
    <t>PO-26002453</t>
  </si>
  <si>
    <t>บริษัท สมาร์ท อิเลคทริค คอนโทรล จำกัด</t>
  </si>
  <si>
    <t>PLC &amp; HMI Programming &amp; Commissioning</t>
  </si>
  <si>
    <t>PO-26002454</t>
  </si>
  <si>
    <t>ติดตั้งระบบท่อลมโรงงานซ่อมหม้อแปลง+R&amp;D</t>
  </si>
  <si>
    <t>PO-26002456</t>
  </si>
  <si>
    <t>Screw Air Compressor</t>
  </si>
  <si>
    <t>PO-26002423</t>
  </si>
  <si>
    <t>บริษัท 13 เครน จำกัด</t>
  </si>
  <si>
    <t>ค่าจ้างรถเทรลเลอร์โรเบท**งานเคลื่อนย้ายหม้อแปลงจากโรง Power .ใหม่ ไปยังลานหม้อแปลง FG และห้อง Powe</t>
  </si>
  <si>
    <t>PO-26002478</t>
  </si>
  <si>
    <t>สายไฟโรงซ่อมหม้อแปลง (Smart Factory Phase 3)</t>
  </si>
  <si>
    <t>PO-26002501</t>
  </si>
  <si>
    <t>ถนน Main (Smart Factory Phase 3)</t>
  </si>
  <si>
    <t>PO-26002502</t>
  </si>
  <si>
    <t>งานทำถนนสายหลัก (เพิ่มเติม)</t>
  </si>
  <si>
    <t>งานทำถนนสายรอง</t>
  </si>
  <si>
    <t>งานทำฝาตะแกรงเหล็กปิดรางระบายน้ำ</t>
  </si>
  <si>
    <t>งานทำคานคอดิน</t>
  </si>
  <si>
    <t>PO-26002537</t>
  </si>
  <si>
    <t>รางระบายน้ำ ถนนสายรอง</t>
  </si>
  <si>
    <t>PO-26002544</t>
  </si>
  <si>
    <t>แม่เหล็กยกชิ้นงาน PML-6 (600kg.)</t>
  </si>
  <si>
    <t>PO-26002567</t>
  </si>
  <si>
    <t>Fully automatic insulating oil dielectric breakdown testing</t>
  </si>
  <si>
    <t>PO-26002599</t>
  </si>
  <si>
    <t>สำลีทำความสะอาดเลนส์ Cotton Swab 1 ห่อ (100 ก้าน)</t>
  </si>
  <si>
    <t>PO-26002598</t>
  </si>
  <si>
    <t>OOFFER"HAFU"ประแจหกเหลี่ยมหัวบอลแบบยาว1.5-10MM(9ea/set)</t>
  </si>
  <si>
    <t>PO-26002636</t>
  </si>
  <si>
    <t>90170-18001-71 NUT</t>
  </si>
  <si>
    <t>42481-33240-71 BOLT, HUB</t>
  </si>
  <si>
    <t xml:space="preserve"> 90179-20001-71 NUT, HUB</t>
  </si>
  <si>
    <t>PO-26002649</t>
  </si>
  <si>
    <t>YUSHI พัดลมตั้งพื้นปรับแหงนปรับส่าย พัดลมตั้งพื้นสีดำ 24นิ้ว</t>
  </si>
  <si>
    <t>PO-26002652</t>
  </si>
  <si>
    <t>Insulation Resistance Tester / MIT1015 / Megger / 102652740</t>
  </si>
  <si>
    <t>Insulation Resistance Tester / MIT1015 / Megger / 102652744</t>
  </si>
  <si>
    <t>Humidity / Baro / Temp. Data Recorder / HTB-772SD / Lutron /</t>
  </si>
  <si>
    <t>PO-26002654</t>
  </si>
  <si>
    <t>A001172 ตู้เหล็กบานเปิดทึบ เทาสลับ Zingular ZSH-756</t>
  </si>
  <si>
    <t>PO-26002660</t>
  </si>
  <si>
    <t>ชุดรอก 3 ตันพร้อมระบบไฟควบคุม</t>
  </si>
  <si>
    <t>PO-26002671</t>
  </si>
  <si>
    <t>งานเพิ่มปิดช่อง Louver อาคารเดิม</t>
  </si>
  <si>
    <t>PO-26002672</t>
  </si>
  <si>
    <t>งานเพิ่มท่อน้ำดีอาคาร 54x40 m</t>
  </si>
  <si>
    <t>งานเพิ่มที่วางคอยล์ร้อนอาคาร 54x40 m (2 อาคาร)</t>
  </si>
  <si>
    <t>PO-26002731</t>
  </si>
  <si>
    <t>"KOBE"GD2206L เครื่องเจียร์แกนลม 6mm.</t>
  </si>
  <si>
    <t>PO-26002790</t>
  </si>
  <si>
    <t>ลวดแบนหุ้มกระดาษหนา 0.5 มม. ขนาด 2.4*5.5 มม.</t>
  </si>
  <si>
    <t>ลวดแบนหุ้มกระดาษหนา 0.5 มม. ขนาด 2.4*12 มม.</t>
  </si>
  <si>
    <t>PO-26002791</t>
  </si>
  <si>
    <t>PO-26002810</t>
  </si>
  <si>
    <t>บริษัท ซีซ่า เอ็นจิเนียริ่ง จำกัด</t>
  </si>
  <si>
    <t>งานแก้ไขระบบกราวด์หม้อแปลงไฟฟ้า</t>
  </si>
  <si>
    <t>PO-26001832</t>
  </si>
  <si>
    <t>PO-26001597</t>
  </si>
  <si>
    <t>TECSYSTEM Shanghai co.,Ltd</t>
  </si>
  <si>
    <t>Freight cost</t>
  </si>
  <si>
    <t>PO-26001668</t>
  </si>
  <si>
    <t>PO-26002232</t>
  </si>
  <si>
    <t>Shanghai moon Electromechanical Technology Co.,Ltd.</t>
  </si>
  <si>
    <t>PO-25004687</t>
  </si>
  <si>
    <t>Freight cost (6th shipment)</t>
  </si>
  <si>
    <t>PO-26002816</t>
  </si>
  <si>
    <t>PO-26002833</t>
  </si>
  <si>
    <t> บริษัท บ้านไฟฟ้า จำกัด</t>
  </si>
  <si>
    <t>PO-26002856</t>
  </si>
  <si>
    <t xml:space="preserve">PO-26002743 </t>
  </si>
  <si>
    <t>Huaming Oversea Company Limited</t>
  </si>
  <si>
    <t>OLTC-AVR(ET-SZ6)</t>
  </si>
  <si>
    <t>PO-26002893</t>
  </si>
  <si>
    <t>PO-26002830</t>
  </si>
  <si>
    <t>ตู้ Load break switch ABB 1300x1300x2850 mm.ระบบ 22000V</t>
  </si>
  <si>
    <t>PO-26002867</t>
  </si>
  <si>
    <t>Radiator Fin W520 x HL800x Z8</t>
  </si>
  <si>
    <t>PO-26002889</t>
  </si>
  <si>
    <t>Radiator fin W520 x HL1400 x Z17</t>
  </si>
  <si>
    <t xml:space="preserve">Radiator Fin W520 x HL800 x Z14 </t>
  </si>
  <si>
    <t>Radiator fin W520 x HL1600 x Z16</t>
  </si>
  <si>
    <t>PO-26002918</t>
  </si>
  <si>
    <t>เหล็กราง ขนาด 300*90*9 มม.</t>
  </si>
  <si>
    <t xml:space="preserve">PO-26002914 </t>
  </si>
  <si>
    <t>PO-26002948</t>
  </si>
  <si>
    <t>PO-26002973</t>
  </si>
  <si>
    <t>ลวดแบนหุ้มกระดาษหนา 0.5 มม. ขนาด 2*11 มม. (Insulation Class B)</t>
  </si>
  <si>
    <t>ลวดแบนหุ้มกระดาษหนา 0.5 มม. ขนาด 2.3*8 มม. (Insulation Class</t>
  </si>
  <si>
    <t>PO-26002963</t>
  </si>
  <si>
    <t>สรุปผล</t>
  </si>
  <si>
    <t xml:space="preserve">COST REDUCTION </t>
  </si>
  <si>
    <t>มูลค่าซื้อ</t>
  </si>
  <si>
    <t>มูลค่าที่ลดลง</t>
  </si>
  <si>
    <t>คิดเป็น %</t>
  </si>
  <si>
    <t>มูลค่าต่อรองได้</t>
  </si>
  <si>
    <t>มูลค่าเป้าหมาย 3%</t>
  </si>
  <si>
    <t>%</t>
  </si>
  <si>
    <t>เงื่อนไขเดิม</t>
  </si>
  <si>
    <t>เงื่อนไขใหม่</t>
  </si>
  <si>
    <t>มูลค่าสั่งซื้อ</t>
  </si>
  <si>
    <t>ลดต้นทุนทางบัญชี</t>
  </si>
  <si>
    <t>มูลค่าหลังหักส่วนลดเครดดิต</t>
  </si>
  <si>
    <t>อัตราดอกเบี้ย 4.25% ต่อปี</t>
  </si>
  <si>
    <t>รวม</t>
  </si>
  <si>
    <t>รับทราบผลการดำเนินการงาน</t>
  </si>
  <si>
    <t>คุณปวิณา ใจดี</t>
  </si>
  <si>
    <t>คุณธนิดา ธรรมสุนทร</t>
  </si>
  <si>
    <t>คุณยุวนิต โนจันทร์</t>
  </si>
  <si>
    <t>ได้ตามเป้าหมาย</t>
  </si>
  <si>
    <r>
      <rPr>
        <sz val="14"/>
        <color rgb="FFFF0000"/>
        <rFont val="Leelawadee UI Semilight"/>
        <family val="2"/>
      </rPr>
      <t>ไม่</t>
    </r>
    <r>
      <rPr>
        <sz val="14"/>
        <color theme="1"/>
        <rFont val="Leelawadee UI Semilight"/>
        <family val="2"/>
      </rPr>
      <t>ได้ตามเป้าหมาย</t>
    </r>
  </si>
  <si>
    <t>MONTHLY PERFORMANCE</t>
  </si>
  <si>
    <t>Month</t>
  </si>
  <si>
    <t>Purchase Value (MB)</t>
  </si>
  <si>
    <t>Cost Reduction (MB)</t>
  </si>
  <si>
    <t xml:space="preserve">% Saving </t>
  </si>
  <si>
    <t>Status</t>
  </si>
  <si>
    <t>Total</t>
  </si>
  <si>
    <t>Purchase Value</t>
  </si>
  <si>
    <t>Actual Cost saving</t>
  </si>
  <si>
    <t>% Cost Saving</t>
  </si>
  <si>
    <t>แนะนำ บ.BK ATM ให้กับ หจก.สะพานสี่</t>
  </si>
  <si>
    <t>Sep</t>
  </si>
  <si>
    <t>Oct</t>
  </si>
  <si>
    <t xml:space="preserve"> Bimetal Thermo TEK14, G1/2" and 2NO contacts (21-33-V-22-X)</t>
  </si>
  <si>
    <t xml:space="preserve"> Magnetic Oil Level Indicator KSS-F L=308mm. HITACHI</t>
  </si>
  <si>
    <t>Sum of รวมที่ต่อรองได้</t>
  </si>
  <si>
    <t>Column Labels</t>
  </si>
  <si>
    <t>Row Labels</t>
  </si>
  <si>
    <t>Grand Total</t>
  </si>
  <si>
    <t>กลยุทธ์ด้านจัดซื้อ</t>
  </si>
  <si>
    <t>รวมมูลค่าที่ต่อรองได้ ปี 2568 (บาท)</t>
  </si>
  <si>
    <t>สัดส่วน</t>
  </si>
  <si>
    <t>เพิ่มเครดิต Extend Credit terms</t>
  </si>
  <si>
    <t>Grand Total (บาท)</t>
  </si>
  <si>
    <t>ประหยัดเวลาได้</t>
  </si>
  <si>
    <t>นาที/งาน</t>
  </si>
  <si>
    <t>จำนวนงาน</t>
  </si>
  <si>
    <t>ค่าแรง</t>
  </si>
  <si>
    <t>บาท/ชั่วโมง</t>
  </si>
  <si>
    <t>ทำงาน</t>
  </si>
  <si>
    <t>วัน/เดือน</t>
  </si>
  <si>
    <t>จำนวน</t>
  </si>
  <si>
    <t>เดือน/ปี</t>
  </si>
  <si>
    <t>คิดเป็นผลประหยัด</t>
  </si>
  <si>
    <t>บาท/ปี</t>
  </si>
  <si>
    <t>Update ค่าแรงต่อชั่วโมง จาก 98.5 บาท/ชม.เป็น 117 บาท/ชม. เมื่อวันที่ 25/02/65</t>
  </si>
  <si>
    <t>หมายเหตุ</t>
  </si>
  <si>
    <t xml:space="preserve">        ราคากระดาษแผ่นละ 0.15 บาท</t>
  </si>
  <si>
    <t xml:space="preserve">         ค่าแรงพนักงานเฉลี่ยทั้งบริษัทเป็น 117 บาท/ชั่วโมง</t>
  </si>
  <si>
    <t xml:space="preserve">วิธีการคิดลดการใช้พลังงานเป็นจำนวนเงิน </t>
  </si>
  <si>
    <r>
      <t xml:space="preserve">กิโลวัตต์-ชั่วโมงต่อปี </t>
    </r>
    <r>
      <rPr>
        <sz val="8"/>
        <color theme="1"/>
        <rFont val="Wingdings"/>
        <charset val="2"/>
      </rPr>
      <t>û</t>
    </r>
    <r>
      <rPr>
        <sz val="8"/>
        <color theme="1"/>
        <rFont val="Calibri"/>
        <family val="2"/>
        <charset val="222"/>
        <scheme val="minor"/>
      </rPr>
      <t xml:space="preserve"> หน่วยค่าไฟฟ้า (หน่วยละ 4 บาท) เช่น 173*4=692 บาท</t>
    </r>
  </si>
  <si>
    <t xml:space="preserve">ค่าปริ้นท์สี </t>
  </si>
  <si>
    <t>บาทต่อแผ่น</t>
  </si>
  <si>
    <t>ค่าปริ้นท์ขาวดำ</t>
  </si>
  <si>
    <t>Radiator fin W520 x HL1600 x Z20</t>
  </si>
  <si>
    <t>Radiator Fin W520 x HL1800 x Z21</t>
  </si>
  <si>
    <t>Radiator Fin W520 x HL1600 x Z21</t>
  </si>
  <si>
    <t xml:space="preserve">Radiator Fin W520 x HL1600 x Z19 </t>
  </si>
  <si>
    <t>PO-26002984</t>
  </si>
  <si>
    <t>PO-26002900</t>
  </si>
  <si>
    <t>บริษัท อวาตา อิเล็คทริค จำกัด</t>
  </si>
  <si>
    <t>CABLE BOX TYPE 1 TR.12.5 MVA 3Ph 50Hz 22000/12702-1100V + Control Box TR.12500 kVA</t>
  </si>
  <si>
    <t>PO-26002996</t>
  </si>
  <si>
    <t>PO-26003039</t>
  </si>
  <si>
    <t>CABLE BOX TYPE 1 TR.1250 kVA 3Ph 50Hz 24000-416/240V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</si>
</sst>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?_);_(@_)"/>
    <numFmt numFmtId="168" formatCode="0.0%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Leelawadee"/>
      <family val="2"/>
    </font>
    <font>
      <sz val="10"/>
      <color theme="1"/>
      <name val="Leelawadee"/>
      <family val="2"/>
    </font>
    <font>
      <b/>
      <sz val="9"/>
      <name val="Leelawadee"/>
      <family val="2"/>
    </font>
    <font>
      <sz val="9"/>
      <color theme="1"/>
      <name val="Leelawadee"/>
      <family val="2"/>
    </font>
    <font>
      <sz val="9"/>
      <name val="Leelawadee"/>
      <family val="2"/>
    </font>
    <font>
      <b/>
      <sz val="9"/>
      <color theme="1"/>
      <name val="Leelawadee"/>
      <family val="2"/>
    </font>
    <font>
      <b/>
      <sz val="11"/>
      <color theme="1"/>
      <name val="Leelawadee"/>
      <family val="2"/>
    </font>
    <font>
      <sz val="14"/>
      <color theme="1"/>
      <name val="Leelawadee UI Semilight"/>
      <family val="2"/>
    </font>
    <font>
      <sz val="14"/>
      <color rgb="FFFF0000"/>
      <name val="Leelawadee UI Semilight"/>
      <family val="2"/>
    </font>
    <font>
      <b/>
      <sz val="14"/>
      <color theme="1"/>
      <name val="Leelawadee UI Semilight"/>
      <family val="2"/>
    </font>
    <font>
      <b/>
      <sz val="14"/>
      <color rgb="FFFF0000"/>
      <name val="Leelawadee UI Semilight"/>
      <family val="2"/>
    </font>
    <font>
      <b/>
      <sz val="14"/>
      <name val="Leelawadee UI Semilight"/>
      <family val="2"/>
    </font>
    <font>
      <b/>
      <sz val="11"/>
      <color theme="1"/>
      <name val="Calibri"/>
      <family val="2"/>
      <scheme val="minor"/>
    </font>
    <font>
      <sz val="9"/>
      <color rgb="FF000000"/>
      <name val="Leelawadee"/>
      <family val="2"/>
    </font>
    <font>
      <sz val="9"/>
      <color rgb="FF000000"/>
      <name val="Calibri"/>
      <family val="2"/>
    </font>
    <font>
      <b/>
      <sz val="10"/>
      <color theme="1"/>
      <name val="Leelawadee"/>
      <family val="2"/>
    </font>
    <font>
      <sz val="14"/>
      <color rgb="FF000000"/>
      <name val="Leelawadee UI Semilight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charset val="222"/>
      <scheme val="minor"/>
    </font>
    <font>
      <b/>
      <u/>
      <sz val="11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theme="1"/>
      <name val="Calibri"/>
      <family val="2"/>
      <charset val="222"/>
      <scheme val="minor"/>
    </font>
    <font>
      <sz val="8"/>
      <color theme="1"/>
      <name val="Wingdings"/>
      <charset val="2"/>
    </font>
    <font>
      <b/>
      <sz val="12"/>
      <color theme="1"/>
      <name val="Leelawadee UI Semilight"/>
      <family val="2"/>
    </font>
    <font>
      <sz val="12"/>
      <color theme="1"/>
      <name val="Leelawadee UI Semilight"/>
      <family val="2"/>
    </font>
    <font>
      <sz val="12"/>
      <name val="Leelawadee UI Semilight"/>
      <family val="2"/>
    </font>
    <font>
      <sz val="10"/>
      <color rgb="FF000000"/>
      <name val="Leelawadee"/>
      <family val="2"/>
    </font>
    <font>
      <b/>
      <sz val="10"/>
      <color rgb="FF0000FF"/>
      <name val="Leelawadee"/>
      <family val="2"/>
    </font>
    <font>
      <sz val="10"/>
      <name val="Leelawadee"/>
      <family val="2"/>
    </font>
    <font>
      <b/>
      <sz val="10"/>
      <name val="Leelawadee"/>
      <family val="2"/>
    </font>
    <font>
      <sz val="10"/>
      <color rgb="FFFF0000"/>
      <name val="Leelawadee"/>
      <family val="2"/>
    </font>
    <font>
      <sz val="10"/>
      <color theme="9"/>
      <name val="Leelawadee"/>
      <family val="2"/>
    </font>
    <font>
      <sz val="10"/>
      <color rgb="FFEE0000"/>
      <name val="Leelawadee"/>
      <family val="2"/>
    </font>
    <font>
      <b/>
      <sz val="14"/>
      <color rgb="FF00B050"/>
      <name val="Leelawadee UI Semilight"/>
      <family val="2"/>
    </font>
    <font>
      <sz val="11"/>
      <name val="Calibri"/>
      <family val="2"/>
    </font>
    <font>
      <sz val="14"/>
      <color theme="9" tint="0.79998168889431442"/>
      <name val="Leelawadee UI Semilight"/>
      <family val="2"/>
    </font>
    <font>
      <b/>
      <sz val="14"/>
      <color theme="9" tint="0.79998168889431442"/>
      <name val="Leelawadee UI Semilight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color rgb="FF000000"/>
      <name val="Calibri Light"/>
      <family val="2"/>
    </font>
    <font>
      <sz val="9"/>
      <color rgb="FF0000FF"/>
      <name val="Leelawadee"/>
      <family val="2"/>
    </font>
    <font>
      <sz val="9"/>
      <color rgb="FF0000FF"/>
      <name val="Calibri"/>
      <family val="2"/>
    </font>
    <font>
      <b/>
      <sz val="14"/>
      <color theme="0"/>
      <name val="Leelawadee UI Semilight"/>
      <family val="2"/>
    </font>
    <font>
      <sz val="11"/>
      <color theme="1"/>
      <name val="Prompt"/>
      <charset val="222"/>
    </font>
    <font>
      <sz val="9"/>
      <color rgb="FFFF0000"/>
      <name val="Leelawadee"/>
      <family val="2"/>
    </font>
    <font>
      <sz val="9"/>
      <color rgb="FF201F1E"/>
      <name val="Segoe UI"/>
      <family val="2"/>
    </font>
    <font>
      <b/>
      <sz val="24"/>
      <color theme="1"/>
      <name val="Segoe UI"/>
      <family val="2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8"/>
      <color theme="1"/>
      <name val="Segoe UI"/>
      <family val="2"/>
    </font>
    <font>
      <sz val="8"/>
      <name val="Calibri"/>
      <family val="2"/>
      <scheme val="minor"/>
    </font>
    <font>
      <sz val="9"/>
      <color rgb="FF201F1E"/>
      <name val="Segoe UI"/>
      <family val="2"/>
    </font>
    <font>
      <sz val="8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5F5F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677">
    <xf numFmtId="0" fontId="0" fillId="0" borderId="0" xfId="0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43" fontId="6" fillId="5" borderId="1" xfId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7" fillId="0" borderId="1" xfId="1" applyFont="1" applyBorder="1"/>
    <xf numFmtId="43" fontId="7" fillId="0" borderId="1" xfId="1" applyFont="1" applyBorder="1" applyAlignment="1">
      <alignment horizontal="center"/>
    </xf>
    <xf numFmtId="43" fontId="4" fillId="0" borderId="0" xfId="1" applyFont="1"/>
    <xf numFmtId="43" fontId="4" fillId="0" borderId="1" xfId="1" applyFont="1" applyBorder="1"/>
    <xf numFmtId="0" fontId="5" fillId="0" borderId="1" xfId="0" applyFont="1" applyBorder="1"/>
    <xf numFmtId="0" fontId="9" fillId="0" borderId="7" xfId="0" applyFont="1" applyBorder="1"/>
    <xf numFmtId="4" fontId="7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43" fontId="7" fillId="0" borderId="0" xfId="1" applyFont="1"/>
    <xf numFmtId="43" fontId="5" fillId="0" borderId="1" xfId="1" applyFont="1" applyBorder="1"/>
    <xf numFmtId="0" fontId="11" fillId="0" borderId="1" xfId="0" applyFont="1" applyBorder="1"/>
    <xf numFmtId="0" fontId="11" fillId="0" borderId="0" xfId="0" applyFont="1"/>
    <xf numFmtId="0" fontId="13" fillId="0" borderId="0" xfId="0" applyFont="1" applyAlignment="1">
      <alignment horizontal="center"/>
    </xf>
    <xf numFmtId="43" fontId="13" fillId="0" borderId="0" xfId="1" applyFont="1" applyFill="1" applyBorder="1"/>
    <xf numFmtId="2" fontId="1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7" fillId="0" borderId="1" xfId="0" applyFont="1" applyBorder="1" applyAlignment="1">
      <alignment wrapText="1"/>
    </xf>
    <xf numFmtId="0" fontId="5" fillId="0" borderId="0" xfId="0" applyFont="1"/>
    <xf numFmtId="0" fontId="7" fillId="0" borderId="1" xfId="0" applyFont="1" applyBorder="1" applyAlignment="1">
      <alignment vertical="center"/>
    </xf>
    <xf numFmtId="43" fontId="7" fillId="0" borderId="1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3" fontId="7" fillId="0" borderId="1" xfId="1" applyFont="1" applyBorder="1" applyAlignment="1">
      <alignment horizontal="center" vertical="center"/>
    </xf>
    <xf numFmtId="0" fontId="7" fillId="0" borderId="7" xfId="0" applyFont="1" applyBorder="1"/>
    <xf numFmtId="0" fontId="7" fillId="0" borderId="2" xfId="0" applyFont="1" applyBorder="1"/>
    <xf numFmtId="0" fontId="9" fillId="0" borderId="6" xfId="0" applyFont="1" applyBorder="1" applyAlignment="1">
      <alignment vertical="center"/>
    </xf>
    <xf numFmtId="0" fontId="7" fillId="0" borderId="6" xfId="0" applyFont="1" applyBorder="1"/>
    <xf numFmtId="43" fontId="7" fillId="0" borderId="19" xfId="1" applyFont="1" applyBorder="1"/>
    <xf numFmtId="0" fontId="7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0" fontId="17" fillId="0" borderId="1" xfId="2" applyNumberFormat="1" applyFont="1" applyFill="1" applyBorder="1" applyAlignment="1">
      <alignment vertical="center"/>
    </xf>
    <xf numFmtId="10" fontId="17" fillId="0" borderId="2" xfId="2" applyNumberFormat="1" applyFont="1" applyFill="1" applyBorder="1" applyAlignment="1">
      <alignment vertical="center"/>
    </xf>
    <xf numFmtId="43" fontId="7" fillId="0" borderId="2" xfId="1" applyFont="1" applyBorder="1"/>
    <xf numFmtId="0" fontId="7" fillId="0" borderId="23" xfId="0" applyFont="1" applyBorder="1" applyAlignment="1">
      <alignment horizontal="center"/>
    </xf>
    <xf numFmtId="0" fontId="7" fillId="0" borderId="8" xfId="0" applyFont="1" applyBorder="1"/>
    <xf numFmtId="43" fontId="7" fillId="0" borderId="23" xfId="1" applyFont="1" applyBorder="1"/>
    <xf numFmtId="0" fontId="7" fillId="0" borderId="25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3" xfId="0" applyFont="1" applyBorder="1"/>
    <xf numFmtId="10" fontId="17" fillId="0" borderId="23" xfId="2" applyNumberFormat="1" applyFont="1" applyFill="1" applyBorder="1" applyAlignment="1">
      <alignment vertical="center"/>
    </xf>
    <xf numFmtId="43" fontId="7" fillId="0" borderId="27" xfId="1" applyFont="1" applyBorder="1"/>
    <xf numFmtId="0" fontId="9" fillId="0" borderId="7" xfId="0" applyFont="1" applyBorder="1" applyAlignment="1">
      <alignment vertical="center"/>
    </xf>
    <xf numFmtId="43" fontId="7" fillId="0" borderId="23" xfId="1" applyFont="1" applyBorder="1" applyAlignment="1">
      <alignment horizontal="center"/>
    </xf>
    <xf numFmtId="43" fontId="7" fillId="0" borderId="7" xfId="1" applyFont="1" applyBorder="1" applyAlignment="1">
      <alignment horizontal="center"/>
    </xf>
    <xf numFmtId="43" fontId="7" fillId="0" borderId="2" xfId="1" applyFont="1" applyBorder="1" applyAlignment="1">
      <alignment horizontal="center"/>
    </xf>
    <xf numFmtId="43" fontId="7" fillId="0" borderId="27" xfId="1" applyFont="1" applyBorder="1" applyAlignment="1">
      <alignment horizontal="center"/>
    </xf>
    <xf numFmtId="0" fontId="7" fillId="0" borderId="27" xfId="0" applyFont="1" applyBorder="1"/>
    <xf numFmtId="0" fontId="7" fillId="0" borderId="28" xfId="0" applyFont="1" applyBorder="1"/>
    <xf numFmtId="10" fontId="17" fillId="0" borderId="28" xfId="2" applyNumberFormat="1" applyFont="1" applyFill="1" applyBorder="1" applyAlignment="1">
      <alignment vertical="center"/>
    </xf>
    <xf numFmtId="43" fontId="7" fillId="0" borderId="28" xfId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43" fontId="7" fillId="0" borderId="28" xfId="1" applyFont="1" applyBorder="1"/>
    <xf numFmtId="0" fontId="7" fillId="0" borderId="7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9" fillId="0" borderId="23" xfId="0" applyFont="1" applyBorder="1" applyAlignment="1">
      <alignment vertical="center"/>
    </xf>
    <xf numFmtId="43" fontId="18" fillId="0" borderId="23" xfId="1" applyFont="1" applyBorder="1" applyAlignment="1">
      <alignment horizontal="center"/>
    </xf>
    <xf numFmtId="43" fontId="18" fillId="0" borderId="19" xfId="1" applyFont="1" applyBorder="1" applyAlignment="1">
      <alignment horizontal="center"/>
    </xf>
    <xf numFmtId="43" fontId="18" fillId="0" borderId="13" xfId="1" applyFont="1" applyBorder="1" applyAlignment="1">
      <alignment horizontal="center"/>
    </xf>
    <xf numFmtId="0" fontId="18" fillId="0" borderId="1" xfId="0" applyFont="1" applyBorder="1"/>
    <xf numFmtId="0" fontId="7" fillId="0" borderId="24" xfId="0" applyFont="1" applyBorder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4" fontId="7" fillId="0" borderId="23" xfId="0" applyNumberFormat="1" applyFont="1" applyBorder="1"/>
    <xf numFmtId="0" fontId="7" fillId="0" borderId="27" xfId="0" applyFont="1" applyBorder="1" applyAlignment="1">
      <alignment horizontal="left"/>
    </xf>
    <xf numFmtId="0" fontId="7" fillId="0" borderId="26" xfId="0" applyFont="1" applyBorder="1"/>
    <xf numFmtId="0" fontId="7" fillId="0" borderId="24" xfId="0" applyFont="1" applyBorder="1" applyAlignment="1">
      <alignment horizontal="left"/>
    </xf>
    <xf numFmtId="0" fontId="7" fillId="0" borderId="30" xfId="0" applyFont="1" applyBorder="1"/>
    <xf numFmtId="0" fontId="7" fillId="0" borderId="27" xfId="0" applyFont="1" applyBorder="1" applyAlignment="1">
      <alignment horizontal="center"/>
    </xf>
    <xf numFmtId="0" fontId="9" fillId="0" borderId="23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29" xfId="0" applyFont="1" applyBorder="1"/>
    <xf numFmtId="0" fontId="7" fillId="0" borderId="23" xfId="0" applyFont="1" applyBorder="1" applyAlignment="1">
      <alignment vertical="center"/>
    </xf>
    <xf numFmtId="0" fontId="7" fillId="0" borderId="30" xfId="0" applyFont="1" applyBorder="1" applyAlignment="1">
      <alignment horizontal="left"/>
    </xf>
    <xf numFmtId="43" fontId="7" fillId="0" borderId="6" xfId="1" applyFont="1" applyBorder="1"/>
    <xf numFmtId="43" fontId="7" fillId="0" borderId="34" xfId="1" applyFont="1" applyBorder="1"/>
    <xf numFmtId="0" fontId="17" fillId="0" borderId="23" xfId="0" applyFont="1" applyBorder="1"/>
    <xf numFmtId="0" fontId="17" fillId="0" borderId="33" xfId="0" applyFont="1" applyBorder="1"/>
    <xf numFmtId="0" fontId="17" fillId="0" borderId="28" xfId="0" applyFont="1" applyBorder="1"/>
    <xf numFmtId="43" fontId="7" fillId="0" borderId="30" xfId="1" applyFont="1" applyBorder="1"/>
    <xf numFmtId="4" fontId="17" fillId="0" borderId="1" xfId="0" applyNumberFormat="1" applyFont="1" applyBorder="1"/>
    <xf numFmtId="0" fontId="7" fillId="0" borderId="6" xfId="0" applyFont="1" applyBorder="1" applyAlignment="1">
      <alignment horizontal="center"/>
    </xf>
    <xf numFmtId="0" fontId="7" fillId="0" borderId="9" xfId="0" applyFont="1" applyBorder="1"/>
    <xf numFmtId="164" fontId="7" fillId="0" borderId="0" xfId="1" applyNumberFormat="1" applyFont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23" xfId="1" applyNumberFormat="1" applyFont="1" applyBorder="1" applyAlignment="1">
      <alignment horizontal="center" vertical="center"/>
    </xf>
    <xf numFmtId="164" fontId="7" fillId="0" borderId="27" xfId="1" applyNumberFormat="1" applyFont="1" applyBorder="1" applyAlignment="1">
      <alignment horizontal="center" vertical="center"/>
    </xf>
    <xf numFmtId="164" fontId="7" fillId="0" borderId="28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7" fillId="0" borderId="19" xfId="0" applyFont="1" applyBorder="1"/>
    <xf numFmtId="0" fontId="1" fillId="0" borderId="0" xfId="4"/>
    <xf numFmtId="2" fontId="1" fillId="7" borderId="0" xfId="4" applyNumberFormat="1" applyFill="1"/>
    <xf numFmtId="0" fontId="1" fillId="7" borderId="0" xfId="4" applyFill="1"/>
    <xf numFmtId="0" fontId="22" fillId="0" borderId="0" xfId="4" applyFont="1"/>
    <xf numFmtId="1" fontId="1" fillId="0" borderId="0" xfId="4" applyNumberFormat="1"/>
    <xf numFmtId="0" fontId="1" fillId="0" borderId="8" xfId="4" applyBorder="1"/>
    <xf numFmtId="0" fontId="1" fillId="0" borderId="25" xfId="4" applyBorder="1"/>
    <xf numFmtId="0" fontId="1" fillId="0" borderId="20" xfId="4" applyBorder="1"/>
    <xf numFmtId="0" fontId="1" fillId="0" borderId="16" xfId="4" applyBorder="1"/>
    <xf numFmtId="0" fontId="1" fillId="0" borderId="15" xfId="4" applyBorder="1"/>
    <xf numFmtId="166" fontId="16" fillId="7" borderId="0" xfId="5" applyNumberFormat="1" applyFont="1" applyFill="1" applyBorder="1"/>
    <xf numFmtId="0" fontId="1" fillId="0" borderId="14" xfId="4" applyBorder="1"/>
    <xf numFmtId="0" fontId="1" fillId="0" borderId="21" xfId="4" applyBorder="1"/>
    <xf numFmtId="0" fontId="1" fillId="0" borderId="13" xfId="4" applyBorder="1"/>
    <xf numFmtId="0" fontId="23" fillId="2" borderId="0" xfId="4" applyFont="1" applyFill="1"/>
    <xf numFmtId="0" fontId="1" fillId="2" borderId="0" xfId="4" applyFill="1"/>
    <xf numFmtId="166" fontId="1" fillId="2" borderId="0" xfId="4" applyNumberFormat="1" applyFill="1"/>
    <xf numFmtId="0" fontId="24" fillId="2" borderId="0" xfId="4" applyFont="1" applyFill="1" applyAlignment="1">
      <alignment horizontal="left"/>
    </xf>
    <xf numFmtId="0" fontId="25" fillId="2" borderId="0" xfId="4" applyFont="1" applyFill="1" applyAlignment="1">
      <alignment horizontal="left"/>
    </xf>
    <xf numFmtId="0" fontId="25" fillId="2" borderId="0" xfId="4" applyFont="1" applyFill="1"/>
    <xf numFmtId="0" fontId="11" fillId="3" borderId="0" xfId="0" applyFont="1" applyFill="1" applyAlignment="1">
      <alignment horizontal="center"/>
    </xf>
    <xf numFmtId="0" fontId="7" fillId="0" borderId="7" xfId="0" applyFont="1" applyBorder="1" applyAlignment="1">
      <alignment vertical="center"/>
    </xf>
    <xf numFmtId="0" fontId="27" fillId="0" borderId="23" xfId="0" applyFont="1" applyBorder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2" borderId="23" xfId="0" applyFont="1" applyFill="1" applyBorder="1" applyAlignment="1">
      <alignment horizontal="center"/>
    </xf>
    <xf numFmtId="43" fontId="28" fillId="0" borderId="23" xfId="0" applyNumberFormat="1" applyFont="1" applyBorder="1"/>
    <xf numFmtId="0" fontId="28" fillId="0" borderId="23" xfId="0" applyFont="1" applyBorder="1"/>
    <xf numFmtId="0" fontId="29" fillId="0" borderId="23" xfId="0" applyFont="1" applyBorder="1" applyAlignment="1">
      <alignment horizontal="center"/>
    </xf>
    <xf numFmtId="2" fontId="28" fillId="0" borderId="0" xfId="2" applyNumberFormat="1" applyFont="1"/>
    <xf numFmtId="0" fontId="7" fillId="0" borderId="33" xfId="0" applyFont="1" applyBorder="1" applyAlignment="1">
      <alignment horizontal="left"/>
    </xf>
    <xf numFmtId="43" fontId="7" fillId="0" borderId="32" xfId="1" applyFont="1" applyBorder="1"/>
    <xf numFmtId="164" fontId="7" fillId="0" borderId="29" xfId="1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/>
    </xf>
    <xf numFmtId="0" fontId="30" fillId="0" borderId="1" xfId="0" applyFont="1" applyBorder="1"/>
    <xf numFmtId="0" fontId="30" fillId="0" borderId="19" xfId="0" applyFont="1" applyBorder="1"/>
    <xf numFmtId="0" fontId="30" fillId="0" borderId="2" xfId="0" applyFont="1" applyBorder="1"/>
    <xf numFmtId="0" fontId="30" fillId="0" borderId="13" xfId="0" applyFont="1" applyBorder="1"/>
    <xf numFmtId="0" fontId="30" fillId="0" borderId="19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9" fillId="0" borderId="23" xfId="0" applyFont="1" applyBorder="1"/>
    <xf numFmtId="164" fontId="28" fillId="0" borderId="23" xfId="2" applyNumberFormat="1" applyFont="1" applyBorder="1"/>
    <xf numFmtId="43" fontId="29" fillId="2" borderId="23" xfId="0" applyNumberFormat="1" applyFont="1" applyFill="1" applyBorder="1" applyAlignment="1">
      <alignment vertical="center"/>
    </xf>
    <xf numFmtId="10" fontId="29" fillId="0" borderId="23" xfId="2" applyNumberFormat="1" applyFont="1" applyBorder="1"/>
    <xf numFmtId="164" fontId="28" fillId="0" borderId="23" xfId="0" applyNumberFormat="1" applyFont="1" applyBorder="1"/>
    <xf numFmtId="0" fontId="17" fillId="0" borderId="1" xfId="0" applyFont="1" applyBorder="1"/>
    <xf numFmtId="3" fontId="17" fillId="0" borderId="1" xfId="0" applyNumberFormat="1" applyFont="1" applyBorder="1"/>
    <xf numFmtId="0" fontId="7" fillId="0" borderId="30" xfId="0" applyFont="1" applyBorder="1" applyAlignment="1">
      <alignment horizontal="center"/>
    </xf>
    <xf numFmtId="0" fontId="18" fillId="0" borderId="23" xfId="0" applyFont="1" applyBorder="1"/>
    <xf numFmtId="164" fontId="18" fillId="0" borderId="23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wrapText="1"/>
    </xf>
    <xf numFmtId="43" fontId="31" fillId="0" borderId="23" xfId="1" applyFont="1" applyBorder="1"/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/>
    <xf numFmtId="0" fontId="5" fillId="0" borderId="28" xfId="0" applyFont="1" applyBorder="1" applyAlignment="1">
      <alignment horizontal="left"/>
    </xf>
    <xf numFmtId="0" fontId="7" fillId="0" borderId="32" xfId="0" applyFont="1" applyBorder="1" applyAlignment="1">
      <alignment horizontal="center"/>
    </xf>
    <xf numFmtId="164" fontId="7" fillId="0" borderId="27" xfId="1" applyNumberFormat="1" applyFont="1" applyBorder="1"/>
    <xf numFmtId="0" fontId="28" fillId="0" borderId="27" xfId="0" applyFont="1" applyBorder="1"/>
    <xf numFmtId="43" fontId="28" fillId="0" borderId="27" xfId="1" applyFont="1" applyBorder="1"/>
    <xf numFmtId="43" fontId="29" fillId="2" borderId="27" xfId="0" applyNumberFormat="1" applyFont="1" applyFill="1" applyBorder="1" applyAlignment="1">
      <alignment vertical="center"/>
    </xf>
    <xf numFmtId="10" fontId="29" fillId="0" borderId="27" xfId="2" applyNumberFormat="1" applyFont="1" applyBorder="1"/>
    <xf numFmtId="164" fontId="28" fillId="0" borderId="27" xfId="0" applyNumberFormat="1" applyFont="1" applyBorder="1"/>
    <xf numFmtId="0" fontId="28" fillId="0" borderId="1" xfId="0" applyFont="1" applyBorder="1"/>
    <xf numFmtId="43" fontId="28" fillId="0" borderId="1" xfId="1" applyFont="1" applyBorder="1"/>
    <xf numFmtId="43" fontId="29" fillId="2" borderId="1" xfId="0" applyNumberFormat="1" applyFont="1" applyFill="1" applyBorder="1" applyAlignment="1">
      <alignment vertical="center"/>
    </xf>
    <xf numFmtId="10" fontId="29" fillId="0" borderId="1" xfId="2" applyNumberFormat="1" applyFont="1" applyBorder="1"/>
    <xf numFmtId="164" fontId="28" fillId="0" borderId="1" xfId="0" applyNumberFormat="1" applyFont="1" applyBorder="1"/>
    <xf numFmtId="0" fontId="5" fillId="0" borderId="1" xfId="0" applyFont="1" applyBorder="1" applyAlignment="1">
      <alignment horizontal="center"/>
    </xf>
    <xf numFmtId="4" fontId="28" fillId="0" borderId="0" xfId="0" applyNumberFormat="1" applyFont="1"/>
    <xf numFmtId="0" fontId="11" fillId="0" borderId="18" xfId="0" applyFont="1" applyBorder="1"/>
    <xf numFmtId="0" fontId="33" fillId="5" borderId="1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 vertical="center"/>
    </xf>
    <xf numFmtId="164" fontId="33" fillId="5" borderId="1" xfId="1" applyNumberFormat="1" applyFont="1" applyFill="1" applyBorder="1" applyAlignment="1">
      <alignment horizontal="center" vertical="center"/>
    </xf>
    <xf numFmtId="43" fontId="33" fillId="5" borderId="1" xfId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1" xfId="1" applyNumberFormat="1" applyFont="1" applyBorder="1" applyAlignment="1">
      <alignment horizontal="center" vertical="center"/>
    </xf>
    <xf numFmtId="43" fontId="32" fillId="0" borderId="1" xfId="1" applyFont="1" applyBorder="1" applyAlignment="1">
      <alignment horizontal="center" vertical="center"/>
    </xf>
    <xf numFmtId="43" fontId="31" fillId="0" borderId="1" xfId="1" applyFont="1" applyBorder="1" applyAlignment="1">
      <alignment horizontal="center" vertical="center"/>
    </xf>
    <xf numFmtId="43" fontId="31" fillId="0" borderId="1" xfId="1" applyFont="1" applyFill="1" applyBorder="1" applyAlignment="1">
      <alignment vertical="center"/>
    </xf>
    <xf numFmtId="10" fontId="31" fillId="0" borderId="1" xfId="2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43" fontId="5" fillId="0" borderId="1" xfId="1" applyFont="1" applyBorder="1" applyAlignment="1">
      <alignment vertical="center"/>
    </xf>
    <xf numFmtId="43" fontId="31" fillId="0" borderId="6" xfId="1" applyFont="1" applyBorder="1" applyAlignment="1">
      <alignment horizontal="center" vertical="center"/>
    </xf>
    <xf numFmtId="2" fontId="5" fillId="0" borderId="38" xfId="0" applyNumberFormat="1" applyFont="1" applyBorder="1" applyAlignment="1">
      <alignment horizontal="left" vertical="center"/>
    </xf>
    <xf numFmtId="0" fontId="5" fillId="0" borderId="37" xfId="0" applyFont="1" applyBorder="1"/>
    <xf numFmtId="2" fontId="5" fillId="0" borderId="39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30" fillId="0" borderId="0" xfId="0" applyFont="1"/>
    <xf numFmtId="43" fontId="5" fillId="0" borderId="7" xfId="1" applyFont="1" applyFill="1" applyBorder="1"/>
    <xf numFmtId="0" fontId="5" fillId="0" borderId="1" xfId="0" applyFont="1" applyBorder="1" applyAlignment="1">
      <alignment wrapText="1"/>
    </xf>
    <xf numFmtId="4" fontId="30" fillId="0" borderId="1" xfId="0" applyNumberFormat="1" applyFont="1" applyBorder="1"/>
    <xf numFmtId="164" fontId="5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3" fontId="31" fillId="0" borderId="1" xfId="1" applyFont="1" applyFill="1" applyBorder="1" applyAlignment="1">
      <alignment horizontal="center" vertical="center"/>
    </xf>
    <xf numFmtId="0" fontId="5" fillId="0" borderId="7" xfId="0" applyFont="1" applyBorder="1"/>
    <xf numFmtId="43" fontId="32" fillId="0" borderId="7" xfId="1" applyFont="1" applyBorder="1" applyAlignment="1">
      <alignment horizontal="center" vertical="center"/>
    </xf>
    <xf numFmtId="43" fontId="31" fillId="0" borderId="7" xfId="1" applyFont="1" applyFill="1" applyBorder="1" applyAlignment="1">
      <alignment horizontal="center" vertical="center"/>
    </xf>
    <xf numFmtId="43" fontId="31" fillId="0" borderId="7" xfId="1" applyFont="1" applyBorder="1" applyAlignment="1">
      <alignment horizontal="center" vertical="center"/>
    </xf>
    <xf numFmtId="43" fontId="31" fillId="0" borderId="7" xfId="1" applyFont="1" applyFill="1" applyBorder="1" applyAlignment="1">
      <alignment vertical="center"/>
    </xf>
    <xf numFmtId="10" fontId="31" fillId="0" borderId="7" xfId="2" applyNumberFormat="1" applyFont="1" applyFill="1" applyBorder="1" applyAlignment="1">
      <alignment vertical="center"/>
    </xf>
    <xf numFmtId="0" fontId="5" fillId="0" borderId="6" xfId="0" applyFont="1" applyBorder="1"/>
    <xf numFmtId="0" fontId="5" fillId="0" borderId="23" xfId="0" applyFont="1" applyBorder="1"/>
    <xf numFmtId="0" fontId="5" fillId="0" borderId="28" xfId="0" applyFont="1" applyBorder="1"/>
    <xf numFmtId="164" fontId="5" fillId="0" borderId="7" xfId="1" applyNumberFormat="1" applyFont="1" applyBorder="1" applyAlignment="1">
      <alignment horizontal="center" vertical="center"/>
    </xf>
    <xf numFmtId="10" fontId="30" fillId="0" borderId="1" xfId="2" applyNumberFormat="1" applyFont="1" applyFill="1" applyBorder="1" applyAlignment="1">
      <alignment vertical="center"/>
    </xf>
    <xf numFmtId="0" fontId="5" fillId="0" borderId="7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19" xfId="0" applyFont="1" applyBorder="1"/>
    <xf numFmtId="0" fontId="32" fillId="0" borderId="23" xfId="0" applyFont="1" applyBorder="1"/>
    <xf numFmtId="43" fontId="31" fillId="0" borderId="1" xfId="1" applyFont="1" applyBorder="1"/>
    <xf numFmtId="12" fontId="30" fillId="0" borderId="1" xfId="2" applyNumberFormat="1" applyFont="1" applyFill="1" applyBorder="1" applyAlignment="1">
      <alignment vertical="center"/>
    </xf>
    <xf numFmtId="10" fontId="30" fillId="0" borderId="19" xfId="2" applyNumberFormat="1" applyFont="1" applyFill="1" applyBorder="1" applyAlignment="1">
      <alignment vertical="center"/>
    </xf>
    <xf numFmtId="0" fontId="32" fillId="0" borderId="22" xfId="0" applyFont="1" applyBorder="1"/>
    <xf numFmtId="0" fontId="5" fillId="0" borderId="2" xfId="0" applyFont="1" applyBorder="1" applyAlignment="1">
      <alignment horizontal="left"/>
    </xf>
    <xf numFmtId="164" fontId="30" fillId="0" borderId="2" xfId="0" applyNumberFormat="1" applyFont="1" applyBorder="1"/>
    <xf numFmtId="0" fontId="34" fillId="0" borderId="0" xfId="0" applyFont="1"/>
    <xf numFmtId="164" fontId="30" fillId="0" borderId="13" xfId="1" applyNumberFormat="1" applyFont="1" applyBorder="1" applyAlignment="1">
      <alignment horizontal="center" vertical="center"/>
    </xf>
    <xf numFmtId="43" fontId="30" fillId="0" borderId="2" xfId="1" applyFont="1" applyBorder="1"/>
    <xf numFmtId="43" fontId="31" fillId="0" borderId="2" xfId="1" applyFont="1" applyBorder="1"/>
    <xf numFmtId="3" fontId="30" fillId="0" borderId="2" xfId="0" applyNumberFormat="1" applyFont="1" applyBorder="1"/>
    <xf numFmtId="3" fontId="31" fillId="0" borderId="2" xfId="0" applyNumberFormat="1" applyFont="1" applyBorder="1"/>
    <xf numFmtId="164" fontId="30" fillId="0" borderId="19" xfId="1" applyNumberFormat="1" applyFont="1" applyBorder="1" applyAlignment="1">
      <alignment horizontal="center" vertical="center"/>
    </xf>
    <xf numFmtId="3" fontId="30" fillId="0" borderId="1" xfId="0" applyNumberFormat="1" applyFont="1" applyBorder="1"/>
    <xf numFmtId="3" fontId="31" fillId="0" borderId="1" xfId="0" applyNumberFormat="1" applyFont="1" applyBorder="1"/>
    <xf numFmtId="43" fontId="30" fillId="0" borderId="13" xfId="1" applyFont="1" applyBorder="1" applyAlignment="1">
      <alignment horizontal="center" vertical="center"/>
    </xf>
    <xf numFmtId="165" fontId="30" fillId="0" borderId="2" xfId="1" applyNumberFormat="1" applyFont="1" applyBorder="1"/>
    <xf numFmtId="165" fontId="31" fillId="0" borderId="2" xfId="1" applyNumberFormat="1" applyFont="1" applyBorder="1"/>
    <xf numFmtId="43" fontId="30" fillId="0" borderId="1" xfId="1" applyFont="1" applyFill="1" applyBorder="1" applyAlignment="1">
      <alignment vertical="center"/>
    </xf>
    <xf numFmtId="43" fontId="5" fillId="0" borderId="1" xfId="1" applyFont="1" applyBorder="1" applyAlignment="1">
      <alignment horizontal="center" vertical="center"/>
    </xf>
    <xf numFmtId="165" fontId="5" fillId="0" borderId="1" xfId="1" applyNumberFormat="1" applyFont="1" applyBorder="1"/>
    <xf numFmtId="165" fontId="31" fillId="0" borderId="1" xfId="1" applyNumberFormat="1" applyFont="1" applyBorder="1" applyAlignment="1">
      <alignment horizontal="center" vertical="center"/>
    </xf>
    <xf numFmtId="43" fontId="30" fillId="0" borderId="23" xfId="1" applyFont="1" applyBorder="1"/>
    <xf numFmtId="43" fontId="30" fillId="0" borderId="30" xfId="1" applyFont="1" applyBorder="1"/>
    <xf numFmtId="0" fontId="31" fillId="0" borderId="1" xfId="0" applyFont="1" applyBorder="1"/>
    <xf numFmtId="0" fontId="31" fillId="0" borderId="2" xfId="0" applyFont="1" applyBorder="1"/>
    <xf numFmtId="4" fontId="30" fillId="0" borderId="13" xfId="0" applyNumberFormat="1" applyFont="1" applyBorder="1"/>
    <xf numFmtId="4" fontId="31" fillId="0" borderId="2" xfId="0" applyNumberFormat="1" applyFont="1" applyBorder="1"/>
    <xf numFmtId="0" fontId="30" fillId="8" borderId="13" xfId="0" applyFont="1" applyFill="1" applyBorder="1"/>
    <xf numFmtId="0" fontId="5" fillId="2" borderId="7" xfId="0" applyFont="1" applyFill="1" applyBorder="1" applyAlignment="1">
      <alignment horizontal="center"/>
    </xf>
    <xf numFmtId="0" fontId="5" fillId="0" borderId="8" xfId="0" applyFont="1" applyBorder="1"/>
    <xf numFmtId="164" fontId="5" fillId="0" borderId="23" xfId="1" applyNumberFormat="1" applyFont="1" applyBorder="1" applyAlignment="1">
      <alignment horizontal="center" vertical="center"/>
    </xf>
    <xf numFmtId="43" fontId="5" fillId="0" borderId="23" xfId="1" applyFont="1" applyBorder="1"/>
    <xf numFmtId="43" fontId="31" fillId="0" borderId="23" xfId="1" applyFont="1" applyBorder="1" applyAlignment="1">
      <alignment horizontal="center" vertical="center"/>
    </xf>
    <xf numFmtId="43" fontId="31" fillId="0" borderId="20" xfId="1" applyFont="1" applyFill="1" applyBorder="1" applyAlignment="1">
      <alignment vertical="center"/>
    </xf>
    <xf numFmtId="0" fontId="5" fillId="0" borderId="24" xfId="0" applyFont="1" applyBorder="1"/>
    <xf numFmtId="10" fontId="30" fillId="0" borderId="2" xfId="2" applyNumberFormat="1" applyFont="1" applyFill="1" applyBorder="1" applyAlignment="1">
      <alignment vertical="center"/>
    </xf>
    <xf numFmtId="43" fontId="5" fillId="0" borderId="2" xfId="1" applyFont="1" applyBorder="1"/>
    <xf numFmtId="43" fontId="31" fillId="0" borderId="2" xfId="1" applyFont="1" applyBorder="1" applyAlignment="1">
      <alignment horizontal="center" vertical="center"/>
    </xf>
    <xf numFmtId="0" fontId="35" fillId="0" borderId="0" xfId="0" applyFont="1"/>
    <xf numFmtId="0" fontId="32" fillId="0" borderId="39" xfId="0" applyFont="1" applyBorder="1"/>
    <xf numFmtId="0" fontId="32" fillId="0" borderId="40" xfId="0" applyFont="1" applyBorder="1"/>
    <xf numFmtId="0" fontId="32" fillId="0" borderId="29" xfId="0" applyFont="1" applyBorder="1"/>
    <xf numFmtId="10" fontId="30" fillId="0" borderId="1" xfId="2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/>
    </xf>
    <xf numFmtId="164" fontId="5" fillId="0" borderId="1" xfId="1" applyNumberFormat="1" applyFont="1" applyBorder="1"/>
    <xf numFmtId="10" fontId="30" fillId="3" borderId="1" xfId="2" applyNumberFormat="1" applyFont="1" applyFill="1" applyBorder="1" applyAlignment="1">
      <alignment vertical="center"/>
    </xf>
    <xf numFmtId="164" fontId="5" fillId="0" borderId="27" xfId="1" applyNumberFormat="1" applyFont="1" applyBorder="1" applyAlignment="1">
      <alignment horizontal="center" vertical="center"/>
    </xf>
    <xf numFmtId="43" fontId="5" fillId="0" borderId="27" xfId="1" applyFont="1" applyBorder="1"/>
    <xf numFmtId="43" fontId="31" fillId="0" borderId="27" xfId="1" applyFont="1" applyBorder="1" applyAlignment="1">
      <alignment horizontal="center" vertical="center"/>
    </xf>
    <xf numFmtId="0" fontId="5" fillId="0" borderId="25" xfId="0" applyFont="1" applyBorder="1" applyAlignment="1">
      <alignment horizontal="center"/>
    </xf>
    <xf numFmtId="43" fontId="31" fillId="0" borderId="27" xfId="1" applyFont="1" applyFill="1" applyBorder="1" applyAlignment="1">
      <alignment vertical="center"/>
    </xf>
    <xf numFmtId="10" fontId="31" fillId="0" borderId="20" xfId="2" applyNumberFormat="1" applyFont="1" applyFill="1" applyBorder="1" applyAlignment="1">
      <alignment vertical="center"/>
    </xf>
    <xf numFmtId="164" fontId="5" fillId="0" borderId="0" xfId="1" applyNumberFormat="1" applyFont="1" applyAlignment="1">
      <alignment horizontal="center" vertical="center"/>
    </xf>
    <xf numFmtId="43" fontId="5" fillId="0" borderId="30" xfId="1" applyFont="1" applyBorder="1"/>
    <xf numFmtId="0" fontId="5" fillId="0" borderId="27" xfId="0" applyFont="1" applyBorder="1" applyAlignment="1">
      <alignment horizontal="left"/>
    </xf>
    <xf numFmtId="0" fontId="5" fillId="0" borderId="30" xfId="0" applyFont="1" applyBorder="1"/>
    <xf numFmtId="0" fontId="35" fillId="0" borderId="36" xfId="0" applyFont="1" applyBorder="1"/>
    <xf numFmtId="0" fontId="36" fillId="0" borderId="0" xfId="0" applyFont="1"/>
    <xf numFmtId="0" fontId="5" fillId="0" borderId="27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10" fontId="30" fillId="0" borderId="7" xfId="2" applyNumberFormat="1" applyFont="1" applyFill="1" applyBorder="1" applyAlignment="1">
      <alignment vertical="center"/>
    </xf>
    <xf numFmtId="164" fontId="5" fillId="0" borderId="1" xfId="2" applyNumberFormat="1" applyFont="1" applyBorder="1"/>
    <xf numFmtId="0" fontId="5" fillId="0" borderId="27" xfId="0" applyFont="1" applyBorder="1"/>
    <xf numFmtId="43" fontId="31" fillId="0" borderId="27" xfId="1" applyFont="1" applyBorder="1"/>
    <xf numFmtId="164" fontId="5" fillId="0" borderId="28" xfId="1" applyNumberFormat="1" applyFont="1" applyBorder="1" applyAlignment="1">
      <alignment horizontal="center" vertical="center"/>
    </xf>
    <xf numFmtId="43" fontId="5" fillId="0" borderId="28" xfId="1" applyFont="1" applyBorder="1"/>
    <xf numFmtId="43" fontId="31" fillId="0" borderId="28" xfId="1" applyFont="1" applyBorder="1"/>
    <xf numFmtId="0" fontId="5" fillId="0" borderId="28" xfId="0" applyFont="1" applyBorder="1" applyAlignment="1">
      <alignment horizontal="center"/>
    </xf>
    <xf numFmtId="0" fontId="32" fillId="0" borderId="41" xfId="0" applyFont="1" applyBorder="1"/>
    <xf numFmtId="0" fontId="5" fillId="0" borderId="29" xfId="0" applyFont="1" applyBorder="1" applyAlignment="1">
      <alignment horizontal="left"/>
    </xf>
    <xf numFmtId="0" fontId="5" fillId="0" borderId="29" xfId="0" applyFont="1" applyBorder="1"/>
    <xf numFmtId="0" fontId="5" fillId="0" borderId="33" xfId="0" applyFont="1" applyBorder="1" applyAlignment="1">
      <alignment horizontal="center"/>
    </xf>
    <xf numFmtId="0" fontId="5" fillId="0" borderId="32" xfId="0" applyFont="1" applyBorder="1"/>
    <xf numFmtId="0" fontId="5" fillId="0" borderId="33" xfId="0" applyFont="1" applyBorder="1"/>
    <xf numFmtId="0" fontId="30" fillId="0" borderId="24" xfId="0" applyFont="1" applyBorder="1"/>
    <xf numFmtId="0" fontId="30" fillId="0" borderId="23" xfId="0" applyFont="1" applyBorder="1"/>
    <xf numFmtId="0" fontId="30" fillId="0" borderId="23" xfId="0" applyFont="1" applyBorder="1" applyAlignment="1">
      <alignment horizontal="center"/>
    </xf>
    <xf numFmtId="43" fontId="5" fillId="0" borderId="32" xfId="1" applyFont="1" applyBorder="1"/>
    <xf numFmtId="43" fontId="31" fillId="0" borderId="23" xfId="1" applyFont="1" applyFill="1" applyBorder="1" applyAlignment="1">
      <alignment vertical="center"/>
    </xf>
    <xf numFmtId="10" fontId="31" fillId="0" borderId="23" xfId="2" applyNumberFormat="1" applyFont="1" applyFill="1" applyBorder="1" applyAlignment="1">
      <alignment vertical="center"/>
    </xf>
    <xf numFmtId="4" fontId="5" fillId="0" borderId="23" xfId="0" applyNumberFormat="1" applyFont="1" applyBorder="1"/>
    <xf numFmtId="0" fontId="5" fillId="2" borderId="23" xfId="0" applyFont="1" applyFill="1" applyBorder="1" applyAlignment="1">
      <alignment horizontal="center"/>
    </xf>
    <xf numFmtId="164" fontId="30" fillId="0" borderId="19" xfId="0" applyNumberFormat="1" applyFont="1" applyBorder="1"/>
    <xf numFmtId="164" fontId="30" fillId="0" borderId="13" xfId="0" applyNumberFormat="1" applyFont="1" applyBorder="1"/>
    <xf numFmtId="0" fontId="5" fillId="0" borderId="24" xfId="0" applyFont="1" applyBorder="1" applyAlignment="1">
      <alignment horizontal="center"/>
    </xf>
    <xf numFmtId="0" fontId="5" fillId="0" borderId="26" xfId="0" applyFont="1" applyBorder="1"/>
    <xf numFmtId="164" fontId="30" fillId="0" borderId="23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/>
    </xf>
    <xf numFmtId="0" fontId="19" fillId="0" borderId="0" xfId="0" applyFont="1"/>
    <xf numFmtId="10" fontId="31" fillId="0" borderId="31" xfId="2" applyNumberFormat="1" applyFont="1" applyFill="1" applyBorder="1" applyAlignment="1">
      <alignment vertical="center"/>
    </xf>
    <xf numFmtId="0" fontId="5" fillId="0" borderId="28" xfId="0" applyFont="1" applyBorder="1" applyAlignment="1">
      <alignment wrapText="1"/>
    </xf>
    <xf numFmtId="43" fontId="5" fillId="0" borderId="1" xfId="1" applyFont="1" applyBorder="1" applyAlignment="1">
      <alignment horizontal="center"/>
    </xf>
    <xf numFmtId="43" fontId="31" fillId="0" borderId="34" xfId="1" applyFont="1" applyBorder="1"/>
    <xf numFmtId="10" fontId="31" fillId="0" borderId="27" xfId="2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43" fontId="5" fillId="0" borderId="0" xfId="1" applyFont="1"/>
    <xf numFmtId="0" fontId="5" fillId="0" borderId="36" xfId="0" applyFont="1" applyBorder="1" applyAlignment="1">
      <alignment horizontal="center"/>
    </xf>
    <xf numFmtId="164" fontId="30" fillId="0" borderId="23" xfId="0" applyNumberFormat="1" applyFont="1" applyBorder="1"/>
    <xf numFmtId="0" fontId="5" fillId="0" borderId="28" xfId="0" applyFont="1" applyBorder="1" applyAlignment="1">
      <alignment horizontal="left" wrapText="1"/>
    </xf>
    <xf numFmtId="10" fontId="30" fillId="0" borderId="23" xfId="2" applyNumberFormat="1" applyFont="1" applyFill="1" applyBorder="1" applyAlignment="1">
      <alignment vertical="center"/>
    </xf>
    <xf numFmtId="10" fontId="30" fillId="0" borderId="27" xfId="2" applyNumberFormat="1" applyFont="1" applyFill="1" applyBorder="1" applyAlignment="1">
      <alignment vertical="center"/>
    </xf>
    <xf numFmtId="10" fontId="30" fillId="0" borderId="31" xfId="2" applyNumberFormat="1" applyFont="1" applyFill="1" applyBorder="1" applyAlignment="1">
      <alignment vertical="center"/>
    </xf>
    <xf numFmtId="43" fontId="5" fillId="0" borderId="24" xfId="1" applyFont="1" applyBorder="1"/>
    <xf numFmtId="43" fontId="31" fillId="0" borderId="34" xfId="1" applyFont="1" applyBorder="1" applyAlignment="1">
      <alignment horizontal="center" vertical="center"/>
    </xf>
    <xf numFmtId="10" fontId="31" fillId="0" borderId="25" xfId="2" applyNumberFormat="1" applyFont="1" applyFill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32" fillId="0" borderId="42" xfId="0" applyFont="1" applyBorder="1"/>
    <xf numFmtId="0" fontId="32" fillId="0" borderId="24" xfId="0" applyFont="1" applyBorder="1"/>
    <xf numFmtId="0" fontId="32" fillId="0" borderId="34" xfId="0" applyFont="1" applyBorder="1"/>
    <xf numFmtId="0" fontId="32" fillId="0" borderId="27" xfId="0" applyFont="1" applyBorder="1"/>
    <xf numFmtId="0" fontId="32" fillId="0" borderId="30" xfId="0" applyFont="1" applyBorder="1"/>
    <xf numFmtId="0" fontId="30" fillId="9" borderId="1" xfId="0" applyFont="1" applyFill="1" applyBorder="1" applyAlignment="1">
      <alignment horizontal="left" vertical="center"/>
    </xf>
    <xf numFmtId="43" fontId="5" fillId="0" borderId="26" xfId="1" applyFont="1" applyBorder="1"/>
    <xf numFmtId="43" fontId="30" fillId="0" borderId="13" xfId="1" applyFont="1" applyBorder="1"/>
    <xf numFmtId="43" fontId="5" fillId="0" borderId="23" xfId="1" applyFont="1" applyBorder="1" applyAlignment="1">
      <alignment horizontal="center" vertical="center"/>
    </xf>
    <xf numFmtId="0" fontId="5" fillId="0" borderId="24" xfId="0" applyFont="1" applyBorder="1" applyAlignment="1">
      <alignment horizontal="left"/>
    </xf>
    <xf numFmtId="0" fontId="5" fillId="0" borderId="23" xfId="0" applyFont="1" applyBorder="1" applyAlignment="1">
      <alignment wrapText="1"/>
    </xf>
    <xf numFmtId="164" fontId="5" fillId="0" borderId="30" xfId="1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left"/>
    </xf>
    <xf numFmtId="0" fontId="5" fillId="0" borderId="23" xfId="0" applyFont="1" applyBorder="1" applyAlignment="1">
      <alignment horizontal="right"/>
    </xf>
    <xf numFmtId="43" fontId="5" fillId="0" borderId="23" xfId="1" applyFont="1" applyBorder="1" applyAlignment="1">
      <alignment horizontal="right"/>
    </xf>
    <xf numFmtId="0" fontId="30" fillId="0" borderId="23" xfId="0" applyFont="1" applyBorder="1" applyAlignment="1">
      <alignment wrapText="1"/>
    </xf>
    <xf numFmtId="0" fontId="30" fillId="0" borderId="28" xfId="0" applyFont="1" applyBorder="1"/>
    <xf numFmtId="164" fontId="30" fillId="0" borderId="28" xfId="0" applyNumberFormat="1" applyFont="1" applyBorder="1" applyAlignment="1">
      <alignment horizontal="center" vertical="center"/>
    </xf>
    <xf numFmtId="0" fontId="30" fillId="0" borderId="32" xfId="0" applyFont="1" applyBorder="1"/>
    <xf numFmtId="0" fontId="5" fillId="0" borderId="43" xfId="0" applyFont="1" applyBorder="1"/>
    <xf numFmtId="43" fontId="37" fillId="3" borderId="0" xfId="0" applyNumberFormat="1" applyFont="1" applyFill="1" applyAlignment="1">
      <alignment horizontal="center"/>
    </xf>
    <xf numFmtId="9" fontId="37" fillId="3" borderId="0" xfId="2" applyFont="1" applyFill="1" applyAlignment="1">
      <alignment horizontal="center"/>
    </xf>
    <xf numFmtId="0" fontId="13" fillId="6" borderId="7" xfId="0" applyFont="1" applyFill="1" applyBorder="1" applyAlignment="1">
      <alignment horizontal="center"/>
    </xf>
    <xf numFmtId="43" fontId="5" fillId="0" borderId="0" xfId="0" applyNumberFormat="1" applyFont="1"/>
    <xf numFmtId="43" fontId="4" fillId="0" borderId="0" xfId="1" pivotButton="1" applyFont="1"/>
    <xf numFmtId="43" fontId="4" fillId="0" borderId="0" xfId="1" applyFont="1" applyAlignment="1">
      <alignment horizontal="left"/>
    </xf>
    <xf numFmtId="43" fontId="4" fillId="0" borderId="0" xfId="1" applyFont="1" applyAlignment="1">
      <alignment horizontal="center"/>
    </xf>
    <xf numFmtId="43" fontId="10" fillId="0" borderId="1" xfId="1" applyFont="1" applyBorder="1" applyAlignment="1">
      <alignment horizontal="center"/>
    </xf>
    <xf numFmtId="43" fontId="10" fillId="0" borderId="1" xfId="1" applyFont="1" applyBorder="1"/>
    <xf numFmtId="43" fontId="10" fillId="0" borderId="1" xfId="1" applyFont="1" applyBorder="1" applyAlignment="1">
      <alignment horizontal="right"/>
    </xf>
    <xf numFmtId="168" fontId="4" fillId="0" borderId="1" xfId="2" applyNumberFormat="1" applyFont="1" applyBorder="1"/>
    <xf numFmtId="9" fontId="4" fillId="0" borderId="1" xfId="1" applyNumberFormat="1" applyFont="1" applyBorder="1"/>
    <xf numFmtId="43" fontId="4" fillId="0" borderId="1" xfId="1" applyFont="1" applyBorder="1" applyAlignment="1">
      <alignment horizontal="left"/>
    </xf>
    <xf numFmtId="0" fontId="11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0" fontId="11" fillId="0" borderId="47" xfId="0" applyFont="1" applyBorder="1"/>
    <xf numFmtId="0" fontId="38" fillId="0" borderId="1" xfId="0" applyFont="1" applyBorder="1"/>
    <xf numFmtId="3" fontId="31" fillId="0" borderId="2" xfId="0" quotePrefix="1" applyNumberFormat="1" applyFont="1" applyBorder="1" applyAlignment="1">
      <alignment horizontal="right"/>
    </xf>
    <xf numFmtId="0" fontId="5" fillId="0" borderId="3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6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43" fontId="5" fillId="0" borderId="23" xfId="1" applyFont="1" applyBorder="1" applyAlignment="1">
      <alignment vertical="center"/>
    </xf>
    <xf numFmtId="43" fontId="31" fillId="0" borderId="23" xfId="1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left" wrapText="1"/>
    </xf>
    <xf numFmtId="0" fontId="5" fillId="0" borderId="26" xfId="0" applyFont="1" applyBorder="1" applyAlignment="1">
      <alignment horizontal="left" vertical="center"/>
    </xf>
    <xf numFmtId="43" fontId="31" fillId="0" borderId="23" xfId="1" applyFont="1" applyBorder="1" applyAlignment="1">
      <alignment horizontal="right" vertical="center"/>
    </xf>
    <xf numFmtId="43" fontId="31" fillId="0" borderId="23" xfId="1" applyFont="1" applyFill="1" applyBorder="1" applyAlignment="1">
      <alignment horizontal="right" vertical="center"/>
    </xf>
    <xf numFmtId="10" fontId="31" fillId="0" borderId="23" xfId="2" applyNumberFormat="1" applyFont="1" applyFill="1" applyBorder="1" applyAlignment="1">
      <alignment horizontal="right" vertical="center"/>
    </xf>
    <xf numFmtId="0" fontId="38" fillId="0" borderId="1" xfId="0" quotePrefix="1" applyFont="1" applyBorder="1" applyAlignment="1">
      <alignment horizontal="right"/>
    </xf>
    <xf numFmtId="43" fontId="28" fillId="0" borderId="1" xfId="0" applyNumberFormat="1" applyFont="1" applyBorder="1"/>
    <xf numFmtId="43" fontId="5" fillId="0" borderId="29" xfId="1" applyFont="1" applyBorder="1"/>
    <xf numFmtId="0" fontId="7" fillId="0" borderId="29" xfId="0" applyFont="1" applyBorder="1" applyAlignment="1">
      <alignment horizontal="left"/>
    </xf>
    <xf numFmtId="0" fontId="7" fillId="0" borderId="36" xfId="0" applyFont="1" applyBorder="1"/>
    <xf numFmtId="43" fontId="7" fillId="0" borderId="29" xfId="1" applyFont="1" applyBorder="1"/>
    <xf numFmtId="0" fontId="9" fillId="0" borderId="27" xfId="0" applyFont="1" applyBorder="1" applyAlignment="1">
      <alignment vertical="center"/>
    </xf>
    <xf numFmtId="0" fontId="5" fillId="0" borderId="29" xfId="0" applyFont="1" applyBorder="1" applyAlignment="1">
      <alignment horizontal="center"/>
    </xf>
    <xf numFmtId="0" fontId="5" fillId="0" borderId="36" xfId="0" applyFont="1" applyBorder="1"/>
    <xf numFmtId="0" fontId="30" fillId="0" borderId="27" xfId="0" applyFont="1" applyBorder="1"/>
    <xf numFmtId="164" fontId="5" fillId="0" borderId="29" xfId="1" applyNumberFormat="1" applyFont="1" applyBorder="1" applyAlignment="1">
      <alignment horizontal="center" vertical="center"/>
    </xf>
    <xf numFmtId="0" fontId="5" fillId="0" borderId="48" xfId="0" applyFont="1" applyBorder="1"/>
    <xf numFmtId="0" fontId="6" fillId="5" borderId="1" xfId="0" applyFont="1" applyFill="1" applyBorder="1" applyAlignment="1">
      <alignment horizontal="center"/>
    </xf>
    <xf numFmtId="164" fontId="6" fillId="5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23" xfId="0" applyFont="1" applyBorder="1"/>
    <xf numFmtId="164" fontId="17" fillId="0" borderId="2" xfId="0" applyNumberFormat="1" applyFont="1" applyBorder="1"/>
    <xf numFmtId="43" fontId="17" fillId="0" borderId="23" xfId="1" applyFont="1" applyBorder="1"/>
    <xf numFmtId="0" fontId="8" fillId="0" borderId="1" xfId="0" applyFont="1" applyBorder="1"/>
    <xf numFmtId="10" fontId="17" fillId="0" borderId="1" xfId="2" applyNumberFormat="1" applyFont="1" applyBorder="1" applyAlignment="1">
      <alignment vertical="center"/>
    </xf>
    <xf numFmtId="164" fontId="7" fillId="0" borderId="1" xfId="0" applyNumberFormat="1" applyFont="1" applyBorder="1" applyAlignment="1">
      <alignment horizontal="center"/>
    </xf>
    <xf numFmtId="164" fontId="7" fillId="0" borderId="1" xfId="1" applyNumberFormat="1" applyFont="1" applyBorder="1"/>
    <xf numFmtId="10" fontId="17" fillId="3" borderId="1" xfId="2" applyNumberFormat="1" applyFont="1" applyFill="1" applyBorder="1" applyAlignment="1">
      <alignment vertical="center"/>
    </xf>
    <xf numFmtId="0" fontId="7" fillId="0" borderId="31" xfId="0" applyFont="1" applyBorder="1" applyAlignment="1">
      <alignment horizontal="center"/>
    </xf>
    <xf numFmtId="164" fontId="7" fillId="0" borderId="1" xfId="2" applyNumberFormat="1" applyFont="1" applyBorder="1"/>
    <xf numFmtId="0" fontId="7" fillId="0" borderId="33" xfId="0" applyFont="1" applyBorder="1" applyAlignment="1">
      <alignment horizontal="center"/>
    </xf>
    <xf numFmtId="10" fontId="17" fillId="0" borderId="27" xfId="2" applyNumberFormat="1" applyFont="1" applyFill="1" applyBorder="1" applyAlignment="1">
      <alignment vertical="center"/>
    </xf>
    <xf numFmtId="43" fontId="7" fillId="0" borderId="24" xfId="1" applyFont="1" applyBorder="1"/>
    <xf numFmtId="0" fontId="7" fillId="0" borderId="24" xfId="0" applyFont="1" applyBorder="1" applyAlignment="1">
      <alignment horizontal="center"/>
    </xf>
    <xf numFmtId="0" fontId="17" fillId="9" borderId="1" xfId="0" applyFont="1" applyFill="1" applyBorder="1" applyAlignment="1">
      <alignment horizontal="left" vertical="center"/>
    </xf>
    <xf numFmtId="0" fontId="8" fillId="0" borderId="30" xfId="0" applyFont="1" applyBorder="1"/>
    <xf numFmtId="43" fontId="7" fillId="0" borderId="23" xfId="1" applyFont="1" applyBorder="1" applyAlignment="1">
      <alignment horizontal="center" vertical="center"/>
    </xf>
    <xf numFmtId="0" fontId="7" fillId="0" borderId="43" xfId="0" applyFont="1" applyBorder="1"/>
    <xf numFmtId="0" fontId="17" fillId="0" borderId="32" xfId="0" applyFont="1" applyBorder="1"/>
    <xf numFmtId="0" fontId="41" fillId="0" borderId="1" xfId="0" applyFont="1" applyBorder="1"/>
    <xf numFmtId="0" fontId="7" fillId="0" borderId="26" xfId="0" applyFont="1" applyBorder="1" applyAlignment="1">
      <alignment vertical="center"/>
    </xf>
    <xf numFmtId="43" fontId="7" fillId="0" borderId="23" xfId="1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left" wrapText="1"/>
    </xf>
    <xf numFmtId="0" fontId="7" fillId="0" borderId="28" xfId="0" applyFont="1" applyBorder="1" applyAlignment="1">
      <alignment wrapText="1"/>
    </xf>
    <xf numFmtId="0" fontId="41" fillId="0" borderId="1" xfId="0" quotePrefix="1" applyFont="1" applyBorder="1" applyAlignment="1">
      <alignment horizontal="right"/>
    </xf>
    <xf numFmtId="0" fontId="9" fillId="0" borderId="0" xfId="0" applyFont="1"/>
    <xf numFmtId="0" fontId="42" fillId="0" borderId="23" xfId="0" applyFont="1" applyBorder="1"/>
    <xf numFmtId="0" fontId="7" fillId="0" borderId="26" xfId="0" applyFont="1" applyBorder="1" applyAlignment="1">
      <alignment horizontal="center"/>
    </xf>
    <xf numFmtId="0" fontId="41" fillId="0" borderId="23" xfId="0" applyFont="1" applyBorder="1"/>
    <xf numFmtId="0" fontId="8" fillId="0" borderId="1" xfId="0" applyFont="1" applyBorder="1" applyAlignment="1">
      <alignment horizontal="left" vertical="center"/>
    </xf>
    <xf numFmtId="165" fontId="8" fillId="0" borderId="1" xfId="1" applyNumberFormat="1" applyFont="1" applyFill="1" applyBorder="1" applyAlignment="1">
      <alignment horizontal="right" vertical="center"/>
    </xf>
    <xf numFmtId="0" fontId="18" fillId="0" borderId="23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2" fontId="7" fillId="0" borderId="28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horizontal="left"/>
    </xf>
    <xf numFmtId="2" fontId="7" fillId="0" borderId="23" xfId="0" applyNumberFormat="1" applyFont="1" applyBorder="1" applyAlignment="1">
      <alignment horizontal="left" vertical="center"/>
    </xf>
    <xf numFmtId="0" fontId="17" fillId="0" borderId="23" xfId="0" applyFont="1" applyBorder="1" applyAlignment="1">
      <alignment horizontal="left"/>
    </xf>
    <xf numFmtId="0" fontId="8" fillId="0" borderId="28" xfId="0" applyFont="1" applyBorder="1"/>
    <xf numFmtId="0" fontId="7" fillId="0" borderId="1" xfId="0" applyFont="1" applyBorder="1" applyAlignment="1">
      <alignment horizontal="left" vertical="center" wrapText="1"/>
    </xf>
    <xf numFmtId="2" fontId="8" fillId="0" borderId="23" xfId="0" applyNumberFormat="1" applyFont="1" applyBorder="1" applyAlignment="1">
      <alignment horizontal="left" vertical="center"/>
    </xf>
    <xf numFmtId="2" fontId="7" fillId="0" borderId="27" xfId="0" applyNumberFormat="1" applyFont="1" applyBorder="1" applyAlignment="1">
      <alignment horizontal="left" vertical="center"/>
    </xf>
    <xf numFmtId="0" fontId="8" fillId="0" borderId="23" xfId="0" applyFont="1" applyBorder="1" applyAlignment="1">
      <alignment horizontal="left"/>
    </xf>
    <xf numFmtId="0" fontId="41" fillId="0" borderId="27" xfId="0" applyFont="1" applyBorder="1"/>
    <xf numFmtId="0" fontId="7" fillId="0" borderId="23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/>
    </xf>
    <xf numFmtId="0" fontId="8" fillId="0" borderId="33" xfId="0" applyFont="1" applyBorder="1"/>
    <xf numFmtId="0" fontId="8" fillId="0" borderId="23" xfId="0" applyFont="1" applyBorder="1" applyAlignment="1">
      <alignment horizontal="left" vertical="center"/>
    </xf>
    <xf numFmtId="10" fontId="17" fillId="0" borderId="33" xfId="2" applyNumberFormat="1" applyFont="1" applyFill="1" applyBorder="1" applyAlignment="1">
      <alignment vertical="center"/>
    </xf>
    <xf numFmtId="0" fontId="17" fillId="0" borderId="1" xfId="0" applyFont="1" applyBorder="1" applyAlignment="1">
      <alignment wrapText="1"/>
    </xf>
    <xf numFmtId="0" fontId="7" fillId="0" borderId="23" xfId="0" applyFont="1" applyBorder="1" applyAlignment="1">
      <alignment vertical="center" wrapText="1"/>
    </xf>
    <xf numFmtId="10" fontId="17" fillId="0" borderId="0" xfId="2" applyNumberFormat="1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8" borderId="1" xfId="0" applyFont="1" applyFill="1" applyBorder="1"/>
    <xf numFmtId="0" fontId="18" fillId="0" borderId="7" xfId="0" applyFont="1" applyBorder="1"/>
    <xf numFmtId="0" fontId="18" fillId="0" borderId="28" xfId="0" applyFont="1" applyBorder="1"/>
    <xf numFmtId="0" fontId="17" fillId="0" borderId="0" xfId="0" applyFont="1"/>
    <xf numFmtId="12" fontId="17" fillId="0" borderId="23" xfId="2" applyNumberFormat="1" applyFont="1" applyFill="1" applyBorder="1" applyAlignment="1">
      <alignment vertical="center"/>
    </xf>
    <xf numFmtId="0" fontId="7" fillId="0" borderId="28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  <xf numFmtId="43" fontId="17" fillId="0" borderId="28" xfId="1" applyFont="1" applyBorder="1"/>
    <xf numFmtId="10" fontId="17" fillId="0" borderId="30" xfId="2" applyNumberFormat="1" applyFont="1" applyFill="1" applyBorder="1" applyAlignment="1">
      <alignment vertical="center"/>
    </xf>
    <xf numFmtId="43" fontId="17" fillId="0" borderId="28" xfId="1" applyFont="1" applyFill="1" applyBorder="1" applyAlignment="1">
      <alignment vertical="center"/>
    </xf>
    <xf numFmtId="164" fontId="17" fillId="0" borderId="32" xfId="1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164" fontId="17" fillId="0" borderId="1" xfId="0" applyNumberFormat="1" applyFont="1" applyBorder="1"/>
    <xf numFmtId="43" fontId="7" fillId="0" borderId="19" xfId="1" applyFont="1" applyBorder="1" applyAlignment="1">
      <alignment horizontal="center"/>
    </xf>
    <xf numFmtId="164" fontId="7" fillId="0" borderId="32" xfId="1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center"/>
    </xf>
    <xf numFmtId="164" fontId="18" fillId="0" borderId="23" xfId="1" applyNumberFormat="1" applyFont="1" applyBorder="1" applyAlignment="1">
      <alignment horizontal="center" vertical="center"/>
    </xf>
    <xf numFmtId="164" fontId="7" fillId="0" borderId="19" xfId="1" applyNumberFormat="1" applyFont="1" applyBorder="1" applyAlignment="1">
      <alignment horizontal="center" vertical="center"/>
    </xf>
    <xf numFmtId="164" fontId="7" fillId="0" borderId="13" xfId="1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43" fontId="43" fillId="0" borderId="1" xfId="1" applyFont="1" applyFill="1" applyBorder="1" applyAlignment="1"/>
    <xf numFmtId="164" fontId="18" fillId="0" borderId="1" xfId="0" applyNumberFormat="1" applyFont="1" applyBorder="1" applyAlignment="1">
      <alignment horizontal="center" vertical="center"/>
    </xf>
    <xf numFmtId="165" fontId="8" fillId="0" borderId="23" xfId="1" applyNumberFormat="1" applyFont="1" applyFill="1" applyBorder="1" applyAlignment="1">
      <alignment horizontal="right" vertical="center"/>
    </xf>
    <xf numFmtId="43" fontId="18" fillId="0" borderId="23" xfId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3" fontId="42" fillId="0" borderId="23" xfId="0" applyNumberFormat="1" applyFont="1" applyBorder="1"/>
    <xf numFmtId="43" fontId="7" fillId="0" borderId="30" xfId="1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43" fontId="18" fillId="0" borderId="28" xfId="1" applyFont="1" applyBorder="1" applyAlignment="1">
      <alignment horizontal="center"/>
    </xf>
    <xf numFmtId="164" fontId="17" fillId="0" borderId="23" xfId="1" applyNumberFormat="1" applyFont="1" applyBorder="1" applyAlignment="1">
      <alignment horizontal="center" vertical="center"/>
    </xf>
    <xf numFmtId="43" fontId="7" fillId="0" borderId="28" xfId="1" applyFont="1" applyBorder="1" applyAlignment="1">
      <alignment horizontal="center" vertical="center"/>
    </xf>
    <xf numFmtId="43" fontId="17" fillId="0" borderId="23" xfId="1" applyFont="1" applyBorder="1" applyAlignment="1">
      <alignment horizontal="center" vertical="center"/>
    </xf>
    <xf numFmtId="43" fontId="17" fillId="0" borderId="32" xfId="1" applyFont="1" applyBorder="1" applyAlignment="1">
      <alignment horizontal="center" vertical="center"/>
    </xf>
    <xf numFmtId="43" fontId="17" fillId="0" borderId="1" xfId="1" applyFont="1" applyBorder="1"/>
    <xf numFmtId="164" fontId="7" fillId="0" borderId="13" xfId="0" applyNumberFormat="1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7" fontId="8" fillId="0" borderId="23" xfId="1" applyNumberFormat="1" applyFont="1" applyFill="1" applyBorder="1" applyAlignment="1">
      <alignment horizontal="right" vertical="center"/>
    </xf>
    <xf numFmtId="164" fontId="18" fillId="0" borderId="2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43" fontId="7" fillId="0" borderId="28" xfId="1" applyFont="1" applyFill="1" applyBorder="1"/>
    <xf numFmtId="43" fontId="7" fillId="0" borderId="7" xfId="1" applyFont="1" applyBorder="1"/>
    <xf numFmtId="3" fontId="17" fillId="0" borderId="28" xfId="0" applyNumberFormat="1" applyFont="1" applyBorder="1"/>
    <xf numFmtId="4" fontId="17" fillId="0" borderId="28" xfId="0" applyNumberFormat="1" applyFont="1" applyBorder="1"/>
    <xf numFmtId="164" fontId="21" fillId="0" borderId="23" xfId="0" applyNumberFormat="1" applyFont="1" applyBorder="1"/>
    <xf numFmtId="43" fontId="18" fillId="0" borderId="23" xfId="1" applyFont="1" applyBorder="1"/>
    <xf numFmtId="4" fontId="18" fillId="0" borderId="28" xfId="0" applyNumberFormat="1" applyFont="1" applyBorder="1"/>
    <xf numFmtId="3" fontId="18" fillId="0" borderId="23" xfId="0" applyNumberFormat="1" applyFont="1" applyBorder="1"/>
    <xf numFmtId="43" fontId="7" fillId="0" borderId="23" xfId="1" applyFont="1" applyFill="1" applyBorder="1"/>
    <xf numFmtId="43" fontId="7" fillId="0" borderId="1" xfId="1" applyFont="1" applyBorder="1" applyAlignment="1">
      <alignment horizontal="right"/>
    </xf>
    <xf numFmtId="165" fontId="7" fillId="0" borderId="23" xfId="1" applyNumberFormat="1" applyFont="1" applyBorder="1"/>
    <xf numFmtId="43" fontId="8" fillId="0" borderId="23" xfId="1" applyFont="1" applyFill="1" applyBorder="1"/>
    <xf numFmtId="164" fontId="17" fillId="0" borderId="28" xfId="0" applyNumberFormat="1" applyFont="1" applyBorder="1"/>
    <xf numFmtId="43" fontId="8" fillId="0" borderId="23" xfId="1" applyFont="1" applyBorder="1" applyAlignment="1">
      <alignment horizontal="center" vertical="center"/>
    </xf>
    <xf numFmtId="3" fontId="18" fillId="0" borderId="28" xfId="0" applyNumberFormat="1" applyFont="1" applyBorder="1"/>
    <xf numFmtId="3" fontId="17" fillId="0" borderId="23" xfId="0" applyNumberFormat="1" applyFont="1" applyBorder="1"/>
    <xf numFmtId="43" fontId="7" fillId="0" borderId="0" xfId="1" applyFont="1" applyBorder="1"/>
    <xf numFmtId="0" fontId="7" fillId="0" borderId="1" xfId="0" applyFont="1" applyBorder="1" applyAlignment="1">
      <alignment horizontal="right"/>
    </xf>
    <xf numFmtId="165" fontId="17" fillId="0" borderId="23" xfId="1" applyNumberFormat="1" applyFont="1" applyBorder="1"/>
    <xf numFmtId="165" fontId="17" fillId="0" borderId="28" xfId="1" applyNumberFormat="1" applyFont="1" applyBorder="1"/>
    <xf numFmtId="43" fontId="7" fillId="0" borderId="2" xfId="1" applyFont="1" applyBorder="1" applyAlignment="1">
      <alignment horizontal="right"/>
    </xf>
    <xf numFmtId="165" fontId="7" fillId="0" borderId="28" xfId="1" applyNumberFormat="1" applyFont="1" applyBorder="1"/>
    <xf numFmtId="43" fontId="8" fillId="0" borderId="27" xfId="1" applyFont="1" applyBorder="1" applyAlignment="1">
      <alignment horizontal="center" vertical="center"/>
    </xf>
    <xf numFmtId="3" fontId="18" fillId="0" borderId="27" xfId="0" applyNumberFormat="1" applyFont="1" applyBorder="1"/>
    <xf numFmtId="43" fontId="7" fillId="0" borderId="6" xfId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7" xfId="0" applyFont="1" applyBorder="1"/>
    <xf numFmtId="0" fontId="7" fillId="0" borderId="0" xfId="0" applyFont="1" applyAlignment="1">
      <alignment vertical="center"/>
    </xf>
    <xf numFmtId="43" fontId="44" fillId="0" borderId="27" xfId="1" applyFont="1" applyBorder="1"/>
    <xf numFmtId="43" fontId="44" fillId="0" borderId="0" xfId="1" applyFont="1"/>
    <xf numFmtId="43" fontId="44" fillId="5" borderId="1" xfId="1" applyFont="1" applyFill="1" applyBorder="1" applyAlignment="1">
      <alignment horizontal="center"/>
    </xf>
    <xf numFmtId="43" fontId="44" fillId="0" borderId="1" xfId="1" applyFont="1" applyBorder="1" applyAlignment="1">
      <alignment horizontal="center" vertical="center"/>
    </xf>
    <xf numFmtId="43" fontId="44" fillId="0" borderId="1" xfId="1" applyFont="1" applyFill="1" applyBorder="1" applyAlignment="1">
      <alignment vertical="center"/>
    </xf>
    <xf numFmtId="10" fontId="44" fillId="0" borderId="1" xfId="2" applyNumberFormat="1" applyFont="1" applyFill="1" applyBorder="1" applyAlignment="1">
      <alignment vertical="center"/>
    </xf>
    <xf numFmtId="43" fontId="44" fillId="0" borderId="6" xfId="1" applyFont="1" applyBorder="1" applyAlignment="1">
      <alignment horizontal="center" vertical="center"/>
    </xf>
    <xf numFmtId="43" fontId="44" fillId="0" borderId="7" xfId="1" applyFont="1" applyBorder="1" applyAlignment="1">
      <alignment horizontal="center" vertical="center"/>
    </xf>
    <xf numFmtId="43" fontId="44" fillId="0" borderId="7" xfId="1" applyFont="1" applyFill="1" applyBorder="1" applyAlignment="1">
      <alignment vertical="center"/>
    </xf>
    <xf numFmtId="10" fontId="44" fillId="0" borderId="7" xfId="2" applyNumberFormat="1" applyFont="1" applyFill="1" applyBorder="1" applyAlignment="1">
      <alignment vertical="center"/>
    </xf>
    <xf numFmtId="43" fontId="44" fillId="0" borderId="2" xfId="1" applyFont="1" applyBorder="1" applyAlignment="1">
      <alignment horizontal="center" vertical="center"/>
    </xf>
    <xf numFmtId="43" fontId="44" fillId="0" borderId="23" xfId="1" applyFont="1" applyBorder="1" applyAlignment="1">
      <alignment horizontal="center" vertical="center"/>
    </xf>
    <xf numFmtId="43" fontId="44" fillId="0" borderId="23" xfId="1" applyFont="1" applyFill="1" applyBorder="1" applyAlignment="1">
      <alignment vertical="center"/>
    </xf>
    <xf numFmtId="10" fontId="44" fillId="0" borderId="20" xfId="2" applyNumberFormat="1" applyFont="1" applyFill="1" applyBorder="1" applyAlignment="1">
      <alignment vertical="center"/>
    </xf>
    <xf numFmtId="43" fontId="44" fillId="0" borderId="27" xfId="1" applyFont="1" applyBorder="1" applyAlignment="1">
      <alignment horizontal="center" vertical="center"/>
    </xf>
    <xf numFmtId="43" fontId="44" fillId="0" borderId="27" xfId="1" applyFont="1" applyFill="1" applyBorder="1" applyAlignment="1">
      <alignment vertical="center"/>
    </xf>
    <xf numFmtId="10" fontId="44" fillId="0" borderId="27" xfId="2" applyNumberFormat="1" applyFont="1" applyFill="1" applyBorder="1" applyAlignment="1">
      <alignment vertical="center"/>
    </xf>
    <xf numFmtId="43" fontId="44" fillId="0" borderId="28" xfId="1" applyFont="1" applyBorder="1" applyAlignment="1">
      <alignment horizontal="center" vertical="center"/>
    </xf>
    <xf numFmtId="10" fontId="44" fillId="0" borderId="23" xfId="2" applyNumberFormat="1" applyFont="1" applyFill="1" applyBorder="1" applyAlignment="1">
      <alignment vertical="center"/>
    </xf>
    <xf numFmtId="10" fontId="44" fillId="0" borderId="31" xfId="2" applyNumberFormat="1" applyFont="1" applyFill="1" applyBorder="1" applyAlignment="1">
      <alignment vertical="center"/>
    </xf>
    <xf numFmtId="43" fontId="44" fillId="0" borderId="34" xfId="1" applyFont="1" applyBorder="1" applyAlignment="1">
      <alignment horizontal="center" vertical="center"/>
    </xf>
    <xf numFmtId="43" fontId="44" fillId="0" borderId="1" xfId="1" applyFont="1" applyBorder="1"/>
    <xf numFmtId="43" fontId="44" fillId="0" borderId="6" xfId="1" applyFont="1" applyBorder="1"/>
    <xf numFmtId="43" fontId="44" fillId="0" borderId="7" xfId="1" applyFont="1" applyBorder="1"/>
    <xf numFmtId="43" fontId="44" fillId="0" borderId="26" xfId="1" applyFont="1" applyBorder="1"/>
    <xf numFmtId="43" fontId="44" fillId="0" borderId="2" xfId="1" applyFont="1" applyBorder="1"/>
    <xf numFmtId="43" fontId="44" fillId="0" borderId="23" xfId="1" applyFont="1" applyBorder="1"/>
    <xf numFmtId="43" fontId="44" fillId="0" borderId="20" xfId="1" applyFont="1" applyFill="1" applyBorder="1" applyAlignment="1">
      <alignment vertical="center"/>
    </xf>
    <xf numFmtId="43" fontId="44" fillId="0" borderId="28" xfId="1" applyFont="1" applyFill="1" applyBorder="1" applyAlignment="1">
      <alignment horizontal="center" vertical="center"/>
    </xf>
    <xf numFmtId="43" fontId="44" fillId="0" borderId="27" xfId="1" applyFont="1" applyFill="1" applyBorder="1" applyAlignment="1">
      <alignment horizontal="center" vertical="center"/>
    </xf>
    <xf numFmtId="43" fontId="44" fillId="0" borderId="23" xfId="1" applyFont="1" applyFill="1" applyBorder="1" applyAlignment="1">
      <alignment horizontal="center" vertical="center"/>
    </xf>
    <xf numFmtId="43" fontId="45" fillId="0" borderId="23" xfId="1" applyFont="1" applyBorder="1"/>
    <xf numFmtId="43" fontId="44" fillId="0" borderId="34" xfId="1" applyFont="1" applyBorder="1"/>
    <xf numFmtId="43" fontId="44" fillId="0" borderId="28" xfId="1" applyFont="1" applyBorder="1"/>
    <xf numFmtId="43" fontId="44" fillId="0" borderId="1" xfId="1" applyFont="1" applyBorder="1" applyAlignment="1">
      <alignment vertical="center"/>
    </xf>
    <xf numFmtId="43" fontId="44" fillId="0" borderId="1" xfId="1" applyFont="1" applyBorder="1" applyAlignment="1">
      <alignment horizontal="right" vertical="center"/>
    </xf>
    <xf numFmtId="43" fontId="44" fillId="0" borderId="1" xfId="1" applyFont="1" applyFill="1" applyBorder="1" applyAlignment="1">
      <alignment horizontal="right" vertical="center"/>
    </xf>
    <xf numFmtId="10" fontId="44" fillId="0" borderId="1" xfId="2" applyNumberFormat="1" applyFont="1" applyFill="1" applyBorder="1" applyAlignment="1">
      <alignment horizontal="right" vertical="center"/>
    </xf>
    <xf numFmtId="10" fontId="44" fillId="5" borderId="1" xfId="2" applyNumberFormat="1" applyFont="1" applyFill="1" applyBorder="1" applyAlignment="1">
      <alignment horizontal="center" vertical="center"/>
    </xf>
    <xf numFmtId="10" fontId="44" fillId="0" borderId="0" xfId="2" applyNumberFormat="1" applyFont="1"/>
    <xf numFmtId="43" fontId="45" fillId="0" borderId="27" xfId="1" applyFont="1" applyBorder="1"/>
    <xf numFmtId="43" fontId="44" fillId="0" borderId="1" xfId="1" quotePrefix="1" applyFont="1" applyBorder="1" applyAlignment="1">
      <alignment horizontal="right"/>
    </xf>
    <xf numFmtId="0" fontId="17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43" fontId="0" fillId="0" borderId="0" xfId="1" applyFont="1"/>
    <xf numFmtId="0" fontId="46" fillId="13" borderId="0" xfId="0" applyFont="1" applyFill="1" applyAlignment="1">
      <alignment horizontal="center"/>
    </xf>
    <xf numFmtId="10" fontId="0" fillId="0" borderId="0" xfId="2" applyNumberFormat="1" applyFont="1"/>
    <xf numFmtId="0" fontId="7" fillId="0" borderId="0" xfId="0" applyFont="1" applyAlignment="1">
      <alignment wrapText="1"/>
    </xf>
    <xf numFmtId="0" fontId="47" fillId="14" borderId="0" xfId="0" applyFont="1" applyFill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43" fontId="47" fillId="0" borderId="0" xfId="1" applyFont="1"/>
    <xf numFmtId="43" fontId="47" fillId="0" borderId="0" xfId="1" applyFont="1" applyAlignment="1">
      <alignment horizontal="center"/>
    </xf>
    <xf numFmtId="0" fontId="13" fillId="6" borderId="7" xfId="0" applyFont="1" applyFill="1" applyBorder="1" applyAlignment="1">
      <alignment horizontal="center" vertical="center"/>
    </xf>
    <xf numFmtId="0" fontId="20" fillId="11" borderId="44" xfId="0" applyFont="1" applyFill="1" applyBorder="1" applyAlignment="1">
      <alignment horizontal="center" vertical="center" wrapText="1" readingOrder="1"/>
    </xf>
    <xf numFmtId="43" fontId="11" fillId="11" borderId="3" xfId="1" applyFont="1" applyFill="1" applyBorder="1" applyAlignment="1">
      <alignment vertical="center"/>
    </xf>
    <xf numFmtId="2" fontId="13" fillId="11" borderId="3" xfId="0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43" fontId="11" fillId="11" borderId="3" xfId="1" applyFont="1" applyFill="1" applyBorder="1" applyAlignment="1">
      <alignment horizontal="right" vertical="center"/>
    </xf>
    <xf numFmtId="2" fontId="15" fillId="11" borderId="3" xfId="0" applyNumberFormat="1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20" fillId="11" borderId="45" xfId="0" applyFont="1" applyFill="1" applyBorder="1" applyAlignment="1">
      <alignment horizontal="center" vertical="center" wrapText="1" readingOrder="1"/>
    </xf>
    <xf numFmtId="43" fontId="11" fillId="11" borderId="1" xfId="1" applyFont="1" applyFill="1" applyBorder="1" applyAlignment="1">
      <alignment vertical="center"/>
    </xf>
    <xf numFmtId="2" fontId="14" fillId="11" borderId="1" xfId="0" applyNumberFormat="1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43" fontId="11" fillId="11" borderId="1" xfId="1" applyFont="1" applyFill="1" applyBorder="1" applyAlignment="1">
      <alignment horizontal="right" vertical="center"/>
    </xf>
    <xf numFmtId="2" fontId="15" fillId="11" borderId="1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20" fillId="11" borderId="46" xfId="0" applyFont="1" applyFill="1" applyBorder="1" applyAlignment="1">
      <alignment horizontal="center" vertical="center" wrapText="1" readingOrder="1"/>
    </xf>
    <xf numFmtId="43" fontId="11" fillId="11" borderId="5" xfId="1" applyFont="1" applyFill="1" applyBorder="1" applyAlignment="1">
      <alignment vertical="center"/>
    </xf>
    <xf numFmtId="2" fontId="14" fillId="11" borderId="5" xfId="0" applyNumberFormat="1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43" fontId="11" fillId="11" borderId="5" xfId="1" applyFont="1" applyFill="1" applyBorder="1" applyAlignment="1">
      <alignment horizontal="right" vertical="center"/>
    </xf>
    <xf numFmtId="2" fontId="15" fillId="11" borderId="5" xfId="0" applyNumberFormat="1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20" fillId="4" borderId="44" xfId="0" applyFont="1" applyFill="1" applyBorder="1" applyAlignment="1">
      <alignment horizontal="center" vertical="center" wrapText="1" readingOrder="1"/>
    </xf>
    <xf numFmtId="43" fontId="11" fillId="4" borderId="3" xfId="1" applyFont="1" applyFill="1" applyBorder="1" applyAlignment="1">
      <alignment vertical="center"/>
    </xf>
    <xf numFmtId="2" fontId="14" fillId="4" borderId="3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43" fontId="11" fillId="4" borderId="3" xfId="1" applyFont="1" applyFill="1" applyBorder="1" applyAlignment="1">
      <alignment horizontal="right" vertical="center"/>
    </xf>
    <xf numFmtId="2" fontId="15" fillId="4" borderId="3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20" fillId="4" borderId="45" xfId="0" applyFont="1" applyFill="1" applyBorder="1" applyAlignment="1">
      <alignment horizontal="center" vertical="center" wrapText="1" readingOrder="1"/>
    </xf>
    <xf numFmtId="43" fontId="11" fillId="4" borderId="1" xfId="1" applyFont="1" applyFill="1" applyBorder="1" applyAlignment="1">
      <alignment vertical="center"/>
    </xf>
    <xf numFmtId="2" fontId="13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43" fontId="11" fillId="4" borderId="1" xfId="1" applyFont="1" applyFill="1" applyBorder="1" applyAlignment="1">
      <alignment horizontal="right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20" fillId="4" borderId="46" xfId="0" applyFont="1" applyFill="1" applyBorder="1" applyAlignment="1">
      <alignment horizontal="center" vertical="center" wrapText="1" readingOrder="1"/>
    </xf>
    <xf numFmtId="43" fontId="11" fillId="4" borderId="5" xfId="1" applyFont="1" applyFill="1" applyBorder="1" applyAlignment="1">
      <alignment vertical="center"/>
    </xf>
    <xf numFmtId="2" fontId="14" fillId="4" borderId="5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43" fontId="11" fillId="4" borderId="5" xfId="1" applyFont="1" applyFill="1" applyBorder="1" applyAlignment="1">
      <alignment horizontal="right" vertical="center"/>
    </xf>
    <xf numFmtId="2" fontId="15" fillId="4" borderId="5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20" fillId="12" borderId="44" xfId="0" applyFont="1" applyFill="1" applyBorder="1" applyAlignment="1">
      <alignment horizontal="center" vertical="center" wrapText="1" readingOrder="1"/>
    </xf>
    <xf numFmtId="43" fontId="11" fillId="12" borderId="3" xfId="1" applyFont="1" applyFill="1" applyBorder="1" applyAlignment="1">
      <alignment vertical="center"/>
    </xf>
    <xf numFmtId="2" fontId="14" fillId="12" borderId="3" xfId="0" applyNumberFormat="1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43" fontId="11" fillId="12" borderId="3" xfId="1" applyFont="1" applyFill="1" applyBorder="1" applyAlignment="1">
      <alignment horizontal="right" vertical="center"/>
    </xf>
    <xf numFmtId="2" fontId="15" fillId="12" borderId="3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20" fillId="12" borderId="45" xfId="0" applyFont="1" applyFill="1" applyBorder="1" applyAlignment="1">
      <alignment horizontal="center" vertical="center" wrapText="1" readingOrder="1"/>
    </xf>
    <xf numFmtId="43" fontId="11" fillId="12" borderId="1" xfId="1" applyFont="1" applyFill="1" applyBorder="1" applyAlignment="1">
      <alignment vertical="center"/>
    </xf>
    <xf numFmtId="2" fontId="14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3" fontId="11" fillId="12" borderId="1" xfId="1" applyFont="1" applyFill="1" applyBorder="1" applyAlignment="1">
      <alignment horizontal="right" vertical="center"/>
    </xf>
    <xf numFmtId="2" fontId="15" fillId="12" borderId="1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20" fillId="12" borderId="46" xfId="0" applyFont="1" applyFill="1" applyBorder="1" applyAlignment="1">
      <alignment horizontal="center" vertical="center" wrapText="1" readingOrder="1"/>
    </xf>
    <xf numFmtId="43" fontId="11" fillId="12" borderId="5" xfId="1" applyFont="1" applyFill="1" applyBorder="1" applyAlignment="1">
      <alignment vertical="center"/>
    </xf>
    <xf numFmtId="2" fontId="14" fillId="12" borderId="5" xfId="0" applyNumberFormat="1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43" fontId="11" fillId="12" borderId="5" xfId="1" applyFont="1" applyFill="1" applyBorder="1" applyAlignment="1">
      <alignment horizontal="right" vertical="center"/>
    </xf>
    <xf numFmtId="2" fontId="15" fillId="12" borderId="5" xfId="0" applyNumberFormat="1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0" fontId="39" fillId="10" borderId="28" xfId="0" applyFont="1" applyFill="1" applyBorder="1" applyAlignment="1">
      <alignment horizontal="center" vertical="center" wrapText="1" readingOrder="1"/>
    </xf>
    <xf numFmtId="43" fontId="39" fillId="10" borderId="2" xfId="1" applyFont="1" applyFill="1" applyBorder="1" applyAlignment="1">
      <alignment vertical="center"/>
    </xf>
    <xf numFmtId="2" fontId="40" fillId="10" borderId="2" xfId="0" applyNumberFormat="1" applyFont="1" applyFill="1" applyBorder="1" applyAlignment="1">
      <alignment horizontal="center" vertical="center"/>
    </xf>
    <xf numFmtId="0" fontId="39" fillId="10" borderId="2" xfId="0" applyFont="1" applyFill="1" applyBorder="1" applyAlignment="1">
      <alignment horizontal="center" vertical="center"/>
    </xf>
    <xf numFmtId="43" fontId="39" fillId="10" borderId="2" xfId="1" applyFont="1" applyFill="1" applyBorder="1" applyAlignment="1">
      <alignment horizontal="right" vertical="center"/>
    </xf>
    <xf numFmtId="0" fontId="39" fillId="10" borderId="23" xfId="0" applyFont="1" applyFill="1" applyBorder="1" applyAlignment="1">
      <alignment horizontal="center" vertical="center" wrapText="1" readingOrder="1"/>
    </xf>
    <xf numFmtId="43" fontId="39" fillId="10" borderId="1" xfId="1" applyFont="1" applyFill="1" applyBorder="1" applyAlignment="1">
      <alignment vertical="center"/>
    </xf>
    <xf numFmtId="2" fontId="40" fillId="10" borderId="1" xfId="0" applyNumberFormat="1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center" vertical="center"/>
    </xf>
    <xf numFmtId="43" fontId="39" fillId="10" borderId="1" xfId="1" applyFont="1" applyFill="1" applyBorder="1" applyAlignment="1">
      <alignment horizontal="right" vertical="center"/>
    </xf>
    <xf numFmtId="0" fontId="39" fillId="10" borderId="35" xfId="0" applyFont="1" applyFill="1" applyBorder="1" applyAlignment="1">
      <alignment horizontal="center" vertical="center" wrapText="1" readingOrder="1"/>
    </xf>
    <xf numFmtId="43" fontId="39" fillId="10" borderId="7" xfId="1" applyFont="1" applyFill="1" applyBorder="1" applyAlignment="1">
      <alignment vertical="center"/>
    </xf>
    <xf numFmtId="2" fontId="40" fillId="10" borderId="7" xfId="0" applyNumberFormat="1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43" fontId="13" fillId="6" borderId="10" xfId="1" applyFont="1" applyFill="1" applyBorder="1" applyAlignment="1">
      <alignment vertical="center"/>
    </xf>
    <xf numFmtId="2" fontId="14" fillId="6" borderId="10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" fontId="13" fillId="6" borderId="10" xfId="0" applyNumberFormat="1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left"/>
    </xf>
    <xf numFmtId="0" fontId="49" fillId="0" borderId="0" xfId="0" applyFont="1"/>
    <xf numFmtId="43" fontId="17" fillId="0" borderId="0" xfId="1" applyFont="1"/>
    <xf numFmtId="0" fontId="52" fillId="0" borderId="0" xfId="0" applyFont="1"/>
    <xf numFmtId="0" fontId="51" fillId="15" borderId="49" xfId="0" applyFont="1" applyFill="1" applyBorder="1" applyAlignment="1">
      <alignment horizontal="center" vertical="center" wrapText="1"/>
    </xf>
    <xf numFmtId="0" fontId="52" fillId="0" borderId="49" xfId="0" applyFont="1" applyBorder="1" applyAlignment="1">
      <alignment horizontal="center" vertical="center" wrapText="1"/>
    </xf>
    <xf numFmtId="43" fontId="52" fillId="0" borderId="49" xfId="1" applyFont="1" applyBorder="1" applyAlignment="1">
      <alignment vertical="center" wrapText="1"/>
    </xf>
    <xf numFmtId="10" fontId="52" fillId="0" borderId="49" xfId="2" applyNumberFormat="1" applyFont="1" applyBorder="1" applyAlignment="1">
      <alignment vertical="center" wrapText="1"/>
    </xf>
    <xf numFmtId="0" fontId="53" fillId="0" borderId="0" xfId="0" applyFont="1"/>
    <xf numFmtId="0" fontId="53" fillId="0" borderId="0" xfId="0" applyFont="1" applyAlignment="1">
      <alignment vertical="center"/>
    </xf>
    <xf numFmtId="0" fontId="52" fillId="0" borderId="0" xfId="0" applyFont="1" applyAlignment="1">
      <alignment horizontal="center"/>
    </xf>
    <xf numFmtId="43" fontId="52" fillId="0" borderId="0" xfId="0" applyNumberFormat="1" applyFont="1"/>
    <xf numFmtId="10" fontId="52" fillId="0" borderId="0" xfId="2" applyNumberFormat="1" applyFont="1"/>
    <xf numFmtId="0" fontId="55" fillId="0" borderId="0" xfId="0" applyFont="1"/>
    <xf numFmtId="0" fontId="13" fillId="6" borderId="7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50" fillId="14" borderId="0" xfId="0" applyFont="1" applyFill="1" applyAlignment="1">
      <alignment horizontal="center" vertical="center"/>
    </xf>
    <xf numFmtId="43" fontId="10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2" builtinId="5"/>
  </cellStyles>
  <dxfs count="13">
    <dxf>
      <alignment horizontal="center"/>
    </dxf>
    <dxf>
      <alignment horizontal="center"/>
    </dxf>
    <dxf>
      <numFmt numFmtId="35" formatCode="_(* #,##0.00_);_(* \(#,##0.00\);_(* &quot;-&quot;??_);_(@_)"/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  <dxf>
      <font>
        <name val="Leelawadee"/>
        <scheme val="none"/>
      </font>
    </dxf>
  </dxfs>
  <tableStyles count="0" defaultTableStyle="TableStyleMedium9" defaultPivotStyle="PivotStyleLight16"/>
  <colors>
    <mruColors>
      <color rgb="FFFFCCFF"/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COST</a:t>
            </a:r>
            <a:r>
              <a:rPr lang="en-US" sz="2000" baseline="0"/>
              <a:t> SAVING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'สรุป-รายเดือน'!$G$2</c:f>
              <c:strCache>
                <c:ptCount val="1"/>
                <c:pt idx="0">
                  <c:v>มูลค่าต่อรองได้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'สรุป-รายเดือน'!$A$3:$A$14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'สรุป-รายเดือน'!$G$3:$G$14</c:f>
              <c:numCache>
                <c:formatCode>_(* #,##0.00_);_(* \(#,##0.00\);_(* "-"??_);_(@_)</c:formatCode>
                <c:ptCount val="12"/>
                <c:pt idx="0">
                  <c:v>8059232.1658249516</c:v>
                </c:pt>
                <c:pt idx="1">
                  <c:v>1780587.7068000003</c:v>
                </c:pt>
                <c:pt idx="2">
                  <c:v>3857396.54</c:v>
                </c:pt>
                <c:pt idx="3">
                  <c:v>739724.92499999993</c:v>
                </c:pt>
                <c:pt idx="4">
                  <c:v>1641950.5981999994</c:v>
                </c:pt>
                <c:pt idx="5">
                  <c:v>6009822.4700000007</c:v>
                </c:pt>
                <c:pt idx="6">
                  <c:v>4132770.9149999996</c:v>
                </c:pt>
                <c:pt idx="7">
                  <c:v>-435915.19999999995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5-44CE-B523-FC0A9E3696CD}"/>
            </c:ext>
          </c:extLst>
        </c:ser>
        <c:ser>
          <c:idx val="1"/>
          <c:order val="1"/>
          <c:tx>
            <c:strRef>
              <c:f>'สรุป-รายเดือน'!$H$2</c:f>
              <c:strCache>
                <c:ptCount val="1"/>
                <c:pt idx="0">
                  <c:v>มูลค่าเป้าหมาย 3%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glow>
                <a:schemeClr val="accent1"/>
              </a:glow>
              <a:outerShdw blurRad="50800" dist="50800" dir="5400000" sx="1000" sy="1000" algn="ctr" rotWithShape="0">
                <a:srgbClr val="000000">
                  <a:alpha val="43137"/>
                </a:srgbClr>
              </a:outerShdw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'สรุป-รายเดือน'!$A$3:$A$14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'สรุป-รายเดือน'!$H$3:$H$14</c:f>
              <c:numCache>
                <c:formatCode>_(* #,##0.00_);_(* \(#,##0.00\);_(* "-"??_);_(@_)</c:formatCode>
                <c:ptCount val="12"/>
                <c:pt idx="0">
                  <c:v>3645678.0933000008</c:v>
                </c:pt>
                <c:pt idx="1">
                  <c:v>2081344.3520229603</c:v>
                </c:pt>
                <c:pt idx="2">
                  <c:v>3802930.0109999999</c:v>
                </c:pt>
                <c:pt idx="3">
                  <c:v>1734984.3090646204</c:v>
                </c:pt>
                <c:pt idx="4">
                  <c:v>1984032.14797548</c:v>
                </c:pt>
                <c:pt idx="5">
                  <c:v>2766894.8427934507</c:v>
                </c:pt>
                <c:pt idx="6">
                  <c:v>3340422.2396611799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5-44CE-B523-FC0A9E3696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4"/>
        <c:overlap val="1"/>
        <c:axId val="482919791"/>
        <c:axId val="482913551"/>
      </c:barChart>
      <c:catAx>
        <c:axId val="48291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13551"/>
        <c:crosses val="autoZero"/>
        <c:auto val="1"/>
        <c:lblAlgn val="ctr"/>
        <c:lblOffset val="100"/>
        <c:noMultiLvlLbl val="0"/>
      </c:catAx>
      <c:valAx>
        <c:axId val="482913551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19791"/>
        <c:crosses val="autoZero"/>
        <c:crossBetween val="between"/>
      </c:valAx>
      <c:spPr>
        <a:noFill/>
        <a:ln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fmlaLink="H3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15923</xdr:colOff>
      <xdr:row>15</xdr:row>
      <xdr:rowOff>68415</xdr:rowOff>
    </xdr:from>
    <xdr:to>
      <xdr:col>9</xdr:col>
      <xdr:colOff>2616869</xdr:colOff>
      <xdr:row>33</xdr:row>
      <xdr:rowOff>211667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A83E0D-BBB7-3673-F146-462EF7820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4</xdr:row>
      <xdr:rowOff>28576</xdr:rowOff>
    </xdr:from>
    <xdr:to>
      <xdr:col>4</xdr:col>
      <xdr:colOff>352425</xdr:colOff>
      <xdr:row>4</xdr:row>
      <xdr:rowOff>228600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65D3C8CA-16BF-4FB8-BB0B-480CE918CC65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6</xdr:row>
      <xdr:rowOff>28576</xdr:rowOff>
    </xdr:from>
    <xdr:to>
      <xdr:col>4</xdr:col>
      <xdr:colOff>333374</xdr:colOff>
      <xdr:row>6</xdr:row>
      <xdr:rowOff>190500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A118D818-042E-44F8-A6CE-7BBFEFD1A56F}"/>
            </a:ext>
          </a:extLst>
        </xdr:cNvPr>
        <xdr:cNvSpPr/>
      </xdr:nvSpPr>
      <xdr:spPr>
        <a:xfrm>
          <a:off x="4095750" y="1552576"/>
          <a:ext cx="152399" cy="1619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9</xdr:row>
      <xdr:rowOff>28576</xdr:rowOff>
    </xdr:from>
    <xdr:to>
      <xdr:col>4</xdr:col>
      <xdr:colOff>333374</xdr:colOff>
      <xdr:row>9</xdr:row>
      <xdr:rowOff>190500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035F38BA-15B3-4D90-89CC-1EFBB2E16A56}"/>
            </a:ext>
          </a:extLst>
        </xdr:cNvPr>
        <xdr:cNvSpPr/>
      </xdr:nvSpPr>
      <xdr:spPr>
        <a:xfrm>
          <a:off x="4095750" y="1552576"/>
          <a:ext cx="152399" cy="1619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10</xdr:row>
      <xdr:rowOff>28576</xdr:rowOff>
    </xdr:from>
    <xdr:to>
      <xdr:col>4</xdr:col>
      <xdr:colOff>333374</xdr:colOff>
      <xdr:row>10</xdr:row>
      <xdr:rowOff>190500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ABDF4BE3-CC57-4E8F-9741-C10AD4037305}"/>
            </a:ext>
          </a:extLst>
        </xdr:cNvPr>
        <xdr:cNvSpPr/>
      </xdr:nvSpPr>
      <xdr:spPr>
        <a:xfrm>
          <a:off x="4095750" y="1552576"/>
          <a:ext cx="152399" cy="1619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180976</xdr:colOff>
      <xdr:row>5</xdr:row>
      <xdr:rowOff>28576</xdr:rowOff>
    </xdr:from>
    <xdr:to>
      <xdr:col>4</xdr:col>
      <xdr:colOff>352426</xdr:colOff>
      <xdr:row>5</xdr:row>
      <xdr:rowOff>219075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5A8221AA-F84E-49F6-B32B-BF7EF3197BD0}"/>
            </a:ext>
          </a:extLst>
        </xdr:cNvPr>
        <xdr:cNvSpPr/>
      </xdr:nvSpPr>
      <xdr:spPr>
        <a:xfrm>
          <a:off x="5353051" y="2047876"/>
          <a:ext cx="171450" cy="190499"/>
        </a:xfrm>
        <a:prstGeom prst="flowChartConnector">
          <a:avLst/>
        </a:prstGeom>
        <a:solidFill>
          <a:srgbClr val="FFFF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7</xdr:row>
      <xdr:rowOff>28575</xdr:rowOff>
    </xdr:from>
    <xdr:to>
      <xdr:col>4</xdr:col>
      <xdr:colOff>361950</xdr:colOff>
      <xdr:row>7</xdr:row>
      <xdr:rowOff>219074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30170E55-9467-4806-B3AA-D5A5A972B073}"/>
            </a:ext>
          </a:extLst>
        </xdr:cNvPr>
        <xdr:cNvSpPr/>
      </xdr:nvSpPr>
      <xdr:spPr>
        <a:xfrm>
          <a:off x="5353050" y="2733675"/>
          <a:ext cx="180975" cy="190499"/>
        </a:xfrm>
        <a:prstGeom prst="flowChartConnector">
          <a:avLst/>
        </a:prstGeom>
        <a:solidFill>
          <a:srgbClr val="FF00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8</xdr:row>
      <xdr:rowOff>28576</xdr:rowOff>
    </xdr:from>
    <xdr:to>
      <xdr:col>4</xdr:col>
      <xdr:colOff>333374</xdr:colOff>
      <xdr:row>8</xdr:row>
      <xdr:rowOff>190500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F197DC55-B7AD-4080-A55F-AB95217298E8}"/>
            </a:ext>
          </a:extLst>
        </xdr:cNvPr>
        <xdr:cNvSpPr/>
      </xdr:nvSpPr>
      <xdr:spPr>
        <a:xfrm>
          <a:off x="4095750" y="1552576"/>
          <a:ext cx="152399" cy="161924"/>
        </a:xfrm>
        <a:prstGeom prst="flowChartConnector">
          <a:avLst/>
        </a:prstGeom>
        <a:solidFill>
          <a:srgbClr val="FF00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8</xdr:row>
      <xdr:rowOff>28576</xdr:rowOff>
    </xdr:from>
    <xdr:to>
      <xdr:col>4</xdr:col>
      <xdr:colOff>333374</xdr:colOff>
      <xdr:row>8</xdr:row>
      <xdr:rowOff>190500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84080943-41FC-4C4B-9BE9-C9FCCF71E6F3}"/>
            </a:ext>
          </a:extLst>
        </xdr:cNvPr>
        <xdr:cNvSpPr/>
      </xdr:nvSpPr>
      <xdr:spPr>
        <a:xfrm>
          <a:off x="5353050" y="2047876"/>
          <a:ext cx="152399" cy="161924"/>
        </a:xfrm>
        <a:prstGeom prst="flowChartConnector">
          <a:avLst/>
        </a:prstGeom>
        <a:solidFill>
          <a:srgbClr val="FFFF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4</xdr:row>
      <xdr:rowOff>28576</xdr:rowOff>
    </xdr:from>
    <xdr:to>
      <xdr:col>4</xdr:col>
      <xdr:colOff>352425</xdr:colOff>
      <xdr:row>4</xdr:row>
      <xdr:rowOff>228600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7CC5A4B9-3EE2-4D35-8478-8916189752A3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6</xdr:row>
      <xdr:rowOff>28576</xdr:rowOff>
    </xdr:from>
    <xdr:to>
      <xdr:col>4</xdr:col>
      <xdr:colOff>352425</xdr:colOff>
      <xdr:row>6</xdr:row>
      <xdr:rowOff>228600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810B6060-080E-471D-8B31-7EBD34069749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6</xdr:row>
      <xdr:rowOff>28576</xdr:rowOff>
    </xdr:from>
    <xdr:to>
      <xdr:col>4</xdr:col>
      <xdr:colOff>352425</xdr:colOff>
      <xdr:row>6</xdr:row>
      <xdr:rowOff>228600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91B979F7-835D-434C-B69C-5E142231ECC8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9</xdr:row>
      <xdr:rowOff>28576</xdr:rowOff>
    </xdr:from>
    <xdr:to>
      <xdr:col>4</xdr:col>
      <xdr:colOff>352425</xdr:colOff>
      <xdr:row>9</xdr:row>
      <xdr:rowOff>228600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A11137CB-7059-4D40-BC9C-1C438E97F7F1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9</xdr:row>
      <xdr:rowOff>28576</xdr:rowOff>
    </xdr:from>
    <xdr:to>
      <xdr:col>4</xdr:col>
      <xdr:colOff>352425</xdr:colOff>
      <xdr:row>9</xdr:row>
      <xdr:rowOff>228600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27890022-721B-40F1-A5E7-7F8FF2394D67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9</xdr:row>
      <xdr:rowOff>28576</xdr:rowOff>
    </xdr:from>
    <xdr:to>
      <xdr:col>4</xdr:col>
      <xdr:colOff>352425</xdr:colOff>
      <xdr:row>9</xdr:row>
      <xdr:rowOff>228600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3761296-D8EC-4FF1-A92D-11EC71B12B88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9</xdr:row>
      <xdr:rowOff>28576</xdr:rowOff>
    </xdr:from>
    <xdr:to>
      <xdr:col>4</xdr:col>
      <xdr:colOff>352425</xdr:colOff>
      <xdr:row>9</xdr:row>
      <xdr:rowOff>228600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58DD03DB-2E5C-43F5-A636-BBAAF41B5FE5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10</xdr:row>
      <xdr:rowOff>28576</xdr:rowOff>
    </xdr:from>
    <xdr:to>
      <xdr:col>4</xdr:col>
      <xdr:colOff>352425</xdr:colOff>
      <xdr:row>10</xdr:row>
      <xdr:rowOff>228600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E98FCD1E-DC89-4ED5-AED0-40D05688D0C0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10</xdr:row>
      <xdr:rowOff>28576</xdr:rowOff>
    </xdr:from>
    <xdr:to>
      <xdr:col>4</xdr:col>
      <xdr:colOff>352425</xdr:colOff>
      <xdr:row>10</xdr:row>
      <xdr:rowOff>228600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F9DF02D-8F50-4784-BAA1-64CD820A5BE2}"/>
            </a:ext>
          </a:extLst>
        </xdr:cNvPr>
        <xdr:cNvSpPr/>
      </xdr:nvSpPr>
      <xdr:spPr>
        <a:xfrm>
          <a:off x="5353050" y="17049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180976</xdr:colOff>
      <xdr:row>8</xdr:row>
      <xdr:rowOff>28576</xdr:rowOff>
    </xdr:from>
    <xdr:to>
      <xdr:col>4</xdr:col>
      <xdr:colOff>352426</xdr:colOff>
      <xdr:row>8</xdr:row>
      <xdr:rowOff>219075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DBA3B556-7636-4B84-8750-0E723F2F95EB}"/>
            </a:ext>
          </a:extLst>
        </xdr:cNvPr>
        <xdr:cNvSpPr/>
      </xdr:nvSpPr>
      <xdr:spPr>
        <a:xfrm>
          <a:off x="5353051" y="2047876"/>
          <a:ext cx="171450" cy="190499"/>
        </a:xfrm>
        <a:prstGeom prst="flowChartConnector">
          <a:avLst/>
        </a:prstGeom>
        <a:solidFill>
          <a:srgbClr val="FFFF0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15</xdr:row>
      <xdr:rowOff>28576</xdr:rowOff>
    </xdr:from>
    <xdr:to>
      <xdr:col>4</xdr:col>
      <xdr:colOff>333374</xdr:colOff>
      <xdr:row>15</xdr:row>
      <xdr:rowOff>190500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13D54562-0FA5-4BC0-B6FE-81447D80EC72}"/>
            </a:ext>
          </a:extLst>
        </xdr:cNvPr>
        <xdr:cNvSpPr/>
      </xdr:nvSpPr>
      <xdr:spPr>
        <a:xfrm>
          <a:off x="5353050" y="3762376"/>
          <a:ext cx="152399" cy="1619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15</xdr:row>
      <xdr:rowOff>28576</xdr:rowOff>
    </xdr:from>
    <xdr:to>
      <xdr:col>4</xdr:col>
      <xdr:colOff>352425</xdr:colOff>
      <xdr:row>15</xdr:row>
      <xdr:rowOff>228600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2DEB1EEE-44FB-47AA-A14A-AE4A733F065C}"/>
            </a:ext>
          </a:extLst>
        </xdr:cNvPr>
        <xdr:cNvSpPr/>
      </xdr:nvSpPr>
      <xdr:spPr>
        <a:xfrm>
          <a:off x="5353050" y="37623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15</xdr:row>
      <xdr:rowOff>28576</xdr:rowOff>
    </xdr:from>
    <xdr:to>
      <xdr:col>4</xdr:col>
      <xdr:colOff>352425</xdr:colOff>
      <xdr:row>15</xdr:row>
      <xdr:rowOff>228600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45045F71-EA1B-4610-B5C3-38764CF6DAEC}"/>
            </a:ext>
          </a:extLst>
        </xdr:cNvPr>
        <xdr:cNvSpPr/>
      </xdr:nvSpPr>
      <xdr:spPr>
        <a:xfrm>
          <a:off x="5353050" y="3762376"/>
          <a:ext cx="171450" cy="200024"/>
        </a:xfrm>
        <a:prstGeom prst="flowChartConnector">
          <a:avLst/>
        </a:prstGeom>
        <a:solidFill>
          <a:srgbClr val="00B05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2</xdr:row>
          <xdr:rowOff>19050</xdr:rowOff>
        </xdr:from>
        <xdr:to>
          <xdr:col>7</xdr:col>
          <xdr:colOff>590550</xdr:colOff>
          <xdr:row>3</xdr:row>
          <xdr:rowOff>47625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7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เปลี่ยนหน่วย</a:t>
              </a:r>
            </a:p>
          </xdr:txBody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ina Jaidee" refreshedDate="45934.346598379627" createdVersion="8" refreshedVersion="8" minRefreshableVersion="3" recordCount="1013" xr:uid="{00000000-000A-0000-FFFF-FFFF00000000}">
  <cacheSource type="worksheet">
    <worksheetSource ref="A3:N1016" sheet="Improve#1"/>
  </cacheSource>
  <cacheFields count="14">
    <cacheField name="Month" numFmtId="0">
      <sharedItems/>
    </cacheField>
    <cacheField name="PO No." numFmtId="0">
      <sharedItems containsBlank="1"/>
    </cacheField>
    <cacheField name="Supplier Name." numFmtId="0">
      <sharedItems/>
    </cacheField>
    <cacheField name="Description of Goods/Service" numFmtId="0">
      <sharedItems/>
    </cacheField>
    <cacheField name="Qty" numFmtId="0">
      <sharedItems containsSemiMixedTypes="0" containsString="0" containsNumber="1" minValue="1" maxValue="330000"/>
    </cacheField>
    <cacheField name="Unit " numFmtId="0">
      <sharedItems/>
    </cacheField>
    <cacheField name="ราคาต่ำสุดต่อหน่วย" numFmtId="0">
      <sharedItems containsSemiMixedTypes="0" containsString="0" containsNumber="1" minValue="1.5" maxValue="10124405"/>
    </cacheField>
    <cacheField name="ราคารวม" numFmtId="43">
      <sharedItems containsSemiMixedTypes="0" containsString="0" containsNumber="1" minValue="49.58" maxValue="106158624"/>
    </cacheField>
    <cacheField name="ราคาที่ต่อรองได้" numFmtId="0">
      <sharedItems containsString="0" containsBlank="1" containsNumber="1" minValue="0" maxValue="9820672.8499999996"/>
    </cacheField>
    <cacheField name="ผลต่าง" numFmtId="43">
      <sharedItems containsSemiMixedTypes="0" containsString="0" containsNumber="1" minValue="5.0000000000000266E-2" maxValue="343500"/>
    </cacheField>
    <cacheField name="รวมที่ต่อรองได้" numFmtId="43">
      <sharedItems containsSemiMixedTypes="0" containsString="0" containsNumber="1" minValue="5" maxValue="2008406.4000000001"/>
    </cacheField>
    <cacheField name="% discount" numFmtId="10">
      <sharedItems containsSemiMixedTypes="0" containsString="0" containsNumber="1" minValue="1.4005602240896359E-3" maxValue="1"/>
    </cacheField>
    <cacheField name="Method for discounts" numFmtId="0">
      <sharedItems count="5">
        <s v="Compare + Negotiate "/>
        <s v="Negotiate"/>
        <s v="Rebate"/>
        <s v="Avoidance"/>
        <s v="เพิ่มเครดิต"/>
      </sharedItems>
    </cacheField>
    <cacheField name="Person in charge" numFmtId="0">
      <sharedItems count="5">
        <s v="Pawina"/>
        <s v="Tanida"/>
        <s v="Saniya"/>
        <s v="Dusit"/>
        <s v="Yuwan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3">
  <r>
    <s v="JAN"/>
    <s v="PO-25000007"/>
    <s v="POSCO International (Thailand) CO., LTD."/>
    <s v="Silicon Steel Master Coil 023CLF080"/>
    <n v="80000"/>
    <s v="kg."/>
    <n v="75.5"/>
    <n v="6040000"/>
    <n v="75"/>
    <n v="0.5"/>
    <n v="40000"/>
    <n v="6.6225165562913907E-3"/>
    <x v="0"/>
    <x v="0"/>
  </r>
  <r>
    <s v="JAN"/>
    <s v="PO-25000012"/>
    <s v="บริษัท เอ วี เอ เอ็นจิเนียริ่ง เซอร์วิส จำกัด"/>
    <s v="แกนแรงสูง ขนาด 12 มม. ผลิตจากกระบวนการ Forging (รูเข้าสายขนา"/>
    <n v="500"/>
    <s v="EA"/>
    <n v="89"/>
    <n v="44500"/>
    <n v="87"/>
    <n v="2"/>
    <n v="1000"/>
    <n v="2.247191011235955E-2"/>
    <x v="1"/>
    <x v="0"/>
  </r>
  <r>
    <s v="JAN"/>
    <s v="PO-25000012"/>
    <s v="บริษัท เอ วี เอ เอ็นจิเนียริ่ง เซอร์วิส จำกัด"/>
    <s v="หางปลาแรงต่ำแบบบาร์ 6 รู แกน 58 มม."/>
    <n v="40"/>
    <s v="EA"/>
    <n v="4980"/>
    <n v="199200"/>
    <n v="4960"/>
    <n v="20"/>
    <n v="800"/>
    <n v="4.0160642570281121E-3"/>
    <x v="1"/>
    <x v="0"/>
  </r>
  <r>
    <s v="JAN"/>
    <s v="PO-25000012"/>
    <s v="บริษัท เอ วี เอ เอ็นจิเนียริ่ง เซอร์วิส จำกัด"/>
    <s v="คลับทองเหลือง แกนแรงต่ำขนาด 30 มม. เบอร์ 3 (แบบต๊าปเกลียว)"/>
    <n v="4"/>
    <s v="EA"/>
    <n v="475"/>
    <n v="1900"/>
    <n v="465"/>
    <n v="10"/>
    <n v="40"/>
    <n v="2.1052631578947368E-2"/>
    <x v="1"/>
    <x v="0"/>
  </r>
  <r>
    <s v="JAN"/>
    <s v="PO-25000012"/>
    <s v="บริษัท เอ วี เอ เอ็นจิเนียริ่ง เซอร์วิส จำกัด"/>
    <s v="หางปลาแรงต่ำแบบบาร์ 5 รู แกน 58 มม. ระยะห่าง 80 มม. แถวเดี่ย"/>
    <n v="4"/>
    <s v="EA"/>
    <n v="6850"/>
    <n v="27400"/>
    <n v="6680"/>
    <n v="170"/>
    <n v="680"/>
    <n v="2.4817518248175182E-2"/>
    <x v="1"/>
    <x v="0"/>
  </r>
  <r>
    <s v="JAN"/>
    <s v="PO-25000016"/>
    <s v="บริษัท สหมิตรไวร์ แอนด์ เคเบิ้ล จำกัด"/>
    <s v="ลวดแบนหุ้มกระดาษหนา 0.5 มม."/>
    <n v="580"/>
    <s v="KG"/>
    <n v="378"/>
    <n v="219240"/>
    <n v="348"/>
    <n v="30"/>
    <n v="17400"/>
    <n v="7.9365079365079361E-2"/>
    <x v="0"/>
    <x v="1"/>
  </r>
  <r>
    <s v="JAN"/>
    <s v="PO-25000006"/>
    <s v="บริษัท พี ซี อีลีแมค จำกัด"/>
    <s v="Steel Enclosure ขนาด 2000 x 2600 x 2600 mm. "/>
    <n v="8"/>
    <s v="set"/>
    <n v="129000"/>
    <n v="1032000"/>
    <n v="125000"/>
    <n v="4000"/>
    <n v="32000"/>
    <n v="3.1007751937984496E-2"/>
    <x v="0"/>
    <x v="0"/>
  </r>
  <r>
    <s v="JAN"/>
    <s v="PO-25000034"/>
    <s v="บริษัท สยาม วิน บอร์น จำกัด"/>
    <s v="เหล็กแผ่น SS400 หนา 9.0 มม. กว้าง 1219 มม. ยาว 2438 มม."/>
    <n v="20"/>
    <s v="แผ่น"/>
    <n v="3195"/>
    <n v="63900"/>
    <n v="3190"/>
    <n v="5"/>
    <n v="100"/>
    <n v="1.5649452269170579E-3"/>
    <x v="0"/>
    <x v="0"/>
  </r>
  <r>
    <s v="JAN"/>
    <s v="PO-25000034"/>
    <s v="บริษัท สยาม วิน บอร์น จำกัด"/>
    <s v="เหล็กแผ่น SS400 หนา 6.0 มม. กว้าง 1219 มม. ยาว 2438 มม."/>
    <n v="2"/>
    <s v="แผ่น"/>
    <n v="4730"/>
    <n v="9460"/>
    <n v="4695"/>
    <n v="35"/>
    <n v="70"/>
    <n v="7.3995771670190271E-3"/>
    <x v="0"/>
    <x v="0"/>
  </r>
  <r>
    <s v="JAN"/>
    <s v="PO-25000036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"/>
    <n v="15.5"/>
    <n v="3100"/>
    <n v="14.76"/>
    <n v="0.74000000000000021"/>
    <n v="148.00000000000006"/>
    <n v="4.7741935483870984E-2"/>
    <x v="0"/>
    <x v="1"/>
  </r>
  <r>
    <s v="JAN"/>
    <s v="PO-25000036"/>
    <s v="ห้างหุ้นส่วนจำกัด เอ็ม.เอ็น. อีเล็คทริค ซัพพลาย"/>
    <s v="YAZAKI สายไฟ CVV 12 x1.5sq.mm."/>
    <n v="50"/>
    <s v="Metre"/>
    <n v="155"/>
    <n v="7750"/>
    <n v="152"/>
    <n v="3"/>
    <n v="150"/>
    <n v="1.935483870967742E-2"/>
    <x v="0"/>
    <x v="1"/>
  </r>
  <r>
    <s v="JAN"/>
    <s v="PO-25000038"/>
    <s v="บริษัท ศูนย์บริการเหล็กสยาม จำกัด (มหาชน)"/>
    <s v="Cold Rolled Steel Sheet (SPCC-SD) ขนาด 1.2*500 มม."/>
    <n v="3000"/>
    <s v="KG"/>
    <n v="30"/>
    <n v="90000"/>
    <n v="28"/>
    <n v="2"/>
    <n v="6000"/>
    <n v="6.6666666666666666E-2"/>
    <x v="0"/>
    <x v="0"/>
  </r>
  <r>
    <s v="JAN"/>
    <s v="PO-25000038"/>
    <s v="บริษัท ศูนย์บริการเหล็กสยาม จำกัด (มหาชน)"/>
    <s v="Cold Rolled Steel Sheet (SPCC-SD) ขนาด 1.2*800 มม."/>
    <n v="3000"/>
    <s v="KG"/>
    <n v="30"/>
    <n v="90000"/>
    <n v="28"/>
    <n v="2"/>
    <n v="6000"/>
    <n v="6.6666666666666666E-2"/>
    <x v="0"/>
    <x v="0"/>
  </r>
  <r>
    <s v="JAN"/>
    <s v="PO-25000038"/>
    <s v="บริษัท ศูนย์บริการเหล็กสยาม จำกัด (มหาชน)"/>
    <s v="Cold Rolled Steel Sheet (SPCC-SD) ขนาด 1.5*1100 มม."/>
    <n v="3000"/>
    <s v="KG"/>
    <n v="30"/>
    <n v="90000"/>
    <n v="28"/>
    <n v="2"/>
    <n v="6000"/>
    <n v="6.6666666666666666E-2"/>
    <x v="0"/>
    <x v="0"/>
  </r>
  <r>
    <s v="JAN"/>
    <s v="PO-25000038"/>
    <s v="บริษัท ศูนย์บริการเหล็กสยาม จำกัด (มหาชน)"/>
    <s v="Cold Rolled Steel Sheet (SPCC-SD) ขนาด 1.5*1200 มม."/>
    <n v="6000"/>
    <s v="KG"/>
    <n v="30"/>
    <n v="180000"/>
    <n v="28"/>
    <n v="2"/>
    <n v="12000"/>
    <n v="6.6666666666666666E-2"/>
    <x v="0"/>
    <x v="0"/>
  </r>
  <r>
    <s v="JAN"/>
    <s v="PO-25000040"/>
    <s v="บริษัท ยูไนเต็ดคอปเปอร์ จำกัด"/>
    <s v="ทองแดงเส้นแบน "/>
    <n v="578"/>
    <s v="KG"/>
    <n v="375"/>
    <n v="216750"/>
    <n v="355"/>
    <n v="20"/>
    <n v="11560"/>
    <n v="5.3333333333333337E-2"/>
    <x v="0"/>
    <x v="1"/>
  </r>
  <r>
    <s v="JAN"/>
    <s v="PO-25000041"/>
    <s v="บริษัท เจริญทรัพย์ พาเลท จำกัด"/>
    <s v="Wooden Crate Tr.16 MVA (Fumigation)"/>
    <n v="1"/>
    <s v="set"/>
    <n v="7650"/>
    <n v="7650"/>
    <n v="5870"/>
    <n v="1780"/>
    <n v="1780"/>
    <n v="0.23267973856209151"/>
    <x v="0"/>
    <x v="1"/>
  </r>
  <r>
    <s v="JAN"/>
    <s v="PO-24004481"/>
    <s v="REINHAUSEN SINGAPORE PRIVATE LIMITED"/>
    <s v="ค่าขนส่งสินค้าเข้าโรงงาน"/>
    <n v="1"/>
    <s v="JOB"/>
    <n v="3500"/>
    <n v="3500"/>
    <n v="0"/>
    <n v="3500"/>
    <n v="3500"/>
    <n v="1"/>
    <x v="1"/>
    <x v="1"/>
  </r>
  <r>
    <s v="JAN"/>
    <s v="PO-25000094"/>
    <s v="ห้างหุ้นส่วนจำกัด เอ็ม.เอ็น. อีเล็คทริค ซัพพลาย"/>
    <s v="สายไฟ VSF"/>
    <n v="4"/>
    <s v="Roll"/>
    <n v="1150"/>
    <n v="4600"/>
    <n v="1100"/>
    <n v="50"/>
    <n v="200"/>
    <n v="4.3478260869565216E-2"/>
    <x v="0"/>
    <x v="1"/>
  </r>
  <r>
    <s v="JAN"/>
    <s v="PO-25000095"/>
    <s v="บริษัท บ้านไฟฟ้า จำกัด"/>
    <s v="สายไฟ H07V-K"/>
    <n v="4"/>
    <s v="Roll"/>
    <n v="1350"/>
    <n v="5400"/>
    <n v="1100"/>
    <n v="250"/>
    <n v="1000"/>
    <n v="0.18518518518518517"/>
    <x v="0"/>
    <x v="1"/>
  </r>
  <r>
    <s v="JAN"/>
    <s v="PO-25000106"/>
    <s v="บริษัท เอคเม อินซูเลชั่น จำกัด"/>
    <s v="Tap Changer (Voltage) 3Ph 24kV-150A-L98 2ชั้น 5Pos."/>
    <n v="2"/>
    <s v="set"/>
    <n v="16875"/>
    <n v="33750"/>
    <n v="16805"/>
    <n v="70"/>
    <n v="140"/>
    <n v="4.1481481481481482E-3"/>
    <x v="1"/>
    <x v="1"/>
  </r>
  <r>
    <s v="JAN"/>
    <s v="PO-25000107"/>
    <s v="บริษัท สหมิตรไวร์ แอนด์ เคเบิ้ล จำกัด"/>
    <s v="ลวดแบนหุ้มกระดาษหนา 0.5 มม."/>
    <n v="5790"/>
    <s v="KG"/>
    <n v="374"/>
    <n v="2165460"/>
    <n v="348"/>
    <n v="26"/>
    <n v="150540"/>
    <n v="6.9518716577540107E-2"/>
    <x v="0"/>
    <x v="1"/>
  </r>
  <r>
    <s v="JAN"/>
    <s v="PO-25000113"/>
    <s v="ห้างหุ้นส่วนจำกัด เอ็ม.เอ็น. อีเล็คทริค ซัพพลาย"/>
    <s v="หางปลาต่อสายแบบกลมเปลือย ยี่ห้อ T-LUG CL70-12"/>
    <n v="500"/>
    <s v="EA"/>
    <n v="26"/>
    <n v="13000"/>
    <n v="24.6"/>
    <n v="1.3999999999999986"/>
    <n v="699.99999999999932"/>
    <n v="5.3846153846153794E-2"/>
    <x v="0"/>
    <x v="1"/>
  </r>
  <r>
    <s v="JAN"/>
    <s v="PO-25000113"/>
    <s v="ห้างหุ้นส่วนจำกัด เอ็ม.เอ็น. อีเล็คทริค ซัพพลาย"/>
    <s v="หางปลาต่อสายแบบกลมเปลือย ยี่ห้อ T-LUG CL120-12"/>
    <n v="400"/>
    <s v="EA"/>
    <n v="50"/>
    <n v="20000"/>
    <n v="47.56"/>
    <n v="2.4399999999999977"/>
    <n v="975.99999999999909"/>
    <n v="4.8799999999999955E-2"/>
    <x v="0"/>
    <x v="1"/>
  </r>
  <r>
    <s v="JAN"/>
    <s v="PO-25000113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"/>
    <n v="190"/>
    <n v="19000"/>
    <n v="182.25"/>
    <n v="7.75"/>
    <n v="775"/>
    <n v="4.0789473684210528E-2"/>
    <x v="0"/>
    <x v="1"/>
  </r>
  <r>
    <s v="JAN"/>
    <s v="PO-25000129"/>
    <s v="บริษัท สหมิตรไวร์ แอนด์ เคเบิ้ล จำกัด"/>
    <s v="ลวดแบนหุ้มกระดาษหนา 0.5 มม."/>
    <n v="1350"/>
    <s v="KG"/>
    <n v="378"/>
    <n v="510300"/>
    <n v="348"/>
    <n v="30"/>
    <n v="40500"/>
    <n v="7.9365079365079361E-2"/>
    <x v="0"/>
    <x v="1"/>
  </r>
  <r>
    <s v="JAN"/>
    <s v="PO-24003938"/>
    <s v="Cedaspe S.r.l."/>
    <s v="ค่าขนส่งสินค้าเข้าโรงงาน"/>
    <n v="1"/>
    <s v="JOB"/>
    <n v="3500"/>
    <n v="3500"/>
    <n v="0"/>
    <n v="3500"/>
    <n v="3500"/>
    <n v="1"/>
    <x v="1"/>
    <x v="1"/>
  </r>
  <r>
    <s v="JAN"/>
    <s v="PO-25000139"/>
    <s v="บริษัท เมทสัน เพาเวอร์ (ประเทศไทย) จำกัด"/>
    <s v="Silicon Steel Master Coil 027CLF100"/>
    <n v="80000"/>
    <s v="KG"/>
    <n v="58"/>
    <n v="4640000"/>
    <n v="57"/>
    <n v="1"/>
    <n v="80000"/>
    <n v="1.7241379310344827E-2"/>
    <x v="0"/>
    <x v="0"/>
  </r>
  <r>
    <s v="JAN"/>
    <s v="PO-25000139"/>
    <s v="บริษัท เมทสัน เพาเวอร์ (ประเทศไทย) จำกัด"/>
    <s v="Silicon Steel Master Coil 027CLF120"/>
    <n v="40000"/>
    <s v="KG"/>
    <n v="55.5"/>
    <n v="2220000"/>
    <n v="54.5"/>
    <n v="1"/>
    <n v="40000"/>
    <n v="1.8018018018018018E-2"/>
    <x v="0"/>
    <x v="0"/>
  </r>
  <r>
    <s v="JAN"/>
    <s v="PO-25000135"/>
    <s v="บริษัท ยูไนเต็ดคอปเปอร์ จำกัด"/>
    <s v="ทองแดงเส้นแบน"/>
    <n v="1092.5999999999999"/>
    <s v="KG"/>
    <n v="380"/>
    <n v="415187.99999999994"/>
    <n v="355"/>
    <n v="25"/>
    <n v="27314.999999999996"/>
    <n v="6.5789473684210523E-2"/>
    <x v="0"/>
    <x v="1"/>
  </r>
  <r>
    <s v="JAN"/>
    <s v="PO-25000140"/>
    <s v="บริษัท บางกอกแม็กเน็ตไวร์ จำกัด"/>
    <s v="ลวดกลมอาบน้ำยา"/>
    <n v="17400"/>
    <s v="KG"/>
    <n v="7"/>
    <n v="121800"/>
    <n v="0"/>
    <n v="7"/>
    <n v="121800"/>
    <n v="1"/>
    <x v="1"/>
    <x v="1"/>
  </r>
  <r>
    <s v="JAN"/>
    <m/>
    <s v="บริษัท ทีโอเอ-ชูโกกุ เพ้นท์ จำกัด"/>
    <s v="Rebate ปี2567"/>
    <n v="1"/>
    <s v="JOB"/>
    <n v="10124405"/>
    <n v="10124405"/>
    <n v="9820672.8499999996"/>
    <n v="303732.15000000037"/>
    <n v="303732.15000000037"/>
    <n v="3.0000000000000037E-2"/>
    <x v="2"/>
    <x v="2"/>
  </r>
  <r>
    <s v="JAN"/>
    <s v="PO-25000019"/>
    <s v="บริษัท ทีโอเอ-ชูโกกุ เพ้นท์ จำกัด"/>
    <s v="สีทับหน้า (PU) RAL 7032 CHUGOKU  UNY  MARINE 100 (DH)"/>
    <n v="200"/>
    <s v="ถัง"/>
    <n v="4700"/>
    <n v="940000"/>
    <n v="4400"/>
    <n v="300"/>
    <n v="60000"/>
    <n v="6.3829787234042548E-2"/>
    <x v="1"/>
    <x v="2"/>
  </r>
  <r>
    <s v="JAN"/>
    <s v="PO-25000021"/>
    <s v="บริษัท ไทยสเปเชี่ยลแก๊ส จำกัด"/>
    <s v="ไนโตรเจน"/>
    <n v="5"/>
    <s v="ถัง"/>
    <n v="240"/>
    <n v="1200"/>
    <n v="168"/>
    <n v="72"/>
    <n v="360"/>
    <n v="0.3"/>
    <x v="0"/>
    <x v="2"/>
  </r>
  <r>
    <s v="JAN"/>
    <s v="PO-25000031"/>
    <s v="บริษัท ดีเอสไอ คอร์ปอเรชั่น จำกัด"/>
    <s v="Scotch 3M Filament Tape 48 มม. x 50 มม. เทปใยแก้ว"/>
    <n v="144"/>
    <s v="Roll"/>
    <n v="405"/>
    <n v="58320"/>
    <n v="385"/>
    <n v="20"/>
    <n v="2880"/>
    <n v="4.9382716049382713E-2"/>
    <x v="3"/>
    <x v="2"/>
  </r>
  <r>
    <s v="JAN"/>
    <s v="PO-25000051"/>
    <s v="บริษัท เอเทค ลิฟท์ติ้ง ทูลส์ จำกัด"/>
    <s v="สลิงโพลีฯชนิดกลมมีห่วงหัว-ท้าย รับ นน.10T ยาว 4ม. สีส้ม"/>
    <n v="1"/>
    <s v="EA"/>
    <n v="4230"/>
    <n v="4230"/>
    <n v="2800"/>
    <n v="1430"/>
    <n v="1430"/>
    <n v="0.33806146572104018"/>
    <x v="0"/>
    <x v="2"/>
  </r>
  <r>
    <s v="JAN"/>
    <s v="PO-25000061"/>
    <s v="บริษัท ไทยพัฒนสิน (จิ้นเส็ง 2000) จำกัด"/>
    <s v="POLO ดอกเจาะเหล็กคัตเตอร์คาร์ไบด์ Dia.16x35มม."/>
    <n v="5"/>
    <s v="EA"/>
    <n v="780"/>
    <n v="3900"/>
    <n v="720"/>
    <n v="60"/>
    <n v="300"/>
    <n v="7.6923076923076927E-2"/>
    <x v="0"/>
    <x v="2"/>
  </r>
  <r>
    <s v="JAN"/>
    <s v="PO-25000061"/>
    <s v="บริษัท ไทยพัฒนสิน (จิ้นเส็ง 2000) จำกัด"/>
    <s v="POLO ดอกเจาะเหล็กคัตเตอร์คาร์ไบด์ Dia.18x35มม."/>
    <n v="4"/>
    <s v="EA"/>
    <n v="780"/>
    <n v="3120"/>
    <n v="720"/>
    <n v="60"/>
    <n v="240"/>
    <n v="7.6923076923076927E-2"/>
    <x v="0"/>
    <x v="2"/>
  </r>
  <r>
    <s v="JAN"/>
    <s v="PO-25000061"/>
    <s v="บริษัท ไทยพัฒนสิน (จิ้นเส็ง 2000) จำกัด"/>
    <s v="POLO ดอกเจาะเหล็กคัตเตอร์คาร์ไบด์ Dia.22x35มม."/>
    <n v="8"/>
    <s v="EA"/>
    <n v="780"/>
    <n v="6240"/>
    <n v="720"/>
    <n v="60"/>
    <n v="480"/>
    <n v="7.6923076923076927E-2"/>
    <x v="0"/>
    <x v="2"/>
  </r>
  <r>
    <s v="JAN"/>
    <s v="PO-25000061"/>
    <s v="บริษัท ไทยพัฒนสิน (จิ้นเส็ง 2000) จำกัด"/>
    <s v="POLO ดอกเจาะเหล็กคัตเตอร์คาร์ไบด์ Dia.25x35มม."/>
    <n v="3"/>
    <s v="EA"/>
    <n v="780"/>
    <n v="2340"/>
    <n v="720"/>
    <n v="60"/>
    <n v="180"/>
    <n v="7.6923076923076927E-2"/>
    <x v="0"/>
    <x v="2"/>
  </r>
  <r>
    <s v="JAN"/>
    <s v="PO-25000061"/>
    <s v="บริษัท ไทยพัฒนสิน (จิ้นเส็ง 2000) จำกัด"/>
    <s v="POLO ดอกเจาะเหล็กคัตเตอร์คาร์ไบด์ Dia.28x35มม."/>
    <n v="3"/>
    <s v="EA"/>
    <n v="882"/>
    <n v="2646"/>
    <n v="820"/>
    <n v="62"/>
    <n v="186"/>
    <n v="7.029478458049887E-2"/>
    <x v="0"/>
    <x v="2"/>
  </r>
  <r>
    <s v="JAN"/>
    <s v="PO-25000061"/>
    <s v="บริษัท ไทยพัฒนสิน (จิ้นเส็ง 2000) จำกัด"/>
    <s v="POLO ดอกเจาะเหล็กคัตเตอร์คาร์ไบด์ Dia.30x35มม."/>
    <n v="3"/>
    <s v="EA"/>
    <n v="882"/>
    <n v="2646"/>
    <n v="820"/>
    <n v="62"/>
    <n v="186"/>
    <n v="7.029478458049887E-2"/>
    <x v="0"/>
    <x v="2"/>
  </r>
  <r>
    <s v="JAN"/>
    <s v="PO-25000070"/>
    <s v="บริษัท เอทีซี อินดัสตรี (ประเทศไทย)จำกัด"/>
    <s v="สีรองพื้น TOA Red Oxide primer G1024D Size 18.925ลิตร/ถัง"/>
    <n v="20"/>
    <s v="ถัง"/>
    <n v="2150"/>
    <n v="43000"/>
    <n v="2135"/>
    <n v="15"/>
    <n v="300"/>
    <n v="6.9767441860465115E-3"/>
    <x v="0"/>
    <x v="2"/>
  </r>
  <r>
    <s v="JAN"/>
    <s v="PO-25000070"/>
    <s v="บริษัท เอทีซี อินดัสตรี (ประเทศไทย)จำกัด"/>
    <s v="สก๊อตเทปใส Unitape size 1/2&quot; IN x 72 YDS"/>
    <n v="576"/>
    <s v="Roll"/>
    <n v="32"/>
    <n v="18432"/>
    <n v="25"/>
    <n v="7"/>
    <n v="4032"/>
    <n v="0.21875"/>
    <x v="0"/>
    <x v="2"/>
  </r>
  <r>
    <s v="JAN"/>
    <s v="PO-25000072"/>
    <s v="บริษัท เอเทค ลิฟท์ติ้ง ทูลส์ จำกัด"/>
    <s v="สลิงโพลีฯชนิดแบน ประกอบชุด 2ขา 1M รับ นน. 2.00-2.80T "/>
    <n v="2"/>
    <s v="set"/>
    <n v="1600"/>
    <n v="3200"/>
    <n v="1500"/>
    <n v="100"/>
    <n v="200"/>
    <n v="6.25E-2"/>
    <x v="0"/>
    <x v="2"/>
  </r>
  <r>
    <s v="JAN"/>
    <s v="PO-25000072"/>
    <s v="บริษัท เอเทค ลิฟท์ติ้ง ทูลส์ จำกัด"/>
    <s v="สลิงโพลีฯชนิดแบน แบบมีห่วงหัว-ท้าย WS-2 2T2M (60MM.)"/>
    <n v="4"/>
    <s v="EA"/>
    <n v="600"/>
    <n v="2400"/>
    <n v="350"/>
    <n v="250"/>
    <n v="1000"/>
    <n v="0.41666666666666669"/>
    <x v="0"/>
    <x v="2"/>
  </r>
  <r>
    <s v="JAN"/>
    <s v="PO-25000073"/>
    <s v="บริษัท ศรีราชามงคลชัย จำกัด"/>
    <s v="อะไหล่ลูกกลิ้งเคมี4&quot; 29094 STANLEY(เฉพาะลูกกลิ้ง ไม่เอาด้าม)"/>
    <n v="300"/>
    <s v="EA"/>
    <n v="34"/>
    <n v="10200"/>
    <n v="20"/>
    <n v="14"/>
    <n v="4200"/>
    <n v="0.41176470588235292"/>
    <x v="0"/>
    <x v="2"/>
  </r>
  <r>
    <s v="JAN"/>
    <s v="PO-25000075"/>
    <s v="ห้างหุ้นส่วนจำกัด ทรัพย์มีชัย อินเตอร์มาเก็ตติ้ง"/>
    <s v="เอี้ยมผ้าคอมสีน้ำเงิน ขนาด 56x86 ซ.ม. มีกระเป๋า"/>
    <n v="60"/>
    <s v="EA"/>
    <n v="80"/>
    <n v="4800"/>
    <n v="70"/>
    <n v="10"/>
    <n v="600"/>
    <n v="0.125"/>
    <x v="1"/>
    <x v="2"/>
  </r>
  <r>
    <s v="JAN"/>
    <s v="PO-25000078"/>
    <s v="บริษัท พิณ เอ็ม พาเลท จำกัด"/>
    <s v="ไม้สน ขนาด 20x150x1000มม."/>
    <n v="300"/>
    <s v="EA"/>
    <n v="95"/>
    <n v="28500"/>
    <n v="75"/>
    <n v="20"/>
    <n v="6000"/>
    <n v="0.21052631578947367"/>
    <x v="0"/>
    <x v="2"/>
  </r>
  <r>
    <s v="JAN"/>
    <s v="PO-25000078"/>
    <s v="บริษัท พิณ เอ็ม พาเลท จำกัด"/>
    <s v="ไม้สน ขนาด 30x180x1000มม."/>
    <n v="400"/>
    <s v="EA"/>
    <n v="165"/>
    <n v="66000"/>
    <n v="145"/>
    <n v="20"/>
    <n v="8000"/>
    <n v="0.12121212121212122"/>
    <x v="0"/>
    <x v="2"/>
  </r>
  <r>
    <s v="JAN"/>
    <s v="PO-25000078"/>
    <s v="บริษัท พิณ เอ็ม พาเลท จำกัด"/>
    <s v="ไม้สน ขนาด 15x100x1000มม."/>
    <n v="150"/>
    <s v="EA"/>
    <n v="60"/>
    <n v="9000"/>
    <n v="48"/>
    <n v="12"/>
    <n v="1800"/>
    <n v="0.2"/>
    <x v="0"/>
    <x v="2"/>
  </r>
  <r>
    <s v="JAN"/>
    <s v="PO-25000078"/>
    <s v="บริษัท พิณ เอ็ม พาเลท จำกัด"/>
    <s v="ไม้สน ขนาด 20x150x1000มม."/>
    <n v="50"/>
    <s v="EA"/>
    <n v="95"/>
    <n v="4750"/>
    <n v="75"/>
    <n v="20"/>
    <n v="1000"/>
    <n v="0.21052631578947367"/>
    <x v="0"/>
    <x v="2"/>
  </r>
  <r>
    <s v="JAN"/>
    <s v="PO-25000078"/>
    <s v="บริษัท พิณ เอ็ม พาเลท จำกัด"/>
    <s v="ไม้สน ขนาด 30x180x1000มม."/>
    <n v="100"/>
    <s v="EA"/>
    <n v="165"/>
    <n v="16500"/>
    <n v="145"/>
    <n v="20"/>
    <n v="2000"/>
    <n v="0.12121212121212122"/>
    <x v="0"/>
    <x v="2"/>
  </r>
  <r>
    <s v="JAN"/>
    <s v="PO-25000079"/>
    <s v="ห้างหุ้นส่วนจำกัด พศินสุข"/>
    <s v="แผ่นสติ๊กเกอร์แรงดัน 22000V"/>
    <n v="1000"/>
    <s v="EA"/>
    <n v="3"/>
    <n v="3000"/>
    <n v="2"/>
    <n v="1"/>
    <n v="1000"/>
    <n v="0.33333333333333331"/>
    <x v="0"/>
    <x v="2"/>
  </r>
  <r>
    <s v="JAN"/>
    <s v="PO-25000079"/>
    <s v="ห้างหุ้นส่วนจำกัด พศินสุข"/>
    <s v="แผ่นสติ๊กเกอร์แรงดัน 33000V"/>
    <n v="500"/>
    <s v="EA"/>
    <n v="3"/>
    <n v="1500"/>
    <n v="2"/>
    <n v="1"/>
    <n v="500"/>
    <n v="0.33333333333333331"/>
    <x v="0"/>
    <x v="2"/>
  </r>
  <r>
    <s v="JAN"/>
    <s v="PO-25000079"/>
    <s v="ห้างหุ้นส่วนจำกัด พศินสุข"/>
    <s v="แผ่นสติ๊กเกอร์แรงดัน 416/240V"/>
    <n v="1000"/>
    <s v="EA"/>
    <n v="3"/>
    <n v="3000"/>
    <n v="2"/>
    <n v="1"/>
    <n v="1000"/>
    <n v="0.33333333333333331"/>
    <x v="0"/>
    <x v="2"/>
  </r>
  <r>
    <s v="JAN"/>
    <s v="PO-25000079"/>
    <s v="ห้างหุ้นส่วนจำกัด พศินสุข"/>
    <s v="แผ่นสติ๊กเกอร์แรงดัน 24000V"/>
    <n v="1000"/>
    <s v="EA"/>
    <n v="3"/>
    <n v="3000"/>
    <n v="2"/>
    <n v="1"/>
    <n v="1000"/>
    <n v="0.33333333333333331"/>
    <x v="0"/>
    <x v="2"/>
  </r>
  <r>
    <s v="JAN"/>
    <s v="PO-25000079"/>
    <s v="ห้างหุ้นส่วนจำกัด พศินสุข"/>
    <s v="แผ่นสติ๊กเกอร์แรงดัน 400/230V"/>
    <n v="1000"/>
    <s v="EA"/>
    <n v="3"/>
    <n v="3000"/>
    <n v="2"/>
    <n v="1"/>
    <n v="1000"/>
    <n v="0.33333333333333331"/>
    <x v="0"/>
    <x v="2"/>
  </r>
  <r>
    <s v="JAN"/>
    <s v="PO-25000081"/>
    <s v="บริษัท ก้าวหน้า อินดัสทรีส์ แอนด์ เอ็นจิเนียริ่ง จำกัด"/>
    <s v="ติดตั้ง HANDAL Rtarty Screw Air Compressor Model : KHDD-22-8(30 HP)"/>
    <n v="1"/>
    <s v="JOB"/>
    <n v="417075"/>
    <n v="417075"/>
    <n v="351120"/>
    <n v="65955"/>
    <n v="65955"/>
    <n v="0.15813702571479948"/>
    <x v="0"/>
    <x v="2"/>
  </r>
  <r>
    <s v="JAN"/>
    <s v="PO-25000082"/>
    <s v="บริษัท ก้าวหน้า อินดัสทรีส์ แอนด์ เอ็นจิเนียริ่ง จำกัด"/>
    <s v="PIPE LINE &amp; ACCESSORIES "/>
    <n v="1"/>
    <s v="JOB"/>
    <n v="391020"/>
    <n v="391020"/>
    <n v="333660"/>
    <n v="57360"/>
    <n v="57360"/>
    <n v="0.14669326377167408"/>
    <x v="0"/>
    <x v="2"/>
  </r>
  <r>
    <s v="JAN"/>
    <s v="PO-25000083"/>
    <s v="บริษัท บางกอก เวลดิ้ง (ประเทศไทย) จำกัด"/>
    <s v="ลวดเชื่อมไฟฟ้า KR-3000 ขนาด 3.2 มม.(1/8&quot;x350mm) ยี่ห้อ kiswel"/>
    <n v="200"/>
    <s v="KG"/>
    <n v="95"/>
    <n v="19000"/>
    <n v="55"/>
    <n v="40"/>
    <n v="8000"/>
    <n v="0.42105263157894735"/>
    <x v="0"/>
    <x v="2"/>
  </r>
  <r>
    <s v="JAN"/>
    <s v="PO-25000086"/>
    <s v="บริษัท บ้านไฟฟ้า จำกัด"/>
    <s v="สายไฟ VSF Size 4 SQ.MM. (สีขาว)"/>
    <n v="5"/>
    <s v="Roll"/>
    <n v="2300"/>
    <n v="11500"/>
    <n v="2200"/>
    <n v="100"/>
    <n v="500"/>
    <n v="4.3478260869565216E-2"/>
    <x v="0"/>
    <x v="2"/>
  </r>
  <r>
    <s v="JAN"/>
    <s v="PO-25000086"/>
    <s v="บริษัท บ้านไฟฟ้า จำกัด"/>
    <s v="สายไฟ THW Size 6.0 SQ.MM. (สีเขียว-เหลือง แบบสายอ่อน)"/>
    <n v="5"/>
    <s v="Roll"/>
    <n v="4320"/>
    <n v="21600"/>
    <n v="3800"/>
    <n v="520"/>
    <n v="2600"/>
    <n v="0.12037037037037036"/>
    <x v="0"/>
    <x v="2"/>
  </r>
  <r>
    <s v="JAN"/>
    <s v="PO-25000086"/>
    <s v="บริษัท บ้านไฟฟ้า จำกัด"/>
    <s v="สายไฟ H07V-K 1*1.5 SQ.MM. GNYE (สีเขียวแถบเหลือง)"/>
    <n v="5"/>
    <s v="Roll"/>
    <n v="1320"/>
    <n v="6600"/>
    <n v="1300"/>
    <n v="20"/>
    <n v="100"/>
    <n v="1.5151515151515152E-2"/>
    <x v="0"/>
    <x v="2"/>
  </r>
  <r>
    <s v="JAN"/>
    <s v="PO-25000091"/>
    <s v="บริษัท เอ.แอล.เค.พรีซิชั่น เวอร์ค(1976) จำกัด"/>
    <s v="Regrind ลับคมใบมีด PUNCH"/>
    <n v="2"/>
    <s v="EA"/>
    <n v="1850"/>
    <n v="3700"/>
    <n v="1800"/>
    <n v="50"/>
    <n v="100"/>
    <n v="2.7027027027027029E-2"/>
    <x v="0"/>
    <x v="2"/>
  </r>
  <r>
    <s v="JAN"/>
    <s v="PO-25000091"/>
    <s v="บริษัท เอ.แอล.เค.พรีซิชั่น เวอร์ค(1976) จำกัด"/>
    <s v="Regrind ลับคมใบมีด DIE"/>
    <n v="2"/>
    <s v="EA"/>
    <n v="1850"/>
    <n v="3700"/>
    <n v="1500"/>
    <n v="350"/>
    <n v="700"/>
    <n v="0.1891891891891892"/>
    <x v="0"/>
    <x v="2"/>
  </r>
  <r>
    <s v="JAN"/>
    <s v="PO-25000091"/>
    <s v="บริษัท เอ.แอล.เค.พรีซิชั่น เวอร์ค(1976) จำกัด"/>
    <s v="Regrind ลับคมใบมีด SHEAR"/>
    <n v="8"/>
    <s v="EA"/>
    <n v="6500"/>
    <n v="52000"/>
    <n v="1925"/>
    <n v="4575"/>
    <n v="36600"/>
    <n v="0.7038461538461539"/>
    <x v="0"/>
    <x v="2"/>
  </r>
  <r>
    <s v="JAN"/>
    <s v="PO-25000091"/>
    <s v="บริษัท เอ.แอล.เค.พรีซิชั่น เวอร์ค(1976) จำกัด"/>
    <s v="Regrind ลับคมใบมีด V-NOTCH"/>
    <n v="8"/>
    <s v="EA"/>
    <n v="5000"/>
    <n v="40000"/>
    <n v="1725"/>
    <n v="3275"/>
    <n v="26200"/>
    <n v="0.65500000000000003"/>
    <x v="0"/>
    <x v="2"/>
  </r>
  <r>
    <s v="JAN"/>
    <s v="PO-25000092"/>
    <s v="บริษัท โกรเวล แอบเบรชีฟ (ไทยแลนด์) จำกัด"/>
    <s v="เม็ดทรายกลม SAE-S-230"/>
    <n v="500"/>
    <s v="KG"/>
    <n v="35"/>
    <n v="17500"/>
    <n v="33"/>
    <n v="2"/>
    <n v="1000"/>
    <n v="5.7142857142857141E-2"/>
    <x v="3"/>
    <x v="2"/>
  </r>
  <r>
    <s v="JAN"/>
    <s v="PO-25000117"/>
    <s v="ห้างหุ้นส่วนจำกัด สะพานสี่ สตีล โปรดักส์"/>
    <s v="งานแย็กสกัดฝาบ่อ Manhold คลังสินค้า เดิม"/>
    <n v="1"/>
    <s v="JOB"/>
    <n v="143000"/>
    <n v="143000"/>
    <n v="135000"/>
    <n v="8000"/>
    <n v="8000"/>
    <n v="5.5944055944055944E-2"/>
    <x v="1"/>
    <x v="2"/>
  </r>
  <r>
    <s v="JAN"/>
    <s v="PO-25000120"/>
    <s v="บริษัท ศรีราชามงคลชัย จำกัด"/>
    <s v="กาวน้ำ"/>
    <n v="12"/>
    <s v="EA"/>
    <n v="35"/>
    <n v="420"/>
    <n v="26"/>
    <n v="9"/>
    <n v="108"/>
    <n v="0.25714285714285712"/>
    <x v="0"/>
    <x v="2"/>
  </r>
  <r>
    <s v="JAN"/>
    <s v="PO-25000120"/>
    <s v="บริษัท ศรีราชามงคลชัย จำกัด"/>
    <s v="กระดาษทรายหนามเตย 5&quot; ไม่มีรู สีเหลือง SUMO#240 (1กล่อง=100ใบ)"/>
    <n v="6"/>
    <s v="BOX"/>
    <n v="650"/>
    <n v="3900"/>
    <n v="644"/>
    <n v="6"/>
    <n v="36"/>
    <n v="9.2307692307692316E-3"/>
    <x v="0"/>
    <x v="2"/>
  </r>
  <r>
    <s v="JAN"/>
    <s v="PO-25000123"/>
    <s v="บริษัท พิณ เอ็ม พาเลท จำกัด"/>
    <s v="ไม้สน ขนาด 20x150x1000มม."/>
    <n v="50"/>
    <s v="EA"/>
    <n v="95"/>
    <n v="4750"/>
    <n v="75"/>
    <n v="20"/>
    <n v="1000"/>
    <n v="0.21052631578947367"/>
    <x v="0"/>
    <x v="2"/>
  </r>
  <r>
    <s v="JAN"/>
    <s v="PO-25000124"/>
    <s v="บริษัท เอส พี พี อินดัสเตรียลรับเบอร์ จำกัด"/>
    <s v="ยางรองขอบ Cable Box #2090201"/>
    <n v="800"/>
    <s v="Metre"/>
    <n v="165"/>
    <n v="132000"/>
    <n v="110"/>
    <n v="55"/>
    <n v="44000"/>
    <n v="0.33333333333333331"/>
    <x v="0"/>
    <x v="2"/>
  </r>
  <r>
    <s v="JAN"/>
    <s v="PO-25000126"/>
    <s v="ห้างหุ้นส่วนจำกัด เอ็ม.เอ็น. อีเล็คทริค ซัพพลาย"/>
    <s v=" Q010015000 สายไฟ VSF Size 1.5 SQ.MM.(สีขาว)"/>
    <n v="60"/>
    <s v="Roll"/>
    <n v="890"/>
    <n v="53400"/>
    <n v="875"/>
    <n v="15"/>
    <n v="900"/>
    <n v="1.6853932584269662E-2"/>
    <x v="0"/>
    <x v="2"/>
  </r>
  <r>
    <s v="JAN"/>
    <s v="PO-25000127"/>
    <s v="บริษัท ไทยสเปเชี่ยลแก๊ส จำกัด"/>
    <s v="ก๊าซ อาร์กอน 80% co2 20%"/>
    <n v="60"/>
    <s v="ถัง"/>
    <n v="1425"/>
    <n v="85500"/>
    <n v="1050"/>
    <n v="375"/>
    <n v="22500"/>
    <n v="0.26315789473684209"/>
    <x v="0"/>
    <x v="2"/>
  </r>
  <r>
    <s v="JAN"/>
    <s v="PO-25000130"/>
    <s v="บริษัท เดลล์ คอร์ปอเรชั่น (ประเทศไทย) จำกัด"/>
    <s v="Dell Latitude 3450, XCTO [i5]"/>
    <n v="4"/>
    <s v="EA"/>
    <n v="24000"/>
    <n v="96000"/>
    <n v="23500"/>
    <n v="500"/>
    <n v="2000"/>
    <n v="2.0833333333333332E-2"/>
    <x v="1"/>
    <x v="2"/>
  </r>
  <r>
    <s v="JAN"/>
    <s v="PO-25000130"/>
    <s v="บริษัท เดลล์ คอร์ปอเรชั่น (ประเทศไทย) จำกัด"/>
    <s v="Dell Latitude 3450, XCTO [i7]"/>
    <n v="2"/>
    <s v="EA"/>
    <n v="29000"/>
    <n v="58000"/>
    <n v="28700"/>
    <n v="300"/>
    <n v="600"/>
    <n v="1.0344827586206896E-2"/>
    <x v="1"/>
    <x v="2"/>
  </r>
  <r>
    <s v="JAN"/>
    <s v="PO-25000131"/>
    <s v="บริษัท เดลล์ คอร์ปอเรชั่น (ประเทศไทย) จำกัด"/>
    <s v="OptiPlex Small Form Factor 7020 XCTO [i5]"/>
    <n v="3"/>
    <s v="EA"/>
    <n v="23000"/>
    <n v="69000"/>
    <n v="22000"/>
    <n v="1000"/>
    <n v="3000"/>
    <n v="4.3478260869565216E-2"/>
    <x v="1"/>
    <x v="2"/>
  </r>
  <r>
    <s v="JAN"/>
    <s v="PO-25000131"/>
    <s v="บริษัท เดลล์ คอร์ปอเรชั่น (ประเทศไทย) จำกัด"/>
    <s v="Dell 22 Monitor - E2225H -ขนาด 22 นิ้ว"/>
    <n v="6"/>
    <s v="EA"/>
    <n v="3500"/>
    <n v="21000"/>
    <n v="3300"/>
    <n v="200"/>
    <n v="1200"/>
    <n v="5.7142857142857141E-2"/>
    <x v="1"/>
    <x v="2"/>
  </r>
  <r>
    <s v="JAN"/>
    <s v="PO-25000133"/>
    <s v="บริษัท เอเบิล ซัคเซส จำกัด"/>
    <s v="Autodesk Produck Design &amp; Manufacturing Collection IC Commer"/>
    <n v="8"/>
    <s v="EA"/>
    <n v="89000"/>
    <n v="712000"/>
    <n v="77500"/>
    <n v="11500"/>
    <n v="92000"/>
    <n v="0.12921348314606743"/>
    <x v="1"/>
    <x v="2"/>
  </r>
  <r>
    <s v="JAN"/>
    <s v="PO-25000133"/>
    <s v="บริษัท เอเบิล ซัคเซส จำกัด"/>
    <s v="ZWCAD Standard 2025 Standalone License (CAD 2D) Training ( 5"/>
    <n v="5"/>
    <s v="EA"/>
    <n v="32900"/>
    <n v="164500"/>
    <n v="30000"/>
    <n v="2900"/>
    <n v="14500"/>
    <n v="8.8145896656534953E-2"/>
    <x v="1"/>
    <x v="2"/>
  </r>
  <r>
    <s v="JAN"/>
    <s v="PO-25000134"/>
    <s v="บริษัท พี เอ็น เทค จำกัด"/>
    <s v="EQUIPMENT PRODUCT - MANUAL PUSH STATION (FMM)"/>
    <n v="1"/>
    <s v="JOB"/>
    <n v="343500"/>
    <n v="343500"/>
    <m/>
    <n v="343500"/>
    <n v="343500"/>
    <n v="1"/>
    <x v="1"/>
    <x v="2"/>
  </r>
  <r>
    <s v="JAN"/>
    <s v="PO-25000165"/>
    <s v="บริษัท เอ วี เอ เอ็นจิเนียริ่ง เซอร์วิส จำกัด"/>
    <s v="แกนทองแดง 12 มม. เบอร์ 1"/>
    <n v="501"/>
    <s v="EA"/>
    <n v="147"/>
    <n v="73647"/>
    <n v="136"/>
    <n v="11"/>
    <n v="5511"/>
    <n v="7.4829931972789115E-2"/>
    <x v="1"/>
    <x v="0"/>
  </r>
  <r>
    <s v="JAN"/>
    <s v="PO-25000165"/>
    <s v="บริษัท เอ วี เอ เอ็นจิเนียริ่ง เซอร์วิส จำกัด"/>
    <s v="แกนทองแดง 30 มม. เบอร์ 3"/>
    <n v="493"/>
    <s v="EA"/>
    <n v="1100"/>
    <n v="542300"/>
    <n v="1070"/>
    <n v="30"/>
    <n v="14790"/>
    <n v="2.7272727272727271E-2"/>
    <x v="1"/>
    <x v="0"/>
  </r>
  <r>
    <s v="JAN"/>
    <s v="PO-25000165"/>
    <s v="บริษัท เอ วี เอ เอ็นจิเนียริ่ง เซอร์วิส จำกัด"/>
    <s v="แหวนหนา แกน 30 มม."/>
    <n v="473"/>
    <s v="EA"/>
    <n v="185"/>
    <n v="87505"/>
    <n v="180"/>
    <n v="5"/>
    <n v="2365"/>
    <n v="2.7027027027027029E-2"/>
    <x v="1"/>
    <x v="0"/>
  </r>
  <r>
    <s v="JAN"/>
    <s v="PO-25000165"/>
    <s v="บริษัท เอ วี เอ เอ็นจิเนียริ่ง เซอร์วิส จำกัด"/>
    <s v="หางปลาแรงต่ำแบบบาร์ 4 รู แกน 30 มม. (PEA)"/>
    <n v="300"/>
    <s v="EA"/>
    <n v="885"/>
    <n v="265500"/>
    <n v="865"/>
    <n v="20"/>
    <n v="6000"/>
    <n v="2.2598870056497175E-2"/>
    <x v="1"/>
    <x v="0"/>
  </r>
  <r>
    <s v="JAN"/>
    <s v="PO-25000170"/>
    <s v=" บริษัท เอ็น.เอช.เค.สตีล จำกัด"/>
    <s v="Cold Rolled Steel Sheet (SPCC-SD) "/>
    <n v="12000"/>
    <s v="KG"/>
    <n v="29.8"/>
    <n v="357600"/>
    <n v="28"/>
    <n v="1.8000000000000007"/>
    <n v="21600.000000000007"/>
    <n v="6.0402684563758413E-2"/>
    <x v="0"/>
    <x v="0"/>
  </r>
  <r>
    <s v="JAN"/>
    <s v="PO-25000190"/>
    <s v="บริษัท เซาท์อีสไทยแลนด์ จำกัด"/>
    <s v="Insulating Supports แรงสูง36kV  “Georg Jordan type CA30N”"/>
    <n v="5"/>
    <s v="EA"/>
    <n v="2800"/>
    <n v="14000"/>
    <n v="2625"/>
    <n v="175"/>
    <n v="875"/>
    <n v="6.25E-2"/>
    <x v="0"/>
    <x v="1"/>
  </r>
  <r>
    <s v="JAN"/>
    <s v="PO-25000212"/>
    <s v="บริษัท เมทสัน เพาเวอร์ (ประเทศไทย) จำกัด"/>
    <s v="น้ำมัน Synthetic Ester  ยี่ห้อ MIDEL 7131"/>
    <n v="3000"/>
    <s v="ลิตร"/>
    <n v="313"/>
    <n v="939000"/>
    <n v="311"/>
    <n v="2"/>
    <n v="6000"/>
    <n v="6.3897763578274758E-3"/>
    <x v="1"/>
    <x v="1"/>
  </r>
  <r>
    <s v="JAN"/>
    <s v="PO-25000213"/>
    <s v="บริษัท สหมิตรไวร์ แอนด์ เคเบิ้ล จำกัด"/>
    <s v="ลวดแบนหุ้มกระดาษหนา 0.5 มม. "/>
    <n v="849"/>
    <s v="KG"/>
    <n v="378"/>
    <n v="320922"/>
    <n v="348"/>
    <n v="30"/>
    <n v="25470"/>
    <n v="7.9365079365079361E-2"/>
    <x v="0"/>
    <x v="1"/>
  </r>
  <r>
    <s v="JAN"/>
    <s v="PO-25000225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"/>
    <n v="15.5"/>
    <n v="3100"/>
    <n v="14.76"/>
    <n v="0.74000000000000021"/>
    <n v="148.00000000000006"/>
    <n v="4.7741935483870984E-2"/>
    <x v="0"/>
    <x v="1"/>
  </r>
  <r>
    <s v="JAN"/>
    <s v="PO-25000229"/>
    <s v="บริษัท สหมิตรไวร์ แอนด์ เคเบิ้ล จำกัด"/>
    <s v="ลวดแบนหุ้มกระดาษหนา 0.5 มม."/>
    <n v="1120"/>
    <s v="KG"/>
    <n v="378"/>
    <n v="423360"/>
    <n v="348"/>
    <n v="30"/>
    <n v="33600"/>
    <n v="7.9365079365079361E-2"/>
    <x v="0"/>
    <x v="1"/>
  </r>
  <r>
    <s v="JAN"/>
    <s v="PO-25000230"/>
    <s v="Wuhu Zhongyuan Import and Export Co.,Ltd"/>
    <s v="Fabrication cost for Copper foil"/>
    <n v="21530"/>
    <s v="KG"/>
    <n v="29.75"/>
    <n v="640517.5"/>
    <n v="27.13"/>
    <n v="2.620000000000001"/>
    <n v="56408.60000000002"/>
    <n v="8.8067226890756342E-2"/>
    <x v="0"/>
    <x v="1"/>
  </r>
  <r>
    <s v="JAN"/>
    <s v="PO-25000227"/>
    <s v="บริษัท บางกอกแม็กเน็ตไวร์ จำกัด"/>
    <s v="ลวดกลมอาบน้ำยา ขนาด 1.50 มม."/>
    <n v="4753"/>
    <s v="KG"/>
    <n v="5"/>
    <n v="23765"/>
    <n v="0"/>
    <n v="5"/>
    <n v="23765"/>
    <n v="1"/>
    <x v="1"/>
    <x v="1"/>
  </r>
  <r>
    <s v="JAN"/>
    <s v="PO-24003120"/>
    <s v="TMC TRANSFORMERS S.P.A."/>
    <s v="Freight Cost "/>
    <n v="1"/>
    <s v="JOB"/>
    <n v="36750"/>
    <n v="36750"/>
    <n v="33250"/>
    <n v="3500"/>
    <n v="3500"/>
    <n v="9.5238095238095233E-2"/>
    <x v="1"/>
    <x v="1"/>
  </r>
  <r>
    <s v="JAN"/>
    <s v="PO-25000245"/>
    <s v="บริษัท เซาท์อีสไทยแลนด์ จำกัด"/>
    <s v="Insulating Supports แรงสูง24kV ยี่ห้อ GEORG JORDRN"/>
    <n v="20"/>
    <s v="EA"/>
    <n v="1600"/>
    <n v="32000"/>
    <n v="1470"/>
    <n v="130"/>
    <n v="2600"/>
    <n v="8.1250000000000003E-2"/>
    <x v="0"/>
    <x v="1"/>
  </r>
  <r>
    <s v="JAN"/>
    <s v="PO-25000241"/>
    <s v="บริษัท เอ วี เอ เอ็นจิเนียริ่ง เซอร์วิส จำกัด"/>
    <s v="คลับทองเหลือง แกนแรงต่ำขนาด 20 มม. เบอร์ 2"/>
    <n v="490"/>
    <s v="EA"/>
    <n v="106"/>
    <n v="51940"/>
    <n v="104"/>
    <n v="2"/>
    <n v="980"/>
    <n v="1.8867924528301886E-2"/>
    <x v="1"/>
    <x v="0"/>
  </r>
  <r>
    <s v="JAN"/>
    <s v="PO-25000240"/>
    <s v="บริษัท เอ วี เอ เอ็นจิเนียริ่ง เซอร์วิส จำกัด"/>
    <s v="แกนแรงสูง ขนาด 12 มม. ผลิตจากกระบวนการ Forging (รูเข้าสายขนา"/>
    <n v="1600"/>
    <s v="EA"/>
    <n v="92"/>
    <n v="147200"/>
    <n v="87"/>
    <n v="5"/>
    <n v="8000"/>
    <n v="5.434782608695652E-2"/>
    <x v="1"/>
    <x v="0"/>
  </r>
  <r>
    <s v="JAN"/>
    <s v="PO-25000240"/>
    <s v="บริษัท เอ วี เอ เอ็นจิเนียริ่ง เซอร์วิส จำกัด"/>
    <s v="หัวน็อตทองเหลืองชุบ แกน 20 มม. เบอร์ 2"/>
    <n v="471"/>
    <s v="EA"/>
    <n v="48"/>
    <n v="22608"/>
    <n v="47"/>
    <n v="1"/>
    <n v="471"/>
    <n v="2.0833333333333332E-2"/>
    <x v="1"/>
    <x v="0"/>
  </r>
  <r>
    <s v="JAN"/>
    <s v="PO-25000240"/>
    <s v="บริษัท เอ วี เอ เอ็นจิเนียริ่ง เซอร์วิส จำกัด"/>
    <s v="Lock nut ทองเหลือง แกน 20 มม. เบอร์ 2 แบบบาง"/>
    <n v="477"/>
    <s v="EA"/>
    <n v="32"/>
    <n v="15264"/>
    <n v="31"/>
    <n v="1"/>
    <n v="477"/>
    <n v="3.125E-2"/>
    <x v="1"/>
    <x v="0"/>
  </r>
  <r>
    <s v="JAN"/>
    <s v="PO-25000240"/>
    <s v="บริษัท เอ วี เอ เอ็นจิเนียริ่ง เซอร์วิส จำกัด"/>
    <s v="แหวนหนา แกน 20 มม."/>
    <n v="481"/>
    <s v="EA"/>
    <n v="77"/>
    <n v="37037"/>
    <n v="75"/>
    <n v="2"/>
    <n v="962"/>
    <n v="2.5974025974025976E-2"/>
    <x v="1"/>
    <x v="0"/>
  </r>
  <r>
    <s v="JAN"/>
    <s v="PO-25000240"/>
    <s v="บริษัท เอ วี เอ เอ็นจิเนียริ่ง เซอร์วิส จำกัด"/>
    <s v="แหวนบาง แกน 20 มม."/>
    <n v="451"/>
    <s v="EA"/>
    <n v="44"/>
    <n v="19844"/>
    <n v="43"/>
    <n v="1"/>
    <n v="451"/>
    <n v="2.2727272727272728E-2"/>
    <x v="1"/>
    <x v="0"/>
  </r>
  <r>
    <s v="JAN"/>
    <s v="PO-25000240"/>
    <s v="บริษัท เอ วี เอ เอ็นจิเนียริ่ง เซอร์วิส จำกัด"/>
    <s v="หางปลาแรงต่ำแบบบาร์ 4 รู แกน 20 มม. (PEA)"/>
    <n v="300"/>
    <s v="EA"/>
    <n v="665"/>
    <n v="199500"/>
    <n v="650"/>
    <n v="15"/>
    <n v="4500"/>
    <n v="2.2556390977443608E-2"/>
    <x v="1"/>
    <x v="0"/>
  </r>
  <r>
    <s v="JAN"/>
    <s v="PO-25000240"/>
    <s v="บริษัท เอ วี เอ เอ็นจิเนียริ่ง เซอร์วิส จำกัด"/>
    <s v="คลับทองเหลือง แกนแรงต่ำขนาด 12 มม. เบอร์ 1"/>
    <n v="402"/>
    <s v="EA"/>
    <n v="36"/>
    <n v="14472"/>
    <n v="35"/>
    <n v="1"/>
    <n v="402"/>
    <n v="2.7777777777777776E-2"/>
    <x v="1"/>
    <x v="0"/>
  </r>
  <r>
    <s v="JAN"/>
    <s v="PO-25000240"/>
    <s v="บริษัท เอ วี เอ เอ็นจิเนียริ่ง เซอร์วิส จำกัด"/>
    <s v="หัวน็อตทองเหลืองชุบ แกน 30 มม. เบอร์ 3"/>
    <n v="433"/>
    <s v="EA"/>
    <n v="115"/>
    <n v="49795"/>
    <n v="112"/>
    <n v="3"/>
    <n v="1299"/>
    <n v="2.6086956521739129E-2"/>
    <x v="1"/>
    <x v="0"/>
  </r>
  <r>
    <s v="JAN"/>
    <s v="PO-25000240"/>
    <s v="บริษัท เอ วี เอ เอ็นจิเนียริ่ง เซอร์วิส จำกัด"/>
    <s v="แหวนหนา แกน 12 มม."/>
    <n v="417"/>
    <s v="EA"/>
    <n v="46"/>
    <n v="19182"/>
    <n v="45"/>
    <n v="1"/>
    <n v="417"/>
    <n v="2.1739130434782608E-2"/>
    <x v="1"/>
    <x v="0"/>
  </r>
  <r>
    <s v="JAN"/>
    <s v="PO-25000240"/>
    <s v="บริษัท เอ วี เอ เอ็นจิเนียริ่ง เซอร์วิส จำกัด"/>
    <s v="แหวนหนา แกน 42 มม."/>
    <n v="201"/>
    <s v="EA"/>
    <n v="310"/>
    <n v="62310"/>
    <n v="300"/>
    <n v="10"/>
    <n v="2010"/>
    <n v="3.2258064516129031E-2"/>
    <x v="1"/>
    <x v="0"/>
  </r>
  <r>
    <s v="JAN"/>
    <s v="PO-25000240"/>
    <s v="บริษัท เอ วี เอ เอ็นจิเนียริ่ง เซอร์วิส จำกัด"/>
    <s v="แหวนบาง แกน 42 มม."/>
    <n v="201"/>
    <s v="EA"/>
    <n v="178"/>
    <n v="35778"/>
    <n v="175"/>
    <n v="3"/>
    <n v="603"/>
    <n v="1.6853932584269662E-2"/>
    <x v="1"/>
    <x v="0"/>
  </r>
  <r>
    <s v="JAN"/>
    <s v="PO-25000240"/>
    <s v="บริษัท เอ วี เอ เอ็นจิเนียริ่ง เซอร์วิส จำกัด"/>
    <s v="คลับทองเหลือง แกนแรงต่ำขนาด 30 มม. เบอร์ 3 (2รู)"/>
    <n v="463"/>
    <s v="EA"/>
    <n v="475"/>
    <n v="219925"/>
    <n v="465"/>
    <n v="10"/>
    <n v="4630"/>
    <n v="2.1052631578947368E-2"/>
    <x v="1"/>
    <x v="0"/>
  </r>
  <r>
    <s v="JAN"/>
    <s v="PO-25000156"/>
    <s v="ห้างหุ้นส่วนจำกัด สะพานสี่ สตีล โปรดักส์"/>
    <s v="งานเทพื้นคอนกรีตด้านนอกอาคาร หนา 0.125 ม."/>
    <n v="1"/>
    <s v="JOB"/>
    <n v="632922"/>
    <n v="632922"/>
    <n v="625000"/>
    <n v="7922"/>
    <n v="7922"/>
    <n v="1.2516550222618269E-2"/>
    <x v="1"/>
    <x v="2"/>
  </r>
  <r>
    <s v="JAN"/>
    <s v="PO-25000173"/>
    <s v="บริษัท ซีพีแอล กรุ๊ป จำกัด (มหาชน)"/>
    <s v="ถุงมือโพลีเอสเตอร์เคลือบ PU สีขาว #S"/>
    <n v="830"/>
    <s v="EA"/>
    <n v="16"/>
    <n v="13280"/>
    <n v="15"/>
    <n v="1"/>
    <n v="830"/>
    <n v="6.25E-2"/>
    <x v="3"/>
    <x v="2"/>
  </r>
  <r>
    <s v="JAN"/>
    <s v="PO-25000176"/>
    <s v="บริษัท เอ.แอล.เค.พรีซิชั่น เวอร์ค(1976) จำกัด"/>
    <s v="Regrind ลับคมใบมีด PUNCH (MTM)"/>
    <n v="2"/>
    <s v="EA"/>
    <n v="1850"/>
    <n v="3700"/>
    <n v="1800"/>
    <n v="50"/>
    <n v="100"/>
    <n v="2.7027027027027029E-2"/>
    <x v="0"/>
    <x v="2"/>
  </r>
  <r>
    <s v="JAN"/>
    <s v="PO-25000176"/>
    <s v="บริษัท เอ.แอล.เค.พรีซิชั่น เวอร์ค(1976) จำกัด"/>
    <s v="Regrind ลับคมใบมีด DIE (MTM)"/>
    <n v="2"/>
    <s v="EA"/>
    <n v="1850"/>
    <n v="3700"/>
    <n v="1500"/>
    <n v="350"/>
    <n v="700"/>
    <n v="0.1891891891891892"/>
    <x v="0"/>
    <x v="2"/>
  </r>
  <r>
    <s v="JAN"/>
    <s v="PO-25000181"/>
    <s v="บริษัท ไทยพัฒนสิน (จิ้นเส็ง 2000) จำกัด"/>
    <s v="KOBE เครื่องเจียรลม GDA2206L (KBE-270-2020H)"/>
    <n v="3"/>
    <s v="EA"/>
    <n v="4300"/>
    <n v="12900"/>
    <n v="3562.5"/>
    <n v="737.5"/>
    <n v="2212.5"/>
    <n v="0.17151162790697674"/>
    <x v="0"/>
    <x v="2"/>
  </r>
  <r>
    <s v="JAN"/>
    <s v="PO-25000181"/>
    <s v="บริษัท ไทยพัฒนสิน (จิ้นเส็ง 2000) จำกัด"/>
    <s v="SANKI บันได 5ชั้น LD-SKT05"/>
    <n v="3"/>
    <s v="EA"/>
    <n v="2490"/>
    <n v="7470"/>
    <n v="1750"/>
    <n v="740"/>
    <n v="2220"/>
    <n v="0.2971887550200803"/>
    <x v="0"/>
    <x v="2"/>
  </r>
  <r>
    <s v="JAN"/>
    <s v="PO-25000182"/>
    <s v="บริษัท ศรีราชามงคลชัย จำกัด"/>
    <s v="โฮลซอ เจาะสแตนเลส/เหล็ก TCT 22 มม. BOSCH"/>
    <n v="5"/>
    <s v="EA"/>
    <n v="599"/>
    <n v="2995"/>
    <n v="515"/>
    <n v="84"/>
    <n v="420"/>
    <n v="0.14023372287145242"/>
    <x v="0"/>
    <x v="2"/>
  </r>
  <r>
    <s v="JAN"/>
    <s v="PO-25000182"/>
    <s v="บริษัท ศรีราชามงคลชัย จำกัด"/>
    <s v="โฮลซอ เจาะสแตนเลส/เหล็ก TCT 32 มม. BOSCH"/>
    <n v="5"/>
    <s v="EA"/>
    <n v="750"/>
    <n v="3750"/>
    <n v="711"/>
    <n v="39"/>
    <n v="195"/>
    <n v="5.1999999999999998E-2"/>
    <x v="0"/>
    <x v="2"/>
  </r>
  <r>
    <s v="JAN"/>
    <s v="PO-25000198"/>
    <s v="บริษัท สมาพันธ์เทคโนโลยี จำกัด"/>
    <s v="iPad Gen 9 (2021) Wi-Fi 64GB (สี Space Gray)"/>
    <n v="3"/>
    <s v="EA"/>
    <n v="10500"/>
    <n v="31500"/>
    <n v="10200"/>
    <n v="300"/>
    <n v="900"/>
    <n v="2.8571428571428571E-2"/>
    <x v="0"/>
    <x v="2"/>
  </r>
  <r>
    <s v="JAN"/>
    <s v="PO-25000198"/>
    <s v="บริษัท สมาพันธ์เทคโนโลยี จำกัด"/>
    <s v="Apple Pencil (รุ่นที่ 1)"/>
    <n v="3"/>
    <s v="EA"/>
    <n v="3900"/>
    <n v="11700"/>
    <n v="3500"/>
    <n v="400"/>
    <n v="1200"/>
    <n v="0.10256410256410256"/>
    <x v="0"/>
    <x v="2"/>
  </r>
  <r>
    <s v="JAN"/>
    <s v="PO-25000199"/>
    <s v="บริษัท อมตะ เมดิแคร์ จำกัด"/>
    <s v="Glass Syringe DGA 50 CC.Metal LuerLock ติดเบอร์3-way stop cock"/>
    <n v="100"/>
    <s v="EA"/>
    <n v="1400"/>
    <n v="140000"/>
    <n v="1200"/>
    <n v="200"/>
    <n v="20000"/>
    <n v="0.14285714285714285"/>
    <x v="1"/>
    <x v="2"/>
  </r>
  <r>
    <s v="JAN"/>
    <s v="PO-25000228"/>
    <s v="บริษัท เอ.แอล.เค.พรีซิชั่น เวอร์ค(1976) จำกัด"/>
    <s v="Regrind ลับคมใบมีด PUNCH (Ecoline2)"/>
    <n v="1"/>
    <s v="EA"/>
    <n v="1850"/>
    <n v="1850"/>
    <n v="1800"/>
    <n v="50"/>
    <n v="50"/>
    <n v="2.7027027027027029E-2"/>
    <x v="0"/>
    <x v="2"/>
  </r>
  <r>
    <s v="JAN"/>
    <s v="PO-25000228"/>
    <s v="บริษัท เอ.แอล.เค.พรีซิชั่น เวอร์ค(1976) จำกัด"/>
    <s v="Regrind ลับคมใบมีด DIE (Ecoline2)"/>
    <n v="1"/>
    <s v="EA"/>
    <n v="1850"/>
    <n v="1850"/>
    <n v="1500"/>
    <n v="350"/>
    <n v="350"/>
    <n v="0.1891891891891892"/>
    <x v="0"/>
    <x v="2"/>
  </r>
  <r>
    <s v="JAN"/>
    <s v="PO-25000232"/>
    <s v="บริษัท ศรีราชามงคลชัย จำกัด"/>
    <s v="พลาสติกใส ตราช้าง 0.03 มม. x 54 นิ้ว x 15 หลา"/>
    <n v="100"/>
    <s v="Roll"/>
    <n v="180"/>
    <n v="18000"/>
    <n v="70"/>
    <n v="110"/>
    <n v="11000"/>
    <n v="0.61111111111111116"/>
    <x v="0"/>
    <x v="2"/>
  </r>
  <r>
    <s v="JAN"/>
    <s v="PO-25000232"/>
    <s v="บริษัท ศรีราชามงคลชัย จำกัด"/>
    <s v="Cable tie ขนาด 10&quot; สีขาว"/>
    <n v="2000"/>
    <s v="EA"/>
    <n v="1.5"/>
    <n v="3000"/>
    <n v="1.31"/>
    <n v="0.18999999999999995"/>
    <n v="379.99999999999989"/>
    <n v="0.12666666666666662"/>
    <x v="0"/>
    <x v="2"/>
  </r>
  <r>
    <s v="JAN"/>
    <s v="PO-25000233"/>
    <s v="บริษัท ตัน แอนด์ ซันส์ จำกัด"/>
    <s v="Fiber glass banding tape size 0.30mm. x 40mm. (100 metre/rol"/>
    <n v="2000"/>
    <s v="Metre"/>
    <n v="22.5"/>
    <n v="45000"/>
    <n v="21.375"/>
    <n v="1.125"/>
    <n v="2250"/>
    <n v="0.05"/>
    <x v="3"/>
    <x v="2"/>
  </r>
  <r>
    <s v="JAN"/>
    <s v="PO-25000247"/>
    <s v="บริษัท สมาพันธ์เทคโนโลยี จำกัด"/>
    <s v="Portable Monitor 15.6'' VIEWSONIC TD1655 - (IPS, USB-C, S"/>
    <n v="1"/>
    <s v="EA"/>
    <n v="8400"/>
    <n v="8400"/>
    <n v="8100"/>
    <n v="300"/>
    <n v="300"/>
    <n v="3.5714285714285712E-2"/>
    <x v="0"/>
    <x v="2"/>
  </r>
  <r>
    <s v="JAN"/>
    <s v="PO-25000271"/>
    <s v="บริษัท เอ วี เอ เอ็นจิเนียริ่ง เซอร์วิส จำกัด"/>
    <s v="คลับทองเหลือง แกนแรงต่ำขนาด 42 มม. เบอร์ 4"/>
    <n v="180"/>
    <s v="EA"/>
    <n v="965"/>
    <n v="173700"/>
    <n v="940"/>
    <n v="25"/>
    <n v="4500"/>
    <n v="2.5906735751295335E-2"/>
    <x v="1"/>
    <x v="0"/>
  </r>
  <r>
    <s v="JAN"/>
    <s v="PO-25000271"/>
    <s v="บริษัท เอ วี เอ เอ็นจิเนียริ่ง เซอร์วิส จำกัด"/>
    <s v="หัวน็อตทองเหลืองชุบ แกน 12 มม. เบอร์ 1"/>
    <n v="5000"/>
    <s v="EA"/>
    <n v="11"/>
    <n v="55000"/>
    <n v="10.5"/>
    <n v="0.5"/>
    <n v="2500"/>
    <n v="4.5454545454545456E-2"/>
    <x v="1"/>
    <x v="0"/>
  </r>
  <r>
    <s v="JAN"/>
    <s v="PO-25000271"/>
    <s v="บริษัท เอ วี เอ เอ็นจิเนียริ่ง เซอร์วิส จำกัด"/>
    <s v="หัวน๊อตทองเหลือง ขนาด 20 มม."/>
    <n v="1000"/>
    <s v="EA"/>
    <n v="48"/>
    <n v="48000"/>
    <n v="45"/>
    <n v="3"/>
    <n v="3000"/>
    <n v="6.25E-2"/>
    <x v="1"/>
    <x v="0"/>
  </r>
  <r>
    <s v="JAN"/>
    <s v="PO-25000271"/>
    <s v="บริษัท เอ วี เอ เอ็นจิเนียริ่ง เซอร์วิส จำกัด"/>
    <s v="หัวน็อตทองเหลืองชุบ แกน 42 มม. เบอร์ 4"/>
    <n v="200"/>
    <s v="EA"/>
    <n v="230"/>
    <n v="46000"/>
    <n v="225"/>
    <n v="5"/>
    <n v="1000"/>
    <n v="2.1739130434782608E-2"/>
    <x v="1"/>
    <x v="0"/>
  </r>
  <r>
    <s v="JAN"/>
    <s v="PO-25000271"/>
    <s v="บริษัท เอ วี เอ เอ็นจิเนียริ่ง เซอร์วิส จำกัด"/>
    <s v="หัวน็อตทองเหลืองชุบ แกน 48 มม. เบอร์ 5"/>
    <n v="119"/>
    <s v="EA"/>
    <n v="410"/>
    <n v="48790"/>
    <n v="400"/>
    <n v="10"/>
    <n v="1190"/>
    <n v="2.4390243902439025E-2"/>
    <x v="1"/>
    <x v="0"/>
  </r>
  <r>
    <s v="JAN"/>
    <s v="PO-25000271"/>
    <s v="บริษัท เอ วี เอ เอ็นจิเนียริ่ง เซอร์วิส จำกัด"/>
    <s v="แหวนหนา แกน 48 มม."/>
    <n v="123"/>
    <s v="EA"/>
    <n v="395"/>
    <n v="48585"/>
    <n v="385"/>
    <n v="10"/>
    <n v="1230"/>
    <n v="2.5316455696202531E-2"/>
    <x v="1"/>
    <x v="0"/>
  </r>
  <r>
    <s v="JAN"/>
    <s v="PO-25000271"/>
    <s v="บริษัท เอ วี เอ เอ็นจิเนียริ่ง เซอร์วิส จำกัด"/>
    <s v="แหวนบาง แกน 12 มม."/>
    <n v="387"/>
    <s v="EA"/>
    <n v="34"/>
    <n v="13158"/>
    <n v="33"/>
    <n v="1"/>
    <n v="387"/>
    <n v="2.9411764705882353E-2"/>
    <x v="1"/>
    <x v="0"/>
  </r>
  <r>
    <s v="JAN"/>
    <s v="PO-25000271"/>
    <s v="บริษัท เอ วี เอ เอ็นจิเนียริ่ง เซอร์วิส จำกัด"/>
    <s v="แหวนบาง แกน 30 มม."/>
    <n v="453"/>
    <s v="EA"/>
    <n v="82"/>
    <n v="37146"/>
    <n v="80"/>
    <n v="2"/>
    <n v="906"/>
    <n v="2.4390243902439025E-2"/>
    <x v="1"/>
    <x v="0"/>
  </r>
  <r>
    <s v="JAN"/>
    <s v="PO-25000271"/>
    <s v="บริษัท เอ วี เอ เอ็นจิเนียริ่ง เซอร์วิส จำกัด"/>
    <s v="แหวนบาง แกน 48 มม."/>
    <n v="133"/>
    <s v="EA"/>
    <n v="195"/>
    <n v="25935"/>
    <n v="190"/>
    <n v="5"/>
    <n v="665"/>
    <n v="2.564102564102564E-2"/>
    <x v="1"/>
    <x v="0"/>
  </r>
  <r>
    <s v="JAN"/>
    <s v="PO-25000271"/>
    <s v="บริษัท เอ วี เอ เอ็นจิเนียริ่ง เซอร์วิส จำกัด"/>
    <s v="คลับทองเหลือง แกนแรงต่ำขนาด 48 มม.เบอร์ 5 (เจาะ4รูขนาด22mm.)"/>
    <n v="60"/>
    <s v="EA"/>
    <n v="1100"/>
    <n v="66000"/>
    <n v="1070"/>
    <n v="30"/>
    <n v="1800"/>
    <n v="2.7272727272727271E-2"/>
    <x v="1"/>
    <x v="0"/>
  </r>
  <r>
    <s v="JAN"/>
    <s v="PO-25000271"/>
    <s v="บริษัท เอ วี เอ เอ็นจิเนียริ่ง เซอร์วิส จำกัด"/>
    <s v="แกนทองแดง 58 มม. เบอร์ 6 (บากแกน)"/>
    <n v="70"/>
    <s v="EA"/>
    <n v="5630"/>
    <n v="394100"/>
    <n v="5490"/>
    <n v="140"/>
    <n v="9800"/>
    <n v="2.4866785079928951E-2"/>
    <x v="1"/>
    <x v="0"/>
  </r>
  <r>
    <s v="JAN"/>
    <s v="PO-25000271"/>
    <s v="บริษัท เอ วี เอ เอ็นจิเนียริ่ง เซอร์วิส จำกัด"/>
    <s v="หัวน็อตทองเหลืองชุบ แกน 58 มม. เบอร์ 6"/>
    <n v="50"/>
    <s v="EA"/>
    <n v="580"/>
    <n v="29000"/>
    <n v="565"/>
    <n v="15"/>
    <n v="750"/>
    <n v="2.5862068965517241E-2"/>
    <x v="1"/>
    <x v="0"/>
  </r>
  <r>
    <s v="JAN"/>
    <s v="PO-25000271"/>
    <s v="บริษัท เอ วี เอ เอ็นจิเนียริ่ง เซอร์วิส จำกัด"/>
    <s v="แหวนหนา แกน 58 มม."/>
    <n v="50"/>
    <s v="EA"/>
    <n v="730"/>
    <n v="36500"/>
    <n v="710"/>
    <n v="20"/>
    <n v="1000"/>
    <n v="2.7397260273972601E-2"/>
    <x v="1"/>
    <x v="0"/>
  </r>
  <r>
    <s v="JAN"/>
    <s v="PO-25000271"/>
    <s v="บริษัท เอ วี เอ เอ็นจิเนียริ่ง เซอร์วิส จำกัด"/>
    <s v="แหวนบาง แกน 58 มม."/>
    <n v="50"/>
    <s v="EA"/>
    <n v="410"/>
    <n v="20500"/>
    <n v="400"/>
    <n v="10"/>
    <n v="500"/>
    <n v="2.4390243902439025E-2"/>
    <x v="1"/>
    <x v="0"/>
  </r>
  <r>
    <s v="JAN"/>
    <s v="PO-25000296 "/>
    <s v="บริษัท พี ซี อีลีแมค จำกัด"/>
    <s v="Control Box (Lamp + Limit switch)"/>
    <n v="2"/>
    <s v="EA"/>
    <n v="6900"/>
    <n v="13800"/>
    <n v="6000"/>
    <n v="900"/>
    <n v="1800"/>
    <n v="0.13043478260869565"/>
    <x v="0"/>
    <x v="0"/>
  </r>
  <r>
    <s v="JAN"/>
    <s v="PO-24003808"/>
    <s v="TRAFOMART PTE LTD."/>
    <s v="ค่าขนส่งสินค้าเข้าโรงงาน"/>
    <n v="1"/>
    <s v="JOB"/>
    <n v="3500"/>
    <n v="3500"/>
    <n v="0"/>
    <n v="3500"/>
    <n v="3500"/>
    <n v="1"/>
    <x v="1"/>
    <x v="1"/>
  </r>
  <r>
    <s v="JAN"/>
    <s v="PO-24003889"/>
    <s v="TRAFOMART PTE LTD."/>
    <s v="ค่าขนส่งสินค้าเข้าโรงงาน"/>
    <n v="1"/>
    <s v="JOB"/>
    <n v="3500"/>
    <n v="3500"/>
    <n v="0"/>
    <n v="3500"/>
    <n v="3500"/>
    <n v="1"/>
    <x v="1"/>
    <x v="1"/>
  </r>
  <r>
    <s v="JAN"/>
    <s v="PO-25000143"/>
    <s v="บริษัท คาซูมิ (ไทยแลนด์) จำกัด"/>
    <s v="Radiator Fin W520 x HL1000x Z14 (133 Kg.)"/>
    <n v="6"/>
    <s v="set"/>
    <n v="16372"/>
    <n v="98232"/>
    <n v="15372"/>
    <n v="1000"/>
    <n v="6000"/>
    <n v="6.10798924993892E-2"/>
    <x v="1"/>
    <x v="0"/>
  </r>
  <r>
    <s v="JAN"/>
    <s v="PO-25000143"/>
    <s v="บริษัท คาซูมิ (ไทยแลนด์) จำกัด"/>
    <s v="Radiator fin W520 x HL1800 x Z12"/>
    <n v="16"/>
    <s v="set"/>
    <n v="24360"/>
    <n v="389760"/>
    <n v="23360"/>
    <n v="1000"/>
    <n v="16000"/>
    <n v="4.1050903119868636E-2"/>
    <x v="1"/>
    <x v="0"/>
  </r>
  <r>
    <s v="JAN"/>
    <s v="PO-25000219"/>
    <s v="บริษัท คาซูมิ (ไทยแลนด์) จำกัด"/>
    <s v="Radiator Fin W520 x HL1000 x Z12"/>
    <n v="12"/>
    <s v="set"/>
    <n v="14497"/>
    <n v="173964"/>
    <n v="13497"/>
    <n v="1000"/>
    <n v="12000"/>
    <n v="6.8979788921845905E-2"/>
    <x v="1"/>
    <x v="0"/>
  </r>
  <r>
    <s v="JAN"/>
    <s v="PO-25000219"/>
    <s v="บริษัท คาซูมิ (ไทยแลนด์) จำกัด"/>
    <s v="Radiator Fin W520 x HL800 x Z9"/>
    <n v="4"/>
    <s v="set"/>
    <n v="8791"/>
    <n v="35164"/>
    <n v="7791"/>
    <n v="1000"/>
    <n v="4000"/>
    <n v="0.11375270162666364"/>
    <x v="1"/>
    <x v="0"/>
  </r>
  <r>
    <s v="JAN"/>
    <s v="PO-25000219"/>
    <s v="บริษัท คาซูมิ (ไทยแลนด์) จำกัด"/>
    <s v="Radiator Fin W520 x HL800x Z8 / ใช้กับงาน SOF-240034"/>
    <n v="4"/>
    <s v="set"/>
    <n v="9007"/>
    <n v="36028"/>
    <n v="8007"/>
    <n v="1000"/>
    <n v="4000"/>
    <n v="0.11102475852115022"/>
    <x v="1"/>
    <x v="0"/>
  </r>
  <r>
    <s v="JAN"/>
    <s v="PO-25000219"/>
    <s v="บริษัท คาซูมิ (ไทยแลนด์) จำกัด"/>
    <s v="Radiator Fin W520 x HL1000 x Z9"/>
    <n v="4"/>
    <s v="set"/>
    <n v="11736"/>
    <n v="46944"/>
    <n v="10736"/>
    <n v="1000"/>
    <n v="4000"/>
    <n v="8.5207907293796861E-2"/>
    <x v="1"/>
    <x v="0"/>
  </r>
  <r>
    <s v="JAN"/>
    <s v="PO-25000272"/>
    <s v="บริษัท พีเอส สตีล โปรเซสซิ่ง เซ็นเตอร์ จำกัด"/>
    <s v="Cold Rolled Steel Sheet (SPCC-SD) ขนาด 1.2*800 มม."/>
    <n v="3000"/>
    <s v="KG"/>
    <n v="28"/>
    <n v="84000"/>
    <n v="27.4"/>
    <n v="0.60000000000000142"/>
    <n v="1800.0000000000043"/>
    <n v="2.1428571428571481E-2"/>
    <x v="0"/>
    <x v="0"/>
  </r>
  <r>
    <s v="JAN"/>
    <s v="PO-25000279"/>
    <s v="ห้างหุ้นส่วนจำกัด เอ็ม.เอ็น. อีเล็คทริค ซัพพลาย"/>
    <s v="หางปลาต่อสายแบบกลมเปลือย ยี่ห้อ T-LUG CL70-12"/>
    <n v="200"/>
    <s v="EA"/>
    <n v="26"/>
    <n v="5200"/>
    <n v="24.6"/>
    <n v="1.3999999999999986"/>
    <n v="279.99999999999972"/>
    <n v="5.3846153846153794E-2"/>
    <x v="0"/>
    <x v="1"/>
  </r>
  <r>
    <s v="JAN"/>
    <s v="PO-25000279"/>
    <s v="ห้างหุ้นส่วนจำกัด เอ็ม.เอ็น. อีเล็คทริค ซัพพลาย"/>
    <s v="หางปลาต่อสายแบบกลมเปลือย ยี่ห้อ T-LUG CL50-8"/>
    <n v="100"/>
    <s v="EA"/>
    <n v="15.5"/>
    <n v="1550"/>
    <n v="14.76"/>
    <n v="0.74000000000000021"/>
    <n v="74.000000000000028"/>
    <n v="4.7741935483870984E-2"/>
    <x v="0"/>
    <x v="1"/>
  </r>
  <r>
    <s v="JAN"/>
    <s v="PO-25000279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JAN"/>
    <s v="PO-25000279"/>
    <s v="ห้างหุ้นส่วนจำกัด เอ็ม.เอ็น. อีเล็คทริค ซัพพลาย"/>
    <s v="หางปลาต่อสายแบบกลมเปลือย ยี่ห้อ T-LUG ขนาด 16-6 มม."/>
    <n v="100"/>
    <s v="EA"/>
    <n v="5.25"/>
    <n v="525"/>
    <n v="5.0999999999999996"/>
    <n v="0.15000000000000036"/>
    <n v="15.000000000000036"/>
    <n v="2.857142857142864E-2"/>
    <x v="0"/>
    <x v="1"/>
  </r>
  <r>
    <s v="JAN"/>
    <s v="PO-25000311"/>
    <s v="บริษัท สหมิตรไวร์ แอนด์ เคเบิ้ล จำกัด"/>
    <s v="ลวดแบนหุ้มกระดาษหนา 0.5 มม."/>
    <n v="3156"/>
    <s v="KG"/>
    <n v="378"/>
    <n v="1192968"/>
    <n v="347"/>
    <n v="31"/>
    <n v="97836"/>
    <n v="8.2010582010582006E-2"/>
    <x v="1"/>
    <x v="1"/>
  </r>
  <r>
    <s v="JAN"/>
    <s v="PO-25000313"/>
    <s v="บริษัท สหมิตรไวร์ แอนด์ เคเบิ้ล จำกัด"/>
    <s v="ลวดแบนหุ้มกระดาษหนา 0.5 มม. ขนาด 1.6*5 มม."/>
    <n v="346"/>
    <s v="KG"/>
    <n v="378"/>
    <n v="130788"/>
    <n v="347"/>
    <n v="31"/>
    <n v="10726"/>
    <n v="8.2010582010582006E-2"/>
    <x v="1"/>
    <x v="1"/>
  </r>
  <r>
    <s v="JAN"/>
    <s v="PO-25000310"/>
    <s v="บริษัท กิ้มเฮงเชียง  จำกัด"/>
    <s v="ทองแดงเส้นแบน "/>
    <n v="2272.1999999999998"/>
    <s v="KG"/>
    <n v="355"/>
    <n v="806630.99999999988"/>
    <n v="354"/>
    <n v="1"/>
    <n v="2272.1999999999998"/>
    <n v="2.8169014084507044E-3"/>
    <x v="1"/>
    <x v="1"/>
  </r>
  <r>
    <s v="JAN"/>
    <s v="PO-25000303"/>
    <s v="บริษัท ทีโอเอ-ชูโกกุ เพ้นท์ จำกัด"/>
    <s v="UNY MARINE 100 RAL 5017 TRAFFIC BLUE (DH)"/>
    <n v="2"/>
    <s v="ถัง"/>
    <n v="4700"/>
    <n v="9400"/>
    <n v="4400"/>
    <n v="300"/>
    <n v="600"/>
    <n v="6.3829787234042548E-2"/>
    <x v="0"/>
    <x v="2"/>
  </r>
  <r>
    <s v="JAN"/>
    <s v="PO-25000305"/>
    <s v="บริษัท บางกอก เวลดิ้ง (ประเทศไทย) จำกัด"/>
    <s v="U150000012-1 ลวดเชื่อมไฟฟ้า KR-3000 ขนาด 3.2 มม.(1/8&quot;x350mm) ยี่ห้อ kiswส"/>
    <n v="120"/>
    <s v="KG"/>
    <n v="95"/>
    <n v="11400"/>
    <n v="55"/>
    <n v="40"/>
    <n v="4800"/>
    <n v="0.42105263157894735"/>
    <x v="0"/>
    <x v="2"/>
  </r>
  <r>
    <s v="JAN"/>
    <s v="PO-25000306"/>
    <s v="บริษัท ศรีราชามงคลชัย จำกัด"/>
    <s v="ลวดเชื่อมไฟฟ้า RB-26 ขนาด 2.6 x 350 มม. ยี่ห้อ KOBE STEEL"/>
    <n v="120"/>
    <s v="KG"/>
    <n v="93"/>
    <n v="11160"/>
    <n v="83"/>
    <n v="10"/>
    <n v="1200"/>
    <n v="0.10752688172043011"/>
    <x v="0"/>
    <x v="2"/>
  </r>
  <r>
    <s v="JAN"/>
    <s v="PO-25000317"/>
    <s v="บริษัท เอ วี เอ เอ็นจิเนียริ่ง เซอร์วิส จำกัด"/>
    <s v="หางปลาแรงสูง แกน 12 มม."/>
    <n v="1200"/>
    <s v="EA"/>
    <n v="85"/>
    <n v="102000"/>
    <n v="83"/>
    <n v="2"/>
    <n v="2400"/>
    <n v="2.3529411764705882E-2"/>
    <x v="1"/>
    <x v="0"/>
  </r>
  <r>
    <s v="JAN"/>
    <s v="PO-25000317"/>
    <s v="บริษัท เอ วี เอ เอ็นจิเนียริ่ง เซอร์วิส จำกัด"/>
    <s v="ฝาครอบลูกถ้วยแรงสูง ขนาด 12 มม."/>
    <n v="1000"/>
    <s v="EA"/>
    <n v="75"/>
    <n v="75000"/>
    <n v="73"/>
    <n v="2"/>
    <n v="2000"/>
    <n v="2.6666666666666668E-2"/>
    <x v="1"/>
    <x v="0"/>
  </r>
  <r>
    <s v="JAN"/>
    <s v="PO-25000317"/>
    <s v="บริษัท เอ วี เอ เอ็นจิเนียริ่ง เซอร์วิส จำกัด"/>
    <s v="แกนทองแดง 42 มม. เบอร์ 4"/>
    <n v="186"/>
    <s v="EA"/>
    <n v="2260"/>
    <n v="420360"/>
    <n v="2200"/>
    <n v="60"/>
    <n v="11160"/>
    <n v="2.6548672566371681E-2"/>
    <x v="1"/>
    <x v="0"/>
  </r>
  <r>
    <s v="JAN"/>
    <s v="PO-25000317"/>
    <s v="บริษัท เอ วี เอ เอ็นจิเนียริ่ง เซอร์วิส จำกัด"/>
    <s v="หางปลาแรงต่ำแบบบาร์ 2 รู แกน 12 มม.(งานเอกชน)"/>
    <n v="200"/>
    <s v="EA"/>
    <n v="290"/>
    <n v="58000"/>
    <n v="282"/>
    <n v="8"/>
    <n v="1600"/>
    <n v="2.7586206896551724E-2"/>
    <x v="1"/>
    <x v="0"/>
  </r>
  <r>
    <s v="JAN"/>
    <s v="PO-25000317"/>
    <s v="บริษัท เอ วี เอ เอ็นจิเนียริ่ง เซอร์วิส จำกัด"/>
    <s v="หางปลาแรงต่ำแบบบาร์ 4 รู แกน 48 มม. ระยะห่าง 60 มม."/>
    <n v="60"/>
    <s v="EA"/>
    <n v="3570"/>
    <n v="214200"/>
    <n v="3480"/>
    <n v="90"/>
    <n v="5400"/>
    <n v="2.5210084033613446E-2"/>
    <x v="1"/>
    <x v="0"/>
  </r>
  <r>
    <s v="FEB"/>
    <s v="PO-25000358"/>
    <s v="บริษัท แอมเทค ลูบริแคนท์ จำกัด"/>
    <s v="Shell Diala  S4 ZX-I"/>
    <n v="1300"/>
    <s v="ลิตร"/>
    <n v="90"/>
    <n v="117000"/>
    <n v="89.5"/>
    <n v="0.5"/>
    <n v="650"/>
    <n v="5.5555555555555558E-3"/>
    <x v="0"/>
    <x v="0"/>
  </r>
  <r>
    <s v="FEB"/>
    <s v="PO-25000360 "/>
    <s v="บริษัท พีเอส สตีล โปรเซสซิ่ง เซ็นเตอร์ จำกัด"/>
    <s v="Cold Rolled Steel Sheet (SPCC-SD) ขนาด 1.2*800 มม."/>
    <n v="6000"/>
    <s v="kg."/>
    <n v="28"/>
    <n v="168000"/>
    <n v="27.4"/>
    <n v="0.60000000000000142"/>
    <n v="3600.0000000000086"/>
    <n v="2.1428571428571481E-2"/>
    <x v="0"/>
    <x v="0"/>
  </r>
  <r>
    <s v="FEB"/>
    <s v="PO-25000367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"/>
    <n v="15.5"/>
    <n v="3100"/>
    <n v="14.76"/>
    <n v="0.74000000000000021"/>
    <n v="148.00000000000006"/>
    <n v="4.7741935483870984E-2"/>
    <x v="0"/>
    <x v="1"/>
  </r>
  <r>
    <s v="FEB"/>
    <s v="PO-25000367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FEB"/>
    <s v="PO-25000367"/>
    <s v="ห้างหุ้นส่วนจำกัด เอ็ม.เอ็น. อีเล็คทริค ซัพพลาย"/>
    <s v="หางปลาหุ้มฉนวนสีเหลือง รูM.6 ใช้กับสาย6-6 sq.mm."/>
    <n v="300"/>
    <s v="EA"/>
    <n v="2.6"/>
    <n v="780"/>
    <n v="2.5499999999999998"/>
    <n v="5.0000000000000266E-2"/>
    <n v="15.00000000000008"/>
    <n v="1.9230769230769332E-2"/>
    <x v="0"/>
    <x v="1"/>
  </r>
  <r>
    <s v="FEB"/>
    <s v="PO-25000371"/>
    <s v="บริษัท บ้านไฟฟ้า จำกัด"/>
    <s v="Circuit  breaker 630A 3POLE (MCCB) NF630-HEW"/>
    <n v="4"/>
    <s v="EA"/>
    <n v="21600"/>
    <n v="86400"/>
    <n v="20200"/>
    <n v="1400"/>
    <n v="5600"/>
    <n v="6.4814814814814811E-2"/>
    <x v="0"/>
    <x v="1"/>
  </r>
  <r>
    <s v="FEB"/>
    <s v="PO-25000371"/>
    <s v="บริษัท บ้านไฟฟ้า จำกัด"/>
    <s v=" Circuit breaker  1600A 3Pole (MCCB) NF1600-SEW"/>
    <n v="3"/>
    <s v="EA"/>
    <n v="62500"/>
    <n v="187500"/>
    <n v="61000"/>
    <n v="1500"/>
    <n v="4500"/>
    <n v="2.4E-2"/>
    <x v="0"/>
    <x v="1"/>
  </r>
  <r>
    <s v="FEB"/>
    <s v="PO-25000371"/>
    <s v="บริษัท บ้านไฟฟ้า จำกัด"/>
    <s v="Insulation barrier (Lower side) For MCCB NF1600-SEW"/>
    <n v="18"/>
    <s v="EA"/>
    <n v="850"/>
    <n v="15300"/>
    <n v="780"/>
    <n v="70"/>
    <n v="1260"/>
    <n v="8.2352941176470587E-2"/>
    <x v="0"/>
    <x v="1"/>
  </r>
  <r>
    <s v="FEB"/>
    <s v="PO-25000380"/>
    <s v="บริษัท บางกอกแม็กเน็ตไวร์ จำกัด"/>
    <s v="ลวดกลมอาบน้ำยา"/>
    <n v="1600"/>
    <s v="KG"/>
    <n v="361.85"/>
    <n v="578960"/>
    <n v="354.85"/>
    <n v="7"/>
    <n v="11200"/>
    <n v="1.934503247201879E-2"/>
    <x v="1"/>
    <x v="1"/>
  </r>
  <r>
    <s v="FEB"/>
    <s v="PO-25000380"/>
    <s v="บริษัท บางกอกแม็กเน็ตไวร์ จำกัด"/>
    <s v="ลวดกลมอาบน้ำยา"/>
    <n v="2800"/>
    <s v="KG"/>
    <n v="361.69"/>
    <n v="1012732"/>
    <n v="354.69"/>
    <n v="7"/>
    <n v="19600"/>
    <n v="1.9353590090961874E-2"/>
    <x v="1"/>
    <x v="1"/>
  </r>
  <r>
    <s v="FEB"/>
    <s v="PO-25000380"/>
    <s v="บริษัท บางกอกแม็กเน็ตไวร์ จำกัด"/>
    <s v="ลวดกลมอาบน้ำยา"/>
    <n v="1200"/>
    <s v="KG"/>
    <n v="368.15"/>
    <n v="441780"/>
    <n v="361.15"/>
    <n v="7"/>
    <n v="8400"/>
    <n v="1.9013988863235097E-2"/>
    <x v="1"/>
    <x v="1"/>
  </r>
  <r>
    <s v="FEB"/>
    <s v="PO-25000380"/>
    <s v="บริษัท บางกอกแม็กเน็ตไวร์ จำกัด"/>
    <s v="ลวดกลมอาบน้ำยา"/>
    <n v="800"/>
    <s v="KG"/>
    <n v="367.57"/>
    <n v="294056"/>
    <n v="360.57"/>
    <n v="7"/>
    <n v="5600"/>
    <n v="1.9043991620643689E-2"/>
    <x v="1"/>
    <x v="1"/>
  </r>
  <r>
    <s v="FEB"/>
    <s v="PO-25000380"/>
    <s v="บริษัท บางกอกแม็กเน็ตไวร์ จำกัด"/>
    <s v="ลวดกลมอาบน้ำยา"/>
    <n v="2000"/>
    <s v="KG"/>
    <n v="365.74"/>
    <n v="731480"/>
    <n v="358.74"/>
    <n v="7"/>
    <n v="14000"/>
    <n v="1.9139279269426369E-2"/>
    <x v="1"/>
    <x v="1"/>
  </r>
  <r>
    <s v="FEB"/>
    <s v="PO-25000380"/>
    <s v="บริษัท บางกอกแม็กเน็ตไวร์ จำกัด"/>
    <s v="ลวดกลมอาบน้ำยา"/>
    <n v="2700"/>
    <s v="KG"/>
    <n v="363.05"/>
    <n v="980235"/>
    <n v="356.05"/>
    <n v="7"/>
    <n v="18900"/>
    <n v="1.9281090758848644E-2"/>
    <x v="1"/>
    <x v="1"/>
  </r>
  <r>
    <s v="FEB"/>
    <s v="PO-25000380"/>
    <s v="บริษัท บางกอกแม็กเน็ตไวร์ จำกัด"/>
    <s v="ลวดกลมอาบน้ำยา"/>
    <n v="2500"/>
    <s v="KG"/>
    <n v="361.92"/>
    <n v="904800"/>
    <n v="354.92"/>
    <n v="7"/>
    <n v="17500"/>
    <n v="1.9341290893015031E-2"/>
    <x v="1"/>
    <x v="1"/>
  </r>
  <r>
    <s v="FEB"/>
    <s v="PO-25000380"/>
    <s v="บริษัท บางกอกแม็กเน็ตไวร์ จำกัด"/>
    <s v="ลวดกลมอาบน้ำยา"/>
    <n v="5800"/>
    <s v="KG"/>
    <n v="361.46"/>
    <n v="2096467.9999999998"/>
    <n v="354.46"/>
    <n v="7"/>
    <n v="40600"/>
    <n v="1.9365904941072321E-2"/>
    <x v="1"/>
    <x v="1"/>
  </r>
  <r>
    <s v="FEB"/>
    <s v="PO-25000380"/>
    <s v="บริษัท บางกอกแม็กเน็ตไวร์ จำกัด"/>
    <s v="ลวดกลมอาบน้ำยา"/>
    <n v="1200"/>
    <s v="KG"/>
    <n v="360.24"/>
    <n v="432288"/>
    <n v="353.24"/>
    <n v="7"/>
    <n v="8400"/>
    <n v="1.9431490117699311E-2"/>
    <x v="1"/>
    <x v="1"/>
  </r>
  <r>
    <s v="FEB"/>
    <s v="PO-25000380"/>
    <s v="บริษัท บางกอกแม็กเน็ตไวร์ จำกัด"/>
    <s v="ลวดกลมอาบน้ำยา"/>
    <n v="750"/>
    <s v="KG"/>
    <n v="372.42"/>
    <n v="279315"/>
    <n v="365.42"/>
    <n v="7"/>
    <n v="5250"/>
    <n v="1.8795983029912464E-2"/>
    <x v="1"/>
    <x v="1"/>
  </r>
  <r>
    <s v="FEB"/>
    <s v="PO-25000380"/>
    <s v="บริษัท บางกอกแม็กเน็ตไวร์ จำกัด"/>
    <s v="ลวดกลมอาบน้ำยา"/>
    <n v="800"/>
    <s v="KG"/>
    <n v="364.19"/>
    <n v="291352"/>
    <n v="357.19"/>
    <n v="7"/>
    <n v="5600"/>
    <n v="1.9220736428787171E-2"/>
    <x v="1"/>
    <x v="1"/>
  </r>
  <r>
    <s v="FEB"/>
    <s v="PO-25000380"/>
    <s v="บริษัท บางกอกแม็กเน็ตไวร์ จำกัด"/>
    <s v="ลวดกลมอาบน้ำยา"/>
    <n v="800"/>
    <s v="KG"/>
    <n v="361.45"/>
    <n v="289160"/>
    <n v="354.45"/>
    <n v="7"/>
    <n v="5600"/>
    <n v="1.936644072485821E-2"/>
    <x v="1"/>
    <x v="1"/>
  </r>
  <r>
    <s v="FEB"/>
    <s v="PO-25000380"/>
    <s v="บริษัท บางกอกแม็กเน็ตไวร์ จำกัด"/>
    <s v="ลวดกลมอาบน้ำยา"/>
    <n v="1300"/>
    <s v="KG"/>
    <n v="361.44"/>
    <n v="469872"/>
    <n v="354.44"/>
    <n v="7"/>
    <n v="9100"/>
    <n v="1.9366976538291281E-2"/>
    <x v="1"/>
    <x v="1"/>
  </r>
  <r>
    <s v="FEB"/>
    <s v="PO-25000381"/>
    <s v="บริษัท สหมิตรไวร์ แอนด์ เคเบิ้ล จำกัด"/>
    <s v="ลวดแบนหุ้มกระดาษหนา"/>
    <n v="2652"/>
    <s v="KG"/>
    <n v="382"/>
    <n v="1013064"/>
    <n v="350"/>
    <n v="32"/>
    <n v="84864"/>
    <n v="8.3769633507853408E-2"/>
    <x v="0"/>
    <x v="1"/>
  </r>
  <r>
    <s v="FEB"/>
    <s v="PO-25000396"/>
    <s v="บริษัท เอคเม อินซูเลชั่น จำกัด"/>
    <s v="CT 400/1A Current Transformer Class 5P10 10VA"/>
    <n v="1"/>
    <s v="EA"/>
    <n v="29360"/>
    <n v="29360"/>
    <n v="28480"/>
    <n v="880"/>
    <n v="880"/>
    <n v="2.9972752043596729E-2"/>
    <x v="1"/>
    <x v="1"/>
  </r>
  <r>
    <s v="FEB"/>
    <s v="PO-25000422"/>
    <s v="บริษัท แอลแอลเอสเอส อิเลคทริเคิล ซัพพลาย จำกัด"/>
    <s v="Flexible Tin Plated  Copper Braid 35 SQ.MM."/>
    <n v="100"/>
    <s v="เมตร"/>
    <n v="320"/>
    <n v="32000"/>
    <n v="300"/>
    <n v="20"/>
    <n v="2000"/>
    <n v="6.25E-2"/>
    <x v="3"/>
    <x v="0"/>
  </r>
  <r>
    <s v="FEB"/>
    <s v="PO-25000480"/>
    <s v="บริษัท เอ วี เอ เอ็นจิเนียริ่ง เซอร์วิส จำกัด"/>
    <s v="หางปลาแรงต่ำแบบบาร์ 6 รู แกน 48 มม.  ระยะห่าง 60 มม."/>
    <n v="4"/>
    <s v="EA"/>
    <n v="4920"/>
    <n v="19680"/>
    <n v="4620"/>
    <n v="300"/>
    <n v="1200"/>
    <n v="6.097560975609756E-2"/>
    <x v="1"/>
    <x v="0"/>
  </r>
  <r>
    <s v="FEB"/>
    <s v="PO-25000470 "/>
    <s v="บริษัท ต่อกิจ พัฒนา 2019 จำกัด"/>
    <s v="Control Box Type 3"/>
    <n v="4"/>
    <s v="EA"/>
    <n v="4000"/>
    <n v="16000"/>
    <n v="3400"/>
    <n v="600"/>
    <n v="2400"/>
    <n v="0.15"/>
    <x v="1"/>
    <x v="0"/>
  </r>
  <r>
    <s v="FEB"/>
    <s v="PO-25000470 "/>
    <s v="บริษัท ต่อกิจ พัฒนา 2019 จำกัด"/>
    <s v="CABLE BOX TYPE 1 TR.2500 kVA 3Ph 50 Hz 11000-800V"/>
    <n v="4"/>
    <s v="set"/>
    <n v="34500"/>
    <n v="138000"/>
    <n v="34000"/>
    <n v="500"/>
    <n v="2000"/>
    <n v="1.4492753623188406E-2"/>
    <x v="1"/>
    <x v="0"/>
  </r>
  <r>
    <s v="FEB"/>
    <s v="PO-25000478"/>
    <s v="บริษัท ต่อกิจ พัฒนา 2019 จำกัด"/>
    <s v="Control Box Type 3"/>
    <n v="3"/>
    <s v="EA"/>
    <n v="4000"/>
    <n v="12000"/>
    <n v="3400"/>
    <n v="600"/>
    <n v="1800"/>
    <n v="0.15"/>
    <x v="1"/>
    <x v="0"/>
  </r>
  <r>
    <s v="FEB"/>
    <s v="PO-25000478"/>
    <s v="บริษัท ต่อกิจ พัฒนา 2019 จำกัด"/>
    <s v="CABLE BOX TYPE 1 TR.2500 kVA 3Ph 50 Hz 11000-800V"/>
    <n v="3"/>
    <s v="set"/>
    <n v="34500"/>
    <n v="103500"/>
    <n v="34000"/>
    <n v="500"/>
    <n v="1500"/>
    <n v="1.4492753623188406E-2"/>
    <x v="1"/>
    <x v="0"/>
  </r>
  <r>
    <s v="FEB"/>
    <s v="PO-25000508"/>
    <s v="บริษัท พีเอส สตีล โปรเซสซิ่ง เซ็นเตอร์ จำกัด"/>
    <s v="Cold Rolled Steel Sheet (SPCC-SD) ขนาด 1.2*5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08"/>
    <s v="บริษัท พีเอส สตีล โปรเซสซิ่ง เซ็นเตอร์ จำกัด"/>
    <s v="Cold Rolled Steel Sheet (SPCC-SD) ขนาด 1.2*8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08"/>
    <s v="บริษัท พีเอส สตีล โปรเซสซิ่ง เซ็นเตอร์ จำกัด"/>
    <s v="Cold Rolled Steel Sheet (SPCC-SD) ขนาด 1.2*8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08"/>
    <s v="บริษัท พีเอส สตีล โปรเซสซิ่ง เซ็นเตอร์ จำกัด"/>
    <s v="Cold Rolled Steel Sheet (SPCC-SD) ขนาด 1.2*4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78"/>
    <s v="บริษัท พีเอส สตีล โปรเซสซิ่ง เซ็นเตอร์ จำกัด"/>
    <s v="Cold Rolled Steel Sheet (SPCC-SD) ขนาด 1.2*800 มม."/>
    <n v="6000"/>
    <s v="kg."/>
    <n v="28"/>
    <n v="168000"/>
    <n v="27.4"/>
    <n v="0.60000000000000142"/>
    <n v="3600.0000000000086"/>
    <n v="2.1428571428571481E-2"/>
    <x v="0"/>
    <x v="0"/>
  </r>
  <r>
    <s v="FEB"/>
    <s v="PO-25000578"/>
    <s v="บริษัท พีเอส สตีล โปรเซสซิ่ง เซ็นเตอร์ จำกัด"/>
    <s v="Cold Rolled Steel Sheet (SPCC-SD) ขนาด 1.2*7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78"/>
    <s v="บริษัท พีเอส สตีล โปรเซสซิ่ง เซ็นเตอร์ จำกัด"/>
    <s v="Cold Rolled Steel Sheet (SPCC-SD) ขนาด 1.2*6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78"/>
    <s v="บริษัท พีเอส สตีล โปรเซสซิ่ง เซ็นเตอร์ จำกัด"/>
    <s v="Cold Rolled Steel Sheet (SPCC-SD) ขนาด 1.2*6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582"/>
    <s v="บริษัท ต่อกิจ พัฒนา 2019 จำกัด"/>
    <s v="CABLE BOX TYPE 1 TR.2000 kVA 3Ph 50Hz 12000/24000-416V"/>
    <n v="1"/>
    <s v="SET."/>
    <n v="19500"/>
    <n v="19500"/>
    <n v="14000"/>
    <n v="5500"/>
    <n v="5500"/>
    <n v="0.28205128205128205"/>
    <x v="1"/>
    <x v="0"/>
  </r>
  <r>
    <s v="FEB"/>
    <s v="PO-25000582"/>
    <s v="บริษัท ต่อกิจ พัฒนา 2019 จำกัด"/>
    <s v="CABLE BOX TYPE 1 TR.1000 kVA 3Ph 50Hz 6600-400/230V "/>
    <n v="2"/>
    <s v="SET."/>
    <n v="37500"/>
    <n v="75000"/>
    <n v="36000"/>
    <n v="1500"/>
    <n v="3000"/>
    <n v="0.04"/>
    <x v="1"/>
    <x v="0"/>
  </r>
  <r>
    <s v="FEB"/>
    <s v="PO-25000582"/>
    <s v="บริษัท ต่อกิจ พัฒนา 2019 จำกัด"/>
    <s v="CABLE BOX TYPE 1 TR.250 kVA 3Ph 50Hz 22000-416/240V"/>
    <n v="1"/>
    <s v="SET."/>
    <n v="36500"/>
    <n v="36500"/>
    <n v="34000"/>
    <n v="2500"/>
    <n v="2500"/>
    <n v="6.8493150684931503E-2"/>
    <x v="1"/>
    <x v="0"/>
  </r>
  <r>
    <s v="FEB"/>
    <s v="PO-25000612 "/>
    <s v="บริษัท วินเทรด โปร จำกัด"/>
    <s v="ข้องอเชื่อมเหล็ก 90 องศา แบบไม่มีตะเข็บ ขนาด 3/4 &quot;"/>
    <n v="82"/>
    <s v="EA"/>
    <n v="25"/>
    <n v="2050"/>
    <n v="20"/>
    <n v="5"/>
    <n v="410"/>
    <n v="0.2"/>
    <x v="0"/>
    <x v="0"/>
  </r>
  <r>
    <s v="FEB"/>
    <s v="PO-25000612 "/>
    <s v="บริษัท วินเทรด โปร จำกัด"/>
    <s v="ข้องอเชื่อมเหล็ก 90 องศา แบบไม่มีตะเข็บ ขนาด 1.1/2&quot;"/>
    <n v="82"/>
    <s v="EA"/>
    <n v="40"/>
    <n v="3280"/>
    <n v="30"/>
    <n v="10"/>
    <n v="820"/>
    <n v="0.25"/>
    <x v="0"/>
    <x v="0"/>
  </r>
  <r>
    <s v="FEB"/>
    <s v="PO-25000585"/>
    <s v="บริษัท เอราวัณรับเบอร์ จำกัด"/>
    <s v="Bird Guard สีดำ ขนาดใหญ่ (PEA)"/>
    <n v="2700"/>
    <s v="EA"/>
    <n v="65"/>
    <n v="175500"/>
    <n v="61"/>
    <n v="4"/>
    <n v="10800"/>
    <n v="6.1538461538461542E-2"/>
    <x v="0"/>
    <x v="0"/>
  </r>
  <r>
    <s v="FEB"/>
    <s v="PO-25000432"/>
    <s v="บริษัท ศรีราชามงคลชัย จำกัด"/>
    <s v="สีทาถนนสะท้อนแสง#713 3L. เหลือง TOA"/>
    <n v="3"/>
    <s v="GL"/>
    <n v="680"/>
    <n v="2040"/>
    <n v="660"/>
    <n v="20"/>
    <n v="60"/>
    <n v="2.9411764705882353E-2"/>
    <x v="0"/>
    <x v="1"/>
  </r>
  <r>
    <s v="FEB"/>
    <s v="PO-25000432"/>
    <s v="บริษัท ศรีราชามงคลชัย จำกัด"/>
    <s v="สีทาถนนสะท้อนแสง#715 3L. แดง TOA"/>
    <n v="1"/>
    <s v="GL"/>
    <n v="680"/>
    <n v="680"/>
    <n v="660"/>
    <n v="20"/>
    <n v="20"/>
    <n v="2.9411764705882353E-2"/>
    <x v="0"/>
    <x v="1"/>
  </r>
  <r>
    <s v="FEB"/>
    <s v="PO-25000432"/>
    <s v="บริษัท ศรีราชามงคลชัย จำกัด"/>
    <s v="สีทาถนนสะท้อนแสง#719 3L.ดำ TOA"/>
    <n v="1"/>
    <s v="GL"/>
    <n v="680"/>
    <n v="680"/>
    <n v="660"/>
    <n v="20"/>
    <n v="20"/>
    <n v="2.9411764705882353E-2"/>
    <x v="0"/>
    <x v="1"/>
  </r>
  <r>
    <s v="FEB"/>
    <s v="PO-25000432"/>
    <s v="บริษัท ศรีราชามงคลชัย จำกัด"/>
    <s v="สีทาถนนไม่สะท้อนแสง#707 3L. ขาว TOA"/>
    <n v="1"/>
    <s v="GL"/>
    <n v="570"/>
    <n v="570"/>
    <n v="560"/>
    <n v="10"/>
    <n v="10"/>
    <n v="1.7543859649122806E-2"/>
    <x v="0"/>
    <x v="1"/>
  </r>
  <r>
    <s v="FEB"/>
    <s v="PO-25000436"/>
    <s v="บริษัท สมาพันธ์เทคโนโลยี จำกัด"/>
    <s v="จอมอนิเตอร์  MSI MAG 32CQ6F Gaming Monitor - (Rapid VA 2K 18"/>
    <n v="1"/>
    <s v="EA"/>
    <n v="8600"/>
    <n v="8600"/>
    <n v="8400"/>
    <n v="200"/>
    <n v="200"/>
    <n v="2.3255813953488372E-2"/>
    <x v="0"/>
    <x v="1"/>
  </r>
  <r>
    <s v="FEB"/>
    <s v="PO-25000446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"/>
    <n v="15.5"/>
    <n v="3100"/>
    <n v="14.76"/>
    <n v="0.74000000000000021"/>
    <n v="148.00000000000006"/>
    <n v="4.7741935483870984E-2"/>
    <x v="0"/>
    <x v="1"/>
  </r>
  <r>
    <s v="FEB"/>
    <s v="PO-25000446"/>
    <s v="ห้างหุ้นส่วนจำกัด เอ็ม.เอ็น. อีเล็คทริค ซัพพลาย"/>
    <s v="หางปลาต่อสายแบบกลมเปลือย ยี่ห้อ T-LUG CL70-12"/>
    <n v="100"/>
    <s v="EA"/>
    <n v="26"/>
    <n v="2600"/>
    <n v="24.6"/>
    <n v="1.3999999999999986"/>
    <n v="139.99999999999986"/>
    <n v="5.3846153846153794E-2"/>
    <x v="0"/>
    <x v="1"/>
  </r>
  <r>
    <s v="FEB"/>
    <s v="PO-25000446"/>
    <s v="ห้างหุ้นส่วนจำกัด เอ็ม.เอ็น. อีเล็คทริค ซัพพลาย"/>
    <s v="หางปลาต่อสายแบบกลมเปลือย ยี่ห้อ T-LUG CL120-12"/>
    <n v="300"/>
    <s v="EA"/>
    <n v="50"/>
    <n v="15000"/>
    <n v="47.56"/>
    <n v="2.4399999999999977"/>
    <n v="731.99999999999932"/>
    <n v="4.8799999999999955E-2"/>
    <x v="0"/>
    <x v="1"/>
  </r>
  <r>
    <s v="FEB"/>
    <s v="PO-25000446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"/>
    <n v="190"/>
    <n v="19000"/>
    <n v="182.25"/>
    <n v="7.75"/>
    <n v="775"/>
    <n v="4.0789473684210528E-2"/>
    <x v="0"/>
    <x v="1"/>
  </r>
  <r>
    <s v="FEB"/>
    <s v="PO-25000446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100"/>
    <s v="EA"/>
    <n v="5.25"/>
    <n v="525"/>
    <n v="5.0999999999999996"/>
    <n v="0.15000000000000036"/>
    <n v="15.000000000000036"/>
    <n v="2.857142857142864E-2"/>
    <x v="0"/>
    <x v="1"/>
  </r>
  <r>
    <s v="FEB"/>
    <s v="PO-25000472"/>
    <s v="บริษัท สหมิตรไวร์ แอนด์ เคเบิ้ล จำกัด"/>
    <s v="สายทองแดงเปลือย ขนาด 70 sqm.  Ref. TIS"/>
    <n v="100"/>
    <s v="เมตร "/>
    <n v="239.7"/>
    <n v="23970"/>
    <n v="227"/>
    <n v="12.699999999999989"/>
    <n v="1269.9999999999989"/>
    <n v="5.2982895285773837E-2"/>
    <x v="0"/>
    <x v="1"/>
  </r>
  <r>
    <s v="FEB"/>
    <s v="PO-25000472"/>
    <s v="บริษัท สหมิตรไวร์ แอนด์ เคเบิ้ล จำกัด"/>
    <s v="สายทองแดงเปลือย ขนาด 120 sqm.  Ref. TIS"/>
    <n v="100"/>
    <s v="เมตร "/>
    <n v="419.09"/>
    <n v="41909"/>
    <n v="395"/>
    <n v="24.089999999999975"/>
    <n v="2408.9999999999973"/>
    <n v="5.7481686511250511E-2"/>
    <x v="0"/>
    <x v="1"/>
  </r>
  <r>
    <s v="FEB"/>
    <s v="PO-25000492"/>
    <s v="บริษัท วอร์เท็กซ์ แมชชีนเนอรี่  (ประเทศไทย) จำกัด"/>
    <s v="รถยกไฟฟ้า Model: CDD15JK-RE/350 - Brand Hely by Vortex "/>
    <n v="1"/>
    <s v="EA"/>
    <n v="210000"/>
    <n v="210000"/>
    <n v="200000"/>
    <n v="10000"/>
    <n v="10000"/>
    <n v="4.7619047619047616E-2"/>
    <x v="1"/>
    <x v="1"/>
  </r>
  <r>
    <s v="FEB"/>
    <s v="PO-25000486"/>
    <s v="บริษัท ธนากัญญ คอนสตรัคชั่น เวิร์ค จำกัด"/>
    <s v="ทาสีและตีเส้นพื้นที่จัดเก็บเหล็กซิลิกอน"/>
    <n v="1"/>
    <s v="JOB"/>
    <n v="27005"/>
    <n v="27005"/>
    <n v="26000"/>
    <n v="1005"/>
    <n v="1005"/>
    <n v="3.7215330494352897E-2"/>
    <x v="1"/>
    <x v="1"/>
  </r>
  <r>
    <s v="FEB"/>
    <s v="PO-25000519"/>
    <s v="บริษัท พรีไซซ อิเลคตริค แมนูแฟคเจอริ่ง จำกัด"/>
    <s v="Arrester &quot;PRESICE&quot; 30kV 5kA LAZ-P30"/>
    <n v="3"/>
    <s v="EA"/>
    <n v="2500"/>
    <n v="7500"/>
    <n v="2300"/>
    <n v="200"/>
    <n v="600"/>
    <n v="0.08"/>
    <x v="0"/>
    <x v="1"/>
  </r>
  <r>
    <s v="FEB"/>
    <s v="PO-25000520"/>
    <s v="บริษัท เซาท์อีสไทยแลนด์ จำกัด"/>
    <s v="Insulating Supports แรงสูง12kVยี่ห้อ GEORG JORDAN"/>
    <n v="40"/>
    <s v="EA"/>
    <n v="1200"/>
    <n v="48000"/>
    <n v="910"/>
    <n v="290"/>
    <n v="11600"/>
    <n v="0.24166666666666667"/>
    <x v="0"/>
    <x v="1"/>
  </r>
  <r>
    <s v="FEB"/>
    <s v="PO-25000521"/>
    <s v="บริษัท สหมิตรไวร์ แอนด์ เคเบิ้ล จำกัด"/>
    <s v="ลวดแบนหุ้มกระดาษหนา 0.5 มม. "/>
    <n v="7219.02"/>
    <s v="KG"/>
    <n v="351"/>
    <n v="2533876.02"/>
    <n v="350"/>
    <n v="1"/>
    <n v="7219.02"/>
    <n v="2.8490028490028491E-3"/>
    <x v="1"/>
    <x v="1"/>
  </r>
  <r>
    <s v="FEB"/>
    <s v="PO-25000532"/>
    <s v="บริษัท กิ้มเฮงเชียง  จำกัด"/>
    <s v="ทองแดงเส้นแบน "/>
    <n v="1640"/>
    <s v="KG"/>
    <n v="385"/>
    <n v="631400"/>
    <n v="360"/>
    <n v="25"/>
    <n v="41000"/>
    <n v="6.4935064935064929E-2"/>
    <x v="0"/>
    <x v="1"/>
  </r>
  <r>
    <s v="FEB"/>
    <s v="PO-25000511"/>
    <s v="บริษัท ตงเฉินอีเล็คทริคเคเบิ้ลแอนด์ ไวร์ จำกัด"/>
    <s v="ลวดแบนอาบน้ำยา ขนาด 3.3*9.4 มม."/>
    <n v="3000"/>
    <s v="KG"/>
    <n v="375"/>
    <n v="1125000"/>
    <n v="370"/>
    <n v="5"/>
    <n v="15000"/>
    <n v="1.3333333333333334E-2"/>
    <x v="1"/>
    <x v="1"/>
  </r>
  <r>
    <s v="FEB"/>
    <s v="PO-25000546"/>
    <s v="ห้างหุ้นส่วนจำกัด เอ็ม.เอ็น. อีเล็คทริค ซัพพลาย"/>
    <s v="หางปลาต่อสายแบบกลมเปลือย ยี่ห้อ T-LUG CL50-12"/>
    <n v="400"/>
    <s v="EA"/>
    <n v="15.5"/>
    <n v="6200"/>
    <n v="14.76"/>
    <n v="0.74000000000000021"/>
    <n v="296.00000000000011"/>
    <n v="4.7741935483870984E-2"/>
    <x v="0"/>
    <x v="1"/>
  </r>
  <r>
    <s v="FEB"/>
    <s v="PO-25000546"/>
    <s v="ห้างหุ้นส่วนจำกัด เอ็ม.เอ็น. อีเล็คทริค ซัพพลาย"/>
    <s v="หางปลาต่อสายแบบกลมเปลือย ยี่ห้อ T-LUG CL70-12"/>
    <n v="400"/>
    <s v="EA"/>
    <n v="26"/>
    <n v="10400"/>
    <n v="24.6"/>
    <n v="1.3999999999999986"/>
    <n v="559.99999999999943"/>
    <n v="5.3846153846153794E-2"/>
    <x v="0"/>
    <x v="1"/>
  </r>
  <r>
    <s v="FEB"/>
    <s v="PO-25000547"/>
    <s v="บริษัท บ้านไฟฟ้า จำกัด"/>
    <s v="สายไฟ VSF Size 4 SQ.MM. (สีขาว)"/>
    <n v="6"/>
    <s v="Roll"/>
    <n v="2296"/>
    <n v="13776"/>
    <n v="2200"/>
    <n v="96"/>
    <n v="576"/>
    <n v="4.1811846689895474E-2"/>
    <x v="0"/>
    <x v="1"/>
  </r>
  <r>
    <s v="FEB"/>
    <s v="PO-25000547"/>
    <s v="บริษัท บ้านไฟฟ้า จำกัด"/>
    <s v="คอนเนคเตอร์จับท่ออ่อนกันน้ำ 1&quot; STEEL CITY"/>
    <n v="20"/>
    <s v="EA"/>
    <n v="82"/>
    <n v="1640"/>
    <n v="72"/>
    <n v="10"/>
    <n v="200"/>
    <n v="0.12195121951219512"/>
    <x v="0"/>
    <x v="1"/>
  </r>
  <r>
    <s v="FEB"/>
    <s v="PO-25000559"/>
    <s v="บริษัท ยูไนเต็ดคอปเปอร์ จำกัด"/>
    <s v="ทองแดงเส้นแบนขนาด 10x160mm. (สำหรับงาน SOD-240649)"/>
    <n v="2"/>
    <s v="set"/>
    <n v="168774"/>
    <n v="337548"/>
    <n v="165402"/>
    <n v="3372"/>
    <n v="6744"/>
    <n v="1.9979380710298981E-2"/>
    <x v="1"/>
    <x v="1"/>
  </r>
  <r>
    <s v="FEB"/>
    <s v="PO-25000561"/>
    <s v="บริษัท สมาพันธ์เทคโนโลยี จำกัด"/>
    <s v="จอมอนิเตอร์  MSI MAG 32CQ6F Gaming Monitor - (Rapid VA 2K 18"/>
    <n v="1"/>
    <s v="EA"/>
    <n v="8600"/>
    <n v="8600"/>
    <n v="8400"/>
    <n v="200"/>
    <n v="200"/>
    <n v="2.3255813953488372E-2"/>
    <x v="1"/>
    <x v="1"/>
  </r>
  <r>
    <s v="FEB"/>
    <s v="PO-25000564"/>
    <s v="บริษัท เอส พี พี อินดัสเตรียลรับเบอร์ จำกัด"/>
    <s v="ท่อยาง EPDM ขนาด ID 7mm. OD 10 mm. (50 เมตร/ม้วน) (for เครื่"/>
    <n v="100"/>
    <s v="เมตร"/>
    <n v="230"/>
    <n v="23000"/>
    <n v="71"/>
    <n v="159"/>
    <n v="15900"/>
    <n v="0.69130434782608696"/>
    <x v="0"/>
    <x v="1"/>
  </r>
  <r>
    <s v="FEB"/>
    <s v="PO-25000565"/>
    <s v="บริษัท ศรีราชามงคลชัย จำกัด"/>
    <s v="ข้อต่อทองเหลืองเกลียว 3/4&quot; หางไหล 3/4&quot;"/>
    <n v="12"/>
    <s v="EA"/>
    <n v="165"/>
    <n v="1980"/>
    <n v="135"/>
    <n v="30"/>
    <n v="360"/>
    <n v="0.18181818181818182"/>
    <x v="0"/>
    <x v="1"/>
  </r>
  <r>
    <s v="FEB"/>
    <s v="PO-25000565"/>
    <s v="บริษัท ศรีราชามงคลชัย จำกัด"/>
    <s v="สาย TOYOSPRING 25x33มม. 1&quot;x50เมตร TS-25 TOYOX(ม้วน)"/>
    <n v="1"/>
    <s v="ม้วน"/>
    <n v="12500"/>
    <n v="12500"/>
    <n v="11887.5"/>
    <n v="612.5"/>
    <n v="612.5"/>
    <n v="4.9000000000000002E-2"/>
    <x v="0"/>
    <x v="1"/>
  </r>
  <r>
    <s v="FEB"/>
    <s v="PO-25000565"/>
    <s v="บริษัท ศรีราชามงคลชัย จำกัด"/>
    <s v="สาย TOYOSPRING 19x26มม. 3/4&quot;x50เมตร TS-19 TOYOX(ม้วน)"/>
    <n v="1"/>
    <s v="ม้วน"/>
    <n v="8500"/>
    <n v="8500"/>
    <n v="8175"/>
    <n v="325"/>
    <n v="325"/>
    <n v="3.8235294117647062E-2"/>
    <x v="0"/>
    <x v="1"/>
  </r>
  <r>
    <s v="FEB"/>
    <s v="PO-25000586"/>
    <s v="บริษัท กิ้มเฮงเชียง  จำกัด"/>
    <s v="ทองแดงเส้นแบน "/>
    <n v="933.1"/>
    <s v="KG"/>
    <n v="385"/>
    <n v="359243.5"/>
    <n v="360"/>
    <n v="25"/>
    <n v="23327.5"/>
    <n v="6.4935064935064929E-2"/>
    <x v="0"/>
    <x v="1"/>
  </r>
  <r>
    <s v="FEB"/>
    <s v="PO-25000592"/>
    <s v="ห้างหุ้นส่วนจำกัด เอ็ม.เอ็น. อีเล็คทริค ซัพพลาย"/>
    <s v="หางปลาต่อสายแบบกลมเปลือย ยี่ห้อ T-LUG CL120-12"/>
    <n v="600"/>
    <s v="EA"/>
    <n v="50"/>
    <n v="30000"/>
    <n v="47.56"/>
    <n v="2.4399999999999977"/>
    <n v="1463.9999999999986"/>
    <n v="4.8799999999999955E-2"/>
    <x v="0"/>
    <x v="1"/>
  </r>
  <r>
    <s v="FEB"/>
    <s v="PO-25000615"/>
    <s v="บริษัท เอทีซี อินดัสตรี (ประเทศไทย)จำกัด"/>
    <s v="Tool House.ay โฮลซอแบบปรับได้ 40mm-300mm"/>
    <n v="1"/>
    <s v="ชุด "/>
    <n v="2490"/>
    <n v="2490"/>
    <n v="2350"/>
    <n v="140"/>
    <n v="140"/>
    <n v="5.6224899598393573E-2"/>
    <x v="0"/>
    <x v="1"/>
  </r>
  <r>
    <s v="FEB"/>
    <s v="PO-25000616"/>
    <s v="ห้างหุ้นส่วนจำกัด บางกอกคอปเปอร์"/>
    <s v="ลวดแบนหุ้มกระดาษหนา 0.5 มม."/>
    <n v="2658"/>
    <s v="KG"/>
    <n v="382"/>
    <n v="1015356"/>
    <n v="380"/>
    <n v="2"/>
    <n v="5316"/>
    <n v="5.235602094240838E-3"/>
    <x v="1"/>
    <x v="1"/>
  </r>
  <r>
    <s v="FEB"/>
    <s v="PO-25000655"/>
    <s v="บริษัท เนวีร่า จำกัด"/>
    <s v="บัสบาร์ซัพพอร์ทแรงต่ำ 1 เฟส ยี่ห้อ Muller  รุ่น MLB-100-7/11"/>
    <n v="24"/>
    <s v="EA"/>
    <n v="220"/>
    <n v="5280"/>
    <n v="143"/>
    <n v="77"/>
    <n v="1848"/>
    <n v="0.35"/>
    <x v="0"/>
    <x v="0"/>
  </r>
  <r>
    <s v="FEB"/>
    <s v="PO-25000655"/>
    <s v="บริษัท เนวีร่า จำกัด"/>
    <s v="บัสบาร์ซัพพอร์ทแรงต่ำ 1 เฟส ยี่ห้อ Mullerรุ่นMLB-124-11/13.5"/>
    <n v="1080"/>
    <s v="EA"/>
    <n v="250"/>
    <n v="270000"/>
    <n v="162.5"/>
    <n v="87.5"/>
    <n v="94500"/>
    <n v="0.35"/>
    <x v="0"/>
    <x v="0"/>
  </r>
  <r>
    <s v="FEB"/>
    <s v="PO-25000635"/>
    <s v=" บริษัท เอ วี เอ เอ็นจิเนียริ่ง เซอร์วิส จำกัด"/>
    <s v="คลับทองเหลือง แกนแรงต่ำขนาด 42 มม. เบอร์ 4 (แบบต๊าปเกลียว)"/>
    <n v="40"/>
    <s v="EA"/>
    <n v="960"/>
    <n v="38400"/>
    <n v="940"/>
    <n v="20"/>
    <n v="800"/>
    <n v="2.0833333333333332E-2"/>
    <x v="1"/>
    <x v="0"/>
  </r>
  <r>
    <s v="FEB"/>
    <s v="PO-25000635"/>
    <s v=" บริษัท เอ วี เอ เอ็นจิเนียริ่ง เซอร์วิส จำกัด"/>
    <s v="หางปลาแรงสูงแบบบาร์ แกน 12 มม. (ระยะรู 14 )"/>
    <n v="40"/>
    <s v="EA"/>
    <n v="440"/>
    <n v="17600"/>
    <n v="430"/>
    <n v="10"/>
    <n v="400"/>
    <n v="2.2727272727272728E-2"/>
    <x v="1"/>
    <x v="0"/>
  </r>
  <r>
    <s v="FEB"/>
    <s v="PO-25000635"/>
    <s v=" บริษัท เอ วี เอ เอ็นจิเนียริ่ง เซอร์วิส จำกัด"/>
    <s v="หางปลาแรงต่ำแบบบาร์ 4 รู แกน 42 มม. (PEA)"/>
    <n v="40"/>
    <s v="EA"/>
    <n v="2330"/>
    <n v="93200"/>
    <n v="2270"/>
    <n v="60"/>
    <n v="2400"/>
    <n v="2.575107296137339E-2"/>
    <x v="1"/>
    <x v="0"/>
  </r>
  <r>
    <s v="FEB"/>
    <s v="PO-25000638"/>
    <s v="บริษัท เอคเม อินซูเลชั่น จำกัด"/>
    <s v="Silicon Steel Master Coil 027CLF120"/>
    <n v="280000"/>
    <s v="kg."/>
    <n v="56"/>
    <n v="15680000"/>
    <n v="53"/>
    <n v="3"/>
    <n v="840000"/>
    <n v="5.3571428571428568E-2"/>
    <x v="0"/>
    <x v="0"/>
  </r>
  <r>
    <s v="FEB"/>
    <s v="PO-25000637"/>
    <s v="บริษัท เมทสัน เพาเวอร์ (ประเทศไทย) จำกัด"/>
    <s v="Silicon Steel Master Coil 027CLF100"/>
    <n v="330000"/>
    <s v="kg."/>
    <n v="56"/>
    <n v="18480000"/>
    <n v="54"/>
    <n v="2"/>
    <n v="660000"/>
    <n v="3.5714285714285712E-2"/>
    <x v="0"/>
    <x v="0"/>
  </r>
  <r>
    <s v="FEB"/>
    <s v="PO-25000682"/>
    <s v="บริษัท เอ็น.เอช.เค.สตีล จำกัด"/>
    <s v="Cold Rolled Steel Sheet (SPCC-SD) ขนาด 1.5*1000 มม."/>
    <n v="3000"/>
    <s v="kg."/>
    <n v="29.8"/>
    <n v="89400"/>
    <n v="27.5"/>
    <n v="2.3000000000000007"/>
    <n v="6900.0000000000018"/>
    <n v="7.7181208053691303E-2"/>
    <x v="0"/>
    <x v="0"/>
  </r>
  <r>
    <s v="FEB"/>
    <s v="PO-25000682"/>
    <s v="บริษัท เอ็น.เอช.เค.สตีล จำกัด"/>
    <s v="Cold Rolled Steel Sheet (SPCC-SD) ขนาด 1.5*1200 มม."/>
    <n v="6000"/>
    <s v="kg."/>
    <n v="29.8"/>
    <n v="178800"/>
    <n v="27.5"/>
    <n v="2.3000000000000007"/>
    <n v="13800.000000000004"/>
    <n v="7.7181208053691303E-2"/>
    <x v="0"/>
    <x v="0"/>
  </r>
  <r>
    <s v="FEB"/>
    <s v="PO-25000683"/>
    <s v="บริษัท พีเอส สตีล โปรเซสซิ่ง เซ็นเตอร์ จำกัด"/>
    <s v="Cold Rolled Steel Sheet (SPCC-SD) ขนาด 1.2*7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683"/>
    <s v="บริษัท พีเอส สตีล โปรเซสซิ่ง เซ็นเตอร์ จำกัด"/>
    <s v="Cold Rolled Steel Sheet (SPCC-SD) ขนาด 1.2*800 มม."/>
    <n v="3000"/>
    <s v="kg."/>
    <n v="28"/>
    <n v="84000"/>
    <n v="27.4"/>
    <n v="0.60000000000000142"/>
    <n v="1800.0000000000043"/>
    <n v="2.1428571428571481E-2"/>
    <x v="0"/>
    <x v="0"/>
  </r>
  <r>
    <s v="FEB"/>
    <s v="PO-25000650"/>
    <s v="บริษัท บางกอก เซอร์วิส แอนด์ ซัพพลาย จำกัด"/>
    <s v="Pack &amp; Lashing+Cert. Container 40’FR (SOF-240054)"/>
    <n v="1"/>
    <s v="JOB"/>
    <n v="45000"/>
    <n v="45000"/>
    <n v="44500"/>
    <n v="500"/>
    <n v="500"/>
    <n v="1.1111111111111112E-2"/>
    <x v="1"/>
    <x v="1"/>
  </r>
  <r>
    <s v="FEB"/>
    <s v="PO-25000659"/>
    <s v="บริษัท พรอสเปอร์ อี แอนด์ ที จำกัด"/>
    <s v="CABLE GLAND Size 50S TYPE A2F"/>
    <n v="147"/>
    <s v="EA"/>
    <n v="1460"/>
    <n v="214620"/>
    <n v="1450"/>
    <n v="10"/>
    <n v="1470"/>
    <n v="6.8493150684931503E-3"/>
    <x v="1"/>
    <x v="1"/>
  </r>
  <r>
    <s v="FEB"/>
    <s v="PO-25000659"/>
    <s v="บริษัท พรอสเปอร์ อี แอนด์ ที จำกัด"/>
    <s v="Cable Gland Stainless Steel  M40 TYPE A2F"/>
    <n v="1764"/>
    <s v="EA"/>
    <n v="750"/>
    <n v="1323000"/>
    <n v="740"/>
    <n v="10"/>
    <n v="17640"/>
    <n v="1.3333333333333334E-2"/>
    <x v="1"/>
    <x v="1"/>
  </r>
  <r>
    <s v="FEB"/>
    <s v="PO-25000666"/>
    <s v="บริษัท ธนากัญญ คอนสตรัคชั่น เวิร์ค จำกัด"/>
    <s v="Add Slope concrete&amp; Site expense."/>
    <n v="1"/>
    <s v="JOB"/>
    <n v="34342"/>
    <n v="34342"/>
    <n v="33000"/>
    <n v="1342"/>
    <n v="1342"/>
    <n v="3.9077514413837285E-2"/>
    <x v="1"/>
    <x v="1"/>
  </r>
  <r>
    <s v="FEB"/>
    <s v="PO-25000688"/>
    <s v="บริษัท ยูไนเต็ดคอปเปอร์ จำกัด"/>
    <s v="ทองแดงเส้นแบน "/>
    <n v="695"/>
    <s v="KG"/>
    <n v="380"/>
    <n v="264100"/>
    <n v="373"/>
    <n v="7"/>
    <n v="4865"/>
    <n v="1.8421052631578946E-2"/>
    <x v="0"/>
    <x v="1"/>
  </r>
  <r>
    <s v="FEB"/>
    <s v="PO-25000696"/>
    <s v="ห้างหุ้นส่วนจำกัด สะพานสี่ สตีล โปรดักส์"/>
    <s v="ติดตั้งหลังคาเมทัลชีท ขนาด 3.00 x 6.00 ม."/>
    <n v="1"/>
    <s v="JOB"/>
    <n v="78000"/>
    <n v="78000"/>
    <n v="75000"/>
    <n v="3000"/>
    <n v="3000"/>
    <n v="3.8461538461538464E-2"/>
    <x v="1"/>
    <x v="1"/>
  </r>
  <r>
    <s v="FEB"/>
    <s v="PO-25000703"/>
    <s v="บริษัท วินเทรด โปร จำกัด"/>
    <s v="เสายึดครีบ  Tie Rod 5/8&quot; TR.7000 kVA (Stainless 316)"/>
    <n v="24"/>
    <s v="EA"/>
    <n v="1250"/>
    <n v="30000"/>
    <n v="1020"/>
    <n v="230"/>
    <n v="5520"/>
    <n v="0.184"/>
    <x v="0"/>
    <x v="0"/>
  </r>
  <r>
    <s v="FEB"/>
    <s v="PO-25000703"/>
    <s v="บริษัท วินเทรด โปร จำกัด"/>
    <s v="เสายึดครีบ  Tie Rod 5/8&quot; TR.7700 kVA (Stainless 316)"/>
    <n v="180"/>
    <s v="EA"/>
    <n v="1300"/>
    <n v="234000"/>
    <n v="1050"/>
    <n v="250"/>
    <n v="45000"/>
    <n v="0.19230769230769232"/>
    <x v="0"/>
    <x v="0"/>
  </r>
  <r>
    <s v="FEB"/>
    <s v="PO-25000631"/>
    <s v="บริษัท พี ซี อีลีแมค จำกัด"/>
    <s v="CABLE BOX TYPE 1 TR.7700 kVA 3Ph 50Hz 22000-800/800V"/>
    <n v="1"/>
    <s v="SET."/>
    <n v="48500"/>
    <n v="48500"/>
    <n v="45000"/>
    <n v="3500"/>
    <n v="3500"/>
    <n v="7.2164948453608241E-2"/>
    <x v="0"/>
    <x v="0"/>
  </r>
  <r>
    <s v="FEB"/>
    <s v="PO-25000631"/>
    <s v="บริษัท พี ซี อีลีแมค จำกัด"/>
    <s v="Box ตัวเสียบ ขนาด 1250x500x1100 มม"/>
    <n v="1"/>
    <s v="SET."/>
    <n v="18000"/>
    <n v="18000"/>
    <n v="15000"/>
    <n v="3000"/>
    <n v="3000"/>
    <n v="0.16666666666666666"/>
    <x v="0"/>
    <x v="0"/>
  </r>
  <r>
    <s v="FEB"/>
    <s v="PO-25000631"/>
    <s v="บริษัท พี ซี อีลีแมค จำกัด"/>
    <s v="Box ตัวเสียบ ขนาด 1640x450x1100 มม"/>
    <n v="1"/>
    <s v="SET."/>
    <n v="22000"/>
    <n v="22000"/>
    <n v="18400"/>
    <n v="3600"/>
    <n v="3600"/>
    <n v="0.16363636363636364"/>
    <x v="0"/>
    <x v="0"/>
  </r>
  <r>
    <s v="FEB"/>
    <s v="PO-25000634"/>
    <s v="บริษัท พี ซี อีลีแมค จำกัด"/>
    <s v="Box ตัวเสียบ ขนาด 1250x500x1100 มม"/>
    <n v="1"/>
    <s v="SET."/>
    <n v="18000"/>
    <n v="18000"/>
    <n v="15000"/>
    <n v="3000"/>
    <n v="3000"/>
    <n v="0.16666666666666666"/>
    <x v="0"/>
    <x v="0"/>
  </r>
  <r>
    <s v="FEB"/>
    <s v="PO-25000634"/>
    <s v="บริษัท พี ซี อีลีแมค จำกัด"/>
    <s v="Box ตัวเสียบ ขนาด 1640x450x1100 มม"/>
    <n v="1"/>
    <s v="SET."/>
    <n v="22000"/>
    <n v="22000"/>
    <n v="18400"/>
    <n v="3600"/>
    <n v="3600"/>
    <n v="0.16363636363636364"/>
    <x v="0"/>
    <x v="0"/>
  </r>
  <r>
    <s v="FEB"/>
    <s v="PO-25000634"/>
    <s v="บริษัท พี ซี อีลีแมค จำกัด"/>
    <s v="Control Box (Lamp + Limit switch)"/>
    <n v="1"/>
    <s v="EA"/>
    <n v="6000"/>
    <n v="6000"/>
    <n v="5700"/>
    <n v="300"/>
    <n v="300"/>
    <n v="0.05"/>
    <x v="0"/>
    <x v="0"/>
  </r>
  <r>
    <s v="FEB"/>
    <s v="PO-25000694"/>
    <s v="บริษัท เซาท์อีสไทยแลนด์ จำกัด"/>
    <s v="Insulating Supports แรงสูง24kV ยี่ห้อ GEORG JORDRN"/>
    <n v="186"/>
    <s v="EA"/>
    <n v="1380"/>
    <n v="256680"/>
    <n v="1037"/>
    <n v="343"/>
    <n v="63798"/>
    <n v="0.24855072463768116"/>
    <x v="0"/>
    <x v="1"/>
  </r>
  <r>
    <s v="MAR"/>
    <s v="PO-25000731"/>
    <s v="บริษัท ชูโฟทิค จำกัด"/>
    <s v="Emergency Light Sunny CU209CD6 LED12Vdc 9W 12V-7Ah - Back up"/>
    <n v="25"/>
    <s v="EA."/>
    <n v="1700"/>
    <n v="42500"/>
    <n v="1650"/>
    <n v="50"/>
    <n v="1250"/>
    <n v="2.9411764705882353E-2"/>
    <x v="0"/>
    <x v="1"/>
  </r>
  <r>
    <s v="MAR"/>
    <s v="PO-25000801"/>
    <s v="บริษัท พี ซี อีลีแมค จำกัด"/>
    <s v="Aluminium Plate Size 350X160X6 mm."/>
    <n v="140"/>
    <s v="EA."/>
    <n v="300"/>
    <n v="42000"/>
    <n v="280"/>
    <n v="20"/>
    <n v="2800"/>
    <n v="6.6666666666666666E-2"/>
    <x v="1"/>
    <x v="0"/>
  </r>
  <r>
    <s v="MAR"/>
    <s v="PO-25000765"/>
    <s v="บริษัท วินเทรด โปร จำกัด"/>
    <s v="Ladder 6 Step (high 2100 mm.)"/>
    <n v="51"/>
    <s v="EA."/>
    <n v="1900"/>
    <n v="96900"/>
    <n v="1850"/>
    <n v="50"/>
    <n v="2550"/>
    <n v="2.6315789473684209E-2"/>
    <x v="0"/>
    <x v="0"/>
  </r>
  <r>
    <s v="MAR"/>
    <s v="PO-25000823"/>
    <s v="บริษัท เอ็น.เอช.เค.สตีล จำกัด"/>
    <s v="Cold Rolled Steel Sheet (SPCC-SD) ขนาด 1.5*1100 มม."/>
    <n v="3000"/>
    <s v="kg."/>
    <n v="28"/>
    <n v="84000"/>
    <n v="27.5"/>
    <n v="0.5"/>
    <n v="1500"/>
    <n v="1.7857142857142856E-2"/>
    <x v="0"/>
    <x v="0"/>
  </r>
  <r>
    <s v="MAR"/>
    <s v="PO-25000819"/>
    <s v="CORE  STEEL  CO.,LTD. (Japan)"/>
    <s v="Silicon Steel Master Coil 020CLF070 (20SQGD070)"/>
    <n v="20000"/>
    <s v="kg."/>
    <n v="89.06"/>
    <n v="1781200"/>
    <n v="87.699999999999989"/>
    <n v="1.3600000000000136"/>
    <n v="27200.000000000273"/>
    <n v="1.5270604087132423E-2"/>
    <x v="0"/>
    <x v="0"/>
  </r>
  <r>
    <s v="MAR"/>
    <s v="PO-25000820 "/>
    <s v="บริษัท เจเอฟอี โชจิ (ประเทศไทย) จำกัด"/>
    <s v="Silicon Steel Master Coil 023CLF080"/>
    <n v="200000"/>
    <s v="kg."/>
    <n v="80.900000000000006"/>
    <n v="16180000.000000002"/>
    <n v="74.162000000000006"/>
    <n v="6.7379999999999995"/>
    <n v="1347600"/>
    <n v="8.3288009888751527E-2"/>
    <x v="0"/>
    <x v="0"/>
  </r>
  <r>
    <s v="MAR"/>
    <s v="PO-25000867"/>
    <s v="บริษัท พี ซี อีลีแมค จำกัด"/>
    <s v="Control Box (Lamp + Limit switch)"/>
    <n v="11"/>
    <s v="EA."/>
    <n v="6000"/>
    <n v="66000"/>
    <n v="5700"/>
    <n v="300"/>
    <n v="3300"/>
    <n v="0.05"/>
    <x v="0"/>
    <x v="0"/>
  </r>
  <r>
    <s v="MAR"/>
    <s v="PO-25000867"/>
    <s v="บริษัท พี ซี อีลีแมค จำกัด"/>
    <s v="CABLE BOX TYPE 1 TR.7700 kVA 3Ph 50Hz 22000-800/800V "/>
    <n v="7"/>
    <s v="SET."/>
    <n v="48500"/>
    <n v="339500"/>
    <n v="45000"/>
    <n v="3500"/>
    <n v="24500"/>
    <n v="7.2164948453608241E-2"/>
    <x v="0"/>
    <x v="0"/>
  </r>
  <r>
    <s v="MAR"/>
    <s v="PO-25000867"/>
    <s v="บริษัท พี ซี อีลีแมค จำกัด"/>
    <s v="Box ตัวเสียบ ขนาด 1250x500x1100 มม."/>
    <n v="8"/>
    <s v="SET."/>
    <n v="18000"/>
    <n v="144000"/>
    <n v="15000"/>
    <n v="3000"/>
    <n v="24000"/>
    <n v="0.16666666666666666"/>
    <x v="0"/>
    <x v="0"/>
  </r>
  <r>
    <s v="MAR"/>
    <s v="PO-25000867"/>
    <s v="บริษัท พี ซี อีลีแมค จำกัด"/>
    <s v="Box ตัวเสียบ ขนาด 1640x450x1100 มม."/>
    <n v="8"/>
    <s v="SET."/>
    <n v="22000"/>
    <n v="176000"/>
    <n v="18400"/>
    <n v="3600"/>
    <n v="28800"/>
    <n v="0.16363636363636364"/>
    <x v="0"/>
    <x v="0"/>
  </r>
  <r>
    <s v="MAR"/>
    <s v="PO-25000868"/>
    <s v="บริษัท พี ซี อีลีแมค จำกัด"/>
    <s v="Box ตัวเสียบ ขนาด 1250x500x1100 มม."/>
    <n v="17"/>
    <s v="SET."/>
    <n v="18000"/>
    <n v="306000"/>
    <n v="15000"/>
    <n v="3000"/>
    <n v="51000"/>
    <n v="0.16666666666666666"/>
    <x v="0"/>
    <x v="0"/>
  </r>
  <r>
    <s v="MAR"/>
    <s v="PO-25000868"/>
    <s v="บริษัท พี ซี อีลีแมค จำกัด"/>
    <s v="Box ตัวเสียบ ขนาด 1640x450x1100 มม."/>
    <n v="17"/>
    <s v="SET."/>
    <n v="22000"/>
    <n v="374000"/>
    <n v="18400"/>
    <n v="3600"/>
    <n v="61200"/>
    <n v="0.16363636363636364"/>
    <x v="0"/>
    <x v="0"/>
  </r>
  <r>
    <s v="MAR"/>
    <s v="PO-25000868"/>
    <s v="บริษัท พี ซี อีลีแมค จำกัด"/>
    <s v="CABLE BOX TYPE 1 TR.7700 kVA 3Ph 50Hz 22000-800/800V"/>
    <n v="14"/>
    <s v="SET."/>
    <n v="48500"/>
    <n v="679000"/>
    <n v="45000"/>
    <n v="3500"/>
    <n v="49000"/>
    <n v="7.2164948453608241E-2"/>
    <x v="0"/>
    <x v="0"/>
  </r>
  <r>
    <s v="MAR"/>
    <s v="PO-25000868"/>
    <s v="บริษัท พี ซี อีลีแมค จำกัด"/>
    <s v="Control Box (Lamp + Limit switch)"/>
    <n v="18"/>
    <s v="EA."/>
    <n v="6000"/>
    <n v="108000"/>
    <n v="5700"/>
    <n v="300"/>
    <n v="5400"/>
    <n v="0.05"/>
    <x v="0"/>
    <x v="0"/>
  </r>
  <r>
    <s v="MAR"/>
    <s v="PO-25000859"/>
    <s v="บริษัท ต่อกิจ พัฒนา 2019 จำกัด"/>
    <s v="CABLE BOX TYPE 1  TR.2000 kVA 3Ph 50Hz 22000-400/230V"/>
    <n v="2"/>
    <s v="SET."/>
    <n v="46500"/>
    <n v="93000"/>
    <n v="45500"/>
    <n v="1000"/>
    <n v="2000"/>
    <n v="2.1505376344086023E-2"/>
    <x v="1"/>
    <x v="0"/>
  </r>
  <r>
    <s v="MAR"/>
    <s v="PO-25000872"/>
    <s v="บริษัท ต่อกิจ พัฒนา 2019 จำกัด"/>
    <s v="CABLE BOX TYPE 1 TR.50 kVA 3Ph 50Hz 22000-400/230V"/>
    <n v="11"/>
    <s v="SET."/>
    <n v="34500"/>
    <n v="379500"/>
    <n v="33500"/>
    <n v="1000"/>
    <n v="11000"/>
    <n v="2.8985507246376812E-2"/>
    <x v="1"/>
    <x v="0"/>
  </r>
  <r>
    <s v="MAR"/>
    <s v="PO-25000938"/>
    <s v="บริษัท พีเอส สตีล โปรเซสซิ่ง เซ็นเตอร์ จำกัด"/>
    <s v="Cold Rolled Steel Sheet (SPCC-SD) ขนาด 1.2*800 มม."/>
    <n v="9000"/>
    <s v="kg."/>
    <n v="27.4"/>
    <n v="246600"/>
    <n v="27"/>
    <n v="0.39999999999999858"/>
    <n v="3599.9999999999873"/>
    <n v="1.4598540145985351E-2"/>
    <x v="0"/>
    <x v="0"/>
  </r>
  <r>
    <s v="MAR"/>
    <s v="PO-25000938"/>
    <s v="บริษัท พีเอส สตีล โปรเซสซิ่ง เซ็นเตอร์ จำกัด"/>
    <s v="Cold Rolled Steel Sheet (SPCC-SD) ขนาด 1.2*700 มม."/>
    <n v="3000"/>
    <s v="kg."/>
    <n v="27.4"/>
    <n v="82200"/>
    <n v="27"/>
    <n v="0.39999999999999858"/>
    <n v="1199.9999999999957"/>
    <n v="1.4598540145985351E-2"/>
    <x v="0"/>
    <x v="0"/>
  </r>
  <r>
    <s v="MAR"/>
    <s v="PO-25000941"/>
    <s v="บริษัท พี ซี อีลีแมค จำกัด"/>
    <s v="Busbar support cable lock L140 for OD∅32-1Holes "/>
    <n v="546"/>
    <s v="EA."/>
    <n v="221"/>
    <n v="120666"/>
    <n v="200"/>
    <n v="21"/>
    <n v="11466"/>
    <n v="9.5022624434389136E-2"/>
    <x v="1"/>
    <x v="0"/>
  </r>
  <r>
    <s v="MAR"/>
    <s v="PO-25000941"/>
    <s v="บริษัท พี ซี อีลีแมค จำกัด"/>
    <s v="Busbar support cable lock L420 for OD∅26-4Holes"/>
    <n v="1640"/>
    <s v="EA."/>
    <n v="740"/>
    <n v="1213600"/>
    <n v="660"/>
    <n v="80"/>
    <n v="131200"/>
    <n v="0.10810810810810811"/>
    <x v="1"/>
    <x v="0"/>
  </r>
  <r>
    <s v="MAR"/>
    <s v="PO-25000941"/>
    <s v="บริษัท พี ซี อีลีแมค จำกัด"/>
    <s v="Busbar support cable lock L600 for OD∅26-6Holes"/>
    <n v="216"/>
    <s v="EA."/>
    <n v="1020"/>
    <n v="220320"/>
    <n v="920"/>
    <n v="100"/>
    <n v="21600"/>
    <n v="9.8039215686274508E-2"/>
    <x v="1"/>
    <x v="0"/>
  </r>
  <r>
    <s v="MAR"/>
    <s v="PO-25000868"/>
    <s v="บริษัท พี ซี อีลีแมค จำกัด"/>
    <s v="CABLE BOX TYPE 1 TR.7700 kVA 3Ph 50Hz 22000-800/800V"/>
    <n v="14"/>
    <s v="SET."/>
    <n v="48500"/>
    <n v="679000"/>
    <n v="45000"/>
    <n v="3500"/>
    <n v="49000"/>
    <n v="7.2164948453608241E-2"/>
    <x v="0"/>
    <x v="0"/>
  </r>
  <r>
    <s v="MAR"/>
    <s v="PO-25000868"/>
    <s v="บริษัท พี ซี อีลีแมค จำกัด"/>
    <s v="Box ตัวเสียบ ขนาด 1250x500x1100 มม."/>
    <n v="17"/>
    <s v="SET."/>
    <n v="18000"/>
    <n v="306000"/>
    <n v="15000"/>
    <n v="3000"/>
    <n v="51000"/>
    <n v="0.16666666666666666"/>
    <x v="0"/>
    <x v="0"/>
  </r>
  <r>
    <s v="MAR"/>
    <s v="PO-25000868"/>
    <s v="บริษัท พี ซี อีลีแมค จำกัด"/>
    <s v="Box ตัวเสียบ ขนาด 1640x450x1100 มม."/>
    <n v="17"/>
    <s v="SET."/>
    <n v="22000"/>
    <n v="374000"/>
    <n v="18400"/>
    <n v="3600"/>
    <n v="61200"/>
    <n v="0.16363636363636364"/>
    <x v="0"/>
    <x v="0"/>
  </r>
  <r>
    <s v="MAR"/>
    <s v="PO-25000868"/>
    <s v="บริษัท พี ซี อีลีแมค จำกัด"/>
    <s v="Control Box (Lamp + Limit switch)"/>
    <n v="18"/>
    <s v="EA."/>
    <n v="6000"/>
    <n v="108000"/>
    <n v="5700"/>
    <n v="300"/>
    <n v="5400"/>
    <n v="0.05"/>
    <x v="0"/>
    <x v="0"/>
  </r>
  <r>
    <s v="MAR"/>
    <s v="PO-25000869"/>
    <s v="บริษัท พี ซี อีลีแมค จำกัด"/>
    <s v="CABLE BOX TYPE 1 TR.7700 kVA 3Ph 50Hz 22000-800/800V"/>
    <n v="4"/>
    <s v="SET."/>
    <n v="48500"/>
    <n v="194000"/>
    <n v="45000"/>
    <n v="3500"/>
    <n v="14000"/>
    <n v="7.2164948453608241E-2"/>
    <x v="0"/>
    <x v="0"/>
  </r>
  <r>
    <s v="MAR"/>
    <s v="PO-25000869"/>
    <s v="บริษัท พี ซี อีลีแมค จำกัด"/>
    <s v="Box ตัวเสียบ ขนาด 1250x500x1100 มม."/>
    <n v="4"/>
    <s v="SET."/>
    <n v="18000"/>
    <n v="72000"/>
    <n v="15000"/>
    <n v="3000"/>
    <n v="12000"/>
    <n v="0.16666666666666666"/>
    <x v="0"/>
    <x v="0"/>
  </r>
  <r>
    <s v="MAR"/>
    <s v="PO-25000869"/>
    <s v="บริษัท พี ซี อีลีแมค จำกัด"/>
    <s v="Box ตัวเสียบ ขนาด 1640x450x1100 มม."/>
    <n v="4"/>
    <s v="SET."/>
    <n v="22000"/>
    <n v="88000"/>
    <n v="18400"/>
    <n v="3600"/>
    <n v="14400"/>
    <n v="0.16363636363636364"/>
    <x v="0"/>
    <x v="0"/>
  </r>
  <r>
    <s v="MAR"/>
    <s v="PO-25000869"/>
    <s v="บริษัท พี ซี อีลีแมค จำกัด"/>
    <s v="Control Box (Lamp + Limit switch)"/>
    <n v="4"/>
    <s v="EA."/>
    <n v="6000"/>
    <n v="24000"/>
    <n v="5700"/>
    <n v="300"/>
    <n v="1200"/>
    <n v="0.05"/>
    <x v="0"/>
    <x v="0"/>
  </r>
  <r>
    <s v="MAR"/>
    <s v="PO-25000691"/>
    <s v="บริษัท เอคเม อินซูเลชั่น จำกัด"/>
    <s v="Vertical Oil Level With Contact (ARES)"/>
    <n v="14"/>
    <s v="EA."/>
    <n v="13258.81"/>
    <n v="185623.34"/>
    <n v="5390"/>
    <n v="7868.8099999999995"/>
    <n v="110163.34"/>
    <n v="0.59347784605104081"/>
    <x v="0"/>
    <x v="1"/>
  </r>
  <r>
    <s v="MAR"/>
    <s v="PO-25000745"/>
    <s v="บริษัท พรอสเปอร์ อี แอนด์ ที จำกัด"/>
    <s v="CABLE GLAND Size 32 TYPE A2F"/>
    <n v="560"/>
    <s v="EA."/>
    <n v="500"/>
    <n v="280000"/>
    <n v="480"/>
    <n v="20"/>
    <n v="11200"/>
    <n v="0.04"/>
    <x v="1"/>
    <x v="1"/>
  </r>
  <r>
    <s v="MAR"/>
    <s v="PO-25000776"/>
    <s v="ห้างหุ้นส่วนจำกัด เอ็ม.เอ็น. อีเล็คทริค ซัพพลาย"/>
    <s v="หางปลาต่อสายแบบกลมเปลือย ยี่ห้อ T-LUG CL70-12"/>
    <n v="200"/>
    <s v="EA."/>
    <n v="26"/>
    <n v="5200"/>
    <n v="24.6"/>
    <n v="1.3999999999999986"/>
    <n v="279.99999999999972"/>
    <n v="5.3846153846153794E-2"/>
    <x v="0"/>
    <x v="1"/>
  </r>
  <r>
    <s v="MAR"/>
    <s v="PO-25000778"/>
    <s v="Wuhu Zhongyuan Import and Export Co.,Ltd"/>
    <s v="Fabrication cost for Copper foil"/>
    <n v="18780"/>
    <s v="kg."/>
    <n v="30.51"/>
    <n v="572977.80000000005"/>
    <n v="26.28"/>
    <n v="4.2300000000000004"/>
    <n v="79439.400000000009"/>
    <n v="0.13864306784660768"/>
    <x v="1"/>
    <x v="1"/>
  </r>
  <r>
    <s v="MAR"/>
    <s v="PO-25000792"/>
    <s v="บริษัท ไทยพัฒนสิน (จิ้นเส็ง 2000) จำกัด"/>
    <s v="UNIOR ประแจแหวนข้างปากตาย 19mm #120/1-19"/>
    <n v="2"/>
    <s v="EA."/>
    <n v="375"/>
    <n v="750"/>
    <n v="347"/>
    <n v="28"/>
    <n v="56"/>
    <n v="7.4666666666666673E-2"/>
    <x v="0"/>
    <x v="1"/>
  </r>
  <r>
    <s v="MAR"/>
    <s v="PO-25000792"/>
    <s v="บริษัท ไทยพัฒนสิน (จิ้นเส็ง 2000) จำกัด"/>
    <s v="UNIOR ประแจแหวนข้างปากตาย 21mm #120/1-21"/>
    <n v="2"/>
    <s v="EA."/>
    <n v="420"/>
    <n v="840"/>
    <n v="402"/>
    <n v="18"/>
    <n v="36"/>
    <n v="4.2857142857142858E-2"/>
    <x v="0"/>
    <x v="1"/>
  </r>
  <r>
    <s v="MAR"/>
    <s v="PO-25000792"/>
    <s v="บริษัท ไทยพัฒนสิน (จิ้นเส็ง 2000) จำกัด"/>
    <s v="UNIOR ประแจแหวนข้างปากตาย 24mm #120/1-24"/>
    <n v="2"/>
    <s v="EA."/>
    <n v="520"/>
    <n v="1040"/>
    <n v="502"/>
    <n v="18"/>
    <n v="36"/>
    <n v="3.4615384615384617E-2"/>
    <x v="0"/>
    <x v="1"/>
  </r>
  <r>
    <s v="MAR"/>
    <s v="PO-25000792"/>
    <s v="บริษัท ไทยพัฒนสิน (จิ้นเส็ง 2000) จำกัด"/>
    <s v="ค้อนยางลดแรงกระแทก Soft Face Hammers 09E-055"/>
    <n v="1"/>
    <s v="EA."/>
    <n v="785"/>
    <n v="785"/>
    <n v="780"/>
    <n v="5"/>
    <n v="5"/>
    <n v="6.369426751592357E-3"/>
    <x v="0"/>
    <x v="1"/>
  </r>
  <r>
    <s v="MAR"/>
    <s v="PO-25000812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."/>
    <n v="190"/>
    <n v="19000"/>
    <n v="182.25"/>
    <n v="7.75"/>
    <n v="775"/>
    <n v="4.0789473684210528E-2"/>
    <x v="0"/>
    <x v="1"/>
  </r>
  <r>
    <s v="MAR"/>
    <s v="PO-25000830"/>
    <s v="บริษัท เอทีซี อินดัสตรี (ประเทศไทย)จำกัด"/>
    <s v="เครื่องเจียรไร้สาย ไร้แปรงถ่าน 100 MM. 20V Max รุ่น DCG405P2"/>
    <n v="3"/>
    <s v="EA."/>
    <n v="8250"/>
    <n v="24750"/>
    <n v="8100"/>
    <n v="150"/>
    <n v="450"/>
    <n v="1.8181818181818181E-2"/>
    <x v="1"/>
    <x v="1"/>
  </r>
  <r>
    <s v="MAR"/>
    <s v="PO-25000835"/>
    <s v="บริษัท ธนากัญญ คอนสตรัคชั่น เวิร์ค จำกัด"/>
    <s v="Site expense"/>
    <n v="1"/>
    <s v="EA."/>
    <n v="11657"/>
    <n v="11657"/>
    <n v="3430"/>
    <n v="8227"/>
    <n v="8227"/>
    <n v="0.70575619799262246"/>
    <x v="1"/>
    <x v="1"/>
  </r>
  <r>
    <s v="MAR"/>
    <s v="PO-25000856"/>
    <s v="บริษัท เอทีซี อินดัสตรี (ประเทศไทย)จำกัด"/>
    <s v="ตู้แช่เย็นมินิมาร์ท FRESHER 2 ประตู รุ่น FR-2DM8 ขนาด 27.6 Q"/>
    <n v="1"/>
    <s v="EA."/>
    <n v="36500"/>
    <n v="36500"/>
    <n v="36300"/>
    <n v="200"/>
    <n v="200"/>
    <n v="5.4794520547945206E-3"/>
    <x v="1"/>
    <x v="1"/>
  </r>
  <r>
    <s v="MAR"/>
    <s v="PO-25000884"/>
    <s v="บริษัท แครี่บอย มาร์เก็ตติ้ง จำกัด"/>
    <s v="ตู้ Car-Service (L 2,400 W 1,830 H 900 mm) Shelf Scheme : รถ"/>
    <n v="1"/>
    <s v="EA."/>
    <n v="158000"/>
    <n v="158000"/>
    <n v="150000"/>
    <n v="8000"/>
    <n v="8000"/>
    <n v="5.0632911392405063E-2"/>
    <x v="1"/>
    <x v="1"/>
  </r>
  <r>
    <s v="MAR"/>
    <s v="PO-25000909"/>
    <s v="บริษัท เอ็นเอสซี เม็ททอล จำกัด"/>
    <s v="ทองแดงเส้นแบน "/>
    <n v="1023.6"/>
    <s v="kg."/>
    <n v="385"/>
    <n v="394086"/>
    <n v="375"/>
    <n v="10"/>
    <n v="10236"/>
    <n v="2.5974025974025976E-2"/>
    <x v="0"/>
    <x v="1"/>
  </r>
  <r>
    <s v="MAR"/>
    <s v="PO-25000945"/>
    <s v="บริษัท เอ็นทีดับเบิ้ลยู เอ็นจิเนียริ่ง ซัพพลาย จำกัด"/>
    <s v="ประแจแหวนข้างปากตาย KINGTONY No.17"/>
    <n v="5"/>
    <s v="EA."/>
    <n v="185"/>
    <n v="925"/>
    <n v="149"/>
    <n v="36"/>
    <n v="180"/>
    <n v="0.19459459459459461"/>
    <x v="0"/>
    <x v="1"/>
  </r>
  <r>
    <s v="MAR"/>
    <s v="PO-25000945"/>
    <s v="บริษัท เอ็นทีดับเบิ้ลยู เอ็นจิเนียริ่ง ซัพพลาย จำกัด"/>
    <s v="ประแจแหวนข้างปากตาย KINGTONY No.19"/>
    <n v="5"/>
    <s v="EA."/>
    <n v="199"/>
    <n v="995"/>
    <n v="180"/>
    <n v="19"/>
    <n v="95"/>
    <n v="9.5477386934673364E-2"/>
    <x v="0"/>
    <x v="1"/>
  </r>
  <r>
    <s v="MAR"/>
    <s v="PO-25000945"/>
    <s v="บริษัท เอ็นทีดับเบิ้ลยู เอ็นจิเนียริ่ง ซัพพลาย จำกัด"/>
    <s v="ประแจแหวนข้างปากตาย KINGTONY No.13"/>
    <n v="3"/>
    <s v="EA."/>
    <n v="145"/>
    <n v="435"/>
    <n v="106"/>
    <n v="39"/>
    <n v="117"/>
    <n v="0.26896551724137929"/>
    <x v="0"/>
    <x v="1"/>
  </r>
  <r>
    <s v="MAR"/>
    <s v="PO-25000945"/>
    <s v="บริษัท เอ็นทีดับเบิ้ลยู เอ็นจิเนียริ่ง ซัพพลาย จำกัด"/>
    <s v="ประแจแหวนข้างปากตาย KINGTONY No.14"/>
    <n v="3"/>
    <s v="EA."/>
    <n v="155"/>
    <n v="465"/>
    <n v="117"/>
    <n v="38"/>
    <n v="114"/>
    <n v="0.24516129032258063"/>
    <x v="0"/>
    <x v="1"/>
  </r>
  <r>
    <s v="MAR"/>
    <s v="PO-25000945"/>
    <s v="บริษัท เอ็นทีดับเบิ้ลยู เอ็นจิเนียริ่ง ซัพพลาย จำกัด"/>
    <s v="ประแจแหวนข้างปากตาย KINGTONY No.10"/>
    <n v="3"/>
    <s v="EA."/>
    <n v="135"/>
    <n v="405"/>
    <n v="89"/>
    <n v="46"/>
    <n v="138"/>
    <n v="0.34074074074074073"/>
    <x v="0"/>
    <x v="1"/>
  </r>
  <r>
    <s v="MAR"/>
    <s v="PO-25000963"/>
    <s v="บริษัท เอทีซี อินดัสตรี (ประเทศไทย)จำกัด"/>
    <s v="น้ำยาป้องกันสะเก็ดงานเชื่อม  ชนิดน้ำ เทอร์มาเทค ขนาด 5 ลิตร"/>
    <n v="24"/>
    <s v="GL."/>
    <n v="900"/>
    <n v="21600"/>
    <n v="890"/>
    <n v="10"/>
    <n v="240"/>
    <n v="1.1111111111111112E-2"/>
    <x v="1"/>
    <x v="1"/>
  </r>
  <r>
    <s v="MAR"/>
    <s v="PO-25000963"/>
    <s v="บริษัท เอทีซี อินดัสตรี (ประเทศไทย)จำกัด"/>
    <s v="คีมจับสายดิน SUMO ขนาด 500A"/>
    <n v="5"/>
    <s v="EA."/>
    <n v="195"/>
    <n v="975"/>
    <n v="194"/>
    <n v="1"/>
    <n v="5"/>
    <n v="5.1282051282051282E-3"/>
    <x v="1"/>
    <x v="1"/>
  </r>
  <r>
    <s v="MAR"/>
    <s v="PO-25000963"/>
    <s v="บริษัท เอทีซี อินดัสตรี (ประเทศไทย)จำกัด"/>
    <s v="กระบอกฉีดน้ำฟอกกี้ สีเหลือง YA01528 ขนาด 1 ลิตร -  สีเหลือง "/>
    <n v="12"/>
    <s v="EA."/>
    <n v="59"/>
    <n v="708"/>
    <n v="58"/>
    <n v="1"/>
    <n v="12"/>
    <n v="1.6949152542372881E-2"/>
    <x v="1"/>
    <x v="1"/>
  </r>
  <r>
    <s v="MAR"/>
    <s v="PO-25000963"/>
    <s v="บริษัท เอทีซี อินดัสตรี (ประเทศไทย)จำกัด"/>
    <s v="ตะไบแบนแบบละเอียดด้ามไฟเบอร์ 8&quot; PUMPKIN รุ่น 51106"/>
    <n v="3"/>
    <s v="EA."/>
    <n v="118"/>
    <n v="354"/>
    <n v="115"/>
    <n v="3"/>
    <n v="9"/>
    <n v="2.5423728813559324E-2"/>
    <x v="1"/>
    <x v="1"/>
  </r>
  <r>
    <s v="MAR"/>
    <s v="PO-25000963"/>
    <s v="บริษัท เอทีซี อินดัสตรี (ประเทศไทย)จำกัด"/>
    <s v="ลังทึบ สีน้ำเงิน GW ขนาด 27.5 x 40.5 x 13 cm."/>
    <n v="12"/>
    <s v="EA."/>
    <n v="190"/>
    <n v="2280"/>
    <n v="189"/>
    <n v="1"/>
    <n v="12"/>
    <n v="5.263157894736842E-3"/>
    <x v="1"/>
    <x v="1"/>
  </r>
  <r>
    <s v="MAR"/>
    <s v="PO-25000963"/>
    <s v="บริษัท เอทีซี อินดัสตรี (ประเทศไทย)จำกัด"/>
    <s v="Jumbo Bag ขนาด 95x95x135 cm. ปากกรวย-ก้นเรียบ"/>
    <n v="6"/>
    <s v="EA."/>
    <n v="350"/>
    <n v="2100"/>
    <n v="330"/>
    <n v="20"/>
    <n v="120"/>
    <n v="5.7142857142857141E-2"/>
    <x v="1"/>
    <x v="1"/>
  </r>
  <r>
    <s v="MAR"/>
    <s v="PO-25000970"/>
    <s v="บริษัท เอทีซี อินดัสตรี (ประเทศไทย)จำกัด"/>
    <s v="เครื่องดูดไร้สาย18 โวลต์ ความจุ 7.5 ลิตร DEWALT DCV584L-QW ("/>
    <n v="4"/>
    <s v="EA."/>
    <n v="6850"/>
    <n v="27400"/>
    <n v="6190"/>
    <n v="660"/>
    <n v="2640"/>
    <n v="9.6350364963503646E-2"/>
    <x v="1"/>
    <x v="1"/>
  </r>
  <r>
    <s v="MAR"/>
    <s v="PO-25000970"/>
    <s v="บริษัท เอทีซี อินดัสตรี (ประเทศไทย)จำกัด"/>
    <s v="Battery DEWALT 20V/5.0Ah DCB184"/>
    <n v="7"/>
    <s v="EA."/>
    <n v="2150"/>
    <n v="15050"/>
    <n v="1990"/>
    <n v="160"/>
    <n v="1120"/>
    <n v="7.441860465116279E-2"/>
    <x v="1"/>
    <x v="1"/>
  </r>
  <r>
    <s v="MAR"/>
    <s v="PO-25000955"/>
    <s v="บริษัท สหมิตรไวร์ แอนด์ เคเบิ้ล จำกัด"/>
    <s v="ลวดแบนหุ้มกระดาษหนา 0.5 มม. "/>
    <n v="4241"/>
    <s v="kg."/>
    <n v="390"/>
    <n v="1653990"/>
    <n v="358"/>
    <n v="32"/>
    <n v="135712"/>
    <n v="8.2051282051282051E-2"/>
    <x v="0"/>
    <x v="1"/>
  </r>
  <r>
    <s v="MAR"/>
    <s v="PO-25000959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."/>
    <n v="15.5"/>
    <n v="3100"/>
    <n v="14.76"/>
    <n v="0.74000000000000021"/>
    <n v="148.00000000000006"/>
    <n v="4.7741935483870984E-2"/>
    <x v="0"/>
    <x v="1"/>
  </r>
  <r>
    <s v="MAR"/>
    <s v="PO-25000959"/>
    <s v="ห้างหุ้นส่วนจำกัด เอ็ม.เอ็น. อีเล็คทริค ซัพพลาย"/>
    <s v="หางปลาต่อสายแบบกลมเปลือย ยี่ห้อ T-LUG CL120-12"/>
    <n v="300"/>
    <s v="EA."/>
    <n v="50"/>
    <n v="15000"/>
    <n v="47.56"/>
    <n v="2.4399999999999977"/>
    <n v="731.99999999999932"/>
    <n v="4.8799999999999955E-2"/>
    <x v="0"/>
    <x v="1"/>
  </r>
  <r>
    <s v="MAR"/>
    <s v="PO-25000959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."/>
    <n v="190"/>
    <n v="19000"/>
    <n v="182.25"/>
    <n v="7.75"/>
    <n v="775"/>
    <n v="4.0789473684210528E-2"/>
    <x v="0"/>
    <x v="1"/>
  </r>
  <r>
    <s v="MAR"/>
    <s v="PO-25000959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100"/>
    <s v="EA."/>
    <n v="5.25"/>
    <n v="525"/>
    <n v="5.0999999999999996"/>
    <n v="0.15000000000000036"/>
    <n v="15.000000000000036"/>
    <n v="2.857142857142864E-2"/>
    <x v="0"/>
    <x v="1"/>
  </r>
  <r>
    <s v="MAR"/>
    <s v="PO-25000959"/>
    <s v="ห้างหุ้นส่วนจำกัด เอ็ม.เอ็น. อีเล็คทริค ซัพพลาย"/>
    <s v="หางปลาต่อสายแบบกลมเปลือย ยี่ห้อ T-LUG ขนาด 16-6 มม."/>
    <n v="100"/>
    <s v="EA."/>
    <n v="5.25"/>
    <n v="525"/>
    <n v="5.0999999999999996"/>
    <n v="0.15000000000000036"/>
    <n v="15.000000000000036"/>
    <n v="2.857142857142864E-2"/>
    <x v="0"/>
    <x v="1"/>
  </r>
  <r>
    <s v="MAR"/>
    <s v="PO-25000966"/>
    <s v="บริษัท สตาร์เนชั่นยูนิเวอร์แซล จำกัด (สาขาระยอง)"/>
    <s v="MIG/MAG Welding Machine Model : KR-350S 380V - Welding Machi"/>
    <n v="3"/>
    <s v="SET."/>
    <n v="51000"/>
    <n v="153000"/>
    <n v="48000"/>
    <n v="3000"/>
    <n v="9000"/>
    <n v="5.8823529411764705E-2"/>
    <x v="1"/>
    <x v="1"/>
  </r>
  <r>
    <s v="MAR"/>
    <s v="PO-25001022"/>
    <s v="บริษัท เอ็นเอสซี เม็ททอล จำกัด"/>
    <s v="ทองแดงเส้นแบน"/>
    <n v="1172.9000000000001"/>
    <s v="kg."/>
    <n v="385"/>
    <n v="451566.50000000006"/>
    <n v="375"/>
    <n v="10"/>
    <n v="11729"/>
    <n v="2.5974025974025976E-2"/>
    <x v="0"/>
    <x v="1"/>
  </r>
  <r>
    <s v="MAR"/>
    <s v="PO-25000939"/>
    <s v="บริษัท พี ซี อีลีแมค จำกัด"/>
    <s v="CABLE BOX TYPE 1 TR.3500 kVA 3Ph 50Hz 22000-800V "/>
    <n v="1"/>
    <s v="SET."/>
    <n v="80500"/>
    <n v="80500"/>
    <n v="78000"/>
    <n v="2500"/>
    <n v="2500"/>
    <n v="3.1055900621118012E-2"/>
    <x v="1"/>
    <x v="0"/>
  </r>
  <r>
    <s v="MAR"/>
    <s v="PO-25000939"/>
    <s v="บริษัท พี ซี อีลีแมค จำกัด"/>
    <s v="CABLE BOX TYPE 1 TR.3850 kVA 3Ph 50Hz 22000-800V"/>
    <n v="2"/>
    <s v="SET."/>
    <n v="80500"/>
    <n v="161000"/>
    <n v="78000"/>
    <n v="2500"/>
    <n v="5000"/>
    <n v="3.1055900621118012E-2"/>
    <x v="1"/>
    <x v="0"/>
  </r>
  <r>
    <s v="MAR"/>
    <s v="PO-25001053 "/>
    <s v="บริษัท วอร์เท็กซ์ แมชชีนเนอรี่  (ประเทศไทย) จำกัด"/>
    <s v="รถยกไฟฟ้า CDD15JK-RE/350 ขนาด 1.5 ตัน ยกสูง 3.5 เมตร"/>
    <n v="1"/>
    <s v="SET."/>
    <n v="129000"/>
    <n v="129000"/>
    <n v="120000"/>
    <n v="9000"/>
    <n v="9000"/>
    <n v="6.9767441860465115E-2"/>
    <x v="1"/>
    <x v="3"/>
  </r>
  <r>
    <s v="MAR"/>
    <s v="PO-25001114"/>
    <s v="บริษัท ธนากัญญ คอนสตรัคชั่น เวิร์ค จำกัด"/>
    <s v="งานซ่อมถนนคอนกรีตด้านหน้าโรงงาน QTC (ฝั่งโรง FG)"/>
    <n v="1"/>
    <s v="Job."/>
    <n v="330351.3"/>
    <n v="330351.3"/>
    <n v="310000"/>
    <n v="20351.299999999988"/>
    <n v="20351.299999999988"/>
    <n v="6.1605024711572164E-2"/>
    <x v="1"/>
    <x v="3"/>
  </r>
  <r>
    <s v="MAR"/>
    <s v="PO-25001120 "/>
    <s v="บริษัท เอคเม อินซูเลชั่น จำกัด"/>
    <s v="กระดาษ Kraft ขนาด 0.25*595 มม."/>
    <n v="1000"/>
    <s v="kg."/>
    <n v="170"/>
    <n v="170000"/>
    <n v="167"/>
    <n v="3"/>
    <n v="3000"/>
    <n v="1.7647058823529412E-2"/>
    <x v="1"/>
    <x v="0"/>
  </r>
  <r>
    <s v="MAR"/>
    <s v="PO-25001120 "/>
    <s v="บริษัท เอคเม อินซูเลชั่น จำกัด"/>
    <s v="กระดาษ Kraft ขนาด 0.25*513 มม."/>
    <n v="1000"/>
    <s v="kg."/>
    <n v="198"/>
    <n v="198000"/>
    <n v="195"/>
    <n v="3"/>
    <n v="3000"/>
    <n v="1.5151515151515152E-2"/>
    <x v="1"/>
    <x v="0"/>
  </r>
  <r>
    <s v="MAR"/>
    <s v="PO-25001174"/>
    <s v="บริษัท ต่อกิจ พัฒนา 2019 จำกัด"/>
    <s v="Control Box Type 1 "/>
    <n v="3"/>
    <s v="EA."/>
    <n v="3000"/>
    <n v="9000"/>
    <n v="2300"/>
    <n v="700"/>
    <n v="2100"/>
    <n v="0.23333333333333334"/>
    <x v="0"/>
    <x v="0"/>
  </r>
  <r>
    <s v="MAR"/>
    <s v="PO-25001161"/>
    <s v="บริษัท พี ซี อีลีแมค จำกัด"/>
    <s v="CABLE BOX TYPE 1 TR.5000 kVA 3Ph 50Hz 22000-800/800V"/>
    <n v="7"/>
    <s v="SET."/>
    <n v="79000"/>
    <n v="553000"/>
    <n v="73000"/>
    <n v="6000"/>
    <n v="42000"/>
    <n v="7.5949367088607597E-2"/>
    <x v="0"/>
    <x v="0"/>
  </r>
  <r>
    <s v="MAR"/>
    <s v="PO-25001161"/>
    <s v="บริษัท พี ซี อีลีแมค จำกัด"/>
    <s v="Control Box  Aluminuim gland plate (W350xL250xH500)"/>
    <n v="11"/>
    <s v="EA."/>
    <n v="4000"/>
    <n v="44000"/>
    <n v="3400"/>
    <n v="600"/>
    <n v="6600"/>
    <n v="0.15"/>
    <x v="0"/>
    <x v="0"/>
  </r>
  <r>
    <s v="MAR"/>
    <s v="PO-25001108"/>
    <s v="บริษัท สหมิตรไวร์ แอนด์ เคเบิ้ล จำกัด"/>
    <s v="ลวดแบนหุ้มกระดาษหนา 0.5 มม. ขนาด 2.2x9 มม."/>
    <n v="76700"/>
    <s v="kg."/>
    <n v="358"/>
    <n v="27458600"/>
    <n v="349"/>
    <n v="9"/>
    <n v="690300"/>
    <n v="2.5139664804469275E-2"/>
    <x v="3"/>
    <x v="1"/>
  </r>
  <r>
    <s v="MAR"/>
    <s v="PO-25001110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."/>
    <n v="190"/>
    <n v="19000"/>
    <n v="182.25"/>
    <n v="7.75"/>
    <n v="775"/>
    <n v="4.0789473684210528E-2"/>
    <x v="0"/>
    <x v="1"/>
  </r>
  <r>
    <s v="MAR"/>
    <s v="PO-25001143"/>
    <s v="บริษัท บ้านไฟฟ้า จำกัด"/>
    <s v="Thermal Overload Relay &quot;Mitsubishi รุ่น TH-T18 1NO+1NC&quot;  0.7"/>
    <n v="4"/>
    <s v="EA."/>
    <n v="434"/>
    <n v="1736"/>
    <n v="410"/>
    <n v="24"/>
    <n v="96"/>
    <n v="5.5299539170506916E-2"/>
    <x v="0"/>
    <x v="1"/>
  </r>
  <r>
    <s v="MAR"/>
    <s v="PO-25000890"/>
    <s v="บริษัท อาร์ เจ เอส คอนแทร็ค แอนด์ เซอร์วิส จากัด"/>
    <s v="ผนังกั้นดินสูง 2 เมตร ยาว 53 เมตร"/>
    <n v="1"/>
    <s v="Job."/>
    <n v="732.06"/>
    <n v="732.06"/>
    <n v="0"/>
    <n v="732.06"/>
    <n v="732.06"/>
    <n v="1"/>
    <x v="4"/>
    <x v="3"/>
  </r>
  <r>
    <s v="MAR"/>
    <s v="PO-25000931"/>
    <s v="บริษัท อาร์ เจ เอส คอนแทร็ค แอนด์ เซอร์วิส จากัด"/>
    <s v="งานวางท่อหน้ากว้าง 40 ซม. 30 ท่อน ท่อนละ 1 เมตร"/>
    <n v="1"/>
    <s v="Job."/>
    <n v="70.13"/>
    <n v="70.13"/>
    <n v="0"/>
    <n v="70.13"/>
    <n v="70.13"/>
    <n v="1"/>
    <x v="4"/>
    <x v="0"/>
  </r>
  <r>
    <s v="MAR"/>
    <s v="PO-25000553"/>
    <s v="XIN CHENG INDUSTRY MATERIAL CO., LTD."/>
    <s v="ค่าขนส่งสินค้าเข้าโรงงาน"/>
    <n v="1"/>
    <s v="Job."/>
    <n v="3500"/>
    <n v="3500"/>
    <n v="0"/>
    <n v="3500"/>
    <n v="3500"/>
    <n v="1"/>
    <x v="1"/>
    <x v="1"/>
  </r>
  <r>
    <s v="MAR"/>
    <s v="PO-25001077"/>
    <s v="AKM  ASIA  PTE  LTD"/>
    <s v="ค่าขนส่งสินค้าเข้าโรงงาน"/>
    <n v="1"/>
    <s v="Job."/>
    <n v="3500"/>
    <n v="3500"/>
    <n v="0"/>
    <n v="3500"/>
    <n v="3500"/>
    <n v="1"/>
    <x v="1"/>
    <x v="1"/>
  </r>
  <r>
    <s v="MAR"/>
    <s v="PO-25001026"/>
    <s v="บริษัท โมริ-เทค แมชชีนเนอรี่ (ประเทศไทย) จำกัด"/>
    <s v="Laser Source 1500W (RECI)"/>
    <n v="1"/>
    <s v="Unit "/>
    <n v="180000"/>
    <n v="180000"/>
    <n v="165000"/>
    <n v="15000"/>
    <n v="15000"/>
    <n v="8.3333333333333329E-2"/>
    <x v="1"/>
    <x v="1"/>
  </r>
  <r>
    <s v="MAR"/>
    <s v="PO-25001033"/>
    <s v="บริษัท ธนากัญญ คอนสตรัคชั่น เวิร์ค จำกัด"/>
    <s v="ค่าดำเนินการงานติดตั้งท่อน้ำดี"/>
    <n v="1"/>
    <s v="Job."/>
    <n v="31298.25"/>
    <n v="31298.25"/>
    <n v="11345"/>
    <n v="19953.25"/>
    <n v="19953.25"/>
    <n v="0.6375196696300911"/>
    <x v="1"/>
    <x v="3"/>
  </r>
  <r>
    <s v="MAR"/>
    <s v="PO-25001065"/>
    <s v="บริษัท เอทีซี อินดัสตรี (ประเทศไทย)จำกัด"/>
    <s v="พัดลมอุตสาหกรรมใบฟ้า ติดผนัง VENZ-F3C ขนาด 18 นิ้ว"/>
    <n v="1"/>
    <s v="Unit "/>
    <n v="2190"/>
    <n v="2190"/>
    <n v="2000"/>
    <n v="190"/>
    <n v="190"/>
    <n v="8.6757990867579904E-2"/>
    <x v="0"/>
    <x v="1"/>
  </r>
  <r>
    <s v="MAR"/>
    <s v="PO-25001065"/>
    <s v="บริษัท เอทีซี อินดัสตรี (ประเทศไทย)จำกัด"/>
    <s v="พัดลมติดผนังส่ายได้ VENZ ขนาด 24&quot; รุ่น F1C"/>
    <n v="4"/>
    <s v="Unit "/>
    <n v="2595"/>
    <n v="10380"/>
    <n v="2500"/>
    <n v="95"/>
    <n v="380"/>
    <n v="3.6608863198458574E-2"/>
    <x v="0"/>
    <x v="1"/>
  </r>
  <r>
    <s v="MAR"/>
    <s v="PO-25001066"/>
    <s v="บริษัท ศรีราชามงคลชัย จำกัด"/>
    <s v="ตลับเก็บสายลม OK-A15/9.5x15.8มม. ยาว 15 เมตร OKURA"/>
    <n v="6"/>
    <s v="EA."/>
    <n v="2550"/>
    <n v="15300"/>
    <n v="2140"/>
    <n v="410"/>
    <n v="2460"/>
    <n v="0.16078431372549021"/>
    <x v="0"/>
    <x v="1"/>
  </r>
  <r>
    <s v="MAR"/>
    <s v="PO-25001066"/>
    <s v="บริษัท ศรีราชามงคลชัย จำกัด"/>
    <s v="YUSHI FF-75M พัดลมตั้งพื้น 30&quot;"/>
    <n v="2"/>
    <s v="EA."/>
    <n v="6250"/>
    <n v="12500"/>
    <n v="5995"/>
    <n v="255"/>
    <n v="510"/>
    <n v="4.0800000000000003E-2"/>
    <x v="0"/>
    <x v="1"/>
  </r>
  <r>
    <s v="MAR"/>
    <s v="PO-25001068"/>
    <s v="บริษัท เอทีซี อินดัสตรี (ประเทศไทย)จำกัด"/>
    <s v="แม่เหล็กยกชิ้นงาน 600 KG."/>
    <n v="2"/>
    <s v="EA."/>
    <n v="29800"/>
    <n v="59600"/>
    <n v="8000"/>
    <n v="21800"/>
    <n v="43600"/>
    <n v="0.73154362416107388"/>
    <x v="0"/>
    <x v="0"/>
  </r>
  <r>
    <s v="MAR"/>
    <s v="PO-25001094"/>
    <s v="บริษัท ศรีราชามงคลชัย จำกัด"/>
    <s v="สว่านกระแทกไร้สาย 13มม. 18V GSB18V-65 แบต 2.0Ahx2 + แท่นชาร์"/>
    <n v="1"/>
    <s v="ชุด"/>
    <n v="7990"/>
    <n v="7990"/>
    <n v="5984.9"/>
    <n v="2005.1000000000004"/>
    <n v="2005.1000000000004"/>
    <n v="0.25095118898623281"/>
    <x v="0"/>
    <x v="0"/>
  </r>
  <r>
    <s v="MAR"/>
    <s v="PO-25001096"/>
    <s v="บริษัท ศรีราชามงคลชัย จำกัด"/>
    <s v="เครื่องเป่าลมร้อน 2000W GHG20-63 BOSCH"/>
    <n v="1"/>
    <s v="EA."/>
    <n v="4200"/>
    <n v="4200"/>
    <n v="3676.5"/>
    <n v="523.5"/>
    <n v="523.5"/>
    <n v="0.12464285714285714"/>
    <x v="0"/>
    <x v="0"/>
  </r>
  <r>
    <s v="MAR"/>
    <s v="PO-25001114"/>
    <s v="บริษัท ธนากัญญ คอนสตรัคชั่น เวิร์ค จำกัด"/>
    <s v="ค่าดำเนินการ งานซ่อมถนนคอนกรีตด้านหน้าโรงงาน QTC (ฝั่งโรง FG)"/>
    <n v="1"/>
    <s v="Job."/>
    <n v="43089.3"/>
    <n v="43089.3"/>
    <n v="22738"/>
    <n v="20351.300000000003"/>
    <n v="20351.300000000003"/>
    <n v="0.47230518945538685"/>
    <x v="1"/>
    <x v="3"/>
  </r>
  <r>
    <s v="MAR"/>
    <s v="PO-25001084"/>
    <s v="NINGBO JINTIAN COPPER (GROUP) CO.,LTD"/>
    <s v="Fabrication cost for Copper foil"/>
    <n v="28530"/>
    <s v="kg."/>
    <n v="30.51"/>
    <n v="870450.3"/>
    <n v="27.29"/>
    <n v="3.2200000000000024"/>
    <n v="91866.600000000064"/>
    <n v="0.10553916748607022"/>
    <x v="0"/>
    <x v="1"/>
  </r>
  <r>
    <s v="MAR"/>
    <s v="PO-25000764"/>
    <s v="บริษัท พี.เอส.พี.สเปเชียลตี้ส์ จำกัด (มหาชน)"/>
    <s v="น้ำมันหม้อแปลง Transform INH"/>
    <n v="84000"/>
    <s v="ลิตร"/>
    <n v="35"/>
    <n v="2940000"/>
    <n v="34.125"/>
    <n v="0.875"/>
    <n v="73500"/>
    <n v="2.5000000000000001E-2"/>
    <x v="1"/>
    <x v="0"/>
  </r>
  <r>
    <s v="MAR"/>
    <s v="PO-25001002"/>
    <s v="บริษัท เอ็น.เอช.เค.สตีล จำกัด"/>
    <s v="Cold Rolled Steel Sheet (SPCC-SD) ขนาด 1.5*900 มม."/>
    <n v="3000"/>
    <s v="KG"/>
    <n v="27.8"/>
    <n v="83400"/>
    <n v="27.5"/>
    <n v="0.30000000000000071"/>
    <n v="900.00000000000216"/>
    <n v="1.0791366906474845E-2"/>
    <x v="1"/>
    <x v="0"/>
  </r>
  <r>
    <s v="MAR"/>
    <s v="PO-25001002"/>
    <s v="บริษัท เอ็น.เอช.เค.สตีล จำกัด"/>
    <s v="Cold Rolled Steel Sheet (SPCC-SD) ขนาด 1.5*1000 มม."/>
    <n v="3000"/>
    <s v="KG"/>
    <n v="27.8"/>
    <n v="83400"/>
    <n v="27.5"/>
    <n v="0.30000000000000071"/>
    <n v="900.00000000000216"/>
    <n v="1.0791366906474845E-2"/>
    <x v="1"/>
    <x v="0"/>
  </r>
  <r>
    <s v="MAR"/>
    <s v="PO-25001002"/>
    <s v="บริษัท เอ็น.เอช.เค.สตีล จำกัด"/>
    <s v="Cold Rolled Steel Sheet (SPCC-SD) ขนาด 1.2*700 มม."/>
    <n v="3108"/>
    <s v="KG"/>
    <n v="27.8"/>
    <n v="86402.400000000009"/>
    <n v="27.5"/>
    <n v="0.30000000000000071"/>
    <n v="932.40000000000225"/>
    <n v="1.0791366906474845E-2"/>
    <x v="1"/>
    <x v="0"/>
  </r>
  <r>
    <s v="MAR"/>
    <s v="PO-25001130"/>
    <s v="บริษัท พีเอส สตีล โปรเซสซิ่ง เซ็นเตอร์ จำกัด"/>
    <s v="Cold Rolled Steel Sheet (SPCC-SD) ขนาด 1.2*600 มม."/>
    <n v="3000"/>
    <s v="KG"/>
    <n v="27.4"/>
    <n v="82200"/>
    <n v="27"/>
    <n v="0.39999999999999858"/>
    <n v="1199.9999999999957"/>
    <n v="1.4598540145985351E-2"/>
    <x v="1"/>
    <x v="0"/>
  </r>
  <r>
    <s v="MAR"/>
    <s v="PO-25001130"/>
    <s v="บริษัท พีเอส สตีล โปรเซสซิ่ง เซ็นเตอร์ จำกัด"/>
    <s v="Cold Rolled Steel Sheet (SPCC-SD) ขนาด 1.2*800 มม."/>
    <n v="9000"/>
    <s v="KG"/>
    <n v="27.4"/>
    <n v="246600"/>
    <n v="27"/>
    <n v="0.39999999999999858"/>
    <n v="3599.9999999999873"/>
    <n v="1.4598540145985351E-2"/>
    <x v="1"/>
    <x v="0"/>
  </r>
  <r>
    <s v="APR"/>
    <s v="PO-25001206"/>
    <s v="บริษัท เอ็น.เอช.เค.สตีล จำกัด"/>
    <s v="Cold Rolled Steel Sheet (SPCC-SD) ขนาด 1.5*1100 มม."/>
    <n v="6000"/>
    <s v="KG"/>
    <n v="28"/>
    <n v="168000"/>
    <n v="27.5"/>
    <n v="0.5"/>
    <n v="3000"/>
    <n v="1.7857142857142856E-2"/>
    <x v="1"/>
    <x v="0"/>
  </r>
  <r>
    <s v="APR"/>
    <s v="PO-25001206"/>
    <s v="บริษัท เอ็น.เอช.เค.สตีล จำกัด"/>
    <s v="Cold Rolled Steel Sheet (SPCC-SD) ขนาด 1.5*1100 มม."/>
    <n v="3000"/>
    <s v="KG"/>
    <n v="28"/>
    <n v="84000"/>
    <n v="27.5"/>
    <n v="0.5"/>
    <n v="1500"/>
    <n v="1.7857142857142856E-2"/>
    <x v="1"/>
    <x v="0"/>
  </r>
  <r>
    <s v="APR"/>
    <s v="PO-25001206"/>
    <s v="บริษัท เอ็น.เอช.เค.สตีล จำกัด"/>
    <s v="Cold Rolled Steel Sheet (SPCC-SD) ขนาด 1.5*900 มม."/>
    <n v="3000"/>
    <s v="KG"/>
    <n v="28"/>
    <n v="84000"/>
    <n v="27.5"/>
    <n v="0.5"/>
    <n v="1500"/>
    <n v="1.7857142857142856E-2"/>
    <x v="1"/>
    <x v="0"/>
  </r>
  <r>
    <s v="APR"/>
    <s v="PO-25001252"/>
    <s v="บริษัท ยูไนเต็ดคอปเปอร์ จำกัด"/>
    <s v="Copper Bar สำเร็จรูป สำหรับTR.7700 kVA"/>
    <n v="51"/>
    <s v="SET."/>
    <n v="175458"/>
    <n v="8948358"/>
    <n v="166692"/>
    <n v="8766"/>
    <n v="447066"/>
    <n v="4.9960674349416957E-2"/>
    <x v="1"/>
    <x v="0"/>
  </r>
  <r>
    <s v="APR"/>
    <s v="PO-25001334"/>
    <s v="บริษัท วินเทรด โปร จำกัด"/>
    <s v="ข้อต่อตรงเกลียวใน 1/2&quot; (14G) x  เกลียวนอก M25 *1.5 (สแตนเลส)"/>
    <n v="94"/>
    <s v="EA."/>
    <n v="230"/>
    <n v="21620"/>
    <n v="220"/>
    <n v="10"/>
    <n v="940"/>
    <n v="4.3478260869565216E-2"/>
    <x v="1"/>
    <x v="0"/>
  </r>
  <r>
    <s v="APR"/>
    <s v="PO-25001384 "/>
    <s v="บริษัท วินเทรด โปร จำกัด"/>
    <s v="สตัดโบลท์สแตนเลส ขนาด M8 x 140 mm. (เกลียว 1.25 มม.)"/>
    <n v="652"/>
    <s v="EA."/>
    <n v="22"/>
    <n v="14344"/>
    <n v="20"/>
    <n v="2"/>
    <n v="1304"/>
    <n v="9.0909090909090912E-2"/>
    <x v="0"/>
    <x v="0"/>
  </r>
  <r>
    <s v="APR"/>
    <s v="PO-25001384 "/>
    <s v="บริษัท วินเทรด โปร จำกัด"/>
    <s v="สตัดโบลท์สแตนเลส ขนาด M8 x 210 mm. (เกลียว 1.25 มม.)"/>
    <n v="1902"/>
    <s v="EA."/>
    <n v="28"/>
    <n v="53256"/>
    <n v="26"/>
    <n v="2"/>
    <n v="3804"/>
    <n v="7.1428571428571425E-2"/>
    <x v="0"/>
    <x v="0"/>
  </r>
  <r>
    <s v="APR"/>
    <s v="PO-25001384 "/>
    <s v="บริษัท วินเทรด โปร จำกัด"/>
    <s v="สตัดโบลท์สแตนเลส ขนาด M8 x 250 mm. (เกลียว 1.25 มม.)"/>
    <n v="2376"/>
    <s v="EA."/>
    <n v="32"/>
    <n v="76032"/>
    <n v="30"/>
    <n v="2"/>
    <n v="4752"/>
    <n v="6.25E-2"/>
    <x v="0"/>
    <x v="0"/>
  </r>
  <r>
    <s v="APR"/>
    <s v="PO-25001384 "/>
    <s v="บริษัท วินเทรด โปร จำกัด"/>
    <s v="สตัดโบลท์สำเร็จรูปสแตนเลส ขนาด M8 x 230 มม. (เกลียว 1.25 มม."/>
    <n v="160"/>
    <s v="EA."/>
    <n v="30"/>
    <n v="4800"/>
    <n v="28"/>
    <n v="2"/>
    <n v="320"/>
    <n v="6.6666666666666666E-2"/>
    <x v="0"/>
    <x v="0"/>
  </r>
  <r>
    <s v="APR"/>
    <s v="PO-25001384 "/>
    <s v="บริษัท วินเทรด โปร จำกัด"/>
    <s v="สตัดโบลท์สำเร็จรูปสแตนเลส ขนาด M8 x 320 มม.(เกลียว 1.25 มม.)"/>
    <n v="432"/>
    <s v="EA."/>
    <n v="37"/>
    <n v="15984"/>
    <n v="35"/>
    <n v="2"/>
    <n v="864"/>
    <n v="5.4054054054054057E-2"/>
    <x v="0"/>
    <x v="0"/>
  </r>
  <r>
    <s v="APR"/>
    <s v="PO-25001440"/>
    <s v="บริษัท สยาม วิน บอร์น จำกัด"/>
    <s v="เหล็กแผ่น SS400 หนา 25.0 มม. ขนาด 170 x 300 มม. (Part No.1)"/>
    <n v="120"/>
    <s v="EA"/>
    <n v="540"/>
    <n v="64800"/>
    <n v="520"/>
    <n v="20"/>
    <n v="2400"/>
    <n v="3.7037037037037035E-2"/>
    <x v="0"/>
    <x v="0"/>
  </r>
  <r>
    <s v="APR"/>
    <s v="PO-25001440"/>
    <s v="บริษัท สยาม วิน บอร์น จำกัด"/>
    <s v="เหล็กแผ่น SS400 หนา 25.0 มม. ขนาด 240 x 190 มม. (Part No.2)"/>
    <n v="60"/>
    <s v="EA"/>
    <n v="490"/>
    <n v="29400"/>
    <n v="470"/>
    <n v="20"/>
    <n v="1200"/>
    <n v="4.0816326530612242E-2"/>
    <x v="0"/>
    <x v="0"/>
  </r>
  <r>
    <s v="APR"/>
    <s v="PO-25001440"/>
    <s v="บริษัท สยาม วิน บอร์น จำกัด"/>
    <s v="เหล็กแผ่น SS400 หนา 25.0 มม. ขนาด 295 x 75 มม. (Part No.3)"/>
    <n v="60"/>
    <s v="EA"/>
    <n v="280"/>
    <n v="16800"/>
    <n v="260"/>
    <n v="20"/>
    <n v="1200"/>
    <n v="7.1428571428571425E-2"/>
    <x v="0"/>
    <x v="0"/>
  </r>
  <r>
    <s v="APR"/>
    <s v="PO-25001395"/>
    <s v="บริษัท ต่อกิจ พัฒนา 2019 จำกัด"/>
    <s v="Control Box Type 1"/>
    <n v="5"/>
    <s v="EA"/>
    <n v="3000"/>
    <n v="15000"/>
    <n v="2300"/>
    <n v="700"/>
    <n v="3500"/>
    <n v="0.23333333333333334"/>
    <x v="0"/>
    <x v="0"/>
  </r>
  <r>
    <s v="APR"/>
    <s v="PO-25001445"/>
    <s v="บริษัท วินเทรด โปร จำกัด"/>
    <s v="Pipe  fo pressurerelief VP080-QT"/>
    <n v="94"/>
    <s v="EA"/>
    <n v="380"/>
    <n v="35720"/>
    <n v="360"/>
    <n v="20"/>
    <n v="1880"/>
    <n v="5.2631578947368418E-2"/>
    <x v="1"/>
    <x v="0"/>
  </r>
  <r>
    <s v="APR"/>
    <s v="PO-25001281"/>
    <s v="บริษัท พี ซี อีลีแมค จำกัด"/>
    <s v="CABLE BOX TYPE 1 TR.1500 kVA 3Ph 50Hz 22000/12702-800V"/>
    <n v="1"/>
    <s v="SET."/>
    <n v="58500"/>
    <n v="58500"/>
    <n v="56100"/>
    <n v="2400"/>
    <n v="2400"/>
    <n v="4.1025641025641026E-2"/>
    <x v="0"/>
    <x v="0"/>
  </r>
  <r>
    <s v="APR"/>
    <s v="PO-25001281"/>
    <s v="บริษัท พี ซี อีลีแมค จำกัด"/>
    <s v="CABLE BOX TYPE 1 TR.4500(2250/2250) kVA 3Ph 50Hz 22000/1270V"/>
    <n v="3"/>
    <s v="SET."/>
    <n v="80000"/>
    <n v="240000"/>
    <n v="77500"/>
    <n v="2500"/>
    <n v="7500"/>
    <n v="3.125E-2"/>
    <x v="0"/>
    <x v="0"/>
  </r>
  <r>
    <s v="APR"/>
    <s v="PO-25001453"/>
    <s v="บริษัท สยาม วิน บอร์น จำกัด"/>
    <s v="LV Stainless Plate  SUS 304  ขนาด 330*700*6 มม."/>
    <n v="60"/>
    <s v="EA"/>
    <n v="1950"/>
    <n v="117000"/>
    <n v="1920"/>
    <n v="30"/>
    <n v="1800"/>
    <n v="1.5384615384615385E-2"/>
    <x v="0"/>
    <x v="0"/>
  </r>
  <r>
    <s v="APR"/>
    <s v="PO-25001210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APR"/>
    <s v="PO-25001210"/>
    <s v="ห้างหุ้นส่วนจำกัด เอ็ม.เอ็น. อีเล็คทริค ซัพพลาย"/>
    <s v="หางปลาต่อสายแบบกลมเปลือย ยี่ห้อ T-LUG CL240-12"/>
    <n v="200"/>
    <s v="EA"/>
    <n v="190"/>
    <n v="38000"/>
    <n v="185.25"/>
    <n v="4.75"/>
    <n v="950"/>
    <n v="2.5000000000000001E-2"/>
    <x v="0"/>
    <x v="1"/>
  </r>
  <r>
    <s v="APR"/>
    <s v="PO-25001210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200"/>
    <s v="EA"/>
    <n v="5.25"/>
    <n v="1050"/>
    <n v="5.0999999999999996"/>
    <n v="0.15000000000000036"/>
    <n v="30.000000000000071"/>
    <n v="2.857142857142864E-2"/>
    <x v="0"/>
    <x v="1"/>
  </r>
  <r>
    <s v="APR"/>
    <s v="PO-25001210"/>
    <s v="ห้างหุ้นส่วนจำกัด เอ็ม.เอ็น. อีเล็คทริค ซัพพลาย"/>
    <s v="หางปลาหุ้มฉนวนสีเหลือง รูM.6 ใช้กับสาย6-6 sq.mm."/>
    <n v="300"/>
    <s v="EA"/>
    <n v="2.6"/>
    <n v="780"/>
    <n v="2.5499999999999998"/>
    <n v="5.0000000000000266E-2"/>
    <n v="15.00000000000008"/>
    <n v="1.9230769230769332E-2"/>
    <x v="0"/>
    <x v="1"/>
  </r>
  <r>
    <s v="APR"/>
    <s v="PO-25001271"/>
    <s v="บริษัท ยูไนเต็ดคอปเปอร์ จำกัด"/>
    <s v="ทองแดงเส้นแบนขนาด 10x200mm."/>
    <n v="1"/>
    <s v="SET."/>
    <n v="149679"/>
    <n v="149679"/>
    <n v="146691"/>
    <n v="2988"/>
    <n v="2988"/>
    <n v="1.9962720221273527E-2"/>
    <x v="1"/>
    <x v="1"/>
  </r>
  <r>
    <s v="APR"/>
    <s v="PO-25001286"/>
    <s v="บริษัท เอคเม อินซูเลชั่น จำกัด"/>
    <s v="Rubber bag size X=1300,Y=750,G=350 (Conser dia. 450x1000mm)"/>
    <n v="1"/>
    <s v="EA"/>
    <n v="29900"/>
    <n v="29900"/>
    <n v="17970"/>
    <n v="11930"/>
    <n v="11930"/>
    <n v="0.39899665551839464"/>
    <x v="1"/>
    <x v="1"/>
  </r>
  <r>
    <s v="APR"/>
    <s v="PO-25001312"/>
    <s v="บริษัท กิ้มเฮงเชียง  จำกัด"/>
    <s v="ทองแดงเส้นแบน "/>
    <n v="976.8"/>
    <s v="KG"/>
    <n v="375"/>
    <n v="366300"/>
    <n v="370"/>
    <n v="5"/>
    <n v="4884"/>
    <n v="1.3333333333333334E-2"/>
    <x v="1"/>
    <x v="1"/>
  </r>
  <r>
    <s v="APR"/>
    <s v="PO-25001313"/>
    <s v="บริษัท สหมิตรไวร์ แอนด์ เคเบิ้ล จำกัด"/>
    <s v="ลวดกลมหุ้มกระดาษหนา 3มม. ขนาด 3.00 มม."/>
    <n v="100"/>
    <s v="KG"/>
    <n v="417"/>
    <n v="41700"/>
    <n v="389"/>
    <n v="28"/>
    <n v="2800"/>
    <n v="6.7146282973621102E-2"/>
    <x v="0"/>
    <x v="1"/>
  </r>
  <r>
    <s v="APR"/>
    <s v="PO-25001313"/>
    <s v="บริษัท สหมิตรไวร์ แอนด์ เคเบิ้ล จำกัด"/>
    <s v="ลวดกลมหุ้มกระดาษหนา 3มม. ขนาด 5.00 มม."/>
    <n v="100"/>
    <s v="KG"/>
    <n v="417"/>
    <n v="41700"/>
    <n v="394"/>
    <n v="23"/>
    <n v="2300"/>
    <n v="5.5155875299760189E-2"/>
    <x v="0"/>
    <x v="1"/>
  </r>
  <r>
    <s v="APR"/>
    <s v="PO-25001343"/>
    <s v="บริษัท สหมิตรไวร์ แอนด์ เคเบิ้ล จำกัด"/>
    <s v="ลวดแบนหุ้มกระดาษหนา "/>
    <n v="1427"/>
    <s v="KG"/>
    <n v="404"/>
    <n v="576508"/>
    <n v="372"/>
    <n v="32"/>
    <n v="45664"/>
    <n v="7.9207920792079209E-2"/>
    <x v="0"/>
    <x v="1"/>
  </r>
  <r>
    <s v="APR"/>
    <s v="PO-25001371"/>
    <s v="บริษัท พรอสเปอร์ อี แอนด์ ที จำกัด"/>
    <s v="CABLE GLAND Size 32 TYPE A2F"/>
    <n v="188"/>
    <s v="EA"/>
    <n v="490"/>
    <n v="92120"/>
    <n v="480"/>
    <n v="10"/>
    <n v="1880"/>
    <n v="2.0408163265306121E-2"/>
    <x v="1"/>
    <x v="1"/>
  </r>
  <r>
    <s v="APR"/>
    <s v="PO-25001376"/>
    <s v="บริษัท สหมิตรไวร์ แอนด์ เคเบิ้ล จำกัด"/>
    <s v="ลวดแบนหุ้มกระดาษหนา "/>
    <n v="3337"/>
    <s v="KG"/>
    <n v="404"/>
    <n v="1348148"/>
    <n v="372"/>
    <n v="32"/>
    <n v="106784"/>
    <n v="7.9207920792079209E-2"/>
    <x v="0"/>
    <x v="1"/>
  </r>
  <r>
    <s v="APR"/>
    <s v="PO-25001382"/>
    <s v="บริษัท กิ้มเฮงเชียง  จำกัด"/>
    <s v="ทองแดงเส้นแบน "/>
    <n v="2372.1"/>
    <s v="KG"/>
    <n v="370"/>
    <n v="877677"/>
    <n v="367"/>
    <n v="3"/>
    <n v="7116.2999999999993"/>
    <n v="8.1081081081081086E-3"/>
    <x v="0"/>
    <x v="1"/>
  </r>
  <r>
    <s v="APR"/>
    <s v="PO-25001383"/>
    <s v="บริษัท สหมิตรไวร์ แอนด์ เคเบิ้ล จำกัด"/>
    <s v="ลวดแบนหุ้มกระดาษหนา 0.5 มม. ขนาด 3.0*6 มม."/>
    <n v="1300"/>
    <s v="KG"/>
    <n v="372"/>
    <n v="483600"/>
    <n v="349"/>
    <n v="23"/>
    <n v="29900"/>
    <n v="6.1827956989247312E-2"/>
    <x v="1"/>
    <x v="1"/>
  </r>
  <r>
    <s v="APR"/>
    <s v="PO-25001475"/>
    <s v="บริษัท ยูไนเต็ดคอปเปอร์ จำกัด"/>
    <s v="ทองแดงเส้นแบนขนาด 10x200mm. (สำหรับงาน SOD-250112)"/>
    <n v="1"/>
    <s v="SET."/>
    <n v="102876"/>
    <n v="102876"/>
    <n v="100824"/>
    <n v="2052"/>
    <n v="2052"/>
    <n v="1.9946343170418757E-2"/>
    <x v="1"/>
    <x v="1"/>
  </r>
  <r>
    <s v="APR"/>
    <s v="PO-25001520"/>
    <s v="บริษัท สหมิตรไวร์ แอนด์ เคเบิ้ล จำกัด"/>
    <s v="ลวดแบนหุ้มกระดาษหนา 0.5 มม. ขนาด 2.6*7 มม."/>
    <n v="18000"/>
    <s v="KG"/>
    <n v="372"/>
    <n v="6696000"/>
    <n v="349"/>
    <n v="23"/>
    <n v="414000"/>
    <n v="6.1827956989247312E-2"/>
    <x v="1"/>
    <x v="1"/>
  </r>
  <r>
    <s v="APR"/>
    <s v="PO-25001529"/>
    <s v="บริษัท เอคเม อินซูเลชั่น จำกัด"/>
    <s v="CT 25/1A Current Transformer Class 5P10 5VA Cast resin"/>
    <n v="2"/>
    <s v="EA"/>
    <n v="52790"/>
    <n v="105580"/>
    <n v="51190"/>
    <n v="1600"/>
    <n v="3200"/>
    <n v="3.0308770600492519E-2"/>
    <x v="1"/>
    <x v="1"/>
  </r>
  <r>
    <s v="APR"/>
    <s v="PO-25001484"/>
    <s v="บริษัท พี ซี อีลีแมค จำกัด"/>
    <s v="Control Box (Lamp + Limit switch) "/>
    <n v="3"/>
    <s v="EA"/>
    <n v="6000"/>
    <n v="18000"/>
    <n v="5700"/>
    <n v="300"/>
    <n v="900"/>
    <n v="0.05"/>
    <x v="0"/>
    <x v="0"/>
  </r>
  <r>
    <s v="APR"/>
    <s v="PO-25001558 "/>
    <s v="บริษัท พี ซี อีลีแมค จำกัด"/>
    <s v="Box ตัวเสียบ ขนาด 1250x500x1100 มม."/>
    <n v="35"/>
    <s v="set"/>
    <n v="18000"/>
    <n v="630000"/>
    <n v="15000"/>
    <n v="3000"/>
    <n v="105000"/>
    <n v="0.16666666666666666"/>
    <x v="0"/>
    <x v="0"/>
  </r>
  <r>
    <s v="APR"/>
    <s v="PO-25001558 "/>
    <s v="บริษัท พี ซี อีลีแมค จำกัด"/>
    <s v="Box ตัวเสียบ ขนาด 1640x450x1100 มม."/>
    <n v="35"/>
    <s v="set"/>
    <n v="22000"/>
    <n v="770000"/>
    <n v="18400"/>
    <n v="3600"/>
    <n v="126000"/>
    <n v="0.16363636363636364"/>
    <x v="0"/>
    <x v="0"/>
  </r>
  <r>
    <s v="APR"/>
    <s v="PO-25001558 "/>
    <s v="บริษัท พี ซี อีลีแมค จำกัด"/>
    <s v="CABLE BOX TYPE 1 TR.7000 kVA 3Ph 50Hz 22000-800/800V"/>
    <n v="9"/>
    <s v="set"/>
    <n v="48500"/>
    <n v="436500"/>
    <n v="45000"/>
    <n v="3500"/>
    <n v="31500"/>
    <n v="7.2164948453608241E-2"/>
    <x v="0"/>
    <x v="0"/>
  </r>
  <r>
    <s v="APR"/>
    <s v="PO-25001558 "/>
    <s v="บริษัท พี ซี อีลีแมค จำกัด"/>
    <s v="Control Box (Lamp + Limit switch)"/>
    <n v="30"/>
    <s v="EA"/>
    <n v="6000"/>
    <n v="180000"/>
    <n v="5700"/>
    <n v="300"/>
    <n v="9000"/>
    <n v="0.05"/>
    <x v="0"/>
    <x v="0"/>
  </r>
  <r>
    <s v="APR"/>
    <s v="PO-25001591"/>
    <s v="บริษัท ยูไนเต็ดคอปเปอร์ จำกัด"/>
    <s v="Copper Bar สำเร็จรูป สำหรับTR.7000 kVA"/>
    <n v="14"/>
    <s v="set"/>
    <n v="188766"/>
    <n v="2642724"/>
    <n v="184998"/>
    <n v="3768"/>
    <n v="52752"/>
    <n v="1.9961221830202474E-2"/>
    <x v="1"/>
    <x v="1"/>
  </r>
  <r>
    <s v="APR"/>
    <s v="PO-25001592"/>
    <s v="บริษัท สหมิตรไวร์ แอนด์ เคเบิ้ล จำกัด"/>
    <s v="ลวดแบนหุ้มกระดาษหนา"/>
    <n v="6395"/>
    <s v="KG"/>
    <n v="372"/>
    <n v="2378940"/>
    <n v="370"/>
    <n v="2"/>
    <n v="12790"/>
    <n v="5.3763440860215058E-3"/>
    <x v="1"/>
    <x v="1"/>
  </r>
  <r>
    <s v="APR"/>
    <s v="PO-25001526"/>
    <s v="Wuhu Zhongyuan Import and Export Co.,Ltd"/>
    <s v="Fabrication cost for Copper foil"/>
    <n v="7600"/>
    <s v="KG"/>
    <n v="30.51"/>
    <n v="231876"/>
    <n v="26.28"/>
    <n v="4.2300000000000004"/>
    <n v="32148.000000000004"/>
    <n v="0.13864306784660768"/>
    <x v="1"/>
    <x v="1"/>
  </r>
  <r>
    <s v="APR"/>
    <s v="PO-25001192"/>
    <s v="บริษัท เอทีซี อินดัสตรี (ประเทศไทย)จำกัด"/>
    <s v="ถังขยะ(ใส)ฝาสี่เหลี่ยม 60 ลิตร(ฝาสีเหลือง สกรีน ขยะรีไซเคิล)"/>
    <n v="5"/>
    <s v="EA"/>
    <n v="670"/>
    <n v="3350"/>
    <n v="650"/>
    <n v="20"/>
    <n v="100"/>
    <n v="2.9850746268656716E-2"/>
    <x v="1"/>
    <x v="3"/>
  </r>
  <r>
    <s v="APR"/>
    <s v="PO-25001192"/>
    <s v="บริษัท เอทีซี อินดัสตรี (ประเทศไทย)จำกัด"/>
    <s v="ถังขยะ (ใส) ฝาสี่เหลี่ยม 60 ลิตร (ฝาสีน้ำเงิน) สกีนขยะทั่วไป"/>
    <n v="10"/>
    <s v="EA"/>
    <n v="670"/>
    <n v="6700"/>
    <n v="650"/>
    <n v="20"/>
    <n v="200"/>
    <n v="2.9850746268656716E-2"/>
    <x v="1"/>
    <x v="3"/>
  </r>
  <r>
    <s v="APR"/>
    <s v="PO-25001194"/>
    <s v="บริษัท ชูโฟทิค จำกัด"/>
    <s v="ไฟฉุกเฉิน Sunny รุ่น CU209CD6 LED 12V 9Watt (12V7Ah) backup "/>
    <n v="14"/>
    <s v="EA"/>
    <n v="2000"/>
    <n v="28000"/>
    <n v="1700"/>
    <n v="300"/>
    <n v="4200"/>
    <n v="0.15"/>
    <x v="1"/>
    <x v="3"/>
  </r>
  <r>
    <s v="APR"/>
    <s v="PO-25001260"/>
    <s v="บริษัท ดีเคเอสเอช เทคโนโลยี จำกัด"/>
    <s v="Nittoseiko Analytech COULOMETRIC CELL W/O DRAIN - PORT CA-31"/>
    <n v="1"/>
    <s v="JOB"/>
    <n v="306.95999999999998"/>
    <n v="306.95999999999998"/>
    <n v="0"/>
    <n v="306.95999999999998"/>
    <n v="306.95999999999998"/>
    <n v="1"/>
    <x v="4"/>
    <x v="3"/>
  </r>
  <r>
    <s v="APR"/>
    <s v="PO-25001261"/>
    <s v="บริษัท บอร์เนียว เทคนิเคิล (ประเทศไทย) จำกัด"/>
    <s v="ลูกขัดสก็อตไบรค์ ขนาด 4&quot;*515&quot;"/>
    <n v="72"/>
    <s v="EA"/>
    <n v="147"/>
    <n v="10584"/>
    <n v="127"/>
    <n v="20"/>
    <n v="1440"/>
    <n v="0.1360544217687075"/>
    <x v="1"/>
    <x v="3"/>
  </r>
  <r>
    <s v="APR"/>
    <s v="PO-25001303"/>
    <s v="บริษัท อินโนวา ออโตเมชั่น จำกัด"/>
    <s v="Transformer testing system (ATTS)"/>
    <n v="1"/>
    <s v="Unit"/>
    <n v="60208.33"/>
    <n v="60208.33"/>
    <n v="0"/>
    <n v="60208.33"/>
    <n v="60208.33"/>
    <n v="1"/>
    <x v="4"/>
    <x v="3"/>
  </r>
  <r>
    <s v="APR"/>
    <s v="PO-25001323"/>
    <s v="บริษัท พี.อี.แอล. เอ็นจิเนียริ่ง จำกัด"/>
    <s v="โคมสปอร์ตไลท์แบบโซล่าเซล์ 1000 W"/>
    <n v="1"/>
    <s v="JOB"/>
    <n v="92.08"/>
    <n v="92.08"/>
    <n v="0"/>
    <n v="92.08"/>
    <n v="92.08"/>
    <n v="1"/>
    <x v="4"/>
    <x v="3"/>
  </r>
  <r>
    <s v="APR"/>
    <s v="PO-25001398"/>
    <s v="บริษัท เอทีซี อินดัสตรี (ประเทศไทย)จำกัด"/>
    <s v="เชือกฟางม้วนใหญ่ หน้ากว้าง 2.5-3นิ้ว ยาวประมาณ 130-140 เมตร "/>
    <n v="40"/>
    <s v="ม้วน"/>
    <n v="57"/>
    <n v="2280"/>
    <n v="35"/>
    <n v="22"/>
    <n v="880"/>
    <n v="0.38596491228070173"/>
    <x v="1"/>
    <x v="3"/>
  </r>
  <r>
    <s v="APR"/>
    <s v="PO-25001400"/>
    <s v="บริษัท ศรีราชามงคลชัย จำกัด"/>
    <s v="ดอกเจียรคาร์ไบด์ MD6-1625 Cone Shape Super Cut"/>
    <n v="3"/>
    <s v="EA"/>
    <n v="640"/>
    <n v="1920"/>
    <n v="485"/>
    <n v="155"/>
    <n v="465"/>
    <n v="0.2421875"/>
    <x v="1"/>
    <x v="3"/>
  </r>
  <r>
    <s v="APR"/>
    <s v="PO-25001401"/>
    <s v="บริษัท แอล ที เค อินเตอร์เทรดดิ้ง จำกัด"/>
    <s v="น้ำยาเคลือบเงาพื้น 3M SUPER SHINE 3.8L (บรรจุ4แกลลอน/ลัง)"/>
    <n v="3"/>
    <s v="EA"/>
    <n v="2880"/>
    <n v="8640"/>
    <n v="1940"/>
    <n v="940"/>
    <n v="2820"/>
    <n v="0.3263888888888889"/>
    <x v="1"/>
    <x v="3"/>
  </r>
  <r>
    <s v="APR"/>
    <s v="PO-25001402"/>
    <s v="บริษัท ออฟฟิศเมท (ไทย) จำกัด"/>
    <s v="5006681 กระดาษโฟโต้ชนิดมันเงา A4 180แกรม (50แผ่น) แกมม่า"/>
    <n v="1"/>
    <s v="แพ็ค"/>
    <n v="280"/>
    <n v="280"/>
    <n v="191.28"/>
    <n v="88.72"/>
    <n v="88.72"/>
    <n v="0.31685714285714284"/>
    <x v="1"/>
    <x v="3"/>
  </r>
  <r>
    <s v="APR"/>
    <s v="PO-25001423"/>
    <s v="บริษัท ศรีราชามงคลชัย จำกัด"/>
    <s v="รถเข็นเหล็ก 2ล้อ หลังโค้ง รับน้ำหนักได้ 100 kg. - 150kg."/>
    <n v="1"/>
    <s v="EA"/>
    <n v="3290"/>
    <n v="3290"/>
    <n v="1530"/>
    <n v="1760"/>
    <n v="1760"/>
    <n v="0.53495440729483279"/>
    <x v="1"/>
    <x v="3"/>
  </r>
  <r>
    <s v="APR"/>
    <s v="PO-25001427"/>
    <s v="บริษัท เอ็นทีดับเบิ้ลยู เอ็นจิเนียริ่ง ซัพพลาย จำกัด"/>
    <s v="คอปเปอร์สายลม SF ขนาด 3/8”"/>
    <n v="6"/>
    <s v="EA"/>
    <n v="165"/>
    <n v="990"/>
    <n v="42"/>
    <n v="123"/>
    <n v="738"/>
    <n v="0.74545454545454548"/>
    <x v="1"/>
    <x v="3"/>
  </r>
  <r>
    <s v="APR"/>
    <s v="PO-25001427"/>
    <s v="บริษัท เอ็นทีดับเบิ้ลยู เอ็นจิเนียริ่ง ซัพพลาย จำกัด"/>
    <s v="คอปเปอร์สายลม PF ขนาด 3/8”"/>
    <n v="6"/>
    <s v="EA"/>
    <n v="44"/>
    <n v="264"/>
    <n v="19"/>
    <n v="25"/>
    <n v="150"/>
    <n v="0.56818181818181823"/>
    <x v="1"/>
    <x v="3"/>
  </r>
  <r>
    <s v="APR"/>
    <s v="PO-25001427"/>
    <s v="บริษัท เอ็นทีดับเบิ้ลยู เอ็นจิเนียริ่ง ซัพพลาย จำกัด"/>
    <s v="สีน้ำมันเงา Glipton #175 BUTTER CUP (กล) TOA"/>
    <n v="4"/>
    <s v="GL"/>
    <n v="730"/>
    <n v="2920"/>
    <n v="650"/>
    <n v="80"/>
    <n v="320"/>
    <n v="0.1095890410958904"/>
    <x v="1"/>
    <x v="3"/>
  </r>
  <r>
    <s v="APR"/>
    <s v="PO-25001427"/>
    <s v="บริษัท เอ็นทีดับเบิ้ลยู เอ็นจิเนียริ่ง ซัพพลาย จำกัด"/>
    <s v="สีน้ำมันเงา Glipton #359 DEEP BLUE (กล) TOA"/>
    <n v="2"/>
    <s v="GL"/>
    <n v="730"/>
    <n v="1460"/>
    <n v="650"/>
    <n v="80"/>
    <n v="160"/>
    <n v="0.1095890410958904"/>
    <x v="1"/>
    <x v="3"/>
  </r>
  <r>
    <s v="APR"/>
    <s v="PO-25001430"/>
    <s v="บริษัท ช้าง รับเบอร์ จำกัด"/>
    <s v="NBR RUBBER SHEET Size: T.10mm x W. 10m x L. 50m "/>
    <n v="2"/>
    <s v="EA"/>
    <n v="4750"/>
    <n v="9500"/>
    <n v="4500"/>
    <n v="250"/>
    <n v="500"/>
    <n v="5.2631578947368418E-2"/>
    <x v="1"/>
    <x v="3"/>
  </r>
  <r>
    <s v="APR"/>
    <s v="PO-2500147"/>
    <s v="บริษัท เอ็นทีดับเบิ้ลยู เอ็นจิเนียริ่ง ซัพพลาย จำกัด"/>
    <s v="ค้อนแปดเหลี่ยม ขนาด 3 ปอนด์ ความยาว 300มม."/>
    <n v="1"/>
    <s v="EA"/>
    <n v="1039.05"/>
    <n v="1039.05"/>
    <n v="790"/>
    <n v="249.04999999999995"/>
    <n v="249.04999999999995"/>
    <n v="0.23969010153505602"/>
    <x v="1"/>
    <x v="3"/>
  </r>
  <r>
    <s v="APR"/>
    <s v="PO-25001473"/>
    <s v="บริษัท ศรีราชามงคลชัย จำกัด"/>
    <s v="กรรไกรตัดสังกระสี STANLEY 10&quot; รุ่น : 14-564"/>
    <n v="1"/>
    <s v="EA"/>
    <n v="640"/>
    <n v="640"/>
    <n v="335"/>
    <n v="305"/>
    <n v="305"/>
    <n v="0.4765625"/>
    <x v="1"/>
    <x v="3"/>
  </r>
  <r>
    <s v="APR"/>
    <s v="PO-25001481"/>
    <s v="โอเค พรีเมี่ยม"/>
    <s v="พัดสปริงผ้าเงินซิลเวอร์ สกรีน 1 จุด 1 สี"/>
    <n v="1"/>
    <s v="JOB"/>
    <n v="49.58"/>
    <n v="49.58"/>
    <n v="0"/>
    <n v="49.58"/>
    <n v="49.58"/>
    <n v="1"/>
    <x v="4"/>
    <x v="3"/>
  </r>
  <r>
    <s v="APR"/>
    <s v="PO-25001422"/>
    <s v="บริษัท เอ็นทีดับเบิ้ลยู เอ็นจิเนียริ่ง ซัพพลาย จำกัด"/>
    <s v="สายพาน GATES Micro-V 150J8 ฟันนูน ความยาวรอบวง15นิ้ว 8ฟันนูน"/>
    <n v="20"/>
    <s v="EA"/>
    <n v="915"/>
    <n v="18300"/>
    <n v="720"/>
    <n v="195"/>
    <n v="3900"/>
    <n v="0.21311475409836064"/>
    <x v="1"/>
    <x v="3"/>
  </r>
  <r>
    <s v="APR"/>
    <s v="PO-25001562"/>
    <s v="บริษัท ศรีราชามงคลชัย จำกัด"/>
    <s v="ตลับเมตร STANLEY ยาว 5 เมตร รุ่น Powerlock #33‐158 - ตลับเมต"/>
    <n v="20"/>
    <s v="EA"/>
    <n v="240"/>
    <n v="4800"/>
    <n v="195"/>
    <n v="45"/>
    <n v="900"/>
    <n v="0.1875"/>
    <x v="1"/>
    <x v="3"/>
  </r>
  <r>
    <s v="APR"/>
    <s v="PO-25001562"/>
    <s v="บริษัท ศรีราชามงคลชัย จำกัด"/>
    <s v="ตลับเมตร STANLEY ยาว 3 เมตร รุ่น Powerlock #33‐231 - ตลับเมต"/>
    <n v="30"/>
    <s v="EA"/>
    <n v="215"/>
    <n v="6450"/>
    <n v="185"/>
    <n v="30"/>
    <n v="900"/>
    <n v="0.13953488372093023"/>
    <x v="1"/>
    <x v="3"/>
  </r>
  <r>
    <s v="APR"/>
    <s v="PO-25001607"/>
    <s v="บริษัท บ้านไฟฟ้า จำกัด"/>
    <s v="หางปลาต่อสายแบบกลมเปลือย ยี่ห้อ T-LUG CL300-12"/>
    <n v="20"/>
    <s v="EA"/>
    <n v="272"/>
    <n v="5440"/>
    <n v="260"/>
    <n v="12"/>
    <n v="240"/>
    <n v="4.4117647058823532E-2"/>
    <x v="1"/>
    <x v="1"/>
  </r>
  <r>
    <s v="APR"/>
    <s v="PO-25001606"/>
    <s v="บริษัท ฟูจิ ทัสโก้ คอร์รูเกท จำกัด"/>
    <s v="Tank-Cover TR.7700 kVA 3Ph 50Hz 22000-800/800V"/>
    <n v="10"/>
    <s v="SET."/>
    <n v="269640"/>
    <n v="2696400"/>
    <n v="261936"/>
    <n v="7704"/>
    <n v="77040"/>
    <n v="2.8571428571428571E-2"/>
    <x v="1"/>
    <x v="0"/>
  </r>
  <r>
    <s v="APR"/>
    <s v="PO-25001538"/>
    <s v="บริษัท พี ซี อีลีแมค จำกัด"/>
    <s v="Control Box (Lamp + Limit switch)"/>
    <n v="3"/>
    <s v="EA."/>
    <n v="6000"/>
    <n v="18000"/>
    <n v="5700"/>
    <n v="300"/>
    <n v="900"/>
    <n v="0.05"/>
    <x v="0"/>
    <x v="0"/>
  </r>
  <r>
    <s v="APR"/>
    <s v="PO-25001556"/>
    <s v="บริษัท พี.เอส.พี.สเปเชียลตี้ส์ จำกัด (มหาชน)"/>
    <s v="น้ำมันหม้อแปลง Transform INH"/>
    <n v="126000"/>
    <s v="ลิตร"/>
    <n v="36"/>
    <n v="4536000"/>
    <n v="35"/>
    <n v="1"/>
    <n v="126000"/>
    <n v="2.7777777777777776E-2"/>
    <x v="3"/>
    <x v="0"/>
  </r>
  <r>
    <s v="APR"/>
    <s v="PO-25001369"/>
    <s v="บริษัท เอ็น.เอช.เค.สตีล จำกัด"/>
    <s v="Cold Rolled Steel Sheet (SPCC-SD) ขนาด 1.5*1200 มม."/>
    <n v="6000"/>
    <s v="KG"/>
    <n v="27.8"/>
    <n v="166800"/>
    <n v="27.5"/>
    <n v="0.30000000000000071"/>
    <n v="1800.0000000000043"/>
    <n v="1.0791366906474845E-2"/>
    <x v="1"/>
    <x v="0"/>
  </r>
  <r>
    <s v="APR"/>
    <s v="PO-25001467"/>
    <s v="บริษัท เอ็น.เอช.เค.สตีล จำกัด"/>
    <s v="Cold Rolled Steel Sheet (SPCC-SD) ขนาด 1.5*1000 มม."/>
    <n v="3156"/>
    <s v="KG"/>
    <n v="27.8"/>
    <n v="87736.8"/>
    <n v="27.5"/>
    <n v="0.30000000000000071"/>
    <n v="946.80000000000223"/>
    <n v="1.0791366906474845E-2"/>
    <x v="1"/>
    <x v="0"/>
  </r>
  <r>
    <s v="APR"/>
    <s v="PO-25001500"/>
    <s v="บริษัท เอ็น.เอช.เค.สตีล จำกัด"/>
    <s v="Cold Rolled Steel Sheet (SPCC-SD) ขนาด 1.5*1000 มม."/>
    <n v="3246"/>
    <s v="KG"/>
    <n v="27.8"/>
    <n v="90238.8"/>
    <n v="27.5"/>
    <n v="0.30000000000000071"/>
    <n v="973.80000000000234"/>
    <n v="1.0791366906474845E-2"/>
    <x v="1"/>
    <x v="0"/>
  </r>
  <r>
    <s v="MAY"/>
    <s v="PO-25001638"/>
    <s v="บริษัท เซาท์อีสไทยแลนด์ จำกัด"/>
    <s v="Insulating Supports แรงสูง12kVยี่ห้อ GEORG JORDAN"/>
    <n v="20"/>
    <s v="EA."/>
    <n v="1400"/>
    <n v="28000"/>
    <n v="980"/>
    <n v="420"/>
    <n v="8400"/>
    <n v="0.3"/>
    <x v="0"/>
    <x v="1"/>
  </r>
  <r>
    <s v="MAY"/>
    <s v="PO-25001634"/>
    <s v="บริษัท กิ้มเฮงเชียง  จำกัด"/>
    <s v="ทองแดงเส้นแบน "/>
    <n v="1802.2"/>
    <s v="KG"/>
    <n v="380"/>
    <n v="684836"/>
    <n v="365"/>
    <n v="15"/>
    <n v="27033"/>
    <n v="3.9473684210526314E-2"/>
    <x v="0"/>
    <x v="1"/>
  </r>
  <r>
    <s v="MAY"/>
    <s v="PO-25001656"/>
    <s v="บริษัท สหมิตรไวร์ แอนด์ เคเบิ้ล จำกัด"/>
    <s v="ลวดแบนหุ้มกระดาษ"/>
    <n v="2846"/>
    <s v="KG"/>
    <n v="385"/>
    <n v="1095710"/>
    <n v="353"/>
    <n v="32"/>
    <n v="91072"/>
    <n v="8.3116883116883117E-2"/>
    <x v="0"/>
    <x v="1"/>
  </r>
  <r>
    <s v="MAY"/>
    <s v="PO-25001657"/>
    <s v="บริษัท สหมิตรไวร์ แอนด์ เคเบิ้ล จำกัด"/>
    <s v="ลวดแบนหุ้มกระดาษหนา 0.5 มม. ขนาด 2.6*8 มม."/>
    <n v="11390"/>
    <s v="KG"/>
    <n v="353"/>
    <n v="4020670"/>
    <n v="349"/>
    <n v="4"/>
    <n v="45560"/>
    <n v="1.1331444759206799E-2"/>
    <x v="3"/>
    <x v="1"/>
  </r>
  <r>
    <s v="MAY"/>
    <s v="PO-25001675"/>
    <s v="ห้างหุ้นส่วนจำกัด เอ็ม.เอ็น. อีเล็คทริค ซัพพลาย"/>
    <s v="หางปลาหุ้มฉนวนสีเหลือง รูM.6 ใช้กับสาย6-6 sq.mm."/>
    <n v="300"/>
    <s v="EA."/>
    <n v="2.6"/>
    <n v="780"/>
    <n v="2.5499999999999998"/>
    <n v="5.0000000000000266E-2"/>
    <n v="15.00000000000008"/>
    <n v="1.9230769230769332E-2"/>
    <x v="0"/>
    <x v="1"/>
  </r>
  <r>
    <s v="MAY"/>
    <s v="PO-25001687"/>
    <s v="ห้างหุ้นส่วนจำกัด เอ็ม.เอ็น. อีเล็คทริค ซัพพลาย"/>
    <s v="หางปลาต่อสายแบบกลมเปลือย ยี่ห้อ T-LUG ขนาด 35-12 มม."/>
    <n v="100"/>
    <s v="EA."/>
    <n v="9.5"/>
    <n v="950"/>
    <n v="9.35"/>
    <n v="0.15000000000000036"/>
    <n v="15.000000000000036"/>
    <n v="1.5789473684210565E-2"/>
    <x v="0"/>
    <x v="1"/>
  </r>
  <r>
    <s v="MAY"/>
    <s v="PO-25001711"/>
    <s v="บริษัท ตั้งเซียะปิงโลหะ จำกัด"/>
    <s v="ฝาถังหม้อแปลง TR.5140 kVA 3Ph 50Hz 22000-690V"/>
    <n v="5"/>
    <s v="SET."/>
    <n v="25500"/>
    <n v="127500"/>
    <n v="24500"/>
    <n v="1000"/>
    <n v="5000"/>
    <n v="3.9215686274509803E-2"/>
    <x v="0"/>
    <x v="0"/>
  </r>
  <r>
    <s v="MAY"/>
    <s v="PO-25001711"/>
    <s v="บริษัท ตั้งเซียะปิงโลหะ จำกัด"/>
    <s v="ตัวถังหม้อแปลง TR.5140 kVA 3Ph 50Hz 22000-690V"/>
    <n v="5"/>
    <s v="SET."/>
    <n v="122000"/>
    <n v="610000"/>
    <n v="120000"/>
    <n v="2000"/>
    <n v="10000"/>
    <n v="1.6393442622950821E-2"/>
    <x v="0"/>
    <x v="0"/>
  </r>
  <r>
    <s v="MAY"/>
    <s v="PO-25001672"/>
    <s v="บริษัท ตั้งเซียะปิงโลหะ จำกัด"/>
    <s v="ฝาถังหม้อแปลง TR.5140 kVA 3Ph 50Hz 22000-690V"/>
    <n v="8"/>
    <s v="SET."/>
    <n v="25500"/>
    <n v="204000"/>
    <n v="24500"/>
    <n v="1000"/>
    <n v="8000"/>
    <n v="3.9215686274509803E-2"/>
    <x v="0"/>
    <x v="0"/>
  </r>
  <r>
    <s v="MAY"/>
    <s v="PO-25001672"/>
    <s v="บริษัท ตั้งเซียะปิงโลหะ จำกัด"/>
    <s v="ตัวถังหม้อแปลง TR.5140 kVA 3Ph 50Hz 22000-690V"/>
    <n v="8"/>
    <s v="SET."/>
    <n v="122000"/>
    <n v="976000"/>
    <n v="120000"/>
    <n v="2000"/>
    <n v="16000"/>
    <n v="1.6393442622950821E-2"/>
    <x v="0"/>
    <x v="0"/>
  </r>
  <r>
    <s v="MAY"/>
    <s v="PO-25001723"/>
    <s v="บริษัท กิ้มเฮงเชียง  จำกัด"/>
    <s v="ทองแดงเส้นแบน ขนาด 3/8&quot;*4&quot;"/>
    <n v="1948.5"/>
    <s v="KG"/>
    <n v="363"/>
    <n v="707305.5"/>
    <n v="360"/>
    <n v="3"/>
    <n v="5845.5"/>
    <n v="8.2644628099173556E-3"/>
    <x v="0"/>
    <x v="1"/>
  </r>
  <r>
    <s v="MAY"/>
    <s v="PO-25001722"/>
    <s v="บริษัท เมทสัน เพาเวอร์ (ประเทศไทย) จำกัด"/>
    <s v="น้ำมัน Synthetic Ester  ยี่ห้อ MIDEL 7131"/>
    <n v="19000"/>
    <s v="ลิตร"/>
    <n v="305"/>
    <n v="5795000"/>
    <n v="304"/>
    <n v="1"/>
    <n v="19000"/>
    <n v="3.2786885245901639E-3"/>
    <x v="1"/>
    <x v="1"/>
  </r>
  <r>
    <s v="MAY"/>
    <s v="PO-25001712"/>
    <s v="บริษัท เนวีร่า จำกัด"/>
    <s v="บัสบาร์ซัพพอร์ทแรงต่ำ 1 เฟส ยี่ห้อ Mullerรุ่นMLB-124-11/13.5"/>
    <n v="720"/>
    <s v="EA."/>
    <n v="162.5"/>
    <n v="117000"/>
    <n v="155"/>
    <n v="7.5"/>
    <n v="5400"/>
    <n v="4.6153846153846156E-2"/>
    <x v="1"/>
    <x v="0"/>
  </r>
  <r>
    <s v="MAY"/>
    <s v="PO-25001763"/>
    <s v="บริษัท พี ซี อีลีแมค จำกัด"/>
    <s v="Control Box (Lamp + Limit switch)"/>
    <n v="2"/>
    <s v="EA."/>
    <n v="6000"/>
    <n v="12000"/>
    <n v="5700"/>
    <n v="300"/>
    <n v="600"/>
    <n v="0.05"/>
    <x v="0"/>
    <x v="0"/>
  </r>
  <r>
    <s v="MAY"/>
    <s v="PO-25001770"/>
    <s v="บริษัท สหมิตรไวร์ แอนด์ เคเบิ้ล จำกัด"/>
    <s v="ลวดแบนหุ้มกระดาษหนา 0.5 มม. ขนาด 2.2*4.5 มม."/>
    <n v="3913"/>
    <s v="KG"/>
    <n v="353"/>
    <n v="1381289"/>
    <n v="352"/>
    <n v="1"/>
    <n v="3913"/>
    <n v="2.8328611898016999E-3"/>
    <x v="1"/>
    <x v="1"/>
  </r>
  <r>
    <s v="MAY"/>
    <s v="PO-25001768 "/>
    <s v="บริษัท ต่อกิจ พัฒนา 2019 จำกัด"/>
    <s v="Control Box Type 1"/>
    <n v="9"/>
    <s v="EA."/>
    <n v="3000"/>
    <n v="27000"/>
    <n v="2300"/>
    <n v="700"/>
    <n v="6300"/>
    <n v="0.23333333333333334"/>
    <x v="0"/>
    <x v="0"/>
  </r>
  <r>
    <s v="MAY"/>
    <s v="PO-25001706"/>
    <s v="บริษัท พี ซี อีลีแมค จำกัด"/>
    <s v="Control Box (Lamp + Limit switch)"/>
    <n v="17"/>
    <s v="EA."/>
    <n v="6000"/>
    <n v="102000"/>
    <n v="5700"/>
    <n v="300"/>
    <n v="5100"/>
    <n v="0.05"/>
    <x v="0"/>
    <x v="0"/>
  </r>
  <r>
    <s v="MAY"/>
    <s v="PO-25001706"/>
    <s v="บริษัท พี ซี อีลีแมค จำกัด"/>
    <s v="CABLE BOX TYPE 1 TR.5140 kVA 3Ph 50Hz 22000-690V"/>
    <n v="17"/>
    <s v="SET."/>
    <n v="82000"/>
    <n v="1394000"/>
    <n v="79500"/>
    <n v="2500"/>
    <n v="42500"/>
    <n v="3.048780487804878E-2"/>
    <x v="0"/>
    <x v="0"/>
  </r>
  <r>
    <s v="MAY"/>
    <s v="PO-25001819"/>
    <s v="บริษัท วอร์เท็กซ์ แมชชีนเนอรี่  (ประเทศไทย) จำกัด"/>
    <s v="สแต๊กเกอร์ลากพาเลทกึ่งไฟฟ้า งาแบบ Fork over Model: CBS15J/M300"/>
    <n v="1"/>
    <s v="Unit"/>
    <n v="55981.31"/>
    <n v="55981.31"/>
    <n v="55140.18"/>
    <n v="841.12999999999738"/>
    <n v="841.12999999999738"/>
    <n v="1.5025193229668927E-2"/>
    <x v="1"/>
    <x v="3"/>
  </r>
  <r>
    <s v="MAY"/>
    <s v="PO-25001869"/>
    <s v="บริษัท เมทสัน เพาเวอร์ (ประเทศไทย) จำกัด"/>
    <s v="Silicon Steel Master Coil 027CLF100"/>
    <n v="160000"/>
    <s v="KG"/>
    <n v="52.8"/>
    <n v="8448000"/>
    <n v="52.5"/>
    <n v="0.29999999999999716"/>
    <n v="47999.999999999549"/>
    <n v="5.6818181818181282E-3"/>
    <x v="0"/>
    <x v="0"/>
  </r>
  <r>
    <s v="MAY"/>
    <s v="PO-25001870"/>
    <s v="บริษัท เอคเม อินซูเลชั่น จำกัด"/>
    <s v="Silicon Steel Master Coil 027CLF120"/>
    <n v="120000"/>
    <s v="KG"/>
    <n v="55"/>
    <n v="6600000"/>
    <n v="51.25"/>
    <n v="3.75"/>
    <n v="450000"/>
    <n v="6.8181818181818177E-2"/>
    <x v="0"/>
    <x v="0"/>
  </r>
  <r>
    <s v="MAY"/>
    <s v="PO-25001868"/>
    <s v="บริษัท เมทสัน เพาเวอร์ (ประเทศไทย) จำกัด"/>
    <s v="Silicon Steel Master Coil 023CLF080"/>
    <n v="180000"/>
    <s v="KG"/>
    <n v="77"/>
    <n v="13860000"/>
    <n v="75.45"/>
    <n v="1.5499999999999972"/>
    <n v="278999.99999999948"/>
    <n v="2.0129870129870091E-2"/>
    <x v="0"/>
    <x v="0"/>
  </r>
  <r>
    <s v="MAY"/>
    <s v="PO-25001805"/>
    <s v="บริษัท ยูไนเต็ดคอปเปอร์ จำกัด"/>
    <s v="ทองแดงเส้นแบนขนาด 10x200mm. (L=300 มม.)"/>
    <n v="4"/>
    <s v="EA."/>
    <n v="3865"/>
    <n v="15460"/>
    <n v="3827"/>
    <n v="38"/>
    <n v="152"/>
    <n v="9.8318240620957308E-3"/>
    <x v="1"/>
    <x v="1"/>
  </r>
  <r>
    <s v="MAY"/>
    <s v="PO-25001806"/>
    <s v="บริษัท ยูไนเต็ดคอปเปอร์ จำกัด"/>
    <s v="ทองแดงเส้นแบนขนาด 10x200mm."/>
    <n v="17"/>
    <s v="SET."/>
    <n v="146691"/>
    <n v="2493747"/>
    <n v="145227"/>
    <n v="1464"/>
    <n v="24888"/>
    <n v="9.9801623821502341E-3"/>
    <x v="1"/>
    <x v="1"/>
  </r>
  <r>
    <s v="MAY"/>
    <s v="PO-25001841"/>
    <s v="บริษัท พรีไซซ อิเลคตริค แมนูแฟคเจอริ่ง จำกัด"/>
    <s v="CT 400/5A Current Transformer Class 5P20 5VA(Cast Resin) P"/>
    <n v="1"/>
    <s v="EA."/>
    <n v="16000"/>
    <n v="16000"/>
    <n v="10000"/>
    <n v="6000"/>
    <n v="6000"/>
    <n v="0.375"/>
    <x v="0"/>
    <x v="1"/>
  </r>
  <r>
    <s v="MAY"/>
    <s v="PO-25001843"/>
    <s v="บริษัท สหมิตรไวร์ แอนด์ เคเบิ้ล จำกัด"/>
    <s v="ลวดแบนหุ้มกระดาษหนา 0.5 มม. ขนาด 1.9 *5.0 มม."/>
    <n v="610"/>
    <s v="KG"/>
    <n v="385"/>
    <n v="234850"/>
    <n v="353"/>
    <n v="32"/>
    <n v="19520"/>
    <n v="8.3116883116883117E-2"/>
    <x v="0"/>
    <x v="1"/>
  </r>
  <r>
    <s v="MAY"/>
    <s v="PO-25001855"/>
    <s v="ห้างหุ้นส่วนจำกัด เอ็ม.เอ็น. อีเล็คทริค ซัพพลาย"/>
    <s v="หางปลาต่อสายแบบกลมเปลือย ยี่ห้อ T-LUG CL50-12 / T-LUG CL50-8"/>
    <n v="400"/>
    <s v="EA."/>
    <n v="15.5"/>
    <n v="6200"/>
    <n v="14.76"/>
    <n v="0.74000000000000021"/>
    <n v="296.00000000000011"/>
    <n v="4.7741935483870984E-2"/>
    <x v="0"/>
    <x v="1"/>
  </r>
  <r>
    <s v="MAY"/>
    <s v="PO-25001855"/>
    <s v="ห้างหุ้นส่วนจำกัด เอ็ม.เอ็น. อีเล็คทริค ซัพพลาย"/>
    <s v="หางปลาต่อสายแบบกลมเปลือย ยี่ห้อ T-LUG CL70-12"/>
    <n v="100"/>
    <s v="EA."/>
    <n v="26"/>
    <n v="2600"/>
    <n v="24.6"/>
    <n v="1.3999999999999986"/>
    <n v="139.99999999999986"/>
    <n v="5.3846153846153794E-2"/>
    <x v="0"/>
    <x v="1"/>
  </r>
  <r>
    <s v="MAY"/>
    <s v="PO-25001855"/>
    <s v="ห้างหุ้นส่วนจำกัด เอ็ม.เอ็น. อีเล็คทริค ซัพพลาย"/>
    <s v="หางปลาต่อสายแบบกลมเปลือย ยี่ห้อ T-LUG CL120-12"/>
    <n v="400"/>
    <s v="EA."/>
    <n v="50"/>
    <n v="20000"/>
    <n v="47.56"/>
    <n v="2.4399999999999977"/>
    <n v="975.99999999999909"/>
    <n v="4.8799999999999955E-2"/>
    <x v="0"/>
    <x v="1"/>
  </r>
  <r>
    <s v="MAY"/>
    <s v="PO-25001855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."/>
    <n v="190"/>
    <n v="19000"/>
    <n v="182.25"/>
    <n v="7.75"/>
    <n v="775"/>
    <n v="4.0789473684210528E-2"/>
    <x v="0"/>
    <x v="1"/>
  </r>
  <r>
    <s v="MAY"/>
    <s v="PO-25001855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200"/>
    <s v="EA."/>
    <n v="5.25"/>
    <n v="1050"/>
    <n v="5.0999999999999996"/>
    <n v="0.15000000000000036"/>
    <n v="30.000000000000071"/>
    <n v="2.857142857142864E-2"/>
    <x v="0"/>
    <x v="1"/>
  </r>
  <r>
    <s v="MAY"/>
    <s v="PO-25001886"/>
    <s v="ห้างหุ้นส่วนจำกัด บางกอกคอปเปอร์"/>
    <s v="ลวดแบนหุ้มกระดาษหนา"/>
    <n v="5303"/>
    <s v="KG"/>
    <n v="385"/>
    <n v="2041655"/>
    <n v="380"/>
    <n v="5"/>
    <n v="26515"/>
    <n v="1.2987012987012988E-2"/>
    <x v="1"/>
    <x v="1"/>
  </r>
  <r>
    <s v="MAY"/>
    <s v="PO-25001887"/>
    <s v="บริษัท กิ้มเฮงเชียง  จำกัด"/>
    <s v="ทองแดงเส้นแบน "/>
    <n v="1512.2"/>
    <s v="KG"/>
    <n v="375"/>
    <n v="567075"/>
    <n v="365"/>
    <n v="10"/>
    <n v="15122"/>
    <n v="2.6666666666666668E-2"/>
    <x v="0"/>
    <x v="1"/>
  </r>
  <r>
    <s v="MAY"/>
    <s v="PO-25001890"/>
    <s v="บริษัท พรอสเปอร์ อี แอนด์ ที จำกัด"/>
    <s v="CABLE GLAND Size 50S TYPE A2F"/>
    <n v="75"/>
    <s v="EA."/>
    <n v="1460"/>
    <n v="109500"/>
    <n v="1450"/>
    <n v="10"/>
    <n v="750"/>
    <n v="6.8493150684931503E-3"/>
    <x v="1"/>
    <x v="1"/>
  </r>
  <r>
    <s v="MAY"/>
    <s v="PO-25001890"/>
    <s v="บริษัท พรอสเปอร์ อี แอนด์ ที จำกัด"/>
    <s v="Cable Gland Stainless Steel  M40 TYPE A2F"/>
    <n v="1405"/>
    <s v="EA."/>
    <n v="750"/>
    <n v="1053750"/>
    <n v="740"/>
    <n v="10"/>
    <n v="14050"/>
    <n v="1.3333333333333334E-2"/>
    <x v="1"/>
    <x v="1"/>
  </r>
  <r>
    <s v="MAY"/>
    <s v="PO-25001891"/>
    <s v="บริษัท ยู-อิเล็คทริค ซิสเต็ม จำกัด"/>
    <s v="Plug in Bushing (Formfit)  FMBOM-250-24kV.  Interface A"/>
    <n v="28"/>
    <s v="EA."/>
    <n v="5500"/>
    <n v="154000"/>
    <n v="5200"/>
    <n v="300"/>
    <n v="8400"/>
    <n v="5.4545454545454543E-2"/>
    <x v="0"/>
    <x v="1"/>
  </r>
  <r>
    <s v="MAY"/>
    <s v="PO-25001891"/>
    <s v="บริษัท ยู-อิเล็คทริค ซิสเต็ม จำกัด"/>
    <s v="ELBOW SEPARABLE CONNECTOR FMCE-250-G-24-T3-C70"/>
    <n v="28"/>
    <s v="EA."/>
    <n v="5500"/>
    <n v="154000"/>
    <n v="5200"/>
    <n v="300"/>
    <n v="8400"/>
    <n v="5.4545454545454543E-2"/>
    <x v="0"/>
    <x v="1"/>
  </r>
  <r>
    <s v="MAY"/>
    <s v="PO-25001894"/>
    <s v="บริษัท บางกอกแม็กเน็ตไวร์ จำกัด"/>
    <s v="ลวดกลมอาบน้ำยา ขนาด 1.50 มม."/>
    <n v="1300"/>
    <s v="KG"/>
    <n v="365.3"/>
    <n v="474890"/>
    <n v="362.3"/>
    <n v="3"/>
    <n v="3900"/>
    <n v="8.2124281412537629E-3"/>
    <x v="1"/>
    <x v="1"/>
  </r>
  <r>
    <s v="MAY"/>
    <s v="PO-25001894"/>
    <s v="บริษัท บางกอกแม็กเน็ตไวร์ จำกัด"/>
    <s v="ลวดกลมอาบน้ำยา ขนาด 1.40 มม."/>
    <n v="500"/>
    <s v="KG"/>
    <n v="365.46"/>
    <n v="182730"/>
    <n v="362.46"/>
    <n v="3"/>
    <n v="1500"/>
    <n v="8.2088327039894927E-3"/>
    <x v="1"/>
    <x v="1"/>
  </r>
  <r>
    <s v="MAY"/>
    <s v="PO-25001894"/>
    <s v="บริษัท บางกอกแม็กเน็ตไวร์ จำกัด"/>
    <s v="ลวดกลมอาบน้ำยา ขนาด 1.20 มม."/>
    <n v="2030"/>
    <s v="KG"/>
    <n v="366.66"/>
    <n v="744319.8"/>
    <n v="363.66"/>
    <n v="3"/>
    <n v="6090"/>
    <n v="8.1819669448535415E-3"/>
    <x v="1"/>
    <x v="1"/>
  </r>
  <r>
    <s v="MAY"/>
    <s v="PO-25001894"/>
    <s v="บริษัท บางกอกแม็กเน็ตไวร์ จำกัด"/>
    <s v="ลวดกลมอาบน้ำยา ขนาด 1.60 มม."/>
    <n v="2300"/>
    <s v="KG"/>
    <n v="365.07"/>
    <n v="839661"/>
    <n v="362.07"/>
    <n v="3"/>
    <n v="6900"/>
    <n v="8.2176021037061384E-3"/>
    <x v="1"/>
    <x v="1"/>
  </r>
  <r>
    <s v="MAY"/>
    <s v="PO-25001894"/>
    <s v="บริษัท บางกอกแม็กเน็ตไวร์ จำกัด"/>
    <s v="ลวดกลมอาบน้ำยา ขนาด 1.10 มม."/>
    <n v="1300"/>
    <s v="KG"/>
    <n v="367.8"/>
    <n v="478140"/>
    <n v="364.8"/>
    <n v="3"/>
    <n v="3900"/>
    <n v="8.1566068515497546E-3"/>
    <x v="1"/>
    <x v="1"/>
  </r>
  <r>
    <s v="MAY"/>
    <s v="PO-25001926"/>
    <s v="ห้างหุ้นส่วนจำกัด บางกอกคอปเปอร์"/>
    <s v="ลวดแบนหุ้มกระดาษหนา "/>
    <n v="1551"/>
    <s v="KG"/>
    <n v="385"/>
    <n v="597135"/>
    <n v="380"/>
    <n v="5"/>
    <n v="7755"/>
    <n v="1.2987012987012988E-2"/>
    <x v="1"/>
    <x v="1"/>
  </r>
  <r>
    <s v="MAY"/>
    <s v="PO-25001927"/>
    <s v="บริษัท บางกอกแม็กเน็ตไวร์ จำกัด"/>
    <s v="ลวดกลมอาบน้ำยา ขนาด 1.50 มม."/>
    <n v="1000"/>
    <s v="KG"/>
    <n v="365.3"/>
    <n v="365300"/>
    <n v="362.3"/>
    <n v="3"/>
    <n v="3000"/>
    <n v="8.2124281412537629E-3"/>
    <x v="1"/>
    <x v="1"/>
  </r>
  <r>
    <s v="MAY"/>
    <s v="PO-25001927"/>
    <s v="บริษัท บางกอกแม็กเน็ตไวร์ จำกัด"/>
    <s v="ลวดกลมอาบน้ำยา ขนาด 2.00 มม."/>
    <n v="300"/>
    <s v="KG"/>
    <n v="364.25"/>
    <n v="109275"/>
    <n v="361.25"/>
    <n v="3"/>
    <n v="900"/>
    <n v="8.2361015785861365E-3"/>
    <x v="1"/>
    <x v="1"/>
  </r>
  <r>
    <s v="MAY"/>
    <s v="PO-25001927"/>
    <s v="บริษัท บางกอกแม็กเน็ตไวร์ จำกัด"/>
    <s v="ลวดกลมอาบน้ำยา ขนาด 1.30 มม."/>
    <n v="800"/>
    <s v="KG"/>
    <n v="365.53"/>
    <n v="292424"/>
    <n v="362.53"/>
    <n v="3"/>
    <n v="2400"/>
    <n v="8.207260689957049E-3"/>
    <x v="1"/>
    <x v="1"/>
  </r>
  <r>
    <s v="MAY"/>
    <s v="PO-25001927"/>
    <s v="บริษัท บางกอกแม็กเน็ตไวร์ จำกัด"/>
    <s v="ลวดกลมอาบน้ำยา ขนาด 1.80 มม."/>
    <n v="200"/>
    <s v="KG"/>
    <n v="365.05"/>
    <n v="73010"/>
    <n v="362.05"/>
    <n v="3"/>
    <n v="600"/>
    <n v="8.2180523215997798E-3"/>
    <x v="1"/>
    <x v="1"/>
  </r>
  <r>
    <s v="MAY"/>
    <s v="PO-25001927"/>
    <s v="บริษัท บางกอกแม็กเน็ตไวร์ จำกัด"/>
    <s v="ลวดกลมอาบน้ำยา ขนาด 1.10 มม."/>
    <n v="400"/>
    <s v="KG"/>
    <n v="367.8"/>
    <n v="147120"/>
    <n v="364.8"/>
    <n v="3"/>
    <n v="1200"/>
    <n v="8.1566068515497546E-3"/>
    <x v="1"/>
    <x v="1"/>
  </r>
  <r>
    <s v="MAY"/>
    <s v="PO-25001927"/>
    <s v="บริษัท บางกอกแม็กเน็ตไวร์ จำกัด"/>
    <s v="ลวดกลมอาบน้ำยา ขนาด 2.40 มม."/>
    <n v="1000"/>
    <s v="KG"/>
    <n v="363.64"/>
    <n v="363640"/>
    <n v="360.64"/>
    <n v="3"/>
    <n v="3000"/>
    <n v="8.2499175008249916E-3"/>
    <x v="1"/>
    <x v="1"/>
  </r>
  <r>
    <s v="MAY"/>
    <s v="PO-25001870"/>
    <s v="บริษัท เมทสัน เพาเวอร์ (ประเทศไทย) จำกัด"/>
    <s v="Silicon Steel Master Coil 027CLF120"/>
    <n v="120000"/>
    <s v="KG"/>
    <n v="51.8"/>
    <n v="6216000"/>
    <n v="50"/>
    <n v="1.7999999999999972"/>
    <n v="215999.99999999965"/>
    <n v="3.4749034749034693E-2"/>
    <x v="0"/>
    <x v="0"/>
  </r>
  <r>
    <s v="MAY"/>
    <s v="PO-25001869"/>
    <s v="บริษัท เมทสัน เพาเวอร์ (ประเทศไทย) จำกัด"/>
    <s v="Silicon Steel Master Coil 027CLF100"/>
    <n v="160000"/>
    <s v="KG"/>
    <n v="52.8"/>
    <n v="8448000"/>
    <n v="52.5"/>
    <n v="0.29999999999999716"/>
    <n v="47999.999999999549"/>
    <n v="5.6818181818181282E-3"/>
    <x v="0"/>
    <x v="0"/>
  </r>
  <r>
    <s v="MAY"/>
    <s v="PO-25001868"/>
    <s v="บริษัท เมทสัน เพาเวอร์ (ประเทศไทย) จำกัด"/>
    <s v="Silicon Steel Master Coil 023CLF080"/>
    <n v="180000"/>
    <s v="KG"/>
    <n v="77"/>
    <n v="13860000"/>
    <n v="75.45"/>
    <n v="1.5499999999999972"/>
    <n v="278999.99999999948"/>
    <n v="2.0129870129870091E-2"/>
    <x v="0"/>
    <x v="0"/>
  </r>
  <r>
    <s v="MAY"/>
    <s v="PO-25001956"/>
    <s v="บริษัท พี.เอส.พี.สเปเชียลตี้ส์ จำกัด (มหาชน)"/>
    <s v="น้ำมันหม้อแปลง HYVOLT II (ASTM D3487)"/>
    <n v="5016"/>
    <s v="ลิตร"/>
    <n v="75.14"/>
    <n v="376902.24"/>
    <n v="75"/>
    <n v="0.14000000000000057"/>
    <n v="702.24000000000285"/>
    <n v="1.8631887143997945E-3"/>
    <x v="1"/>
    <x v="0"/>
  </r>
  <r>
    <s v="MAY"/>
    <s v="PO-25001976"/>
    <s v="บริษัท บี.เค.เอทีเอ็ม เซอร์วิส จำกัด"/>
    <s v="รับจ้างรายวัน รถเครน 50 ตัน 12 ล้อ ใช้งาน วันที่ 28/5/68"/>
    <n v="1"/>
    <s v="JOB"/>
    <n v="14000"/>
    <n v="14000"/>
    <n v="13000"/>
    <n v="1000"/>
    <n v="1000"/>
    <n v="7.1428571428571425E-2"/>
    <x v="0"/>
    <x v="0"/>
  </r>
  <r>
    <s v="MAY"/>
    <s v="PO-25001977"/>
    <s v="บริษัท บี.เค.เอทีเอ็ม เซอร์วิส จำกัด"/>
    <s v="รับจ้างรายวัน รถเครน 50 ตัน 12 ล้อ ใช้งาน วันที่ 24/5/68"/>
    <n v="1"/>
    <s v="JOB"/>
    <n v="14000"/>
    <n v="14000"/>
    <n v="13000"/>
    <n v="1000"/>
    <n v="1000"/>
    <n v="7.1428571428571425E-2"/>
    <x v="0"/>
    <x v="0"/>
  </r>
  <r>
    <s v="MAY"/>
    <s v="PO-25001980"/>
    <s v="บริษัท กิ้มเฮงเชียง  จำกัด"/>
    <s v="ทองแดงเส้นแบน "/>
    <n v="5248"/>
    <s v="KG"/>
    <n v="365"/>
    <n v="1915520"/>
    <n v="360"/>
    <n v="5"/>
    <n v="26240"/>
    <n v="1.3698630136986301E-2"/>
    <x v="1"/>
    <x v="1"/>
  </r>
  <r>
    <s v="MAY"/>
    <s v="PO-25002003"/>
    <s v="บริษัท เซาท์อีสไทยแลนด์ จำกัด"/>
    <s v="Insulating Supports แรงสูง12kVยี่ห้อ GEORG JORDAN"/>
    <n v="20"/>
    <s v="EA."/>
    <n v="980"/>
    <n v="19600"/>
    <n v="690"/>
    <n v="290"/>
    <n v="5800"/>
    <n v="0.29591836734693877"/>
    <x v="1"/>
    <x v="1"/>
  </r>
  <r>
    <s v="MAY"/>
    <s v="PO-25002003"/>
    <s v="บริษัท เซาท์อีสไทยแลนด์ จำกัด"/>
    <s v="Insulating Supports แรงสูง24kV ยี่ห้อ GEORG JORDRN"/>
    <n v="60"/>
    <s v="EA."/>
    <n v="1260"/>
    <n v="75600"/>
    <n v="985"/>
    <n v="275"/>
    <n v="16500"/>
    <n v="0.21825396825396826"/>
    <x v="1"/>
    <x v="1"/>
  </r>
  <r>
    <s v="MAY"/>
    <s v="PO-25002013"/>
    <s v="บริษัท มิซูมิ (ไทยแลนด์) จำกัด"/>
    <s v="หางปลาต่อสาย ขนาด 14-12 มม. Ring type"/>
    <n v="1000"/>
    <s v="EA."/>
    <n v="21.21"/>
    <n v="21210"/>
    <n v="20.2"/>
    <n v="1.0100000000000016"/>
    <n v="1010.0000000000016"/>
    <n v="4.7619047619047693E-2"/>
    <x v="1"/>
    <x v="1"/>
  </r>
  <r>
    <s v="MAY"/>
    <s v="PO-25002014"/>
    <s v="บริษัท พรอสเปอร์ อี แอนด์ ที จำกัด"/>
    <s v="CABLE GLAND Size 50S TYPE A2F"/>
    <n v="96"/>
    <s v="EA."/>
    <n v="1460"/>
    <n v="140160"/>
    <n v="1450"/>
    <n v="10"/>
    <n v="960"/>
    <n v="6.8493150684931503E-3"/>
    <x v="1"/>
    <x v="1"/>
  </r>
  <r>
    <s v="MAY"/>
    <s v="PO-25002014"/>
    <s v="บริษัท พรอสเปอร์ อี แอนด์ ที จำกัด"/>
    <s v="Cable Gland Stainless Steel  M40 TYPE A2F"/>
    <n v="3"/>
    <s v="EA."/>
    <n v="750"/>
    <n v="2250"/>
    <n v="740"/>
    <n v="10"/>
    <n v="30"/>
    <n v="1.3333333333333334E-2"/>
    <x v="1"/>
    <x v="1"/>
  </r>
  <r>
    <s v="MAY"/>
    <s v="PO-25001986"/>
    <s v="บริษัท ตั้งเซียะปิงโลหะกิจ จำกัด"/>
    <s v="Conservator Tank TR.2000 kVA 3Ph 50Hz 22000-400V"/>
    <n v="3"/>
    <s v="SET."/>
    <n v="14800"/>
    <n v="44400"/>
    <n v="14060"/>
    <n v="740"/>
    <n v="2220"/>
    <n v="0.05"/>
    <x v="1"/>
    <x v="0"/>
  </r>
  <r>
    <s v="MAY"/>
    <s v="PO-25001986"/>
    <s v="บริษัท ตั้งเซียะปิงโลหะกิจ จำกัด"/>
    <s v="Conservator Tank TR.7000 kVA 3Ph 50Hz 22000-800/800V"/>
    <n v="11"/>
    <s v="SET."/>
    <n v="26800"/>
    <n v="294800"/>
    <n v="25460"/>
    <n v="1340"/>
    <n v="14740"/>
    <n v="0.05"/>
    <x v="1"/>
    <x v="0"/>
  </r>
  <r>
    <s v="MAY"/>
    <s v="PO-25001986"/>
    <s v="บริษัท ตั้งเซียะปิงโลหะกิจ จำกัด"/>
    <s v="Conservator Tank TR.7700 kVA 3Ph 50Hz 22000-800/800V"/>
    <n v="37"/>
    <s v="SET."/>
    <n v="26800"/>
    <n v="991600"/>
    <n v="25460"/>
    <n v="1340"/>
    <n v="49580"/>
    <n v="0.05"/>
    <x v="1"/>
    <x v="0"/>
  </r>
  <r>
    <s v="MAY"/>
    <s v="PO-25001986"/>
    <s v="บริษัท ตั้งเซียะปิงโลหะกิจ จำกัด"/>
    <s v="Conservator Tank TR.5140 kVA 3Ph 50Hz 22000 - 690V"/>
    <n v="17"/>
    <s v="SET."/>
    <n v="18500"/>
    <n v="314500"/>
    <n v="17575"/>
    <n v="925"/>
    <n v="15725"/>
    <n v="0.05"/>
    <x v="1"/>
    <x v="0"/>
  </r>
  <r>
    <s v="MAY"/>
    <s v="PO-25002012"/>
    <s v="ห้างหุ้นส่วนจำกัด เอ็ม.เอ็น. อีเล็คทริค ซัพพลาย"/>
    <s v="หางปลาต่อสายแบบกลมเปลือย ยี่ห้อ T-LUG CL50-12 /  T-LUG CL50-8"/>
    <n v="400"/>
    <s v="EA."/>
    <n v="15.5"/>
    <n v="6200"/>
    <n v="14.76"/>
    <n v="0.74000000000000021"/>
    <n v="296.00000000000011"/>
    <n v="4.7741935483870984E-2"/>
    <x v="0"/>
    <x v="1"/>
  </r>
  <r>
    <s v="MAY"/>
    <s v="PO-25002012"/>
    <s v="ห้างหุ้นส่วนจำกัด เอ็ม.เอ็น. อีเล็คทริค ซัพพลาย"/>
    <s v="หางปลาต่อสายแบบกลมเปลือย ยี่ห้อ T-LUG CL70-12"/>
    <n v="100"/>
    <s v="EA."/>
    <n v="26"/>
    <n v="2600"/>
    <n v="24.6"/>
    <n v="1.3999999999999986"/>
    <n v="139.99999999999986"/>
    <n v="5.3846153846153794E-2"/>
    <x v="0"/>
    <x v="1"/>
  </r>
  <r>
    <s v="MAY"/>
    <s v="PO-25002012"/>
    <s v="ห้างหุ้นส่วนจำกัด เอ็ม.เอ็น. อีเล็คทริค ซัพพลาย"/>
    <s v="หางปลาต่อสายแบบกลมเปลือย ยี่ห้อ T-LUG CL120-12"/>
    <n v="100"/>
    <s v="EA."/>
    <n v="50"/>
    <n v="5000"/>
    <n v="47.56"/>
    <n v="2.4399999999999977"/>
    <n v="243.99999999999977"/>
    <n v="4.8799999999999955E-2"/>
    <x v="0"/>
    <x v="1"/>
  </r>
  <r>
    <s v="MAY"/>
    <s v="PO-25002012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."/>
    <n v="190"/>
    <n v="19000"/>
    <n v="182.25"/>
    <n v="7.75"/>
    <n v="775"/>
    <n v="4.0789473684210528E-2"/>
    <x v="0"/>
    <x v="1"/>
  </r>
  <r>
    <s v="MAY"/>
    <s v="PO-25002012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100"/>
    <s v="EA."/>
    <n v="5.25"/>
    <n v="525"/>
    <n v="5.0999999999999996"/>
    <n v="0.15000000000000036"/>
    <n v="15.000000000000036"/>
    <n v="2.857142857142864E-2"/>
    <x v="0"/>
    <x v="1"/>
  </r>
  <r>
    <s v="MAY"/>
    <s v="PO-25001679"/>
    <s v="Wuhu Zhongyuan Import and Export Co.,Ltd"/>
    <s v="Fabrication cost for Copper foil"/>
    <n v="15380"/>
    <s v="KG"/>
    <n v="31.2"/>
    <n v="479856"/>
    <n v="27.59"/>
    <n v="3.6099999999999994"/>
    <n v="55521.799999999988"/>
    <n v="0.11570512820512818"/>
    <x v="1"/>
    <x v="1"/>
  </r>
  <r>
    <s v="MAY"/>
    <s v="PO-25001678"/>
    <s v="REINHAUSEN ITALIA SRL"/>
    <s v="Tap Changer 36kV-60A-L320 BIL200 5 Position"/>
    <n v="25"/>
    <s v="set"/>
    <n v="2117.25"/>
    <n v="52931.25"/>
    <n v="1962.88"/>
    <n v="154.36999999999989"/>
    <n v="3859.2499999999973"/>
    <n v="7.2910615184791541E-2"/>
    <x v="1"/>
    <x v="1"/>
  </r>
  <r>
    <s v="MAY"/>
    <s v="PO-25002064"/>
    <s v="บริษัท แอมเทค ลูบริแคนท์ จำกัด"/>
    <s v="Shell Diala  S4 ZX-I"/>
    <n v="7400"/>
    <s v="ลิตร"/>
    <n v="90"/>
    <n v="666000"/>
    <n v="89.5"/>
    <n v="0.5"/>
    <n v="3700"/>
    <n v="5.5555555555555558E-3"/>
    <x v="0"/>
    <x v="0"/>
  </r>
  <r>
    <s v="MAY"/>
    <s v="PO-25002051"/>
    <s v="บริษัท เนวีร่า จำกัด"/>
    <s v="บัสบาร์ซัพพอร์ทแรงต่ำ 1 เฟส ยี่ห้อ Muller  รุ่น MLB-100-7/11"/>
    <n v="80"/>
    <s v="EA"/>
    <n v="154"/>
    <n v="12320"/>
    <n v="136.4"/>
    <n v="17.599999999999994"/>
    <n v="1407.9999999999995"/>
    <n v="0.11428571428571425"/>
    <x v="1"/>
    <x v="0"/>
  </r>
  <r>
    <s v="MAY"/>
    <s v="PO-25002051"/>
    <s v="บริษัท เนวีร่า จำกัด"/>
    <s v="บัสบาร์ซัพพอร์ทแรงต่ำ 1 เฟส ยี่ห้อ Muller  รุ่น MLB-100-7/11"/>
    <n v="80"/>
    <s v="EA"/>
    <n v="154"/>
    <n v="12320"/>
    <n v="136.4"/>
    <n v="17.599999999999994"/>
    <n v="1407.9999999999995"/>
    <n v="0.11428571428571425"/>
    <x v="1"/>
    <x v="0"/>
  </r>
  <r>
    <s v="MAY"/>
    <s v="PO-25002051"/>
    <s v="บริษัท เนวีร่า จำกัด"/>
    <s v="บัสบาร์ซัพพอร์ทแรงต่ำ 1 เฟส ยี่ห้อ Muller  รุ่น MLB-100-7/11"/>
    <n v="80"/>
    <s v="EA"/>
    <n v="154"/>
    <n v="12320"/>
    <n v="136.4"/>
    <n v="17.599999999999994"/>
    <n v="1407.9999999999995"/>
    <n v="0.11428571428571425"/>
    <x v="1"/>
    <x v="0"/>
  </r>
  <r>
    <s v="MAY"/>
    <s v="PO-25002051"/>
    <s v="บริษัท เนวีร่า จำกัด"/>
    <s v="บัสบาร์ซัพพอร์ทแรงต่ำ 1 เฟส ยี่ห้อ Mullerรุ่นMLB-124-11/13.5"/>
    <n v="360"/>
    <s v="EA"/>
    <n v="250"/>
    <n v="90000"/>
    <n v="155"/>
    <n v="95"/>
    <n v="34200"/>
    <n v="0.38"/>
    <x v="1"/>
    <x v="0"/>
  </r>
  <r>
    <s v="MAY"/>
    <s v="PO-25002051"/>
    <s v="บริษัท เนวีร่า จำกัด"/>
    <s v="บัสบาร์ซัพพอร์ทแรงต่ำ 1 เฟส ยี่ห้อ Mullerรุ่นMLB-124-11/13.5"/>
    <n v="360"/>
    <s v="EA"/>
    <n v="250"/>
    <n v="90000"/>
    <n v="155"/>
    <n v="95"/>
    <n v="34200"/>
    <n v="0.38"/>
    <x v="1"/>
    <x v="0"/>
  </r>
  <r>
    <s v="MAY"/>
    <s v="PO-25002051"/>
    <s v="บริษัท เนวีร่า จำกัด"/>
    <s v="บัสบาร์ซัพพอร์ทแรงต่ำ 1 เฟส ยี่ห้อ Mullerรุ่นMLB-124-11/13.5"/>
    <n v="360"/>
    <s v="EA"/>
    <n v="250"/>
    <n v="90000"/>
    <n v="155"/>
    <n v="95"/>
    <n v="34200"/>
    <n v="0.38"/>
    <x v="1"/>
    <x v="0"/>
  </r>
  <r>
    <s v="MAY"/>
    <s v="PO-25002051"/>
    <s v="บริษัท เนวีร่า จำกัด"/>
    <s v="บัสบาร์ซัพพอร์ทแรงต่ำ 1 เฟส ยี่ห้อ Mullerรุ่นMLB-124-11/13.5"/>
    <n v="360"/>
    <s v="EA"/>
    <n v="250"/>
    <n v="90000"/>
    <n v="155"/>
    <n v="95"/>
    <n v="34200"/>
    <n v="0.38"/>
    <x v="1"/>
    <x v="0"/>
  </r>
  <r>
    <s v="MAY"/>
    <s v="PO-25002051"/>
    <s v="บริษัท เนวีร่า จำกัด"/>
    <s v="บัสบาร์ซัพพอร์ทแรงต่ำ 1 เฟส ยี่ห้อ Mullerรุ่นMLB-124-11/13.5"/>
    <n v="260"/>
    <s v="EA"/>
    <n v="250"/>
    <n v="65000"/>
    <n v="155"/>
    <n v="95"/>
    <n v="24700"/>
    <n v="0.38"/>
    <x v="1"/>
    <x v="0"/>
  </r>
  <r>
    <s v="MAY"/>
    <s v="PO-25002051"/>
    <s v="บริษัท เนวีร่า จำกัด"/>
    <s v="บัสบาร์ซัพพอร์ทแรงต่ำ 1 เฟส ยี่ห้อ Muller รุ่น MLR-40-8"/>
    <n v="4"/>
    <s v="EA"/>
    <n v="40"/>
    <n v="160"/>
    <n v="37.200000000000003"/>
    <n v="2.7999999999999972"/>
    <n v="11.199999999999989"/>
    <n v="6.9999999999999923E-2"/>
    <x v="1"/>
    <x v="0"/>
  </r>
  <r>
    <s v="MAY"/>
    <s v="PO-25001615"/>
    <s v="บริษัท เอเทค ลิฟท์ติ้ง ทูลส์ จำกัด"/>
    <s v="สลิงโพลีเอสเตอร์ (สลิงผ้าใบ) หน้ากว้าง 125 มม. ยาว 10 เมตร W"/>
    <n v="1"/>
    <s v="EA"/>
    <n v="8400"/>
    <n v="8400"/>
    <n v="5000"/>
    <n v="3400"/>
    <n v="3400"/>
    <n v="0.40476190476190477"/>
    <x v="1"/>
    <x v="3"/>
  </r>
  <r>
    <s v="MAY"/>
    <s v="PO-25001653"/>
    <s v="บริษัท เอ็นทีดับเบิ้ลยู เอ็นจิเนียริ่ง ซัพพลาย จำกัด"/>
    <s v="ขวดใส่สารละลายเคมี PE Size: 250ml. (ฝาสีดำ/จุกใน) "/>
    <n v="200"/>
    <s v="EA"/>
    <n v="70"/>
    <n v="14000"/>
    <n v="32"/>
    <n v="38"/>
    <n v="7600"/>
    <n v="0.54285714285714282"/>
    <x v="1"/>
    <x v="3"/>
  </r>
  <r>
    <s v="MAY"/>
    <s v="PO-25001658 "/>
    <s v="บริษัท ไทยพัฒนสิน (จิ้นเส็ง 2000) จำกัด"/>
    <s v="ALLWAY ชอล์คหินขีดเหล็กสีขาวแท่งเหลี่ยม ขนาด 100X10X10mm. (ข"/>
    <n v="2"/>
    <s v="BOX"/>
    <n v="290"/>
    <n v="580"/>
    <n v="250"/>
    <n v="40"/>
    <n v="80"/>
    <n v="0.13793103448275862"/>
    <x v="1"/>
    <x v="3"/>
  </r>
  <r>
    <s v="MAY"/>
    <s v="PO-25001677"/>
    <s v="บริษัท อิมพีเรียลไฟร์เอ็นจิเนียริ่ง จำกัด"/>
    <s v="เปลี่ยนตู้ Control FM-200 System (RP-2002E) Server Room กทม."/>
    <n v="1"/>
    <s v="JOB"/>
    <n v="189.13"/>
    <n v="189.13"/>
    <m/>
    <n v="189.13"/>
    <n v="189.13"/>
    <n v="1"/>
    <x v="4"/>
    <x v="3"/>
  </r>
  <r>
    <s v="MAY"/>
    <s v="PO-25001681"/>
    <s v="บริษัท ไทยพัฒนสิน (จิ้นเส็ง 2000) จำกัด"/>
    <s v="Marvel ME-60 Cable Cutters คีมตัดสายไฟ"/>
    <n v="2"/>
    <s v="EA"/>
    <n v="890"/>
    <n v="1780"/>
    <n v="585"/>
    <n v="305"/>
    <n v="610"/>
    <n v="0.34269662921348315"/>
    <x v="1"/>
    <x v="3"/>
  </r>
  <r>
    <s v="MAY"/>
    <s v="PO-25001681"/>
    <s v="บริษัท ไทยพัฒนสิน (จิ้นเส็ง 2000) จำกัด"/>
    <s v="ตราช้าง ที่เจาะกระดาษ 1 รู รุ่น SP-100"/>
    <n v="1"/>
    <s v="EA"/>
    <n v="99"/>
    <n v="99"/>
    <n v="80"/>
    <n v="19"/>
    <n v="19"/>
    <n v="0.19191919191919191"/>
    <x v="1"/>
    <x v="3"/>
  </r>
  <r>
    <s v="MAY"/>
    <s v="PO-25001682"/>
    <s v="บริษัท เอ็นทีดับเบิ้ลยู เอ็นจิเนียริ่ง ซัพพลาย จำกัด"/>
    <s v="KENNEDY คีมปากจิ้งจก กันไฟ 180mm/7&quot;"/>
    <n v="1"/>
    <s v="EA"/>
    <n v="1719"/>
    <n v="1719"/>
    <n v="1590"/>
    <n v="129"/>
    <n v="129"/>
    <n v="7.5043630017452012E-2"/>
    <x v="1"/>
    <x v="3"/>
  </r>
  <r>
    <s v="MAY"/>
    <s v="PO-25001694"/>
    <s v="บริษัท ไทยพัฒนสิน (จิ้นเส็ง 2000) จำกัด"/>
    <s v="สายลมPU ยี่ห้อ FESTO (PUN 10*1.5-BL)"/>
    <n v="100"/>
    <s v="Metre"/>
    <n v="118"/>
    <n v="11800"/>
    <n v="85"/>
    <n v="33"/>
    <n v="3300"/>
    <n v="0.27966101694915252"/>
    <x v="1"/>
    <x v="3"/>
  </r>
  <r>
    <s v="MAY"/>
    <s v="PO-25001694"/>
    <s v="บริษัท ไทยพัฒนสิน (จิ้นเส็ง 2000) จำกัด"/>
    <s v="สายลมPU ยี่ห้อ FESTO (PUN 8*1.25-BL)"/>
    <n v="100"/>
    <s v="Metre"/>
    <n v="84"/>
    <n v="8400"/>
    <n v="57"/>
    <n v="27"/>
    <n v="2700"/>
    <n v="0.32142857142857145"/>
    <x v="1"/>
    <x v="3"/>
  </r>
  <r>
    <s v="MAY"/>
    <s v="PO-25001694"/>
    <s v="บริษัท ไทยพัฒนสิน (จิ้นเส็ง 2000) จำกัด"/>
    <s v="สายลมPU ยี่ห้อ FESTO (PUN 6*1-BL)"/>
    <n v="100"/>
    <s v="Metre"/>
    <n v="64"/>
    <n v="6400"/>
    <n v="39"/>
    <n v="25"/>
    <n v="2500"/>
    <n v="0.390625"/>
    <x v="1"/>
    <x v="3"/>
  </r>
  <r>
    <s v="MAY"/>
    <s v="PO-25001694"/>
    <s v="บริษัท ไทยพัฒนสิน (จิ้นเส็ง 2000) จำกัด"/>
    <s v="WURTH สเปรย์จารบี HHS200 ขนาด 500ml"/>
    <n v="24"/>
    <s v="EA"/>
    <n v="389"/>
    <n v="9336"/>
    <n v="355"/>
    <n v="34"/>
    <n v="816"/>
    <n v="8.7403598971722368E-2"/>
    <x v="1"/>
    <x v="3"/>
  </r>
  <r>
    <s v="MAY"/>
    <s v="PO-25001703"/>
    <s v="บริษัท อาร์ เจ เอส คอนแทร็ค แอนด์ เซอร์วิส จากัด"/>
    <s v="เจาะบาดาลลึก 160 เมตร ขนาด 6 นิ้ว"/>
    <n v="1"/>
    <s v="EA"/>
    <n v="835000"/>
    <n v="835000"/>
    <n v="815000"/>
    <n v="20000"/>
    <n v="20000"/>
    <n v="2.3952095808383235E-2"/>
    <x v="4"/>
    <x v="3"/>
  </r>
  <r>
    <s v="MAY"/>
    <s v="PO-25001713"/>
    <s v="บริษัท สมาพันธ์เทคโนโลยี จำกัด"/>
    <s v="เครื่องสแกนใบหน้า ยี่ห้อ HIP รุ่น CI F69S "/>
    <n v="1"/>
    <s v="set"/>
    <n v="9500"/>
    <n v="9500"/>
    <n v="7000"/>
    <n v="2500"/>
    <n v="2500"/>
    <n v="0.26315789473684209"/>
    <x v="1"/>
    <x v="3"/>
  </r>
  <r>
    <s v="MAY"/>
    <s v="PO-25001713"/>
    <s v="บริษัท สมาพันธ์เทคโนโลยี จำกัด"/>
    <s v="กล่องอะลีลิคครอปเครื่องสแกนนิ้ว สีใส สำหรับรุ่น CIF69S"/>
    <n v="1"/>
    <s v="EA"/>
    <n v="2800"/>
    <n v="2800"/>
    <n v="500"/>
    <n v="2300"/>
    <n v="2300"/>
    <n v="0.8214285714285714"/>
    <x v="1"/>
    <x v="3"/>
  </r>
  <r>
    <s v="MAY"/>
    <s v="PO-25001713"/>
    <s v="บริษัท สมาพันธ์เทคโนโลยี จำกัด"/>
    <s v="งานติดตั้งเครื่องสแกนใบหน้า"/>
    <n v="1"/>
    <s v="JOB"/>
    <n v="5500"/>
    <n v="5500"/>
    <n v="4000"/>
    <n v="1500"/>
    <n v="1500"/>
    <n v="0.27272727272727271"/>
    <x v="1"/>
    <x v="3"/>
  </r>
  <r>
    <s v="MAY"/>
    <s v="PO-25001738 "/>
    <s v="โอเค พรีเมี่ยม"/>
    <s v="ม่านบังแดดด้านหน้าผ้าซิลเวอร์ ทรงแว่นตาไม่มีชาย พร้อมซองกลม"/>
    <n v="1"/>
    <s v="JOB"/>
    <n v="292.19"/>
    <n v="292.19"/>
    <m/>
    <n v="292.19"/>
    <n v="292.19"/>
    <n v="1"/>
    <x v="4"/>
    <x v="3"/>
  </r>
  <r>
    <s v="MAY"/>
    <s v="PO-25001750 "/>
    <s v="บริษัท เอ็นทีดับเบิ้ลยู เอ็นจิเนียริ่ง ซัพพลาย จำกัด"/>
    <s v="คอปเปอร์สายลม SM-30 ข้อต่อสวมเร็ว ช็อคเก็ต 3/8&quot;เกลียวนอก"/>
    <n v="6"/>
    <s v="EA"/>
    <n v="69"/>
    <n v="414"/>
    <n v="42"/>
    <n v="27"/>
    <n v="162"/>
    <n v="0.39130434782608697"/>
    <x v="1"/>
    <x v="3"/>
  </r>
  <r>
    <s v="MAY"/>
    <s v="PO-25001750 "/>
    <s v="บริษัท เอ็นทีดับเบิ้ลยู เอ็นจิเนียริ่ง ซัพพลาย จำกัด"/>
    <s v="คอปเปอร์สายลม PM-30 ข้อต่อสวมเร็ว ปลั๊ก 3/8&quot;เกลียวนอก"/>
    <n v="6"/>
    <s v="EA"/>
    <n v="22"/>
    <n v="132"/>
    <n v="18"/>
    <n v="4"/>
    <n v="24"/>
    <n v="0.18181818181818182"/>
    <x v="1"/>
    <x v="3"/>
  </r>
  <r>
    <s v="MAY"/>
    <s v="PO-25001751"/>
    <s v="บริษัท เอ็นทีดับเบิ้ลยู เอ็นจิเนียริ่ง ซัพพลาย จำกัด"/>
    <s v="WURTH HHS 2000 – สเปร์ยจารบีใส ขนาด 500 มิลลิลิตร"/>
    <n v="3"/>
    <s v="EA"/>
    <n v="480"/>
    <n v="1440"/>
    <n v="360"/>
    <n v="120"/>
    <n v="360"/>
    <n v="0.25"/>
    <x v="1"/>
    <x v="3"/>
  </r>
  <r>
    <s v="MAY"/>
    <s v="PO-25001771 "/>
    <s v="บริษัท ศรีราชามงคลชัย จำกัด"/>
    <s v="โฮลซอเจาะสแตนเลส/เหล็ก TCT 40 มม. BOSCH"/>
    <n v="3"/>
    <s v="EA"/>
    <n v="1290"/>
    <n v="3870"/>
    <n v="840.75"/>
    <n v="449.25"/>
    <n v="1347.75"/>
    <n v="0.34825581395348837"/>
    <x v="1"/>
    <x v="3"/>
  </r>
  <r>
    <s v="MAY"/>
    <s v="PO-25001774"/>
    <s v="บริษัท ศรีราชามงคลชัย จำกัด"/>
    <s v="รถเข็นเครื่องมือ 3 ชั้นโล่ง+1 ลิ้นชัก G-SM-TTC03-1D SMART"/>
    <n v="1"/>
    <s v="EA"/>
    <n v="4590"/>
    <n v="4590"/>
    <n v="2810"/>
    <n v="1780"/>
    <n v="1780"/>
    <n v="0.3877995642701525"/>
    <x v="1"/>
    <x v="3"/>
  </r>
  <r>
    <s v="MAY"/>
    <s v="PO-25001777"/>
    <s v="บริษัท ไทยพัฒนสิน (จิ้นเส็ง 2000) จำกัด"/>
    <s v="ถ่านอัลคาไลน์ PANASONIC ไซค์ C LR14T แพ็ก 2 ก้อน"/>
    <n v="10"/>
    <s v="Pack"/>
    <n v="217.57"/>
    <n v="2175.6999999999998"/>
    <n v="180"/>
    <n v="37.569999999999993"/>
    <n v="375.69999999999993"/>
    <n v="0.17268005699315161"/>
    <x v="1"/>
    <x v="3"/>
  </r>
  <r>
    <s v="MAY"/>
    <s v="PO-25001777"/>
    <s v="บริษัท ไทยพัฒนสิน (จิ้นเส็ง 2000) จำกัด"/>
    <s v="ถ่านกระดุมลิเธี่ยม Panasonic CR-2032PT/1B"/>
    <n v="5"/>
    <s v="EA"/>
    <n v="47.14"/>
    <n v="235.7"/>
    <n v="45"/>
    <n v="2.1400000000000006"/>
    <n v="10.700000000000003"/>
    <n v="4.5396690708527802E-2"/>
    <x v="1"/>
    <x v="3"/>
  </r>
  <r>
    <s v="MAY"/>
    <s v="PO-25001779"/>
    <s v="บริษัท โบลิน ยูนิฟอร์ม จำกัด"/>
    <s v="เสื้อยืดคอกลมแขนสั้น สกรีนอกซ้าย 1จุด &quot;Freesize&quot;"/>
    <n v="1"/>
    <s v="JOB"/>
    <n v="51.35"/>
    <n v="51.35"/>
    <m/>
    <n v="51.35"/>
    <n v="51.35"/>
    <n v="1"/>
    <x v="4"/>
    <x v="3"/>
  </r>
  <r>
    <s v="MAY"/>
    <s v="PO-25001793"/>
    <s v="บริษัท เอทีซี อินดัสตรี (ประเทศไทย)จำกัด"/>
    <s v="รถเข็น 4 ล้อ MATALL สีดำ รับน้ำหนักสูงสุด: 300 กก."/>
    <n v="1"/>
    <s v="EA"/>
    <n v="4850"/>
    <n v="4850"/>
    <n v="1790"/>
    <n v="3060"/>
    <n v="3060"/>
    <n v="0.63092783505154637"/>
    <x v="1"/>
    <x v="3"/>
  </r>
  <r>
    <s v="MAY"/>
    <s v="PO-25001794"/>
    <s v="บริษัท ออฟฟิศเมท (ไทย) จำกัด"/>
    <s v="0010711 กล่องลิ้นชักใส่ของอเนกประสงค์ คีย์เวย์ CK-224"/>
    <n v="1"/>
    <s v="EA"/>
    <n v="380"/>
    <n v="380"/>
    <n v="182.24"/>
    <n v="197.76"/>
    <n v="197.76"/>
    <n v="0.5204210526315789"/>
    <x v="1"/>
    <x v="3"/>
  </r>
  <r>
    <s v="MAY"/>
    <s v="PO-25001794"/>
    <s v="บริษัท ออฟฟิศเมท (ไทย) จำกัด"/>
    <s v="2003521 ชุดเครื่องเย็บ+ลวด No.10 แม็กซ์ HD-10D"/>
    <n v="1"/>
    <s v="EA"/>
    <n v="220"/>
    <n v="220"/>
    <n v="179.55"/>
    <n v="40.449999999999989"/>
    <n v="40.449999999999989"/>
    <n v="0.18386363636363631"/>
    <x v="1"/>
    <x v="3"/>
  </r>
  <r>
    <s v="MAY"/>
    <s v="PO-25001794"/>
    <s v="บริษัท ออฟฟิศเมท (ไทย) จำกัด"/>
    <s v="1121263 ปากกาเขียนแผ่นใสลบไม่ได้ น้ำเงิน เอ็ดติ้ง 142M"/>
    <n v="10"/>
    <s v="EA"/>
    <n v="59"/>
    <n v="590"/>
    <n v="45.33"/>
    <n v="13.670000000000002"/>
    <n v="136.70000000000002"/>
    <n v="0.23169491525423733"/>
    <x v="1"/>
    <x v="3"/>
  </r>
  <r>
    <s v="MAY"/>
    <s v="PO-25001832"/>
    <s v="บริษัท สมาพันธ์เทคโนโลยี จำกัด"/>
    <s v="2IN1 Wireless Logitech MK235 Black - เมาส์และคีย์บอร์ดไร้สาย"/>
    <n v="2"/>
    <s v="set"/>
    <n v="1078.79"/>
    <n v="2157.58"/>
    <n v="750"/>
    <n v="328.78999999999996"/>
    <n v="657.57999999999993"/>
    <n v="0.30477664791108555"/>
    <x v="1"/>
    <x v="3"/>
  </r>
  <r>
    <s v="MAY"/>
    <s v="PO-25001833"/>
    <s v="บริษัท ศรีราชามงคลชัย จำกัด"/>
    <s v="เครื่องเจียร 4&quot; 720W 9533B MAKITA"/>
    <n v="5"/>
    <s v="EA"/>
    <n v="3990"/>
    <n v="19950"/>
    <n v="3325"/>
    <n v="665"/>
    <n v="3325"/>
    <n v="0.16666666666666666"/>
    <x v="1"/>
    <x v="3"/>
  </r>
  <r>
    <s v="MAY"/>
    <s v="PO-25001857"/>
    <s v="บริษัท เอทีซี อินดัสตรี (ประเทศไทย)จำกัด"/>
    <s v="STANLEY กรรไกรตัดแผ่นโลหะ ตัดตรง 14 นิ้ว #14-166"/>
    <n v="1"/>
    <s v="EA"/>
    <n v="1290"/>
    <n v="1290"/>
    <n v="1100"/>
    <n v="190"/>
    <n v="190"/>
    <n v="0.14728682170542637"/>
    <x v="1"/>
    <x v="3"/>
  </r>
  <r>
    <s v="MAY"/>
    <s v="PO-25001857"/>
    <s v="บริษัท เอทีซี อินดัสตรี (ประเทศไทย)จำกัด"/>
    <s v="B-0007 ลังพลาสติกทึบ ขนาดภายใน : 345x565x180mm."/>
    <n v="6"/>
    <s v="EA"/>
    <n v="479"/>
    <n v="2874"/>
    <n v="450"/>
    <n v="29"/>
    <n v="174"/>
    <n v="6.0542797494780795E-2"/>
    <x v="1"/>
    <x v="3"/>
  </r>
  <r>
    <s v="MAY"/>
    <s v="PO-25001888"/>
    <s v="บริษัท เจริญทรัพย์ พาเลท จำกัด"/>
    <s v="พาเลทไม้ขนาด 1000*800*120 (ก*ย*ส) มม."/>
    <n v="20"/>
    <s v="EA"/>
    <n v="482"/>
    <n v="9640"/>
    <n v="450"/>
    <n v="32"/>
    <n v="640"/>
    <n v="6.6390041493775934E-2"/>
    <x v="1"/>
    <x v="3"/>
  </r>
  <r>
    <s v="MAY"/>
    <s v="PO-25001896"/>
    <s v="บริษัท ศรีราชามงคลชัย จำกัด"/>
    <s v="แบตเตอรี่ 12V 5.0Ah M12 HB5 MILWAUKEE"/>
    <n v="4"/>
    <s v="EA"/>
    <n v="2500"/>
    <n v="10000"/>
    <n v="2209.6999999999998"/>
    <n v="290.30000000000018"/>
    <n v="1161.2000000000007"/>
    <n v="0.11612000000000007"/>
    <x v="1"/>
    <x v="3"/>
  </r>
  <r>
    <s v="MAY"/>
    <s v="PO-25001897"/>
    <s v="บริษัท อาร์ เจ เอส คอนแทร็ค แอนด์ เซอร์วิส จากัด"/>
    <s v="รื้อถอนงานร้ัวเก่า มาติดใหม่ตรงงานร้ัวที่พัง"/>
    <n v="1"/>
    <s v="JOB"/>
    <n v="313.25"/>
    <n v="313.25"/>
    <m/>
    <n v="313.25"/>
    <n v="313.25"/>
    <n v="1"/>
    <x v="4"/>
    <x v="3"/>
  </r>
  <r>
    <s v="MAY"/>
    <s v="PO-25001899"/>
    <s v="บริษัท เอทีซี อินดัสตรี (ประเทศไทย)จำกัด"/>
    <s v="พัดลมอุตสาหกรรม YAMABISHI 30&quot; VF-1760-B"/>
    <n v="2"/>
    <s v="PCS"/>
    <n v="5600"/>
    <n v="11200"/>
    <n v="4950"/>
    <n v="650"/>
    <n v="1300"/>
    <n v="0.11607142857142858"/>
    <x v="1"/>
    <x v="3"/>
  </r>
  <r>
    <s v="MAY"/>
    <s v="PO-25001930"/>
    <s v="ห้างหุ้นส่วนจำกัด วรวัตรผ้าใบ"/>
    <s v="งานรื้อเต็นท์เก่าออกและติดตั้งเต็นท์ใหม่"/>
    <n v="1"/>
    <s v="JOB"/>
    <n v="195000"/>
    <n v="195000"/>
    <n v="190000"/>
    <n v="5000"/>
    <n v="5000"/>
    <n v="2.564102564102564E-2"/>
    <x v="1"/>
    <x v="3"/>
  </r>
  <r>
    <s v="MAY"/>
    <s v="PO-25001932"/>
    <s v="บริษัท เอทีซี อินดัสตรี (ประเทศไทย)จำกัด"/>
    <s v="เครื่องตัดหญ้าสะพายบ่า 4 จังหวะ HONDA รุ่น UMK435 T"/>
    <n v="1"/>
    <s v="EA"/>
    <n v="9450"/>
    <n v="9450"/>
    <n v="8890"/>
    <n v="560"/>
    <n v="560"/>
    <n v="5.9259259259259262E-2"/>
    <x v="1"/>
    <x v="3"/>
  </r>
  <r>
    <s v="MAY"/>
    <s v="PO-25001943"/>
    <s v="บริษัท เอทีซี อินดัสตรี (ประเทศไทย)จำกัด"/>
    <s v="ชั้นวางของ 5 ชั้น สแตนเลส กว้าง 73 x ลึก 40 x สูง 175 ซม."/>
    <n v="1"/>
    <s v="EA"/>
    <n v="4650"/>
    <n v="4650"/>
    <n v="3000"/>
    <n v="1650"/>
    <n v="1650"/>
    <n v="0.35483870967741937"/>
    <x v="1"/>
    <x v="3"/>
  </r>
  <r>
    <s v="MAY"/>
    <s v="PO-25001960 "/>
    <s v="บริษัท เอทีซี อินดัสตรี (ประเทศไทย)จำกัด"/>
    <s v="พัดลมอุตสาหกรรม YAMABISHI 30&quot; VF-1760-B"/>
    <n v="2"/>
    <s v="PCS"/>
    <n v="5600"/>
    <n v="11200"/>
    <n v="4950"/>
    <n v="650"/>
    <n v="1300"/>
    <n v="0.11607142857142858"/>
    <x v="1"/>
    <x v="3"/>
  </r>
  <r>
    <s v="MAY"/>
    <s v="PO-25001962"/>
    <s v="บริษัท เอทีซี อินดัสตรี (ประเทศไทย)จำกัด"/>
    <s v="ชุดด้าม SJEASYMOP รุ่น ALL RIGHT สีทองแดง ไม้ถูพื้น"/>
    <n v="3"/>
    <s v="EA"/>
    <n v="480"/>
    <n v="1440"/>
    <n v="325"/>
    <n v="155"/>
    <n v="465"/>
    <n v="0.32291666666666669"/>
    <x v="1"/>
    <x v="3"/>
  </r>
  <r>
    <s v="MAY"/>
    <s v="PO-25001975"/>
    <s v="บริษัท เอทีซี อินดัสตรี (ประเทศไทย)จำกัด"/>
    <s v="TONE ลูกบล็อคยาว 6 เหลี่ยม ขนาด 1/2” ขนาด17มม. Model 4S-17L"/>
    <n v="2"/>
    <s v="EA"/>
    <n v="547"/>
    <n v="1094"/>
    <n v="350"/>
    <n v="197"/>
    <n v="394"/>
    <n v="0.36014625228519198"/>
    <x v="1"/>
    <x v="3"/>
  </r>
  <r>
    <s v="MAY"/>
    <s v="PO-25001975"/>
    <s v="บริษัท เอทีซี อินดัสตรี (ประเทศไทย)จำกัด"/>
    <s v="TONE ลูกบล็อคยาว 6 เหลี่ยม ขนาด 1/2” ขนาด19มม. Model 4S-19L"/>
    <n v="2"/>
    <s v="EA"/>
    <n v="563"/>
    <n v="1126"/>
    <n v="375"/>
    <n v="188"/>
    <n v="376"/>
    <n v="0.3339253996447602"/>
    <x v="1"/>
    <x v="3"/>
  </r>
  <r>
    <s v="MAY"/>
    <s v="PO-25001975"/>
    <s v="บริษัท เอทีซี อินดัสตรี (ประเทศไทย)จำกัด"/>
    <s v="TONE ลูกบล็อคยาว 6 เหลี่ยม ขนาด 1/2” ขนาด20มม. Model 4S-20L"/>
    <n v="2"/>
    <s v="EA"/>
    <n v="573"/>
    <n v="1146"/>
    <n v="395"/>
    <n v="178"/>
    <n v="356"/>
    <n v="0.31064572425828968"/>
    <x v="1"/>
    <x v="3"/>
  </r>
  <r>
    <s v="MAY"/>
    <s v="PO-25001975"/>
    <s v="บริษัท เอทีซี อินดัสตรี (ประเทศไทย)จำกัด"/>
    <s v="TONE ลูกบล็อคยาว 6 เหลี่ยม ขนาด 1/2” ขนาด21มม. Model 4S-21L"/>
    <n v="2"/>
    <s v="EA"/>
    <n v="573"/>
    <n v="1146"/>
    <n v="395"/>
    <n v="178"/>
    <n v="356"/>
    <n v="0.31064572425828968"/>
    <x v="1"/>
    <x v="3"/>
  </r>
  <r>
    <s v="MAY"/>
    <s v="PO-25002072"/>
    <s v="บริษัท เอ็น.เอช.เค.สตีล จำกัด"/>
    <s v="Cold Rolled Steel Sheet (SPCC-SD) ขนาด 1.5*1200 มม."/>
    <n v="9000"/>
    <s v="kg."/>
    <n v="28"/>
    <n v="252000"/>
    <n v="27.5"/>
    <n v="0.5"/>
    <n v="4500"/>
    <n v="1.7857142857142856E-2"/>
    <x v="1"/>
    <x v="0"/>
  </r>
  <r>
    <s v="MAY"/>
    <s v="PO-25002027"/>
    <s v="บริษัท พี.เอส.พี.สเปเชียลตี้ส์ จำกัด (มหาชน)"/>
    <s v="น้ำมันหม้อแปลง Transform INH"/>
    <n v="112000"/>
    <s v="ลิตร"/>
    <n v="36"/>
    <n v="4032000"/>
    <n v="35"/>
    <n v="1"/>
    <n v="112000"/>
    <n v="2.7777777777777776E-2"/>
    <x v="3"/>
    <x v="0"/>
  </r>
  <r>
    <s v="MAY"/>
    <s v="PO-25002039"/>
    <s v="Faxolif  Industries Pte Ltd"/>
    <s v="FR3 FLUID"/>
    <n v="10000"/>
    <s v="ลิตร"/>
    <n v="128.69999999999999"/>
    <n v="1287000"/>
    <n v="115.5"/>
    <n v="13.199999999999989"/>
    <n v="131999.99999999988"/>
    <n v="0.10256410256410249"/>
    <x v="1"/>
    <x v="1"/>
  </r>
  <r>
    <s v="MAY"/>
    <s v="PO-25002064"/>
    <s v="บริษัท แอมเทค ลูบริแคนท์ จำกัด"/>
    <s v="Shell Diala  S4 ZX-I (ถังละ 200 ลิตร)"/>
    <n v="7400"/>
    <s v="ลิตร"/>
    <n v="90"/>
    <n v="666000"/>
    <n v="89.5"/>
    <n v="0.5"/>
    <n v="3700"/>
    <n v="5.5555555555555558E-3"/>
    <x v="0"/>
    <x v="1"/>
  </r>
  <r>
    <s v="JUN"/>
    <s v="PO-25002087"/>
    <s v="บริษัท กิ้มเฮงเชียง  จำกัด"/>
    <s v="ทองแดงเส้นแบน "/>
    <n v="1743.7"/>
    <s v="KG"/>
    <n v="375"/>
    <n v="653887.5"/>
    <n v="365"/>
    <n v="10"/>
    <n v="17437"/>
    <n v="2.6666666666666668E-2"/>
    <x v="0"/>
    <x v="1"/>
  </r>
  <r>
    <s v="JUN"/>
    <s v="PO-25002104"/>
    <s v="บริษัท สตอบลี (ไทยแลนด์) จำกัด"/>
    <s v="Terminal Block UK6 No.3004524"/>
    <n v="3200"/>
    <s v="EA"/>
    <n v="18.239999999999998"/>
    <n v="58367.999999999993"/>
    <n v="16.420000000000002"/>
    <n v="1.8199999999999967"/>
    <n v="5823.9999999999891"/>
    <n v="9.9780701754385789E-2"/>
    <x v="1"/>
    <x v="1"/>
  </r>
  <r>
    <s v="JUN"/>
    <s v="PO-25002150"/>
    <s v="บริษัท เซาท์อีสไทยแลนด์ จำกัด"/>
    <s v="Insulating Supports แรงสูง24kV ยี่ห้อ GEORG JORDRN และรุ่น AB"/>
    <n v="114"/>
    <s v="EA"/>
    <n v="1155"/>
    <n v="131670"/>
    <n v="985"/>
    <n v="170"/>
    <n v="19380"/>
    <n v="0.1471861471861472"/>
    <x v="1"/>
    <x v="1"/>
  </r>
  <r>
    <s v="JUN"/>
    <s v="PO-25002150"/>
    <s v="บริษัท เซาท์อีสไทยแลนด์ จำกัด"/>
    <s v="Insulating Supports แรงสูง12kVยี่ห้อ GEORG JORDAN"/>
    <n v="40"/>
    <s v="EA"/>
    <n v="910"/>
    <n v="36400"/>
    <n v="690"/>
    <n v="220"/>
    <n v="8800"/>
    <n v="0.24175824175824176"/>
    <x v="1"/>
    <x v="1"/>
  </r>
  <r>
    <s v="JUN"/>
    <s v="PO-25002160"/>
    <s v="ห้างหุ้นส่วนจำกัด เอ็ม.เอ็น. อีเล็คทริค ซัพพลาย"/>
    <s v="ท่อ Flex กันน้ำขนาด 1&quot;"/>
    <n v="480"/>
    <s v="Metre"/>
    <n v="100"/>
    <n v="48000"/>
    <n v="91.85"/>
    <n v="8.1500000000000057"/>
    <n v="3912.0000000000027"/>
    <n v="8.1500000000000059E-2"/>
    <x v="0"/>
    <x v="1"/>
  </r>
  <r>
    <s v="JUN"/>
    <s v="PO-25002135"/>
    <s v="บริษัท สหมิตรไวร์ แอนด์ เคเบิ้ล จำกัด"/>
    <s v="ลวดแบนหุ้มกระดาษหนา 0.5 มม. "/>
    <n v="1059"/>
    <s v="KG"/>
    <n v="382"/>
    <n v="404538"/>
    <n v="357"/>
    <n v="25"/>
    <n v="26475"/>
    <n v="6.5445026178010471E-2"/>
    <x v="0"/>
    <x v="1"/>
  </r>
  <r>
    <s v="JUN"/>
    <s v="PO-25002231"/>
    <s v="บริษัท เอทีซี อินดัสตรี (ประเทศไทย)จำกัด"/>
    <s v="โกล์พวาวล์ ขนาด 1 1/4&quot;10SJBF"/>
    <n v="30"/>
    <s v="EA"/>
    <n v="2950"/>
    <n v="88500"/>
    <n v="2800"/>
    <n v="150"/>
    <n v="4500"/>
    <n v="5.0847457627118647E-2"/>
    <x v="1"/>
    <x v="1"/>
  </r>
  <r>
    <s v="JUN"/>
    <s v="PO-25002235"/>
    <s v="บริษัท สหมิตรไวร์ แอนด์ เคเบิ้ล จำกัด"/>
    <s v="ลวดแบนหุ้มกระดาษหนา 0.5 มม. "/>
    <n v="1038"/>
    <s v="KG"/>
    <n v="382"/>
    <n v="396516"/>
    <n v="357"/>
    <n v="25"/>
    <n v="25950"/>
    <n v="6.5445026178010471E-2"/>
    <x v="0"/>
    <x v="1"/>
  </r>
  <r>
    <s v="JUN"/>
    <s v="PO-25002171"/>
    <s v="บริษัท ต่อกิจ พัฒนา 2019 จำกัด"/>
    <s v="CABLE BOX TYPE 1 TR.2000 kVA 3Ph 50Hz 33000-400V"/>
    <n v="2"/>
    <s v="set"/>
    <n v="75000"/>
    <n v="150000"/>
    <n v="73000"/>
    <n v="2000"/>
    <n v="4000"/>
    <n v="2.6666666666666668E-2"/>
    <x v="1"/>
    <x v="0"/>
  </r>
  <r>
    <s v="JUN"/>
    <s v="PO-25002249"/>
    <s v="บริษัท บางกอก เซอร์วิส แอนด์ ซัพพลาย จำกัด"/>
    <s v="Pack &amp; Lashing +Cert. Container 20FR SOF240093"/>
    <n v="1"/>
    <s v="JOB"/>
    <n v="42500"/>
    <n v="42500"/>
    <n v="42000"/>
    <n v="500"/>
    <n v="500"/>
    <n v="1.1764705882352941E-2"/>
    <x v="1"/>
    <x v="1"/>
  </r>
  <r>
    <s v="JUN"/>
    <s v="PO-25002275"/>
    <s v="บริษัท สยาม วิน บอร์น จำกัด"/>
    <s v="Support for thermometer"/>
    <n v="25"/>
    <s v="EA"/>
    <n v="160"/>
    <n v="4000"/>
    <n v="150"/>
    <n v="10"/>
    <n v="250"/>
    <n v="6.25E-2"/>
    <x v="0"/>
    <x v="0"/>
  </r>
  <r>
    <s v="JUN"/>
    <s v="PO-25002294"/>
    <s v="บริษัท วินเนอร์ นัมเบอร์เพลท จำกัด"/>
    <s v="แผ่น Aluminium Plate "/>
    <n v="25"/>
    <s v="EA"/>
    <n v="2000"/>
    <n v="50000"/>
    <n v="1750"/>
    <n v="250"/>
    <n v="6250"/>
    <n v="0.125"/>
    <x v="1"/>
    <x v="1"/>
  </r>
  <r>
    <s v="JUN"/>
    <s v="PO-25002295"/>
    <s v="บริษัท กิ้มเฮงเชียง  จำกัด"/>
    <s v="ทองแดงเส้นแบน "/>
    <n v="3054.6"/>
    <s v="KG"/>
    <n v="380"/>
    <n v="1160748"/>
    <n v="365"/>
    <n v="15"/>
    <n v="45819"/>
    <n v="3.9473684210526314E-2"/>
    <x v="0"/>
    <x v="1"/>
  </r>
  <r>
    <s v="JUN"/>
    <s v="PO-25002299"/>
    <s v="ห้างหุ้นส่วนจำกัด เอ็ม.เอ็น. อีเล็คทริค ซัพพลาย"/>
    <s v="หางปลาต่อสายแบบกลมเปลือย ยี่ห้อ T-LUG CL70-12"/>
    <n v="200"/>
    <s v="EA"/>
    <n v="26"/>
    <n v="5200"/>
    <n v="24.6"/>
    <n v="1.3999999999999986"/>
    <n v="279.99999999999972"/>
    <n v="5.3846153846153794E-2"/>
    <x v="0"/>
    <x v="1"/>
  </r>
  <r>
    <s v="JUN"/>
    <s v="PO-25002299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JUN"/>
    <s v="PO-25002299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"/>
    <n v="190"/>
    <n v="19000"/>
    <n v="182.25"/>
    <n v="7.75"/>
    <n v="775"/>
    <n v="4.0789473684210528E-2"/>
    <x v="0"/>
    <x v="1"/>
  </r>
  <r>
    <s v="JUN"/>
    <s v="PO-25002298"/>
    <s v="บริษัท เซาท์อีสไทยแลนด์ จำกัด"/>
    <s v="Insulating Supports แรงสูง36kV  “Georg Jordan type CA30N”"/>
    <n v="12"/>
    <s v="EA"/>
    <n v="2900"/>
    <n v="34800"/>
    <n v="2625"/>
    <n v="275"/>
    <n v="3300"/>
    <n v="9.4827586206896547E-2"/>
    <x v="0"/>
    <x v="1"/>
  </r>
  <r>
    <s v="JUN"/>
    <s v="PO-25002337"/>
    <s v="บริษัท สหมิตรไวร์ แอนด์ เคเบิ้ล จำกัด"/>
    <s v="ลวดแบนหุ้มกระดาษหนา 0.5 มม. ขนาด 2.1*4 มม."/>
    <n v="627"/>
    <s v="KG"/>
    <n v="382"/>
    <n v="239514"/>
    <n v="357"/>
    <n v="25"/>
    <n v="15675"/>
    <n v="6.5445026178010471E-2"/>
    <x v="0"/>
    <x v="1"/>
  </r>
  <r>
    <s v="JUN"/>
    <s v="PO-25002366"/>
    <s v="บริษัท เอคเม อินซูเลชั่น จำกัด"/>
    <s v="Rubber bag size X=1985,Y=985,G=800 (Conser dia. 600x1600mm)"/>
    <n v="1"/>
    <s v="EA"/>
    <n v="35900"/>
    <n v="35900"/>
    <n v="31970"/>
    <n v="3930"/>
    <n v="3930"/>
    <n v="0.10947075208913649"/>
    <x v="0"/>
    <x v="1"/>
  </r>
  <r>
    <s v="JUN"/>
    <s v="PO-25002438"/>
    <s v="ห้างหุ้นส่วนจำกัด เอ็ม.เอ็น. อีเล็คทริค ซัพพลาย"/>
    <s v="หางปลาต่อสายแบบกลมเปลือย ยี่ห้อ T-LUG CL70-12"/>
    <n v="100"/>
    <s v="EA"/>
    <n v="26"/>
    <n v="2600"/>
    <n v="24.6"/>
    <n v="1.3999999999999986"/>
    <n v="139.99999999999986"/>
    <n v="5.3846153846153794E-2"/>
    <x v="0"/>
    <x v="1"/>
  </r>
  <r>
    <s v="JUN"/>
    <s v="PO-25002438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100"/>
    <s v="EA"/>
    <n v="5.25"/>
    <n v="525"/>
    <n v="5.0999999999999996"/>
    <n v="0.15000000000000036"/>
    <n v="15.000000000000036"/>
    <n v="2.857142857142864E-2"/>
    <x v="0"/>
    <x v="1"/>
  </r>
  <r>
    <s v="JUN"/>
    <s v="PO-25002415"/>
    <s v="บริษัท บี.เค.เอทีเอ็ม เซอร์วิส จำกัด"/>
    <s v="ค่ารถเครน 50 ตัน ยกหม้อแปลง QTC 14-15/6/68"/>
    <n v="2"/>
    <s v="JOB"/>
    <n v="14000"/>
    <n v="28000"/>
    <n v="13000"/>
    <n v="1000"/>
    <n v="2000"/>
    <n v="7.1428571428571425E-2"/>
    <x v="0"/>
    <x v="0"/>
  </r>
  <r>
    <s v="JUN"/>
    <s v="PO-25002445"/>
    <s v="บริษัท สหมิตรไวร์ แอนด์ เคเบิ้ล จำกัด"/>
    <s v="ลวดแบนหุ้มกระดาษหนา 0.5 มม. "/>
    <n v="2399"/>
    <s v="KG"/>
    <n v="382"/>
    <n v="916418"/>
    <n v="357"/>
    <n v="25"/>
    <n v="59975"/>
    <n v="6.5445026178010471E-2"/>
    <x v="0"/>
    <x v="1"/>
  </r>
  <r>
    <s v="JUN"/>
    <s v="PO-25002473"/>
    <s v="ห้างหุ้นส่วนจำกัด เอ็ม.เอ็น. อีเล็คทริค ซัพพลาย"/>
    <s v="หางปลาต่อสายแบบกลมเปลือย ยี่ห้อ T-LUG CL70-12"/>
    <n v="200"/>
    <s v="EA"/>
    <n v="26"/>
    <n v="5200"/>
    <n v="24.6"/>
    <n v="1.3999999999999986"/>
    <n v="279.99999999999972"/>
    <n v="5.3846153846153794E-2"/>
    <x v="0"/>
    <x v="1"/>
  </r>
  <r>
    <s v="JUN"/>
    <s v="PO-25002473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JUN"/>
    <s v="PO-25002473"/>
    <s v="ห้างหุ้นส่วนจำกัด เอ็ม.เอ็น. อีเล็คทริค ซัพพลาย"/>
    <s v="หางปลาต่อสายแบบกลมเปลือย ยี่ห้อ T-LUG ขนาด 35-12 มม."/>
    <n v="100"/>
    <s v="EA"/>
    <n v="9.5"/>
    <n v="950"/>
    <n v="9.35"/>
    <n v="0.15000000000000036"/>
    <n v="15.000000000000036"/>
    <n v="1.5789473684210565E-2"/>
    <x v="0"/>
    <x v="1"/>
  </r>
  <r>
    <s v="JUN"/>
    <s v="PO-25002085"/>
    <s v="บริษัท ไทยพัฒนสิน (จิ้นเส็ง 2000) จำกัด"/>
    <s v="คอปเปอร์เหล็กสายลม SF-20"/>
    <n v="4"/>
    <s v="EA"/>
    <n v="166"/>
    <n v="664"/>
    <n v="78"/>
    <n v="88"/>
    <n v="352"/>
    <n v="0.53012048192771088"/>
    <x v="1"/>
    <x v="1"/>
  </r>
  <r>
    <s v="JUN"/>
    <s v="PO-25002085"/>
    <s v="บริษัท ไทยพัฒนสิน (จิ้นเส็ง 2000) จำกัด"/>
    <s v="คอปเปอร์เหล็กสายลม PF-20"/>
    <n v="4"/>
    <s v="EA"/>
    <n v="57"/>
    <n v="228"/>
    <n v="25"/>
    <n v="32"/>
    <n v="128"/>
    <n v="0.56140350877192979"/>
    <x v="1"/>
    <x v="1"/>
  </r>
  <r>
    <s v="JUN"/>
    <s v="PO-25002099"/>
    <s v="บริษัท ไทยพัฒนสิน (จิ้นเส็ง 2000) จำกัด"/>
    <s v="บล็อกไร้สาย MAKITA TW161DWYE 12V ขนาด 1/2 นิ้ว "/>
    <n v="1"/>
    <s v="EA"/>
    <n v="6550"/>
    <n v="6550"/>
    <n v="6026"/>
    <n v="524"/>
    <n v="524"/>
    <n v="0.08"/>
    <x v="1"/>
    <x v="1"/>
  </r>
  <r>
    <s v="JUN"/>
    <s v="PO-25002105"/>
    <s v="บริษัท ศรีราชามงคลชัย จำกัด"/>
    <s v="ข้อต่อสวมเร็ว แบบเหล็ก 80SN NITTO"/>
    <n v="20"/>
    <s v="EA"/>
    <n v="350"/>
    <n v="7000"/>
    <n v="271.8"/>
    <n v="78.199999999999989"/>
    <n v="1563.9999999999998"/>
    <n v="0.22342857142857139"/>
    <x v="1"/>
    <x v="1"/>
  </r>
  <r>
    <s v="JUN"/>
    <s v="PO-25002113"/>
    <s v="บริษัท ศรีราชามงคลชัย จำกัด"/>
    <s v="รถยกลาก 2.5 ตัน BF P.B.LIFTMACH หน้ากว้าง 520x1150 ล้อคู่ PU"/>
    <n v="1"/>
    <s v="EA"/>
    <n v="13000"/>
    <n v="13000"/>
    <n v="8235"/>
    <n v="4765"/>
    <n v="4765"/>
    <n v="0.36653846153846154"/>
    <x v="1"/>
    <x v="1"/>
  </r>
  <r>
    <s v="JUN"/>
    <s v="PO-25002153"/>
    <s v="บริษัท ไทยพัฒนสิน (จิ้นเส็ง 2000) จำกัด"/>
    <s v="TOTAL ประแจแหวนฟรีข้างปากตาย 10mm TCSPAR101"/>
    <n v="5"/>
    <s v="EA"/>
    <n v="155"/>
    <n v="775"/>
    <n v="95"/>
    <n v="60"/>
    <n v="300"/>
    <n v="0.38709677419354838"/>
    <x v="1"/>
    <x v="1"/>
  </r>
  <r>
    <s v="JUN"/>
    <s v="PO-25002153"/>
    <s v="บริษัท ไทยพัฒนสิน (จิ้นเส็ง 2000) จำกัด"/>
    <s v="KENNEDY ประแจปากตายข้างเดียว 46mm."/>
    <n v="2"/>
    <s v="EA"/>
    <n v="790"/>
    <n v="1580"/>
    <n v="655.99"/>
    <n v="134.01"/>
    <n v="268.02"/>
    <n v="0.16963291139240505"/>
    <x v="1"/>
    <x v="1"/>
  </r>
  <r>
    <s v="JUN"/>
    <s v="PO-25002153"/>
    <s v="บริษัท ไทยพัฒนสิน (จิ้นเส็ง 2000) จำกัด"/>
    <s v="KENNEDY ประแจเลื่อน 250mm. KEN5011100K"/>
    <n v="5"/>
    <s v="EA"/>
    <n v="1390"/>
    <n v="6950"/>
    <n v="1103.22"/>
    <n v="286.77999999999997"/>
    <n v="1433.8999999999999"/>
    <n v="0.2063165467625899"/>
    <x v="1"/>
    <x v="1"/>
  </r>
  <r>
    <s v="JUN"/>
    <s v="PO-25002153"/>
    <s v="บริษัท ไทยพัฒนสิน (จิ้นเส็ง 2000) จำกัด"/>
    <s v="KENNEDY ประแจปากตายข้างเดียว 55mm."/>
    <n v="2"/>
    <s v="EA"/>
    <n v="1450"/>
    <n v="2900"/>
    <n v="1230.8599999999999"/>
    <n v="219.1400000000001"/>
    <n v="438.2800000000002"/>
    <n v="0.15113103448275869"/>
    <x v="1"/>
    <x v="1"/>
  </r>
  <r>
    <s v="JUN"/>
    <s v="PO-25002154"/>
    <s v="บริษัท ศรีราชามงคลชัย จำกัด"/>
    <s v="กล่องพลาสติก#137 สีน้ำเงิน ขนาดภายนอก150x230x125 mm. (กxยxส)"/>
    <n v="100"/>
    <s v="EA"/>
    <n v="50"/>
    <n v="5000"/>
    <n v="42.3"/>
    <n v="7.7000000000000028"/>
    <n v="770.00000000000023"/>
    <n v="0.15400000000000005"/>
    <x v="1"/>
    <x v="1"/>
  </r>
  <r>
    <s v="JUN"/>
    <s v="PO-25002154"/>
    <s v="บริษัท ศรีราชามงคลชัย จำกัด"/>
    <s v="กล่องพลาสติก#139 สีน้ำเงิน ขนาดภายนอก295x455x185 mm. (กxยxส)"/>
    <n v="40"/>
    <s v="EA"/>
    <n v="210"/>
    <n v="8400"/>
    <n v="124.2"/>
    <n v="85.8"/>
    <n v="3432"/>
    <n v="0.40857142857142859"/>
    <x v="1"/>
    <x v="1"/>
  </r>
  <r>
    <s v="JUN"/>
    <s v="PO-25002154"/>
    <s v="บริษัท ศรีราชามงคลชัย จำกัด"/>
    <s v="ลังพลาสติกทึบ#171 สีน้ำเงิน External: 420x610x405 mm."/>
    <n v="20"/>
    <s v="EA"/>
    <n v="570"/>
    <n v="11400"/>
    <n v="435"/>
    <n v="135"/>
    <n v="2700"/>
    <n v="0.23684210526315788"/>
    <x v="1"/>
    <x v="1"/>
  </r>
  <r>
    <s v="JUN"/>
    <s v="PO-25002154"/>
    <s v="บริษัท ศรีราชามงคลชัย จำกัด"/>
    <s v="ประแจหกเหลี่ยมหัวบอลด้ามตัว T 4mm. 83108 SATA"/>
    <n v="5"/>
    <s v="EA"/>
    <n v="250"/>
    <n v="1250"/>
    <n v="109.8"/>
    <n v="140.19999999999999"/>
    <n v="701"/>
    <n v="0.56079999999999997"/>
    <x v="1"/>
    <x v="1"/>
  </r>
  <r>
    <s v="JUN"/>
    <s v="PO-25002164"/>
    <s v="บริษัท เจพี เอเชีย อินโนเวชั่น จำกัด"/>
    <s v="Concrete fence 1.Dismantle concrete old fence154m.2. Transpo"/>
    <n v="1"/>
    <s v="JOB"/>
    <n v="785972"/>
    <n v="750000"/>
    <n v="750000"/>
    <n v="35972"/>
    <n v="35972"/>
    <n v="4.5767533703490709E-2"/>
    <x v="1"/>
    <x v="1"/>
  </r>
  <r>
    <s v="JUN"/>
    <s v="PO-25002192"/>
    <s v="บริษัท เอทีซี อินดัสตรี (ประเทศไทย)จำกัด"/>
    <s v="ดินสอพองถุง ยี่ห้อชลมณี(ลพบุรี) ผงบดละเอียด"/>
    <n v="20"/>
    <s v="KG"/>
    <n v="25"/>
    <n v="500"/>
    <n v="18"/>
    <n v="7"/>
    <n v="140"/>
    <n v="0.28000000000000003"/>
    <x v="1"/>
    <x v="1"/>
  </r>
  <r>
    <s v="JUN"/>
    <s v="PO-25002193"/>
    <s v="บริษัท เอ็นทีดับเบิ้ลยู เอ็นจิเนียริ่ง ซัพพลาย จำกัด"/>
    <s v="ดอกเจียร์คาร์ไบท์แกนมิล รุ่น SL 60466-16X33XL77มิล IMCO"/>
    <n v="10"/>
    <s v="EA"/>
    <n v="2350"/>
    <n v="23500"/>
    <n v="2100"/>
    <n v="250"/>
    <n v="2500"/>
    <n v="0.10638297872340426"/>
    <x v="1"/>
    <x v="1"/>
  </r>
  <r>
    <s v="JUN"/>
    <s v="PO-25002199"/>
    <s v="บริษัท สมาพันธ์เทคโนโลยี จำกัด"/>
    <s v="Cartridge Ribbon EPSON LQ-590 Original S015589"/>
    <n v="6"/>
    <s v="EA"/>
    <n v="450"/>
    <n v="2700"/>
    <n v="380"/>
    <n v="70"/>
    <n v="420"/>
    <n v="0.15555555555555556"/>
    <x v="1"/>
    <x v="1"/>
  </r>
  <r>
    <s v="JUN"/>
    <s v="PO-25002201"/>
    <s v="บริษัท ศรีราชามงคลชัย จำกัด"/>
    <s v="กล่องอะไหล่ #139 กว้าง 295 x ยาว 455 x สูง 185 mm. สีน้ำเงิน"/>
    <n v="24"/>
    <s v="EA"/>
    <n v="249"/>
    <n v="5976"/>
    <n v="117.3"/>
    <n v="131.69999999999999"/>
    <n v="3160.7999999999997"/>
    <n v="0.52891566265060241"/>
    <x v="1"/>
    <x v="1"/>
  </r>
  <r>
    <s v="JUN"/>
    <s v="PO-25002220"/>
    <s v="บริษัท ศรีราชามงคลชัย จำกัด"/>
    <s v="รถยกลาก 3 ตัน BF P.B.LIFTMACH หน้ากว้าง 685x1220 ลายงามี 2ล้อ ล้อ PU"/>
    <n v="1"/>
    <s v="EA"/>
    <n v="11680"/>
    <n v="11680"/>
    <n v="9360"/>
    <n v="2320"/>
    <n v="2320"/>
    <n v="0.19863013698630136"/>
    <x v="1"/>
    <x v="1"/>
  </r>
  <r>
    <s v="JUN"/>
    <s v="PO-25002221"/>
    <s v="บริษัท ออฟฟิศเมท (ไทย) จำกัด"/>
    <s v="3001345 แท่นตัดเทป น้ำเงิน ONE ESSENTIALS"/>
    <n v="3"/>
    <s v="EA"/>
    <n v="159"/>
    <n v="477"/>
    <n v="91.52"/>
    <n v="67.48"/>
    <n v="202.44"/>
    <n v="0.42440251572327048"/>
    <x v="1"/>
    <x v="1"/>
  </r>
  <r>
    <s v="JUN"/>
    <s v="PO-25002222"/>
    <s v="บริษัท เอ็นทีดับเบิ้ลยู เอ็นจิเนียริ่ง ซัพพลาย จำกัด"/>
    <s v="THAI SUN SPORT ไม้ถูพื้นแบบแบน รุ่น CLEANING07"/>
    <n v="1"/>
    <s v="EA"/>
    <n v="220"/>
    <n v="220"/>
    <n v="209"/>
    <n v="11"/>
    <n v="11"/>
    <n v="0.05"/>
    <x v="1"/>
    <x v="1"/>
  </r>
  <r>
    <s v="JUN"/>
    <s v="PO-25002222"/>
    <s v="บริษัท เอ็นทีดับเบิ้ลยู เอ็นจิเนียริ่ง ซัพพลาย จำกัด"/>
    <s v="Cleaning OKER"/>
    <n v="2"/>
    <s v="EA"/>
    <n v="45"/>
    <n v="90"/>
    <n v="32"/>
    <n v="13"/>
    <n v="26"/>
    <n v="0.28888888888888886"/>
    <x v="1"/>
    <x v="1"/>
  </r>
  <r>
    <s v="JUN"/>
    <s v="PO-25002222"/>
    <s v="บริษัท เอ็นทีดับเบิ้ลยู เอ็นจิเนียริ่ง ซัพพลาย จำกัด"/>
    <s v="ที่ถอนลวด 2.1*13*6.1 ซม."/>
    <n v="1"/>
    <s v="EA"/>
    <n v="149"/>
    <n v="149"/>
    <n v="95"/>
    <n v="54"/>
    <n v="54"/>
    <n v="0.36241610738255031"/>
    <x v="1"/>
    <x v="1"/>
  </r>
  <r>
    <s v="JUN"/>
    <s v="PO-25002224"/>
    <s v="บริษัท เอทีซี อินดัสตรี (ประเทศไทย)จำกัด"/>
    <s v="ไฟฉายคาดหัว LED SAFETY ANZEN"/>
    <n v="1"/>
    <s v="EA"/>
    <n v="690"/>
    <n v="690"/>
    <n v="550"/>
    <n v="140"/>
    <n v="140"/>
    <n v="0.20289855072463769"/>
    <x v="1"/>
    <x v="1"/>
  </r>
  <r>
    <s v="JUN"/>
    <s v="PO-25002225"/>
    <s v="บริษัท เอ็นทีดับเบิ้ลยู เอ็นจิเนียริ่ง ซัพพลาย จำกัด"/>
    <s v="สว่านกระแทกไร้สายBOSCH GSB 18V-65 Professional (รุ่นใหม่) "/>
    <n v="1"/>
    <s v="EA"/>
    <n v="8000"/>
    <n v="8000"/>
    <n v="7390"/>
    <n v="610"/>
    <n v="610"/>
    <n v="7.6249999999999998E-2"/>
    <x v="1"/>
    <x v="1"/>
  </r>
  <r>
    <s v="JUN"/>
    <s v="PO-25002225"/>
    <s v="บริษัท เอ็นทีดับเบิ้ลยู เอ็นจิเนียริ่ง ซัพพลาย จำกัด"/>
    <s v="ตะกร้าผลไม้หูเหล็ก บรรจุ 25kg. ขนาด 38 x 59 x 33 (สีเขียว)"/>
    <n v="2"/>
    <s v="EA"/>
    <n v="450"/>
    <n v="900"/>
    <n v="296"/>
    <n v="154"/>
    <n v="308"/>
    <n v="0.34222222222222221"/>
    <x v="1"/>
    <x v="1"/>
  </r>
  <r>
    <s v="JUN"/>
    <s v="PO-25002226"/>
    <s v="บริษัท ไทยพัฒนสิน (จิ้นเส็ง 2000) จำกัด"/>
    <s v="POLO ดอกเจาะเหล็กคัตเตอร์คาร์ไบด์ Dia. 22x35mm."/>
    <n v="7"/>
    <s v="EA"/>
    <n v="1430"/>
    <n v="10010"/>
    <n v="750"/>
    <n v="680"/>
    <n v="4760"/>
    <n v="0.47552447552447552"/>
    <x v="1"/>
    <x v="1"/>
  </r>
  <r>
    <s v="JUN"/>
    <s v="PO-25002226"/>
    <s v="บริษัท ไทยพัฒนสิน (จิ้นเส็ง 2000) จำกัด"/>
    <s v="POLO ดอกเจาะเหล็กคัตเตอร์คาร์ไบด์ Dia. 38x35มม."/>
    <n v="5"/>
    <s v="EA"/>
    <n v="2360"/>
    <n v="11800"/>
    <n v="1080"/>
    <n v="1280"/>
    <n v="6400"/>
    <n v="0.5423728813559322"/>
    <x v="1"/>
    <x v="1"/>
  </r>
  <r>
    <s v="JUN"/>
    <s v="PO-25002259"/>
    <s v="บริษัท ไทยพัฒนสิน (จิ้นเส็ง 2000) จำกัด"/>
    <s v="Z-ONEZK-0206B ชุดปืนใช้ดูดฝุ่นได้"/>
    <n v="1"/>
    <s v="EA"/>
    <n v="1435"/>
    <n v="1435"/>
    <n v="950"/>
    <n v="485"/>
    <n v="485"/>
    <n v="0.33797909407665505"/>
    <x v="1"/>
    <x v="1"/>
  </r>
  <r>
    <s v="JUN"/>
    <s v="PO-25002270"/>
    <s v="บริษัท เอ็นทีดับเบิ้ลยู เอ็นจิเนียริ่ง ซัพพลาย จำกัด"/>
    <s v="ปลั๊กตัวผู้ 3 ขา HALOSHI"/>
    <n v="50"/>
    <s v="EA"/>
    <n v="99"/>
    <n v="4950"/>
    <n v="45"/>
    <n v="54"/>
    <n v="2700"/>
    <n v="0.54545454545454541"/>
    <x v="1"/>
    <x v="1"/>
  </r>
  <r>
    <s v="JUN"/>
    <s v="PO-25002271"/>
    <s v="บริษัท ไทยพัฒนสิน (จิ้นเส็ง 2000) จำกัด"/>
    <s v="บอลลำเลียงมีฐานยึด รุ่น 25SSBRA25"/>
    <n v="10"/>
    <s v="EA"/>
    <n v="100"/>
    <n v="1000"/>
    <n v="92"/>
    <n v="8"/>
    <n v="80"/>
    <n v="0.08"/>
    <x v="1"/>
    <x v="1"/>
  </r>
  <r>
    <s v="JUN"/>
    <s v="PO-25002271"/>
    <s v="บริษัท ไทยพัฒนสิน (จิ้นเส็ง 2000) จำกัด"/>
    <s v="ล้อแป้นหมุนมีเบรค รุ่น PA100B1"/>
    <n v="4"/>
    <s v="EA"/>
    <n v="615"/>
    <n v="2460"/>
    <n v="495"/>
    <n v="120"/>
    <n v="480"/>
    <n v="0.1951219512195122"/>
    <x v="1"/>
    <x v="1"/>
  </r>
  <r>
    <s v="JUN"/>
    <s v="PO-25002281"/>
    <s v="บริษัท ศรีราชามงคลชัย จำกัด"/>
    <s v="เลื่อยตัดเหล็กโครงเหล็ก 12&quot; 15-166 STANLEY"/>
    <n v="3"/>
    <s v="อัน"/>
    <n v="760"/>
    <n v="2280"/>
    <n v="418.5"/>
    <n v="341.5"/>
    <n v="1024.5"/>
    <n v="0.44934210526315788"/>
    <x v="1"/>
    <x v="1"/>
  </r>
  <r>
    <s v="JUN"/>
    <s v="PO-25002282"/>
    <s v="บริษัท ออฟฟิศเมท (ไทย) จำกัด"/>
    <s v="YA40926 STANLEY STHT65188-8 ไขควงปากแบน 5x150 mm."/>
    <n v="5"/>
    <s v="อัน"/>
    <n v="250"/>
    <n v="1250"/>
    <n v="49.07"/>
    <n v="200.93"/>
    <n v="1004.6500000000001"/>
    <n v="0.80371999999999999"/>
    <x v="1"/>
    <x v="1"/>
  </r>
  <r>
    <s v="JUN"/>
    <s v="PO-25002283"/>
    <s v="บริษัท เอ็นทีดับเบิ้ลยู เอ็นจิเนียริ่ง ซัพพลาย จำกัด"/>
    <s v="ปลอกหุ้มหางปลา สีเทา VC-014GR - ขนาด 16  SQ.MM."/>
    <n v="500"/>
    <s v="EA"/>
    <n v="2"/>
    <n v="1000"/>
    <n v="1"/>
    <n v="1"/>
    <n v="500"/>
    <n v="0.5"/>
    <x v="1"/>
    <x v="1"/>
  </r>
  <r>
    <s v="JUN"/>
    <s v="PO-25002283"/>
    <s v="บริษัท เอ็นทีดับเบิ้ลยู เอ็นจิเนียริ่ง ซัพพลาย จำกัด"/>
    <s v="ปลอกหุ้มหางปลา สีดำ VC-014B - ขนาด 16 SQ.MM."/>
    <n v="500"/>
    <s v="EA"/>
    <n v="2"/>
    <n v="1000"/>
    <n v="1"/>
    <n v="1"/>
    <n v="500"/>
    <n v="0.5"/>
    <x v="1"/>
    <x v="1"/>
  </r>
  <r>
    <s v="JUN"/>
    <s v="PO-25002283"/>
    <s v="บริษัท เอ็นทีดับเบิ้ลยู เอ็นจิเนียริ่ง ซัพพลาย จำกัด"/>
    <s v="ปลอกหุ้มหางปลา สีน้ำตาล VC-014BR - ขนาด 16 SQ.MM."/>
    <n v="500"/>
    <s v="EA"/>
    <n v="2"/>
    <n v="1000"/>
    <n v="1"/>
    <n v="1"/>
    <n v="500"/>
    <n v="0.5"/>
    <x v="1"/>
    <x v="1"/>
  </r>
  <r>
    <s v="JUN"/>
    <s v="PO-25002283"/>
    <s v="บริษัท เอ็นทีดับเบิ้ลยู เอ็นจิเนียริ่ง ซัพพลาย จำกัด"/>
    <s v="กรรไกรจีน ขนาด 10 นิ้ว สีเหลือง-แดง"/>
    <n v="20"/>
    <s v="EA"/>
    <n v="130"/>
    <n v="2600"/>
    <n v="89"/>
    <n v="41"/>
    <n v="820"/>
    <n v="0.31538461538461537"/>
    <x v="1"/>
    <x v="1"/>
  </r>
  <r>
    <s v="JUN"/>
    <s v="PO-25002284"/>
    <s v="บริษัท ศรีราชามงคลชัย จำกัด"/>
    <s v="ใบเลื่อยจิ๊กซอ #T144D (5ใบ/แพ็ค) BOSCH"/>
    <n v="20"/>
    <s v="Pack"/>
    <n v="150"/>
    <n v="3000"/>
    <n v="104.5"/>
    <n v="45.5"/>
    <n v="910"/>
    <n v="0.30333333333333334"/>
    <x v="1"/>
    <x v="1"/>
  </r>
  <r>
    <s v="JUN"/>
    <s v="PO-25002287"/>
    <s v="บริษัท เอ็นทีดับเบิ้ลยู เอ็นจิเนียริ่ง ซัพพลาย จำกัด"/>
    <s v="ประแจแหวนข้างปากตาย STANLEY เบอร์ 17"/>
    <n v="2"/>
    <s v="EA"/>
    <n v="291.2"/>
    <n v="582.4"/>
    <n v="92"/>
    <n v="199.2"/>
    <n v="398.4"/>
    <n v="0.68406593406593408"/>
    <x v="1"/>
    <x v="1"/>
  </r>
  <r>
    <s v="JUN"/>
    <s v="PO-25002288"/>
    <s v="บริษัท ศรีราชามงคลชัย จำกัด"/>
    <s v="แท่นตัดเทปรุ่นM-01คละสี Elephant ใส่เทปหน้ากว้าง1/2&quot;หรือ 3/4"/>
    <n v="2"/>
    <s v="EA"/>
    <n v="159"/>
    <n v="318"/>
    <n v="53.1"/>
    <n v="105.9"/>
    <n v="211.8"/>
    <n v="0.66603773584905668"/>
    <x v="1"/>
    <x v="1"/>
  </r>
  <r>
    <s v="JUN"/>
    <s v="PO-25002483"/>
    <s v="บริษัท เอทีซี อินดัสตรี (ประเทศไทย)จำกัด"/>
    <s v="บันไดติดล้อสแตนเลส SUS304 W800xD1700xH1:2000xH2:900xH2900"/>
    <n v="1"/>
    <s v="EA"/>
    <n v="39500"/>
    <n v="39500"/>
    <n v="39300"/>
    <n v="200"/>
    <n v="200"/>
    <n v="5.0632911392405064E-3"/>
    <x v="0"/>
    <x v="0"/>
  </r>
  <r>
    <s v="JUN"/>
    <s v="PO-25002451"/>
    <s v="ห้างหุ้นส่วนจำกัด สะพานสี่ สตีล โปรดักส์"/>
    <s v="ค่าเครน 25 ตัน สำหรับงานย้ายและติดตั้งผนังกันดินสำเร็จรูป"/>
    <n v="2"/>
    <s v="วัน"/>
    <n v="15000"/>
    <n v="30000"/>
    <n v="8500"/>
    <n v="6500"/>
    <n v="13000"/>
    <n v="0.43333333333333335"/>
    <x v="1"/>
    <x v="0"/>
  </r>
  <r>
    <s v="JUN"/>
    <s v="PO-25002451"/>
    <s v="ห้างหุ้นส่วนจำกัด สะพานสี่ สตีล โปรดักส์"/>
    <s v="ค่าเครน 25 ตัน สำหรับงานย้ายและติดตั้งผนังกันดินสำเร็จรูป อาคารอะมอฟัส"/>
    <n v="1"/>
    <s v="วัน"/>
    <n v="15000"/>
    <n v="15000"/>
    <n v="8500"/>
    <n v="6500"/>
    <n v="6500"/>
    <n v="0.43333333333333335"/>
    <x v="1"/>
    <x v="0"/>
  </r>
  <r>
    <s v="JUN"/>
    <s v="PO-25002532"/>
    <s v="บริษัท ธนากัญญ คอนสตรัคชั่น เวิร์ค จำกัด"/>
    <s v="งานปรับปรุงห้องน้ำอาคารโรงงาน 3 (รายการตาม BOQ)"/>
    <n v="1"/>
    <s v="JOB"/>
    <n v="486711.5"/>
    <n v="486711.5"/>
    <n v="455000"/>
    <n v="31711.5"/>
    <n v="31711.5"/>
    <n v="6.515461418109085E-2"/>
    <x v="1"/>
    <x v="1"/>
  </r>
  <r>
    <s v="JUN"/>
    <s v="PO-25002553"/>
    <s v="บริษัท สหมิตรไวร์ แอนด์ เคเบิ้ล จำกัด"/>
    <s v="ลวดแบนหุ้มกระดาษหนา 0.5 มม. "/>
    <n v="2679"/>
    <s v="KG"/>
    <n v="382"/>
    <n v="1023378"/>
    <n v="357"/>
    <n v="25"/>
    <n v="66975"/>
    <n v="6.5445026178010471E-2"/>
    <x v="0"/>
    <x v="1"/>
  </r>
  <r>
    <s v="JUN"/>
    <s v="PO-25002571"/>
    <s v="บริษัท สหมิตรไวร์ แอนด์ เคเบิ้ล จำกัด"/>
    <s v="ลวดแบนหุ้มกระดาษหนา 0.5 มม."/>
    <n v="227"/>
    <s v="KG"/>
    <n v="382"/>
    <n v="86714"/>
    <n v="357"/>
    <n v="25"/>
    <n v="5675"/>
    <n v="6.5445026178010471E-2"/>
    <x v="0"/>
    <x v="1"/>
  </r>
  <r>
    <s v="JUN"/>
    <s v="PO-25002243"/>
    <s v="บริษัท เอ็น.เอช.เค.สตีล จำกัด"/>
    <s v="Cold Rolled Steel Sheet (SPCC-SD) ขนาด 1.5*1100 มม."/>
    <n v="6150"/>
    <s v="KG"/>
    <n v="28"/>
    <n v="172200"/>
    <n v="27.5"/>
    <n v="0.5"/>
    <n v="3075"/>
    <n v="1.7857142857142856E-2"/>
    <x v="0"/>
    <x v="0"/>
  </r>
  <r>
    <s v="JUN"/>
    <s v="PO-25002243"/>
    <s v="บริษัท เอ็น.เอช.เค.สตีล จำกัด"/>
    <s v="Cold Rolled Steel Sheet (SPCC-SD) ขนาด 1.5*1000 มม."/>
    <n v="3080"/>
    <s v="KG"/>
    <n v="28"/>
    <n v="86240"/>
    <n v="27.5"/>
    <n v="0.5"/>
    <n v="1540"/>
    <n v="1.7857142857142856E-2"/>
    <x v="0"/>
    <x v="0"/>
  </r>
  <r>
    <s v="JUN"/>
    <s v="PO-25002325"/>
    <s v="บริษัท เอ็น.เอช.เค.สตีล จำกัด"/>
    <s v="Cold Rolled Steel Sheet (SPCC-SD) ขนาด 1.5*1000 มม."/>
    <n v="6000"/>
    <s v="KG"/>
    <n v="28"/>
    <n v="168000"/>
    <n v="27.5"/>
    <n v="0.5"/>
    <n v="3000"/>
    <n v="1.7857142857142856E-2"/>
    <x v="0"/>
    <x v="0"/>
  </r>
  <r>
    <s v="JUN"/>
    <s v="PO-25002325"/>
    <s v="บริษัท เอ็น.เอช.เค.สตีล จำกัด"/>
    <s v="Cold Rolled Steel Sheet (SPCC-SD) ขนาด 1.5*900 มม."/>
    <n v="3000"/>
    <s v="KG"/>
    <n v="28"/>
    <n v="84000"/>
    <n v="27.5"/>
    <n v="0.5"/>
    <n v="1500"/>
    <n v="1.7857142857142856E-2"/>
    <x v="0"/>
    <x v="0"/>
  </r>
  <r>
    <s v="JUN"/>
    <s v="PO-25002325"/>
    <s v="บริษัท เอ็น.เอช.เค.สตีล จำกัด"/>
    <s v="Cold Rolled Steel Sheet (SPCC-SD) ขนาด 1.5*1100 มม."/>
    <n v="3000"/>
    <s v="KG"/>
    <n v="28"/>
    <n v="84000"/>
    <n v="27.5"/>
    <n v="0.5"/>
    <n v="1500"/>
    <n v="1.7857142857142856E-2"/>
    <x v="0"/>
    <x v="0"/>
  </r>
  <r>
    <s v="JUN"/>
    <s v="PO-25002325"/>
    <s v="บริษัท เอ็น.เอช.เค.สตีล จำกัด"/>
    <s v="Cold Rolled Steel Sheet (SPCC-SD) ขนาด 1.5*1200 มม."/>
    <n v="6000"/>
    <s v="KG"/>
    <n v="28"/>
    <n v="168000"/>
    <n v="27.5"/>
    <n v="0.5"/>
    <n v="3000"/>
    <n v="1.7857142857142856E-2"/>
    <x v="0"/>
    <x v="0"/>
  </r>
  <r>
    <s v="JUN"/>
    <s v="PO-25002183"/>
    <s v="บริษัท บี.เค.เอทีเอ็ม เซอร์วิส จำกัด"/>
    <s v="ค่ารถเครน 50 ตัน ยกหม้อแปลง QTC 29/5/68"/>
    <n v="1"/>
    <s v="JOB"/>
    <n v="14000"/>
    <n v="14000"/>
    <n v="13500"/>
    <n v="500"/>
    <n v="500"/>
    <n v="3.5714285714285712E-2"/>
    <x v="0"/>
    <x v="0"/>
  </r>
  <r>
    <s v="JUN"/>
    <s v="PO-25002215"/>
    <s v="บริษัท บี.เค.เอทีเอ็ม เซอร์วิส จำกัด"/>
    <s v="รถเครน 50 ตัน 12 ล้อ ยกหม้อแปลง QTC ใช้งานวันที่ 7/06/2568"/>
    <n v="1"/>
    <s v="JOB"/>
    <n v="14000"/>
    <n v="14000"/>
    <n v="13000"/>
    <n v="1000"/>
    <n v="1000"/>
    <n v="7.1428571428571425E-2"/>
    <x v="0"/>
    <x v="0"/>
  </r>
  <r>
    <s v="JUN"/>
    <s v="PO-25002548"/>
    <s v="บริษัท บี.เค.เอทีเอ็ม เซอร์วิส จำกัด"/>
    <s v="รถเครน 50 ตัน 12 ล้อ ยกหม้อแปลง QTC "/>
    <n v="1"/>
    <s v="JOB"/>
    <n v="14000"/>
    <n v="14000"/>
    <n v="13000"/>
    <n v="1000"/>
    <n v="1000"/>
    <n v="7.1428571428571425E-2"/>
    <x v="0"/>
    <x v="0"/>
  </r>
  <r>
    <s v="JUN"/>
    <s v="PO-25002359"/>
    <s v="บริษัท พี.เอส.พี.สเปเชียลตี้ส์ จำกัด (มหาชน)"/>
    <s v="น้ำมันหม้อแปลง Transform INH"/>
    <n v="56000"/>
    <s v="ลิตร"/>
    <n v="36"/>
    <n v="2016000"/>
    <n v="35"/>
    <n v="1"/>
    <n v="56000"/>
    <n v="2.7777777777777776E-2"/>
    <x v="1"/>
    <x v="0"/>
  </r>
  <r>
    <s v="JUN"/>
    <s v="PO-25002484"/>
    <s v="บริษัท พี.เอส.พี.สเปเชียลตี้ส์ จำกัด (มหาชน)"/>
    <s v="น้ำมันหม้อแปลง Transform INH"/>
    <n v="14000"/>
    <s v="ลิตร"/>
    <n v="36"/>
    <n v="504000"/>
    <n v="35"/>
    <n v="1"/>
    <n v="14000"/>
    <n v="2.7777777777777776E-2"/>
    <x v="1"/>
    <x v="0"/>
  </r>
  <r>
    <s v="JUN"/>
    <s v="PO-25002530"/>
    <s v="บริษัท พี.เอส.พี.สเปเชียลตี้ส์ จำกัด (มหาชน)"/>
    <s v="น้ำมันหม้อแปลง Transform INH"/>
    <n v="14000"/>
    <s v="ลิตร"/>
    <n v="35"/>
    <n v="490000"/>
    <n v="33.75"/>
    <n v="1.25"/>
    <n v="17500"/>
    <n v="3.5714285714285712E-2"/>
    <x v="1"/>
    <x v="0"/>
  </r>
  <r>
    <s v="JUN"/>
    <s v="PO-25002556"/>
    <s v="บริษัท พี.เอส.พี.สเปเชียลตี้ส์ จำกัด (มหาชน)"/>
    <s v="น้ำมันหม้อแปลง Transform INH"/>
    <n v="28000"/>
    <s v="ลิตร"/>
    <n v="35"/>
    <n v="980000"/>
    <n v="33.75"/>
    <n v="1.25"/>
    <n v="35000"/>
    <n v="3.5714285714285712E-2"/>
    <x v="1"/>
    <x v="0"/>
  </r>
  <r>
    <s v="JUL"/>
    <s v="PO-25002580"/>
    <s v="บริษัท บางกอกแม็กเน็ตไวร์ จำกัด"/>
    <s v="ลวดกลมอาบน้ำยา ขนาด 0.70 มม."/>
    <n v="300"/>
    <s v="KG"/>
    <n v="382.4"/>
    <n v="114720"/>
    <n v="375.58"/>
    <n v="6.8199999999999932"/>
    <n v="2045.999999999998"/>
    <n v="1.7834728033472788E-2"/>
    <x v="1"/>
    <x v="1"/>
  </r>
  <r>
    <s v="JUL"/>
    <s v="PO-25002580"/>
    <s v="บริษัท บางกอกแม็กเน็ตไวร์ จำกัด"/>
    <s v="ลวดกลมอาบน้ำยา ขนาด 2.80 มม."/>
    <n v="500"/>
    <s v="KG"/>
    <n v="373.83"/>
    <n v="186915"/>
    <n v="367.01"/>
    <n v="6.8199999999999932"/>
    <n v="3409.9999999999964"/>
    <n v="1.8243586657036605E-2"/>
    <x v="1"/>
    <x v="1"/>
  </r>
  <r>
    <s v="JUL"/>
    <s v="PO-25002580"/>
    <s v="บริษัท บางกอกแม็กเน็ตไวร์ จำกัด"/>
    <s v="ลวดกลมอาบน้ำยา ขนาด 2.70 มม."/>
    <n v="1300"/>
    <s v="KG"/>
    <n v="374.09"/>
    <n v="486316.99999999994"/>
    <n v="367.27"/>
    <n v="6.8199999999999932"/>
    <n v="8865.9999999999909"/>
    <n v="1.823090700098905E-2"/>
    <x v="1"/>
    <x v="1"/>
  </r>
  <r>
    <s v="JUL"/>
    <s v="PO-25002580"/>
    <s v="บริษัท บางกอกแม็กเน็ตไวร์ จำกัด"/>
    <s v="ลวดกลมอาบน้ำยา ขนาด 1.90 มม."/>
    <n v="400"/>
    <s v="KG"/>
    <n v="375.69"/>
    <n v="150276"/>
    <n v="368.87"/>
    <n v="6.8199999999999932"/>
    <n v="2727.9999999999973"/>
    <n v="1.8153264659692813E-2"/>
    <x v="1"/>
    <x v="1"/>
  </r>
  <r>
    <s v="JUL"/>
    <s v="PO-25002580"/>
    <s v="บริษัท บางกอกแม็กเน็ตไวร์ จำกัด"/>
    <s v="ลวดกลมอาบน้ำยา ขนาด 2.30 มม."/>
    <n v="300"/>
    <s v="KG"/>
    <n v="374.28"/>
    <n v="112283.99999999999"/>
    <n v="367.46"/>
    <n v="6.8199999999999932"/>
    <n v="2045.999999999998"/>
    <n v="1.8221652238965463E-2"/>
    <x v="1"/>
    <x v="1"/>
  </r>
  <r>
    <s v="JUL"/>
    <s v="PO-25002580"/>
    <s v="บริษัท บางกอกแม็กเน็ตไวร์ จำกัด"/>
    <s v="ลวดกลมอาบน้ำยา ขนาด 2.90 มม. + 3.00 มม."/>
    <n v="2300"/>
    <s v="KG"/>
    <n v="373.56"/>
    <n v="859188"/>
    <n v="366.74"/>
    <n v="6.8199999999999932"/>
    <n v="15685.999999999984"/>
    <n v="1.8256772673733785E-2"/>
    <x v="1"/>
    <x v="1"/>
  </r>
  <r>
    <s v="JUL"/>
    <s v="PO-25002581"/>
    <s v="บริษัท พรอสเปอร์ อี แอนด์ ที จำกัด"/>
    <s v="Breather-Drain Plugs type OSBD M25(with Lock Nut+Seal washer"/>
    <n v="100"/>
    <s v="EA"/>
    <n v="1250"/>
    <n v="125000"/>
    <n v="1162.5"/>
    <n v="87.5"/>
    <n v="8750"/>
    <n v="7.0000000000000007E-2"/>
    <x v="1"/>
    <x v="1"/>
  </r>
  <r>
    <s v="JUL"/>
    <s v="PO-25002596"/>
    <s v="บริษัท ต่อกิจ พัฒนา 2019 จำกัด"/>
    <s v="CABLE BOX TYPE 1 TR.1250 kVA 3Ph 50Hz 33000-400/230V"/>
    <n v="1"/>
    <s v="SET."/>
    <n v="48500"/>
    <n v="48500"/>
    <n v="46000"/>
    <n v="2500"/>
    <n v="2500"/>
    <n v="5.1546391752577317E-2"/>
    <x v="1"/>
    <x v="0"/>
  </r>
  <r>
    <s v="JUL"/>
    <s v="PO-25002568"/>
    <s v="Comemde  Pte Ltd."/>
    <s v="Oil Level Indicator With Contact model L140 “LA” (diagram W)"/>
    <n v="103"/>
    <s v="EA"/>
    <n v="12168"/>
    <n v="1253304"/>
    <n v="11934"/>
    <n v="234"/>
    <n v="24102"/>
    <n v="1.9230769230769232E-2"/>
    <x v="1"/>
    <x v="0"/>
  </r>
  <r>
    <s v="JUL"/>
    <s v="PO-25002568"/>
    <s v="Comemde  Pte Ltd."/>
    <s v="Buchholz relay ยี่ห้อ &quot;COMEM&quot; Type BR50 (Type G)"/>
    <n v="93"/>
    <s v="EA"/>
    <n v="16965"/>
    <n v="1577745"/>
    <n v="16614"/>
    <n v="351"/>
    <n v="32643"/>
    <n v="2.0689655172413793E-2"/>
    <x v="1"/>
    <x v="0"/>
  </r>
  <r>
    <s v="JUL"/>
    <s v="PO-25002567"/>
    <s v="TRAFOMART PTE LTD."/>
    <s v="Tap Changer (Change Voltage) 24kV-64A-L150ขึ้นกลางมาซ้าย"/>
    <n v="74"/>
    <s v="SET."/>
    <n v="3404.7"/>
    <n v="251947.8"/>
    <n v="3276"/>
    <n v="128.69999999999982"/>
    <n v="9523.7999999999865"/>
    <n v="3.7800687285223317E-2"/>
    <x v="1"/>
    <x v="0"/>
  </r>
  <r>
    <s v="JUL"/>
    <s v="PO-25002624"/>
    <s v="บริษัท บี.เค.เอทีเอ็ม เซอร์วิส จำกัด"/>
    <s v="ค่ารถเครน 50 ตัน ยกหม้อแปลง QTC วันที่ 28/6/68"/>
    <n v="1"/>
    <s v="JOB"/>
    <n v="13500"/>
    <n v="13500"/>
    <n v="13000"/>
    <n v="500"/>
    <n v="500"/>
    <n v="3.7037037037037035E-2"/>
    <x v="1"/>
    <x v="0"/>
  </r>
  <r>
    <s v="JUL"/>
    <s v="PO-25002624"/>
    <s v="บริษัท บี.เค.เอทีเอ็ม เซอร์วิส จำกัด"/>
    <s v="ค่ารถเครน 50 ตัน ยกหม้อแปลง QTC วันที่ 2/7/68"/>
    <n v="1"/>
    <s v="JOB"/>
    <n v="13500"/>
    <n v="13500"/>
    <n v="13000"/>
    <n v="500"/>
    <n v="500"/>
    <n v="3.7037037037037035E-2"/>
    <x v="1"/>
    <x v="0"/>
  </r>
  <r>
    <s v="JUL"/>
    <s v="PO-25002654"/>
    <s v="บริษัท ต่อกิจ พัฒนา 2019 จำกัด"/>
    <s v="Control Box Type 1"/>
    <n v="2"/>
    <s v="EA"/>
    <n v="3000"/>
    <n v="6000"/>
    <n v="2300"/>
    <n v="700"/>
    <n v="1400"/>
    <n v="0.23333333333333334"/>
    <x v="1"/>
    <x v="0"/>
  </r>
  <r>
    <s v="JUL"/>
    <s v="PO-25002538"/>
    <s v="บริษัท พรอสเปอร์ อี แอนด์ ที จำกัด"/>
    <s v="CABLE GLAND OS-A2F-U-40/M40 = 751 EA"/>
    <n v="1"/>
    <s v="LOT"/>
    <n v="540720"/>
    <n v="540720"/>
    <n v="526660"/>
    <n v="14060"/>
    <n v="14060"/>
    <n v="2.6002367214084925E-2"/>
    <x v="1"/>
    <x v="1"/>
  </r>
  <r>
    <s v="JUL"/>
    <s v="PO-25002612"/>
    <s v="บริษัท เอคเม อินซูเลชั่น จำกัด"/>
    <s v="CT 3200/1A Current Transformer Class 5P10 30VA (Cotton)"/>
    <n v="146"/>
    <s v="EA"/>
    <n v="9235"/>
    <n v="1348310"/>
    <n v="9000"/>
    <n v="235"/>
    <n v="34310"/>
    <n v="2.5446670276123445E-2"/>
    <x v="1"/>
    <x v="1"/>
  </r>
  <r>
    <s v="JUL"/>
    <s v="PO-25002622"/>
    <s v="บริษัท เอทีซี อินดัสตรี (ประเทศไทย)จำกัด"/>
    <s v="เคสฝาพับ เคส Samsung Tab S6 lite (สีเขียวเข้ม)"/>
    <n v="3"/>
    <s v="EA"/>
    <n v="450"/>
    <n v="1350"/>
    <n v="179"/>
    <n v="271"/>
    <n v="813"/>
    <n v="0.60222222222222221"/>
    <x v="0"/>
    <x v="1"/>
  </r>
  <r>
    <s v="JUL"/>
    <s v="PO-25002625"/>
    <s v="นันทภัค บ้านน็อคดาวน์"/>
    <s v="งานฟุตติ้ง ขนาด 50*40*35 cm. 8 ต้น/หลัง"/>
    <n v="1"/>
    <s v="JOB"/>
    <n v="285000"/>
    <n v="285000"/>
    <n v="277500"/>
    <n v="7500"/>
    <n v="7500"/>
    <n v="2.6315789473684209E-2"/>
    <x v="1"/>
    <x v="1"/>
  </r>
  <r>
    <s v="JUL"/>
    <s v="PO-25002641"/>
    <s v="บริษัท เอนเน โซลูชั่น (ประเทศไทย) จำกัด"/>
    <s v="Butterfly Valve NW80"/>
    <n v="1600"/>
    <s v="EA"/>
    <n v="2285"/>
    <n v="3656000"/>
    <n v="2245"/>
    <n v="40"/>
    <n v="64000"/>
    <n v="1.7505470459518599E-2"/>
    <x v="1"/>
    <x v="1"/>
  </r>
  <r>
    <s v="JUL"/>
    <s v="PO-25002642"/>
    <s v="บริษัท เซาท์อีสไทยแลนด์ จำกัด"/>
    <s v="Insulating Supports แรงสูง24kV ยี่ห้อ GEORG JORDRN"/>
    <n v="606"/>
    <s v="EA"/>
    <n v="1092"/>
    <n v="661752"/>
    <n v="985"/>
    <n v="107"/>
    <n v="64842"/>
    <n v="9.7985347985347984E-2"/>
    <x v="1"/>
    <x v="1"/>
  </r>
  <r>
    <s v="JUL"/>
    <s v="PO-25002662"/>
    <s v="REINHAUSEN ITALIA SRL"/>
    <s v="Tap Changer (Voltage) 3Ph 24kV-150A-L130 ขึ้นกลาง 5P MR"/>
    <n v="20"/>
    <s v="set"/>
    <n v="4867"/>
    <n v="97340"/>
    <n v="4759"/>
    <n v="108"/>
    <n v="2160"/>
    <n v="2.2190260941031437E-2"/>
    <x v="1"/>
    <x v="1"/>
  </r>
  <r>
    <s v="JUL"/>
    <s v="PO-25002670"/>
    <s v="บริษัท เอคเม อินซูเลชั่น จำกัด"/>
    <s v="CT 200/1A Current Transformer Vk-350V,Rct-20 OHM (Resin)"/>
    <n v="1"/>
    <s v="EA"/>
    <n v="44130"/>
    <n v="44130"/>
    <n v="42810"/>
    <n v="1320"/>
    <n v="1320"/>
    <n v="2.9911624745071381E-2"/>
    <x v="1"/>
    <x v="1"/>
  </r>
  <r>
    <s v="JUL"/>
    <s v="PO-25002675"/>
    <s v="บริษัท สหมิตรไวร์ แอนด์ เคเบิ้ล จำกัด"/>
    <s v="ลวดแบนหุ้มกระดาษหนา 0.5 มม. ขนาด 2.3*5 มม."/>
    <n v="729"/>
    <s v="KG"/>
    <n v="394"/>
    <n v="287226"/>
    <n v="364"/>
    <n v="30"/>
    <n v="21870"/>
    <n v="7.6142131979695438E-2"/>
    <x v="0"/>
    <x v="1"/>
  </r>
  <r>
    <s v="JUL"/>
    <s v="PO-25002679"/>
    <s v="บริษัท เอทีซี อินดัสตรี (ประเทศไทย)จำกัด"/>
    <s v="ผ้าคลุมรถจักรยาน ขนาด : 200*100 ซม."/>
    <n v="1"/>
    <s v="EA"/>
    <n v="135"/>
    <n v="135"/>
    <n v="99"/>
    <n v="36"/>
    <n v="36"/>
    <n v="0.26666666666666666"/>
    <x v="0"/>
    <x v="1"/>
  </r>
  <r>
    <s v="JUL"/>
    <s v="PO-25002679"/>
    <s v="บริษัท เอทีซี อินดัสตรี (ประเทศไทย)จำกัด"/>
    <s v="บันไดไฟเบอร์กลาสทรงเอขึ้นลงได้ 2 ทาง จำนวนขั้น : 6+6ฟุต"/>
    <n v="1"/>
    <s v="EA"/>
    <n v="6520"/>
    <n v="6520"/>
    <n v="3990"/>
    <n v="2530"/>
    <n v="2530"/>
    <n v="0.3880368098159509"/>
    <x v="0"/>
    <x v="1"/>
  </r>
  <r>
    <s v="JUL"/>
    <s v="PO-25002696"/>
    <s v="บริษัท โพรเทเรียล (ไทยแลนด์) จำกัด"/>
    <s v="Amorphous Alloy MaDC-A width 8.4&quot; 5-ply ( 213 มม.)"/>
    <n v="20000"/>
    <s v="KG"/>
    <n v="94.47"/>
    <n v="1889400"/>
    <n v="93"/>
    <n v="1.4699999999999989"/>
    <n v="29399.999999999978"/>
    <n v="1.5560495395363595E-2"/>
    <x v="1"/>
    <x v="0"/>
  </r>
  <r>
    <s v="JUL"/>
    <s v="PO-25002660"/>
    <s v="บริษัท เอ วี เอ เอ็นจิเนียริ่ง เซอร์วิส จำกัด"/>
    <s v="หางปลาแรงต่ำแบบบาร์ 4 รู แกน 48 มม. ระยะห่าง 60 มม."/>
    <n v="460"/>
    <s v="EA"/>
    <n v="3480"/>
    <n v="1600800"/>
    <n v="3340"/>
    <n v="140"/>
    <n v="64400"/>
    <n v="4.0229885057471264E-2"/>
    <x v="1"/>
    <x v="0"/>
  </r>
  <r>
    <s v="JUL"/>
    <s v="PO-25002660"/>
    <s v="บริษัท เอ วี เอ เอ็นจิเนียริ่ง เซอร์วิส จำกัด"/>
    <s v="หางปลาแรงสูงแบบบาร์ 2 รู แกน 12 มม."/>
    <n v="126"/>
    <s v="EA"/>
    <n v="375"/>
    <n v="47250"/>
    <n v="360"/>
    <n v="15"/>
    <n v="1890"/>
    <n v="0.04"/>
    <x v="1"/>
    <x v="0"/>
  </r>
  <r>
    <s v="JUL"/>
    <s v="PO-25002660"/>
    <s v="บริษัท เอ วี เอ เอ็นจิเนียริ่ง เซอร์วิส จำกัด"/>
    <s v="หางปลาแรงต่ำแบบบาร์ 4 รู แกน 20 มม.ระยะห่าง44.5มม.(630A EN50386)"/>
    <n v="168"/>
    <s v="EA"/>
    <n v="1480"/>
    <n v="248640"/>
    <n v="1420"/>
    <n v="60"/>
    <n v="10080"/>
    <n v="4.0540540540540543E-2"/>
    <x v="1"/>
    <x v="0"/>
  </r>
  <r>
    <s v="JUL"/>
    <s v="PO-25002717"/>
    <s v="บริษัท เอ็นเอสซี เม็ททอล จำกัด"/>
    <s v="ทองแดงเส้นแบน "/>
    <n v="726"/>
    <s v="KG"/>
    <n v="383"/>
    <n v="278058"/>
    <n v="375"/>
    <n v="8"/>
    <n v="5808"/>
    <n v="2.0887728459530026E-2"/>
    <x v="0"/>
    <x v="1"/>
  </r>
  <r>
    <s v="JUL"/>
    <s v="PO-25002708"/>
    <s v="บริษัท สยาม วิน บอร์น จำกัด"/>
    <s v="เหล็กแผ่น SS400 หนา 6.0 มม. กว้าง 1524 มม. ยาว 3048 มม."/>
    <n v="30"/>
    <s v="Plate"/>
    <n v="4850"/>
    <n v="145500"/>
    <n v="4720"/>
    <n v="130"/>
    <n v="3900"/>
    <n v="2.6804123711340205E-2"/>
    <x v="1"/>
    <x v="0"/>
  </r>
  <r>
    <s v="JUL"/>
    <s v="PO-25002708"/>
    <s v="บริษัท สยาม วิน บอร์น จำกัด"/>
    <s v="เหล็กแผ่น SS400 หนา 3.2 มม. กว้าง 1219 มม. ยาว 2438 มม."/>
    <n v="30"/>
    <s v="Plate"/>
    <n v="1680"/>
    <n v="50400"/>
    <n v="1650"/>
    <n v="30"/>
    <n v="900"/>
    <n v="1.7857142857142856E-2"/>
    <x v="1"/>
    <x v="0"/>
  </r>
  <r>
    <s v="JUL"/>
    <s v="PO-25002708"/>
    <s v="บริษัท สยาม วิน บอร์น จำกัด"/>
    <s v="เหล็กราง ขนาด 125*65*6 มม. ยี่ห้อ SYS"/>
    <n v="40"/>
    <s v="เส้น"/>
    <n v="1940"/>
    <n v="77600"/>
    <n v="1925"/>
    <n v="15"/>
    <n v="600"/>
    <n v="7.7319587628865982E-3"/>
    <x v="1"/>
    <x v="0"/>
  </r>
  <r>
    <s v="JUL"/>
    <s v="PO-25002708"/>
    <s v="บริษัท สยาม วิน บอร์น จำกัด"/>
    <s v="เหล็กราง ขนาด 150*75*6.5 มม. ยี่ห้อ SYS"/>
    <n v="30"/>
    <s v="เส้น"/>
    <n v="2700"/>
    <n v="81000"/>
    <n v="2690"/>
    <n v="10"/>
    <n v="300"/>
    <n v="3.7037037037037038E-3"/>
    <x v="1"/>
    <x v="0"/>
  </r>
  <r>
    <s v="JUL"/>
    <s v="PO-25002708"/>
    <s v="บริษัท สยาม วิน บอร์น จำกัด"/>
    <s v="เหล็กราง ขนาด 200*90*8มม."/>
    <n v="144"/>
    <s v="เส้น"/>
    <n v="6555"/>
    <n v="943920"/>
    <n v="6495"/>
    <n v="60"/>
    <n v="8640"/>
    <n v="9.1533180778032037E-3"/>
    <x v="1"/>
    <x v="0"/>
  </r>
  <r>
    <s v="JUL"/>
    <s v="PO-25002708"/>
    <s v="บริษัท สยาม วิน บอร์น จำกัด"/>
    <s v="เหล็กราง ขนาด 200*80*7.5 มม."/>
    <n v="38"/>
    <s v="เส้น"/>
    <n v="5395"/>
    <n v="205010"/>
    <n v="5275"/>
    <n v="120"/>
    <n v="4560"/>
    <n v="2.2242817423540315E-2"/>
    <x v="1"/>
    <x v="0"/>
  </r>
  <r>
    <s v="JUL"/>
    <s v="PO-25002708"/>
    <s v="บริษัท สยาม วิน บอร์น จำกัด"/>
    <s v="เหล็กฉาก ขนาด 100*100*12 มม. ยี่ห้อ SYS"/>
    <n v="20"/>
    <s v="เส้น"/>
    <n v="2900"/>
    <n v="58000"/>
    <n v="2750"/>
    <n v="150"/>
    <n v="3000"/>
    <n v="5.1724137931034482E-2"/>
    <x v="1"/>
    <x v="0"/>
  </r>
  <r>
    <s v="JUL"/>
    <s v="PO-25002724"/>
    <s v="บริษัท สหมิตรไวร์ แอนด์ เคเบิ้ล จำกัด"/>
    <s v="ลวดแบนหุ้มกระดาษหนา 0.5 มม. "/>
    <n v="1005"/>
    <s v="KG"/>
    <n v="394"/>
    <n v="395970"/>
    <n v="364"/>
    <n v="30"/>
    <n v="30150"/>
    <n v="7.6142131979695438E-2"/>
    <x v="0"/>
    <x v="1"/>
  </r>
  <r>
    <s v="JUL"/>
    <s v="PO-25002705"/>
    <s v=" บริษัท ยูไนเต็ดคอปเปอร์ จำกัด"/>
    <s v="Copper Bar สำเร็จรูป สำหรับTR.7000 kVA"/>
    <n v="46"/>
    <s v="SET"/>
    <n v="184998"/>
    <n v="8509908"/>
    <n v="174942"/>
    <n v="10056"/>
    <n v="462576"/>
    <n v="5.4357344403723286E-2"/>
    <x v="1"/>
    <x v="0"/>
  </r>
  <r>
    <s v="JUL"/>
    <s v="PO-25002705"/>
    <s v=" บริษัท ยูไนเต็ดคอปเปอร์ จำกัด"/>
    <s v="Copper Bar สำเร็จรูป สำหรับTR.7700 kVA"/>
    <n v="29"/>
    <s v="SET"/>
    <n v="166692"/>
    <n v="4834068"/>
    <n v="165036"/>
    <n v="1656"/>
    <n v="48024"/>
    <n v="9.9344899575264552E-3"/>
    <x v="1"/>
    <x v="0"/>
  </r>
  <r>
    <s v="JUL"/>
    <s v="PO-25002453"/>
    <s v="บริษัท คาซูมิ (ไทยแลนด์) จำกัด"/>
    <s v="Radiator Fin W520 x HL800x Z13 "/>
    <n v="24"/>
    <s v="SET"/>
    <n v="9865"/>
    <n v="236760"/>
    <n v="9365"/>
    <n v="500"/>
    <n v="12000"/>
    <n v="5.0684237202230108E-2"/>
    <x v="1"/>
    <x v="0"/>
  </r>
  <r>
    <s v="JUL"/>
    <s v="PO-25002453"/>
    <s v="บริษัท คาซูมิ (ไทยแลนด์) จำกัด"/>
    <s v="Radiator Fin W520 x HL800 x Z16 "/>
    <n v="12"/>
    <s v="SET"/>
    <n v="13437"/>
    <n v="161244"/>
    <n v="11432"/>
    <n v="2005"/>
    <n v="24060"/>
    <n v="0.14921485450621419"/>
    <x v="1"/>
    <x v="0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"/>
    <n v="15.5"/>
    <n v="3100"/>
    <n v="14.76"/>
    <n v="0.74000000000000021"/>
    <n v="148.00000000000006"/>
    <n v="4.7741935483870984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CL120-12"/>
    <n v="300"/>
    <s v="EA"/>
    <n v="50"/>
    <n v="15000"/>
    <n v="47.56"/>
    <n v="2.4399999999999977"/>
    <n v="731.99999999999932"/>
    <n v="4.8799999999999955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CL240-12"/>
    <n v="200"/>
    <s v="EA"/>
    <n v="190"/>
    <n v="38000"/>
    <n v="182.25"/>
    <n v="7.75"/>
    <n v="1550"/>
    <n v="4.0789473684210528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200"/>
    <s v="EA"/>
    <n v="5.25"/>
    <n v="1050"/>
    <n v="5.0999999999999996"/>
    <n v="0.15000000000000036"/>
    <n v="30.000000000000071"/>
    <n v="2.857142857142864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ขนาด 35-12 มม."/>
    <n v="100"/>
    <s v="EA"/>
    <n v="9.5"/>
    <n v="950"/>
    <n v="9.35"/>
    <n v="0.15000000000000036"/>
    <n v="15.000000000000036"/>
    <n v="1.5789473684210565E-2"/>
    <x v="0"/>
    <x v="1"/>
  </r>
  <r>
    <s v="JUL"/>
    <s v="PO-25002793"/>
    <s v="ห้างหุ้นส่วนจำกัด พศินสุข"/>
    <s v="แผ่นสติ๊กเกอร์  Warning  DE-ENERGISE"/>
    <n v="20"/>
    <s v="EA"/>
    <n v="80"/>
    <n v="1600"/>
    <n v="60"/>
    <n v="20"/>
    <n v="400"/>
    <n v="0.25"/>
    <x v="1"/>
    <x v="1"/>
  </r>
  <r>
    <s v="JUL"/>
    <s v="PO-25002658"/>
    <s v="บริษัท ทรัพย์บริบูรณ์ เอ็นจิเนียริ่ง จำกัด"/>
    <s v="Terminal Box for MEA Spec No.233 (04-2025)(TB052501R1) With Insulation Support"/>
    <n v="42"/>
    <s v="EA"/>
    <n v="8100"/>
    <n v="340200"/>
    <n v="8000"/>
    <n v="100"/>
    <n v="4200"/>
    <n v="1.2345679012345678E-2"/>
    <x v="1"/>
    <x v="0"/>
  </r>
  <r>
    <s v="JUL"/>
    <s v="PO-25002733"/>
    <s v="Wuhu Zhongyuan Import and Export Co.,Ltd"/>
    <s v="Fabrication cost for Copper foil"/>
    <n v="19950"/>
    <s v="KG"/>
    <n v="31.35"/>
    <n v="625432.5"/>
    <n v="26.04"/>
    <n v="5.3100000000000023"/>
    <n v="105934.50000000004"/>
    <n v="0.16937799043062207"/>
    <x v="0"/>
    <x v="1"/>
  </r>
  <r>
    <s v="JUL"/>
    <s v="PO-25002719"/>
    <s v="บริษัท ธนากัญญ คอนสตรัคชั่น เวิร์ค จำกัด"/>
    <s v="งานซ่อมอุปกรณ์ห้องน้ำ"/>
    <n v="1"/>
    <s v="OT"/>
    <n v="35707.5"/>
    <n v="35707.5"/>
    <n v="34000"/>
    <n v="1707.5"/>
    <n v="1707.5"/>
    <n v="4.7819085626268992E-2"/>
    <x v="1"/>
    <x v="1"/>
  </r>
  <r>
    <s v="JUL"/>
    <s v="PO-25002724"/>
    <s v="บริษัท สหมิตรไวร์ แอนด์ เคเบิ้ล จำกัด"/>
    <s v="ลวดแบนหุ้มกระดาษหนา 0.5 มม."/>
    <n v="1005"/>
    <s v="KG"/>
    <n v="394"/>
    <n v="395970"/>
    <n v="364"/>
    <n v="30"/>
    <n v="30150"/>
    <n v="7.6142131979695438E-2"/>
    <x v="0"/>
    <x v="1"/>
  </r>
  <r>
    <s v="JUL"/>
    <s v="PO-25002772"/>
    <s v="บริษัท เอ็นเอสซี เม็ททอล จำกัด"/>
    <s v="ทองแดงเส้นแบน ขนาด 1/4&quot;*1&quot; + ทองแดงเส้นแบน ขนาด 1/4&quot;*2&quot;"/>
    <n v="108.5"/>
    <s v="KG"/>
    <n v="383"/>
    <n v="41555.5"/>
    <n v="375"/>
    <n v="8"/>
    <n v="868"/>
    <n v="2.0887728459530026E-2"/>
    <x v="0"/>
    <x v="1"/>
  </r>
  <r>
    <s v="JUL"/>
    <s v="PO-25002746"/>
    <s v="บริษัท สหมิตรไวร์ แอนด์ เคเบิ้ล จำกัด"/>
    <s v="ลวดแบนหุ้มกระดาษหนา 0.5 มม. ขนาด 2.6*14 มม."/>
    <n v="2124"/>
    <s v="KG"/>
    <n v="394"/>
    <n v="836856"/>
    <n v="353"/>
    <n v="41"/>
    <n v="87084"/>
    <n v="0.10406091370558376"/>
    <x v="0"/>
    <x v="1"/>
  </r>
  <r>
    <s v="JUL"/>
    <s v="PO-25002747"/>
    <s v="บริษัท สหมิตรไวร์ แอนด์ เคเบิ้ล จำกัด"/>
    <s v="ลวดแบนหุ้มกระดาษหนา 0.5 มม. "/>
    <n v="113958"/>
    <s v="KG"/>
    <n v="364"/>
    <n v="41480712"/>
    <n v="353"/>
    <n v="11"/>
    <n v="1253538"/>
    <n v="3.021978021978022E-2"/>
    <x v="0"/>
    <x v="1"/>
  </r>
  <r>
    <s v="JUL"/>
    <s v="PO-25002770"/>
    <s v="บริษัท ธนากัญญ คอนสตรัคชั่น เวิร์ค จำกัด"/>
    <s v="งานติดตั้งท่อน้ำดี"/>
    <n v="1"/>
    <s v="JOB"/>
    <n v="38151.25"/>
    <n v="38151.25"/>
    <n v="33000"/>
    <n v="5151.25"/>
    <n v="5151.25"/>
    <n v="0.1350217882769241"/>
    <x v="1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CL50-12"/>
    <n v="200"/>
    <s v="EA"/>
    <n v="15.5"/>
    <n v="3100"/>
    <n v="14.76"/>
    <n v="0.74000000000000021"/>
    <n v="148.00000000000006"/>
    <n v="4.7741935483870984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CL120-12"/>
    <n v="300"/>
    <s v="EA"/>
    <n v="50"/>
    <n v="15000"/>
    <n v="47.56"/>
    <n v="2.4399999999999977"/>
    <n v="731.99999999999932"/>
    <n v="4.8799999999999955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CL240-12"/>
    <n v="200"/>
    <s v="EA"/>
    <n v="190"/>
    <n v="38000"/>
    <n v="182.25"/>
    <n v="7.75"/>
    <n v="1550"/>
    <n v="4.0789473684210528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200"/>
    <s v="EA"/>
    <n v="5.25"/>
    <n v="1050"/>
    <n v="5.0999999999999996"/>
    <n v="0.15000000000000036"/>
    <n v="30.000000000000071"/>
    <n v="2.857142857142864E-2"/>
    <x v="0"/>
    <x v="1"/>
  </r>
  <r>
    <s v="JUL"/>
    <s v="PO-25002789"/>
    <s v="ห้างหุ้นส่วนจำกัด เอ็ม.เอ็น. อีเล็คทริค ซัพพลาย"/>
    <s v="หางปลาต่อสายแบบกลมเปลือย ยี่ห้อ T-LUG ขนาด 35-12 มม."/>
    <n v="100"/>
    <s v="EA"/>
    <n v="9.5"/>
    <n v="950"/>
    <n v="9.35"/>
    <n v="0.15000000000000036"/>
    <n v="15.000000000000036"/>
    <n v="1.5789473684210565E-2"/>
    <x v="0"/>
    <x v="1"/>
  </r>
  <r>
    <s v="JUL"/>
    <s v="PO-25002828"/>
    <s v="บริษัท ทรัพย์บริบูรณ์ เอ็นจิเนียริ่ง จำกัด"/>
    <s v="Cable Gland PG21, Stainless Steel"/>
    <n v="42"/>
    <s v="EA"/>
    <n v="405"/>
    <n v="17010"/>
    <n v="400"/>
    <n v="5"/>
    <n v="210"/>
    <n v="1.2345679012345678E-2"/>
    <x v="1"/>
    <x v="1"/>
  </r>
  <r>
    <s v="JUL"/>
    <s v="PO-25002755"/>
    <s v="บริษัท ต่อกิจ พัฒนา 2019 จำกัด"/>
    <s v="CABLE BOX TYPE 1 TR.1000 kVA 3Ph 50Hz 22000-500/289V"/>
    <n v="2"/>
    <s v="sET"/>
    <n v="72500"/>
    <n v="145000"/>
    <n v="70000"/>
    <n v="2500"/>
    <n v="5000"/>
    <n v="3.4482758620689655E-2"/>
    <x v="1"/>
    <x v="0"/>
  </r>
  <r>
    <s v="JUL"/>
    <s v="PO-25002854"/>
    <s v="บริษัท กิ้มเฮงเชียง  จำกัด"/>
    <s v="ทองแดงเส้นแบน"/>
    <n v="21653.1"/>
    <s v="KG"/>
    <n v="374"/>
    <n v="8098259.3999999994"/>
    <n v="370"/>
    <n v="4"/>
    <n v="86612.4"/>
    <n v="1.06951871657754E-2"/>
    <x v="0"/>
    <x v="1"/>
  </r>
  <r>
    <s v="JUL"/>
    <s v="PO-25002855"/>
    <s v="บริษัท ยูไนเต็ดคอปเปอร์ จำกัด"/>
    <s v="ทองแดงเส้นแบนขนาด 10x200mm."/>
    <n v="19"/>
    <s v="SET"/>
    <n v="145227"/>
    <n v="2759313"/>
    <n v="144504"/>
    <n v="723"/>
    <n v="13737"/>
    <n v="4.9784131050011364E-3"/>
    <x v="1"/>
    <x v="1"/>
  </r>
  <r>
    <s v="JUL"/>
    <s v="PO-25002829"/>
    <s v="บริษัท เค เอ็ม ไอ เอ็นจิเนียริ่ง (ประเทศไทย) จำกัด"/>
    <s v="ลูกถ้วยแรงสูง 36kV 30NF250 C.D.1320 (ELKOM)"/>
    <n v="27"/>
    <s v="SET"/>
    <n v="2400"/>
    <n v="64800"/>
    <n v="2350"/>
    <n v="50"/>
    <n v="1350"/>
    <n v="2.0833333333333332E-2"/>
    <x v="1"/>
    <x v="1"/>
  </r>
  <r>
    <s v="JUL"/>
    <s v="PO-25002833"/>
    <s v="บริษัท โลหะประทีป เน็กซ์เจน จำกัด"/>
    <s v="งานเพิ่มชั้นวางอาคารเก็บซิลิกอน"/>
    <n v="1"/>
    <s v="JOB"/>
    <n v="67480"/>
    <n v="67480"/>
    <n v="62000"/>
    <n v="5480"/>
    <n v="5480"/>
    <n v="8.1209247184350922E-2"/>
    <x v="1"/>
    <x v="1"/>
  </r>
  <r>
    <s v="JUL"/>
    <s v="PO-25002846"/>
    <s v="บริษัท เอทีซี อินดัสตรี (ประเทศไทย)จำกัด"/>
    <s v="IP68 Flexible Conduit Fitting With Oring, Locknut AD10/PG7"/>
    <n v="42"/>
    <s v="EA"/>
    <n v="70"/>
    <n v="2940"/>
    <n v="50"/>
    <n v="20"/>
    <n v="840"/>
    <n v="0.2857142857142857"/>
    <x v="1"/>
    <x v="0"/>
  </r>
  <r>
    <s v="JUL"/>
    <s v="PO-25002846"/>
    <s v="บริษัท เอทีซี อินดัสตรี (ประเทศไทย)จำกัด"/>
    <s v="IP68 Flexible Conduit Fitting With Oring, Locknut AD13/PG9"/>
    <n v="252"/>
    <s v="EA"/>
    <n v="70"/>
    <n v="17640"/>
    <n v="55"/>
    <n v="15"/>
    <n v="3780"/>
    <n v="0.21428571428571427"/>
    <x v="1"/>
    <x v="0"/>
  </r>
  <r>
    <s v="JUL"/>
    <s v="PO-25002862"/>
    <s v="บริษัท สหมิตรไวร์ แอนด์ เคเบิ้ล จำกัด"/>
    <s v="ลวดแบนหุ้มกระดาษหนา 0.5 มม. "/>
    <n v="912"/>
    <s v="KG"/>
    <n v="394"/>
    <n v="359328"/>
    <n v="364"/>
    <n v="30"/>
    <n v="27360"/>
    <n v="7.6142131979695438E-2"/>
    <x v="0"/>
    <x v="1"/>
  </r>
  <r>
    <s v="JUL"/>
    <s v="PO-25002866"/>
    <s v="บริษัท บางกอกแม็กเน็ตไวร์ จำกัด"/>
    <s v="ลวดกลมอาบน้ำยา ขนาด 2.80 มม."/>
    <n v="2100"/>
    <s v="KG"/>
    <n v="373.83"/>
    <n v="785043"/>
    <n v="368.83"/>
    <n v="5"/>
    <n v="10500"/>
    <n v="1.3375063531551776E-2"/>
    <x v="1"/>
    <x v="1"/>
  </r>
  <r>
    <s v="JUL"/>
    <s v="PO-25002866"/>
    <s v="บริษัท บางกอกแม็กเน็ตไวร์ จำกัด"/>
    <s v="ลวดกลมอาบน้ำยา ขนาด 2.60 มม."/>
    <n v="1800"/>
    <s v="KG"/>
    <n v="374.09"/>
    <n v="673362"/>
    <n v="369.09"/>
    <n v="5"/>
    <n v="9000"/>
    <n v="1.3365767596033041E-2"/>
    <x v="1"/>
    <x v="1"/>
  </r>
  <r>
    <s v="JUL"/>
    <s v="PO-25002867"/>
    <s v="บริษัท สยาม แปซิฟิค อีเล็คทริค ไวร์ แอนด์ เคเบิ้ล จำกัด"/>
    <s v="ลวดกลมอาบน้ำยา ขนาด 2.10 มม."/>
    <n v="11400"/>
    <s v="KG"/>
    <n v="365"/>
    <n v="4161000"/>
    <n v="360"/>
    <n v="5"/>
    <n v="57000"/>
    <n v="1.3698630136986301E-2"/>
    <x v="0"/>
    <x v="1"/>
  </r>
  <r>
    <s v="JUL"/>
    <s v="PO-25002745"/>
    <s v="Cedaspe S.r.l."/>
    <s v="Thermometer &quot;Cedaspe&quot; TESS-Y-100-PM1"/>
    <n v="80"/>
    <s v="EA"/>
    <n v="5700"/>
    <n v="456000"/>
    <n v="5510"/>
    <n v="190"/>
    <n v="15200"/>
    <n v="3.3333333333333333E-2"/>
    <x v="1"/>
    <x v="1"/>
  </r>
  <r>
    <s v="JUL"/>
    <s v="PO-25002706"/>
    <s v="บริษัท พี ซี อีลีแมค จำกัด"/>
    <s v="CABLE BOX TYPE 1 TR.1000 kVA 3Ph 50Hz 33000-400/230V"/>
    <n v="2"/>
    <s v="sET"/>
    <n v="55000"/>
    <n v="110000"/>
    <n v="50000"/>
    <n v="5000"/>
    <n v="10000"/>
    <n v="9.0909090909090912E-2"/>
    <x v="0"/>
    <x v="1"/>
  </r>
  <r>
    <s v="JUL"/>
    <s v="PO-25002914"/>
    <s v="บริษัท กิ้มเฮงเชียง  จำกัด"/>
    <s v="ทองแดงเส้นแบน ขนาด 3/8&quot;*2 1/2&quot;+ขนาด 3/8&quot;*4&quot;"/>
    <n v="568.5"/>
    <s v="KG"/>
    <n v="365"/>
    <n v="207502.5"/>
    <n v="363"/>
    <n v="2"/>
    <n v="1137"/>
    <n v="5.4794520547945206E-3"/>
    <x v="1"/>
    <x v="1"/>
  </r>
  <r>
    <s v="JUL"/>
    <s v="PO-25002929"/>
    <s v="บริษัท สหมิตรไวร์ แอนด์ เคเบิ้ล จำกัด"/>
    <s v="ลวดแบนหุ้มกระดาษหนา 0.5 มม."/>
    <n v="1165"/>
    <s v="KG"/>
    <n v="394"/>
    <n v="459010"/>
    <n v="364"/>
    <n v="30"/>
    <n v="34950"/>
    <n v="7.6142131979695438E-2"/>
    <x v="0"/>
    <x v="1"/>
  </r>
  <r>
    <s v="JUL"/>
    <s v="PO-25002904"/>
    <s v="บริษัท เบสท์พ้อยท์ แมชชีน แอนด์เซอร์วิส จำกัด"/>
    <s v="งานล้างแอร์ ตั้งแขวน 18000-62000 BTU"/>
    <n v="47"/>
    <s v="EA"/>
    <n v="850"/>
    <n v="39950"/>
    <n v="800"/>
    <n v="50"/>
    <n v="2350"/>
    <n v="5.8823529411764705E-2"/>
    <x v="0"/>
    <x v="0"/>
  </r>
  <r>
    <s v="JUL"/>
    <s v="PO-25002904"/>
    <s v="บริษัท เบสท์พ้อยท์ แมชชีน แอนด์เซอร์วิส จำกัด"/>
    <s v="งานล้างแอร์ฝังฝ้า/แอร์สี่ทิศทาง"/>
    <n v="21"/>
    <s v="EA"/>
    <n v="1200"/>
    <n v="25200"/>
    <n v="1100"/>
    <n v="100"/>
    <n v="2100"/>
    <n v="8.3333333333333329E-2"/>
    <x v="0"/>
    <x v="0"/>
  </r>
  <r>
    <s v="JUL"/>
    <s v="PO-25002882"/>
    <s v="บริษัท ศรีราชามงคลชัย จำกัด"/>
    <s v="POLO ดอกเจาะเหล็กคัตเตอร์คาร์ไบด์ Dia.18x35mm."/>
    <n v="5"/>
    <s v="EA"/>
    <n v="890"/>
    <n v="4450"/>
    <n v="670"/>
    <n v="220"/>
    <n v="1100"/>
    <n v="0.24719101123595505"/>
    <x v="0"/>
    <x v="1"/>
  </r>
  <r>
    <s v="JUL"/>
    <s v="PO-25002884"/>
    <s v="บริษัท ศรีราชามงคลชัย จำกัด"/>
    <s v="ดอกเร้าเตอร์ HI-TOP รุ่น DY10318 กัดตรง ใบมีด 2&quot; แกน 1/2&quot; (4"/>
    <n v="10"/>
    <s v="EA"/>
    <n v="260"/>
    <n v="2600"/>
    <n v="185"/>
    <n v="75"/>
    <n v="750"/>
    <n v="0.28846153846153844"/>
    <x v="0"/>
    <x v="1"/>
  </r>
  <r>
    <s v="JUL"/>
    <s v="PO-25002926"/>
    <s v="ห้างหุ้นส่วนจำกัด เอ็ม.เอ็น. อีเล็คทริค ซัพพลาย"/>
    <s v="หางปลาต่อสายแบบกลมเปลือย ยี่ห้อ T-LUG CL70-12"/>
    <n v="300"/>
    <s v="EA"/>
    <n v="26"/>
    <n v="7800"/>
    <n v="24.6"/>
    <n v="1.3999999999999986"/>
    <n v="419.99999999999955"/>
    <n v="5.3846153846153794E-2"/>
    <x v="0"/>
    <x v="1"/>
  </r>
  <r>
    <s v="JUL"/>
    <s v="PO-25002926"/>
    <s v="ห้างหุ้นส่วนจำกัด เอ็ม.เอ็น. อีเล็คทริค ซัพพลาย"/>
    <s v="หางปลาต่อสายแบบกลมเปลือย ยี่ห้อ T-LUG CL120-12"/>
    <n v="300"/>
    <s v="EA"/>
    <n v="50"/>
    <n v="15000"/>
    <n v="47.56"/>
    <n v="2.4399999999999977"/>
    <n v="731.99999999999932"/>
    <n v="4.8799999999999955E-2"/>
    <x v="0"/>
    <x v="1"/>
  </r>
  <r>
    <s v="JUL"/>
    <s v="PO-25002799"/>
    <s v="บริษัท เอ็มอี เครน เซอร์วิส แอนด์ ซัพพลาย จำกัด"/>
    <s v="โครงสร้างงานเหล็ก ประกอบด้วย คานเครนแบบคานคู่รับน้ำหนัก10ตัน"/>
    <n v="1"/>
    <s v="JOB"/>
    <n v="860000"/>
    <n v="860000"/>
    <n v="821500"/>
    <n v="38500"/>
    <n v="38500"/>
    <n v="4.4767441860465114E-2"/>
    <x v="1"/>
    <x v="0"/>
  </r>
  <r>
    <s v="JUL"/>
    <s v="PO-25002799"/>
    <s v="บริษัท เอ็มอี เครน เซอร์วิส แอนด์ ซัพพลาย จำกัด"/>
    <s v="โครงสร้างงานเหล็ก ประกอบด้วย คานเครนแบบคานคู่รับน้ำหนัก20ตัน"/>
    <n v="1"/>
    <s v="JOB"/>
    <n v="1109000"/>
    <n v="1109000"/>
    <n v="1067500"/>
    <n v="41500"/>
    <n v="41500"/>
    <n v="3.7421100090171328E-2"/>
    <x v="1"/>
    <x v="0"/>
  </r>
  <r>
    <s v="JUL"/>
    <s v="PO-25002968"/>
    <s v="บริษัท บางกอกแม็กเน็ตไวร์ จำกัด"/>
    <s v="ลวดกลมอาบน้ำยา ขนาด 2.20 มม."/>
    <n v="300"/>
    <s v="KG"/>
    <n v="374.39"/>
    <n v="112317"/>
    <n v="369.39"/>
    <n v="5"/>
    <n v="1500"/>
    <n v="1.3355057560298086E-2"/>
    <x v="1"/>
    <x v="1"/>
  </r>
  <r>
    <s v="JUL"/>
    <s v="PO-25002968"/>
    <s v="บริษัท บางกอกแม็กเน็ตไวร์ จำกัด"/>
    <s v="ลวดกลมอาบน้ำยา ขนาด 1.00 มม."/>
    <n v="500"/>
    <s v="KG"/>
    <n v="379.56"/>
    <n v="189780"/>
    <n v="374.56"/>
    <n v="5"/>
    <n v="2500"/>
    <n v="1.3173147855411529E-2"/>
    <x v="1"/>
    <x v="1"/>
  </r>
  <r>
    <s v="JUL"/>
    <s v="PO-25002968"/>
    <s v="บริษัท บางกอกแม็กเน็ตไวร์ จำกัด"/>
    <s v="ลวดกลมอาบน้ำยา ขนาด 1.70 มม."/>
    <n v="300"/>
    <s v="KG"/>
    <n v="375.7"/>
    <n v="112710"/>
    <n v="370.7"/>
    <n v="5"/>
    <n v="1500"/>
    <n v="1.3308490817141336E-2"/>
    <x v="1"/>
    <x v="1"/>
  </r>
  <r>
    <s v="JUL"/>
    <s v="PO-25002968"/>
    <s v="บริษัท บางกอกแม็กเน็ตไวร์ จำกัด"/>
    <s v="ลวดกลมอาบน้ำยา ขนาด 2.70 มม."/>
    <n v="600"/>
    <s v="KG"/>
    <n v="374.09"/>
    <n v="224453.99999999997"/>
    <n v="369.09"/>
    <n v="5"/>
    <n v="3000"/>
    <n v="1.3365767596033041E-2"/>
    <x v="1"/>
    <x v="1"/>
  </r>
  <r>
    <s v="JUL"/>
    <s v="PO-25002968"/>
    <s v="บริษัท บางกอกแม็กเน็ตไวร์ จำกัด"/>
    <s v="ลวดกลมอาบน้ำยา ขนาด 1.90 มม."/>
    <n v="300"/>
    <s v="KG"/>
    <n v="375.69"/>
    <n v="112707"/>
    <n v="370.69"/>
    <n v="5"/>
    <n v="1500"/>
    <n v="1.330884505842583E-2"/>
    <x v="1"/>
    <x v="1"/>
  </r>
  <r>
    <s v="JUL"/>
    <s v="PO-25002968"/>
    <s v="บริษัท บางกอกแม็กเน็ตไวร์ จำกัด"/>
    <s v="ลวดกลมอาบน้ำยา ขนาด 3.00 มม."/>
    <n v="1000"/>
    <s v="KG"/>
    <n v="373.56"/>
    <n v="373560"/>
    <n v="368.56"/>
    <n v="5"/>
    <n v="5000"/>
    <n v="1.3384730699218332E-2"/>
    <x v="1"/>
    <x v="1"/>
  </r>
  <r>
    <s v="JUL"/>
    <s v="PO-25002990"/>
    <s v="บริษัท สหมิตรไวร์ แอนด์ เคเบิ้ล จำกัด"/>
    <s v="ลวดแบนหุ้มกระดาษหนา 0.5 มม. ขนาด 2.1*14 มม."/>
    <n v="92"/>
    <s v="KG"/>
    <n v="394"/>
    <n v="36248"/>
    <n v="364"/>
    <n v="30"/>
    <n v="2760"/>
    <n v="7.6142131979695438E-2"/>
    <x v="0"/>
    <x v="1"/>
  </r>
  <r>
    <s v="JUL"/>
    <s v="PO-25002981"/>
    <s v="บริษัท ศรีราชามงคลชัย จำกัด"/>
    <s v="ตลับโรลสายลม 8x12มม. PM12-16LA PUMA"/>
    <n v="1"/>
    <s v="ชุด"/>
    <n v="3590"/>
    <n v="3590"/>
    <n v="2707.5"/>
    <n v="882.5"/>
    <n v="882.5"/>
    <n v="0.24582172701949861"/>
    <x v="0"/>
    <x v="1"/>
  </r>
  <r>
    <s v="JUL"/>
    <s v="PO-25002982"/>
    <s v="บริษัท เอ็นทีดับเบิ้ลยู เอ็นจิเนียริ่ง ซัพพลาย จำกัด"/>
    <s v="หลอดไฟ หลอดกลม แสงสีขาว LED Bulbs 220V 18W"/>
    <n v="6"/>
    <s v="EA"/>
    <n v="140"/>
    <n v="840"/>
    <n v="95"/>
    <n v="45"/>
    <n v="270"/>
    <n v="0.32142857142857145"/>
    <x v="0"/>
    <x v="1"/>
  </r>
  <r>
    <s v="JUL"/>
    <s v="PO-25002983"/>
    <s v="บริษัท ศรีราชามงคลชัย จำกัด"/>
    <s v="เจลทำความสะอาดหัวเชื่อมมิกซ์ NOZZEL KV-507 KOVET"/>
    <n v="3"/>
    <s v="EA"/>
    <n v="190"/>
    <n v="570"/>
    <n v="145"/>
    <n v="45"/>
    <n v="135"/>
    <n v="0.23684210526315788"/>
    <x v="0"/>
    <x v="1"/>
  </r>
  <r>
    <s v="JUL"/>
    <s v="PO-25002903"/>
    <s v="บริษัท เอพซิลอน เอนเตอร์ไพรซ์ จำกัด"/>
    <s v="Clean Spray boost Factory 6 &amp; Installation parts Factory 6"/>
    <n v="1"/>
    <s v="SET"/>
    <n v="67920"/>
    <n v="67920"/>
    <n v="64524"/>
    <n v="3396"/>
    <n v="3396"/>
    <n v="0.05"/>
    <x v="1"/>
    <x v="1"/>
  </r>
  <r>
    <s v="JUL"/>
    <s v="PO-25002996 "/>
    <s v="บริษัท วินเทรด โปร จำกัด"/>
    <s v="เสายึดครีบ  Tie Rod 5/8&quot; TR.2500 kVA"/>
    <n v="32"/>
    <s v="EA"/>
    <n v="1200"/>
    <n v="38400"/>
    <n v="1100"/>
    <n v="100"/>
    <n v="3200"/>
    <n v="8.3333333333333329E-2"/>
    <x v="0"/>
    <x v="0"/>
  </r>
  <r>
    <s v="JUL"/>
    <s v="PO-25002937"/>
    <s v="บริษัท สยาม วิน บอร์น จำกัด"/>
    <s v="เหล็กฉาก ขนาด 50*50*6 มม."/>
    <n v="50"/>
    <s v="เส้น"/>
    <n v="610"/>
    <n v="30500"/>
    <n v="600"/>
    <n v="10"/>
    <n v="500"/>
    <n v="1.6393442622950821E-2"/>
    <x v="1"/>
    <x v="0"/>
  </r>
  <r>
    <s v="JUL"/>
    <s v="PO-25003010"/>
    <s v="บริษัท กิ้มเฮงเชียง  จำกัด"/>
    <s v="ทองแดงเส้นแบน "/>
    <n v="823.5"/>
    <s v="KG"/>
    <n v="365"/>
    <n v="300577.5"/>
    <n v="363"/>
    <n v="2"/>
    <n v="1647"/>
    <n v="5.4794520547945206E-3"/>
    <x v="0"/>
    <x v="1"/>
  </r>
  <r>
    <s v="JUL"/>
    <s v="PO-25003003"/>
    <s v=" บริษัท พี ซี อีลีแมค จำกัด"/>
    <s v="CABLE BOX ON SIDE TR.2500 kVA 3Ph 50Hz 33000-415V"/>
    <n v="8"/>
    <s v="SET"/>
    <n v="40500"/>
    <n v="324000"/>
    <n v="39000"/>
    <n v="1500"/>
    <n v="12000"/>
    <n v="3.7037037037037035E-2"/>
    <x v="0"/>
    <x v="0"/>
  </r>
  <r>
    <s v="JUL"/>
    <s v="PO-25003003"/>
    <s v=" บริษัท พี ซี อีลีแมค จำกัด"/>
    <s v="Control Box Type 12"/>
    <n v="8"/>
    <s v="EA"/>
    <n v="9623"/>
    <n v="76984"/>
    <n v="9000"/>
    <n v="623"/>
    <n v="4984"/>
    <n v="6.4740725345526343E-2"/>
    <x v="0"/>
    <x v="0"/>
  </r>
  <r>
    <s v="JUL"/>
    <s v="PO-25003021"/>
    <s v="บริษัท บางกอกแม็กเน็ตไวร์ จำกัด"/>
    <s v="ลวดกลมอาบน้ำยา ขนาด 1.40 มม."/>
    <n v="700"/>
    <s v="KG"/>
    <n v="376.1"/>
    <n v="263270"/>
    <n v="365.1"/>
    <n v="11"/>
    <n v="7700"/>
    <n v="2.9247540547726665E-2"/>
    <x v="1"/>
    <x v="1"/>
  </r>
  <r>
    <s v="JUL"/>
    <s v="PO-25003021"/>
    <s v="บริษัท บางกอกแม็กเน็ตไวร์ จำกัด"/>
    <s v="ลวดกลมอาบน้ำยา ขนาด 1.50 มม."/>
    <n v="1500"/>
    <s v="KG"/>
    <n v="375.94"/>
    <n v="563910"/>
    <n v="364.94"/>
    <n v="11"/>
    <n v="16500"/>
    <n v="2.9259988296004683E-2"/>
    <x v="1"/>
    <x v="1"/>
  </r>
  <r>
    <s v="JUL"/>
    <s v="PO-25003021"/>
    <s v="บริษัท บางกอกแม็กเน็ตไวร์ จำกัด"/>
    <s v="ลวดกลมอาบน้ำยา ขนาด 1.20 มม."/>
    <n v="2000"/>
    <s v="KG"/>
    <n v="377.3"/>
    <n v="754600"/>
    <n v="366.3"/>
    <n v="11"/>
    <n v="22000"/>
    <n v="2.9154518950437316E-2"/>
    <x v="1"/>
    <x v="1"/>
  </r>
  <r>
    <s v="JUL"/>
    <s v="PO-25003021"/>
    <s v="บริษัท บางกอกแม็กเน็ตไวร์ จำกัด"/>
    <s v="ลวดกลมอาบน้ำยา ขนาด 1.30 มม."/>
    <n v="500"/>
    <s v="KG"/>
    <n v="376.17"/>
    <n v="188085"/>
    <n v="365.17"/>
    <n v="11"/>
    <n v="5500"/>
    <n v="2.9242097987611983E-2"/>
    <x v="1"/>
    <x v="1"/>
  </r>
  <r>
    <s v="JUL"/>
    <s v="PO-25003021"/>
    <s v="บริษัท บางกอกแม็กเน็ตไวร์ จำกัด"/>
    <s v="ลวดกลมอาบน้ำยา ขนาด 1.60 มม."/>
    <n v="1000"/>
    <s v="KG"/>
    <n v="375.71"/>
    <n v="375710"/>
    <n v="364.71"/>
    <n v="11"/>
    <n v="11000"/>
    <n v="2.927790050837082E-2"/>
    <x v="1"/>
    <x v="1"/>
  </r>
  <r>
    <s v="JUL"/>
    <s v="PO-25003021"/>
    <s v="บริษัท บางกอกแม็กเน็ตไวร์ จำกัด"/>
    <s v="ลวดกลมอาบน้ำยา ขนาด 0.55 มม."/>
    <n v="1000"/>
    <s v="KG"/>
    <n v="386.67"/>
    <n v="386670"/>
    <n v="375.67"/>
    <n v="11"/>
    <n v="11000"/>
    <n v="2.8448030620425686E-2"/>
    <x v="1"/>
    <x v="1"/>
  </r>
  <r>
    <s v="JUL"/>
    <s v="PO-25003021"/>
    <s v="บริษัท บางกอกแม็กเน็ตไวร์ จำกัด"/>
    <s v="ลวดกลมอาบน้ำยา ขนาด 1.10 มม."/>
    <n v="1800"/>
    <s v="KG"/>
    <n v="378.44"/>
    <n v="681192"/>
    <n v="367.44"/>
    <n v="11"/>
    <n v="19800"/>
    <n v="2.9066694852552585E-2"/>
    <x v="1"/>
    <x v="1"/>
  </r>
  <r>
    <s v="JUL"/>
    <s v="PO-25003021"/>
    <s v="บริษัท บางกอกแม็กเน็ตไวร์ จำกัด"/>
    <s v="ลวดกลมอาบน้ำยา ขนาด 1.70 มม."/>
    <n v="200"/>
    <s v="KG"/>
    <n v="375.7"/>
    <n v="75140"/>
    <n v="364.7"/>
    <n v="11"/>
    <n v="2200"/>
    <n v="2.9278679797710941E-2"/>
    <x v="1"/>
    <x v="1"/>
  </r>
  <r>
    <s v="JUL"/>
    <s v="PO-25003021"/>
    <s v="บริษัท บางกอกแม็กเน็ตไวร์ จำกัด"/>
    <s v="ลวดกลมอาบน้ำยา ขนาด 1.80 มม."/>
    <n v="1200"/>
    <s v="KG"/>
    <n v="375.69"/>
    <n v="450828"/>
    <n v="364.69"/>
    <n v="11"/>
    <n v="13200"/>
    <n v="2.9279459128536824E-2"/>
    <x v="1"/>
    <x v="1"/>
  </r>
  <r>
    <s v="JUL"/>
    <s v="PO-25003021"/>
    <s v="บริษัท บางกอกแม็กเน็ตไวร์ จำกัด"/>
    <s v="ลวดกลมอาบน้ำยา ขนาด 2.70 มม."/>
    <n v="1100"/>
    <s v="KG"/>
    <n v="374.09"/>
    <n v="411499"/>
    <n v="363.09"/>
    <n v="11"/>
    <n v="12100"/>
    <n v="2.9404688711272692E-2"/>
    <x v="1"/>
    <x v="1"/>
  </r>
  <r>
    <s v="JUL"/>
    <s v="PO-25003021"/>
    <s v="บริษัท บางกอกแม็กเน็ตไวร์ จำกัด"/>
    <s v="ลวดกลมอาบน้ำยา ขนาด 1.90 มม."/>
    <n v="400"/>
    <s v="KG"/>
    <n v="375.69"/>
    <n v="150276"/>
    <n v="364.69"/>
    <n v="11"/>
    <n v="4400"/>
    <n v="2.9279459128536824E-2"/>
    <x v="1"/>
    <x v="1"/>
  </r>
  <r>
    <s v="JUL"/>
    <s v="PO-25003021"/>
    <s v="บริษัท บางกอกแม็กเน็ตไวร์ จำกัด"/>
    <s v="ลวดกลมอาบน้ำยา ขนาด 2.40 มม."/>
    <n v="500"/>
    <s v="KG"/>
    <n v="374.28"/>
    <n v="187140"/>
    <n v="363.28"/>
    <n v="11"/>
    <n v="5500"/>
    <n v="2.9389761675750779E-2"/>
    <x v="1"/>
    <x v="1"/>
  </r>
  <r>
    <s v="JUL"/>
    <s v="PO-25002980"/>
    <s v="บริษัท ธนากัญญ คอนสตรัคชั่น เวิร์ค จำกัด"/>
    <s v="งานปรับปรุงห้องน้ำหญิง อาคารโรงงาน 3"/>
    <n v="1"/>
    <s v="JOB"/>
    <n v="37972"/>
    <n v="37972"/>
    <n v="37000"/>
    <n v="972"/>
    <n v="972"/>
    <n v="2.5597808911829768E-2"/>
    <x v="1"/>
    <x v="1"/>
  </r>
  <r>
    <s v="JUL"/>
    <s v="PO-25003023"/>
    <s v="บริษัท สหมิตรไวร์ แอนด์ เคเบิ้ล จำกัด"/>
    <s v="ลวดแบนหุ้มกระดาษหนา 0.5 มม. "/>
    <n v="9119"/>
    <s v="KG"/>
    <n v="364"/>
    <n v="3319316"/>
    <n v="363"/>
    <n v="1"/>
    <n v="9119"/>
    <n v="2.7472527472527475E-3"/>
    <x v="1"/>
    <x v="1"/>
  </r>
  <r>
    <s v="JUL"/>
    <s v="PO-25003018"/>
    <s v="บริษัท เอทีซี อินดัสตรี (ประเทศไทย)จำกัด"/>
    <s v="IP68 Flexible Conduit Fitting With Oring, Locknut AD10/PG7"/>
    <n v="48"/>
    <s v="EA"/>
    <n v="70"/>
    <n v="3360"/>
    <n v="50"/>
    <n v="20"/>
    <n v="960"/>
    <n v="0.2857142857142857"/>
    <x v="1"/>
    <x v="0"/>
  </r>
  <r>
    <s v="JUL"/>
    <s v="PO-25003018"/>
    <s v="บริษัท เอทีซี อินดัสตรี (ประเทศไทย)จำกัด"/>
    <s v="IP68 Flexible Conduit Fitting With Oring, Locknut AD13/PG9"/>
    <n v="288"/>
    <s v="EA"/>
    <n v="70"/>
    <n v="20160"/>
    <n v="55"/>
    <n v="15"/>
    <n v="4320"/>
    <n v="0.21428571428571427"/>
    <x v="1"/>
    <x v="0"/>
  </r>
  <r>
    <s v="JUL"/>
    <s v="PO-25003026"/>
    <s v="บริษัท พรอสเปอร์ อี แอนด์ ที จำกัด"/>
    <s v="CABLE GLAND Size 50S TYPE A2F &quot;Electroless Nickel Plated Bra"/>
    <n v="212"/>
    <s v="EA"/>
    <n v="1450"/>
    <n v="307400"/>
    <n v="1377.5"/>
    <n v="72.5"/>
    <n v="15370"/>
    <n v="0.05"/>
    <x v="1"/>
    <x v="1"/>
  </r>
  <r>
    <s v="JUL"/>
    <s v="PO-25003026"/>
    <s v="บริษัท พรอสเปอร์ อี แอนด์ ที จำกัด"/>
    <s v="CABLE GLAND Size 40 TYPE A2F &quot;Electroless Nickel Plated Bras"/>
    <n v="3223"/>
    <s v="EA"/>
    <n v="740"/>
    <n v="2385020"/>
    <n v="703"/>
    <n v="37"/>
    <n v="119251"/>
    <n v="0.05"/>
    <x v="1"/>
    <x v="1"/>
  </r>
  <r>
    <s v="JUL"/>
    <s v="PO-25003026"/>
    <s v="บริษัท พรอสเปอร์ อี แอนด์ ที จำกัด"/>
    <s v="CABLE GLAND Size 32 TYPE A2F &quot;Electroless Nickel Plated Bras"/>
    <n v="202"/>
    <s v="EA"/>
    <n v="480"/>
    <n v="96960"/>
    <n v="456"/>
    <n v="24"/>
    <n v="4848"/>
    <n v="0.05"/>
    <x v="1"/>
    <x v="1"/>
  </r>
  <r>
    <s v="JUL"/>
    <s v="PO-25002979"/>
    <s v="บริษัท ต่อกิจ พัฒนา 2019 จำกัด"/>
    <s v="CABLE BOX TYPE 1 TR.250 kVA 3Ph 50Hz 22000-416/240V"/>
    <n v="1"/>
    <s v="SET"/>
    <n v="36500"/>
    <n v="36500"/>
    <n v="34000"/>
    <n v="2500"/>
    <n v="2500"/>
    <n v="6.8493150684931503E-2"/>
    <x v="1"/>
    <x v="0"/>
  </r>
  <r>
    <s v="JUL"/>
    <s v="PO-25002895"/>
    <s v="บริษัท เอ็นเอสซี เม็ททอล จำกัด"/>
    <s v="ทองแดงเส้นแบน"/>
    <n v="2078"/>
    <s v="KG"/>
    <n v="370"/>
    <n v="768860"/>
    <n v="365"/>
    <n v="5"/>
    <n v="10390"/>
    <n v="1.3513513513513514E-2"/>
    <x v="0"/>
    <x v="1"/>
  </r>
  <r>
    <s v="JUL"/>
    <s v="PO-25002915"/>
    <s v="Faxolif  Industries Pte Ltd"/>
    <s v="FR3 FLUID"/>
    <n v="3000"/>
    <s v="ลิตร "/>
    <n v="128.69999999999999"/>
    <n v="386099.99999999994"/>
    <n v="115.5"/>
    <n v="13.199999999999989"/>
    <n v="39599.999999999964"/>
    <n v="0.10256410256410249"/>
    <x v="1"/>
    <x v="1"/>
  </r>
  <r>
    <s v="JUL"/>
    <s v="PO-25002931"/>
    <s v="บริษัท พี ซี อีลีแมค จำกัด"/>
    <s v="N620262600 Steel Enclosure ขนาด 2000 x 2600 x 2600 mm."/>
    <n v="1"/>
    <s v="SET"/>
    <n v="129000"/>
    <n v="129000"/>
    <n v="120000"/>
    <n v="9000"/>
    <n v="9000"/>
    <n v="6.9767441860465115E-2"/>
    <x v="1"/>
    <x v="0"/>
  </r>
  <r>
    <s v="JUL"/>
    <s v="PO-25002931"/>
    <s v="บริษัท พี ซี อีลีแมค จำกัด"/>
    <s v="N620262601 Steel Enclosure ขนาด 2000 x 2600 x 2600 mm."/>
    <n v="5"/>
    <s v="SET"/>
    <n v="129000"/>
    <n v="645000"/>
    <n v="120000"/>
    <n v="9000"/>
    <n v="45000"/>
    <n v="6.9767441860465115E-2"/>
    <x v="1"/>
    <x v="0"/>
  </r>
  <r>
    <s v="JUL"/>
    <s v="PO-25003066"/>
    <s v="บริษัท ศรีราชามงคลชัย จำกัด"/>
    <s v="เครื่องเจียร 7 นิ้ว 2400W GA7030 MAKITA"/>
    <n v="1"/>
    <s v="EA"/>
    <n v="5890"/>
    <n v="5890"/>
    <n v="5300"/>
    <n v="590"/>
    <n v="590"/>
    <n v="0.100169779286927"/>
    <x v="0"/>
    <x v="1"/>
  </r>
  <r>
    <s v="JUL"/>
    <s v="PO-25003074"/>
    <s v="ห้างหุ้นส่วนจำกัด เอ็ม.เอ็น. อีเล็คทริค ซัพพลาย"/>
    <s v="หางปลาต่อสายแบบกลมเปลือย ยี่ห้อ T-LUG CL240-12"/>
    <n v="200"/>
    <s v="EA"/>
    <n v="190"/>
    <n v="38000"/>
    <n v="182.25"/>
    <n v="7.75"/>
    <n v="1550"/>
    <n v="4.0789473684210528E-2"/>
    <x v="0"/>
    <x v="1"/>
  </r>
  <r>
    <s v="JUL"/>
    <s v="PO-25003074"/>
    <s v="ห้างหุ้นส่วนจำกัด เอ็ม.เอ็น. อีเล็คทริค ซัพพลาย"/>
    <s v="หางปลาต่อสายแบบกลมเปลือย ยี่ห้อ T-LUG ขนาด 35-12 มม."/>
    <n v="200"/>
    <s v="EA"/>
    <n v="9.5"/>
    <n v="1900"/>
    <n v="9.35"/>
    <n v="0.15000000000000036"/>
    <n v="30.000000000000071"/>
    <n v="1.5789473684210565E-2"/>
    <x v="0"/>
    <x v="1"/>
  </r>
  <r>
    <s v="JUL"/>
    <s v="PO-25003016"/>
    <s v="บริษัท เอราวัณรับเบอร์ จำกัด"/>
    <s v="Bird Guard สีเทา  ความสูง 210 มม.(MEA) – Silicone"/>
    <n v="144"/>
    <s v="EA"/>
    <n v="265"/>
    <n v="38160"/>
    <n v="260"/>
    <n v="5"/>
    <n v="720"/>
    <n v="1.8867924528301886E-2"/>
    <x v="1"/>
    <x v="0"/>
  </r>
  <r>
    <s v="JUL"/>
    <s v="PO-25003079"/>
    <s v="บริษัท เอราวัณรับเบอร์ จำกัด"/>
    <s v="Bird Guard สีเทา  ความสูง 210 มม.(MEA) – Silicone"/>
    <n v="126"/>
    <s v="EA"/>
    <n v="265"/>
    <n v="33390"/>
    <n v="260"/>
    <n v="5"/>
    <n v="630"/>
    <n v="1.8867924528301886E-2"/>
    <x v="1"/>
    <x v="0"/>
  </r>
  <r>
    <s v="JUL"/>
    <s v="PO-25003047"/>
    <s v="บริษัท เอคเม อินซูเลชั่น จำกัด"/>
    <s v="Silicon Steel Master Coil 027CLF120"/>
    <n v="320000"/>
    <s v="KG"/>
    <n v="52.5"/>
    <n v="16800000"/>
    <n v="49"/>
    <n v="3.5"/>
    <n v="1120000"/>
    <n v="6.6666666666666666E-2"/>
    <x v="0"/>
    <x v="0"/>
  </r>
  <r>
    <s v="JUL"/>
    <s v="PO-25003048"/>
    <s v="บริษัท เอคเม อินซูเลชั่น จำกัด"/>
    <s v="Silicon Steel Master Coil 027CLF100"/>
    <n v="200000"/>
    <s v="KG"/>
    <n v="54.5"/>
    <n v="10900000"/>
    <n v="51.5"/>
    <n v="3"/>
    <n v="600000"/>
    <n v="5.5045871559633031E-2"/>
    <x v="0"/>
    <x v="0"/>
  </r>
  <r>
    <s v="JUL"/>
    <s v="PO-25001678"/>
    <s v="REINHAUSEN ITALIA SRL"/>
    <s v="ค่าขนส่งสินค้าเข้าโรงงาน"/>
    <n v="1"/>
    <s v="JOB"/>
    <n v="3500"/>
    <n v="3500"/>
    <n v="0"/>
    <n v="3500"/>
    <n v="3500"/>
    <n v="1"/>
    <x v="1"/>
    <x v="1"/>
  </r>
  <r>
    <s v="JUL"/>
    <s v="PO-25001755"/>
    <s v="KREMPEL"/>
    <s v="ค่าขนส่งสินค้าเข้าโรงงาน"/>
    <n v="1"/>
    <s v="JOB"/>
    <n v="3500"/>
    <n v="3500"/>
    <n v="0"/>
    <n v="3500"/>
    <n v="3500"/>
    <n v="1"/>
    <x v="1"/>
    <x v="1"/>
  </r>
  <r>
    <s v="JUL"/>
    <s v="PO-25001165"/>
    <s v="Comemde  Pte Ltd."/>
    <s v="ค่าขนส่งสินค้าเข้าโรงงาน"/>
    <n v="1"/>
    <s v="JOB"/>
    <n v="3500"/>
    <n v="3500"/>
    <n v="0"/>
    <n v="3500"/>
    <n v="3500"/>
    <n v="1"/>
    <x v="1"/>
    <x v="1"/>
  </r>
  <r>
    <s v="JUL"/>
    <s v="PO-25002651"/>
    <s v="บริษัท เอ็น.เอช.เค.สตีล จำกัด"/>
    <s v="Cold Rolled Steel Sheet (SPCC-SD) ขนาด 1.5*1200 มม."/>
    <n v="17"/>
    <s v="KG"/>
    <n v="27.5"/>
    <n v="467.5"/>
    <n v="27"/>
    <n v="0.5"/>
    <n v="8.5"/>
    <n v="1.8181818181818181E-2"/>
    <x v="1"/>
    <x v="0"/>
  </r>
  <r>
    <s v="JUL"/>
    <s v="PO-25002651"/>
    <s v="บริษัท เอ็น.เอช.เค.สตีล จำกัด"/>
    <s v="Cold Rolled Steel Sheet (SPCC-SD) ขนาด 1.5*1200 มม."/>
    <n v="6000"/>
    <s v="KG"/>
    <n v="27.5"/>
    <n v="165000"/>
    <n v="27"/>
    <n v="0.5"/>
    <n v="3000"/>
    <n v="1.8181818181818181E-2"/>
    <x v="1"/>
    <x v="0"/>
  </r>
  <r>
    <s v="JUL"/>
    <s v="PO-25002816"/>
    <s v="บริษัท เอ็น.เอช.เค.สตีล จำกัด"/>
    <s v="Cold Rolled Steel Sheet (SPCC-SD) ขนาด 1.5*900 มม."/>
    <n v="52"/>
    <s v="KG"/>
    <n v="27.5"/>
    <n v="1430"/>
    <n v="27"/>
    <n v="0.5"/>
    <n v="26"/>
    <n v="1.8181818181818181E-2"/>
    <x v="1"/>
    <x v="0"/>
  </r>
  <r>
    <s v="JUL"/>
    <s v="PO-25002816"/>
    <s v="บริษัท เอ็น.เอช.เค.สตีล จำกัด"/>
    <s v="Cold Rolled Steel Sheet (SPCC-SD) ขนาด 1.5*900 มม."/>
    <n v="3000"/>
    <s v="KG"/>
    <n v="27.5"/>
    <n v="82500"/>
    <n v="27"/>
    <n v="0.5"/>
    <n v="1500"/>
    <n v="1.8181818181818181E-2"/>
    <x v="1"/>
    <x v="0"/>
  </r>
  <r>
    <s v="JUL"/>
    <s v="PO-25002816"/>
    <s v="บริษัท เอ็น.เอช.เค.สตีล จำกัด"/>
    <s v="Cold Rolled Steel Sheet (SPCC-SD) ขนาด 1.5*900 มม."/>
    <n v="3000"/>
    <s v="KG"/>
    <n v="27.5"/>
    <n v="82500"/>
    <n v="27"/>
    <n v="0.5"/>
    <n v="1500"/>
    <n v="1.8181818181818181E-2"/>
    <x v="1"/>
    <x v="0"/>
  </r>
  <r>
    <s v="JUL"/>
    <s v="PO-25002816"/>
    <s v="บริษัท เอ็น.เอช.เค.สตีล จำกัด"/>
    <s v="Cold Rolled Steel Sheet (SPCC-SD) ขนาด 1.5*1100 มม."/>
    <n v="3000"/>
    <s v="KG"/>
    <n v="27.5"/>
    <n v="82500"/>
    <n v="27"/>
    <n v="0.5"/>
    <n v="1500"/>
    <n v="1.8181818181818181E-2"/>
    <x v="1"/>
    <x v="0"/>
  </r>
  <r>
    <s v="JUL"/>
    <s v="PO-25002916"/>
    <s v="บริษัท เอ็น.เอช.เค.สตีล จำกัด"/>
    <s v="Cold Rolled Steel Sheet (SPCC-SD) ขนาด 1.5*1200 มม."/>
    <n v="6176"/>
    <s v="KG"/>
    <n v="27.5"/>
    <n v="169840"/>
    <n v="27"/>
    <n v="0.5"/>
    <n v="3088"/>
    <n v="1.8181818181818181E-2"/>
    <x v="1"/>
    <x v="0"/>
  </r>
  <r>
    <s v="JUL"/>
    <s v="PO-25002916"/>
    <s v="บริษัท เอ็น.เอช.เค.สตีล จำกัด"/>
    <s v="Cold Rolled Steel Sheet (SPCC-SD) ขนาด 1.5*900 มม."/>
    <n v="3000"/>
    <s v="KG"/>
    <n v="27.5"/>
    <n v="82500"/>
    <n v="27"/>
    <n v="0.5"/>
    <n v="1500"/>
    <n v="1.8181818181818181E-2"/>
    <x v="1"/>
    <x v="0"/>
  </r>
  <r>
    <s v="JUL"/>
    <s v="PO-25002916"/>
    <s v="บริษัท เอ็น.เอช.เค.สตีล จำกัด"/>
    <s v="Cold Rolled Steel Sheet (SPCC-SD) ขนาด 1.5*1000 มม."/>
    <n v="9000"/>
    <s v="KG"/>
    <n v="27.5"/>
    <n v="247500"/>
    <n v="27"/>
    <n v="0.5"/>
    <n v="4500"/>
    <n v="1.8181818181818181E-2"/>
    <x v="1"/>
    <x v="0"/>
  </r>
  <r>
    <s v="JUL"/>
    <s v="PO-25003077"/>
    <s v="บริษัท เอ็น.เอช.เค.สตีล จำกัด"/>
    <s v="Cold Rolled Steel Sheet (SPCC-SD) ขนาด 1.5*1000 มม."/>
    <n v="6000"/>
    <s v="KG"/>
    <n v="27.5"/>
    <n v="165000"/>
    <n v="27"/>
    <n v="0.5"/>
    <n v="3000"/>
    <n v="1.8181818181818181E-2"/>
    <x v="1"/>
    <x v="0"/>
  </r>
  <r>
    <s v="JUL"/>
    <s v="PO-25002628"/>
    <s v="บริษัท พี.เอส.พี.สเปเชียลตี้ส์ จำกัด (มหาชน)"/>
    <s v="น้ำมันหม้อแปลง Transform INH"/>
    <n v="28000"/>
    <s v="ลิตร "/>
    <n v="35"/>
    <n v="980000"/>
    <n v="33.75"/>
    <n v="1.25"/>
    <n v="35000"/>
    <n v="3.5714285714285712E-2"/>
    <x v="1"/>
    <x v="0"/>
  </r>
  <r>
    <s v="JUL"/>
    <s v="PO-25002682"/>
    <s v="บริษัท พี.เอส.พี.สเปเชียลตี้ส์ จำกัด (มหาชน)"/>
    <s v="น้ำมันหม้อแปลง Transform INH"/>
    <n v="14000"/>
    <s v="ลิตร "/>
    <n v="35"/>
    <n v="490000"/>
    <n v="33.75"/>
    <n v="1.25"/>
    <n v="17500"/>
    <n v="3.5714285714285712E-2"/>
    <x v="1"/>
    <x v="0"/>
  </r>
  <r>
    <s v="JUL"/>
    <s v="PO-25002751"/>
    <s v="บริษัท พี.เอส.พี.สเปเชียลตี้ส์ จำกัด (มหาชน)"/>
    <s v="น้ำมันหม้อแปลง Transform INH"/>
    <n v="70000"/>
    <s v="ลิตร "/>
    <n v="35"/>
    <n v="2450000"/>
    <n v="33.75"/>
    <n v="1.25"/>
    <n v="87500"/>
    <n v="3.5714285714285712E-2"/>
    <x v="1"/>
    <x v="0"/>
  </r>
  <r>
    <s v="JUL"/>
    <s v="PO-25002941"/>
    <s v="บริษัท พี.เอส.พี.สเปเชียลตี้ส์ จำกัด (มหาชน)"/>
    <s v="น้ำมันหม้อแปลง Transform INH"/>
    <n v="84000"/>
    <s v="ลิตร "/>
    <n v="35"/>
    <n v="2940000"/>
    <n v="33.75"/>
    <n v="1.25"/>
    <n v="105000"/>
    <n v="3.5714285714285712E-2"/>
    <x v="1"/>
    <x v="0"/>
  </r>
  <r>
    <s v="AUG"/>
    <s v="PO-25003032"/>
    <s v="บริษัท อาร์ เจ เอส คอนแทร็ค แอนด์ เซอร์วิส จากัด"/>
    <s v="งานเทถนน 264 ตารางเมตร"/>
    <n v="1"/>
    <s v="Job"/>
    <n v="348060"/>
    <n v="348060"/>
    <n v="338976"/>
    <n v="9084"/>
    <n v="9084"/>
    <n v="2.6098948457162558E-2"/>
    <x v="1"/>
    <x v="1"/>
  </r>
  <r>
    <s v="AUG"/>
    <s v="PO-25003080"/>
    <s v="บริษัท สกิลทูลแอนด์เซอร์วิส จำกัด"/>
    <s v="Milwaukee M18 FPD3-502BB สว่านกระแทกไร้สาย 18 V - แบตเตอรี่ "/>
    <n v="1"/>
    <s v="Job"/>
    <n v="13850"/>
    <n v="13850"/>
    <n v="13500"/>
    <n v="350"/>
    <n v="350"/>
    <n v="2.5270758122743681E-2"/>
    <x v="0"/>
    <x v="1"/>
  </r>
  <r>
    <s v="AUG"/>
    <s v="PO-25003082"/>
    <s v="บริษัท โตไกล จำกัด"/>
    <s v="เหล็กพืด ขนาด 16 มม. 5/8&quot; เคลือบดำ (6 ม้วน)"/>
    <n v="270"/>
    <s v="kg"/>
    <n v="57"/>
    <n v="15390"/>
    <n v="52"/>
    <n v="5"/>
    <n v="1350"/>
    <n v="8.771929824561403E-2"/>
    <x v="0"/>
    <x v="1"/>
  </r>
  <r>
    <s v="AUG"/>
    <s v="PO-25003083"/>
    <s v="บริษัท ศรีราชามงคลชัย จำกัด"/>
    <s v="ดอกเจาะเหล็กคัตเตอร์คาร์ไบด์ 14X35มม. TCT รุ่น DNTC POLO"/>
    <n v="5"/>
    <s v="EA"/>
    <n v="780"/>
    <n v="3900"/>
    <n v="665"/>
    <n v="115"/>
    <n v="575"/>
    <n v="0.14743589743589744"/>
    <x v="0"/>
    <x v="1"/>
  </r>
  <r>
    <s v="AUG"/>
    <s v="PO-25003146"/>
    <s v="บริษัท บีที สกรูเฮ้าส์ แอนด์ ซัพพลาย จำกัด"/>
    <s v="Manual pressure relief fitting (ปลั๊กอุดทองเหลือง ขนาด 1/4&quot;)"/>
    <n v="90"/>
    <s v="EA"/>
    <n v="15"/>
    <n v="1350"/>
    <n v="14"/>
    <n v="1"/>
    <n v="90"/>
    <n v="6.6666666666666666E-2"/>
    <x v="1"/>
    <x v="1"/>
  </r>
  <r>
    <s v="AUG"/>
    <s v="PO-25003142"/>
    <s v="บริษัท แอมเทค ลูบริแคนท์ จำกัด"/>
    <s v="Shell Diala  S4 ZX-I"/>
    <n v="8000"/>
    <s v="ลิตร "/>
    <n v="90"/>
    <n v="720000"/>
    <n v="89.5"/>
    <n v="0.5"/>
    <n v="4000"/>
    <n v="5.5555555555555558E-3"/>
    <x v="0"/>
    <x v="0"/>
  </r>
  <r>
    <s v="AUG"/>
    <s v="PO-25003152"/>
    <s v="บริษัท เซาท์อีสไทยแลนด์ จำกัด"/>
    <s v="Insulating Supports แรงสูง36kV  “Georg Jordan type CA30N”"/>
    <n v="8"/>
    <s v="EA"/>
    <n v="2880"/>
    <n v="23040"/>
    <n v="2625"/>
    <n v="255"/>
    <n v="2040"/>
    <n v="8.8541666666666671E-2"/>
    <x v="0"/>
    <x v="1"/>
  </r>
  <r>
    <s v="AUG"/>
    <s v="PO-25003170"/>
    <s v="บริษัท ไดมอนด์ สตีลพาร์ท แอนด์ ซัพพลาย 2551 จำกัด"/>
    <s v="Cover 7000kVA No.1 ขนาด 1168x2518x9t (SS400)"/>
    <n v="46"/>
    <s v="EA"/>
    <n v="8250"/>
    <n v="379500"/>
    <n v="8200"/>
    <n v="50"/>
    <n v="2300"/>
    <n v="6.0606060606060606E-3"/>
    <x v="0"/>
    <x v="0"/>
  </r>
  <r>
    <s v="AUG"/>
    <s v="PO-25003170"/>
    <s v="บริษัท ไดมอนด์ สตีลพาร์ท แอนด์ ซัพพลาย 2551 จำกัด"/>
    <s v="Tank 7000kVA No.1 ขนาด 2274x3070x9t (SS400)"/>
    <n v="46"/>
    <s v="EA"/>
    <n v="22200"/>
    <n v="1021200"/>
    <n v="22150"/>
    <n v="50"/>
    <n v="2300"/>
    <n v="2.2522522522522522E-3"/>
    <x v="0"/>
    <x v="0"/>
  </r>
  <r>
    <s v="AUG"/>
    <s v="PO-25003170"/>
    <s v="บริษัท ไดมอนด์ สตีลพาร์ท แอนด์ ซัพพลาย 2551 จำกัด"/>
    <s v="Tank 7000kVA No.2 ขนาด 2274x3070x9t (SS400)"/>
    <n v="46"/>
    <s v="EA"/>
    <n v="22200"/>
    <n v="1021200"/>
    <n v="22150"/>
    <n v="50"/>
    <n v="2300"/>
    <n v="2.2522522522522522E-3"/>
    <x v="0"/>
    <x v="0"/>
  </r>
  <r>
    <s v="AUG"/>
    <s v="PO-25003170"/>
    <s v="บริษัท ไดมอนด์ สตีลพาร์ท แอนด์ ซัพพลาย 2551 จำกัด"/>
    <s v="Tank 7000kVA No.3 ขนาด 900x2250x9t (SS400)"/>
    <n v="46"/>
    <s v="EA"/>
    <n v="4950"/>
    <n v="227700"/>
    <n v="4930"/>
    <n v="20"/>
    <n v="920"/>
    <n v="4.0404040404040404E-3"/>
    <x v="0"/>
    <x v="0"/>
  </r>
  <r>
    <s v="AUG"/>
    <s v="PO-25003167"/>
    <s v="บริษัท เอคเม อินซูเลชั่น จำกัด"/>
    <s v="FR3 FLUID"/>
    <n v="6000"/>
    <s v="ลิตร"/>
    <n v="184.26"/>
    <n v="1105560"/>
    <n v="147.5"/>
    <n v="36.759999999999991"/>
    <n v="220559.99999999994"/>
    <n v="0.19950070552480187"/>
    <x v="0"/>
    <x v="1"/>
  </r>
  <r>
    <s v="AUG"/>
    <s v="PO-25003206"/>
    <s v="บริษัท อาร์ เจ เอส คอนแทร็ค แอนด์ เซอร์วิส จากัด"/>
    <s v="งานเทพื้นสำหรับวางเต๊นท์กว้าง22เมตร ยาว44เมตร หนา15เซนติเมตร"/>
    <n v="1"/>
    <s v="Job "/>
    <n v="774048.7"/>
    <n v="774048.7"/>
    <n v="766023.7"/>
    <n v="8025"/>
    <n v="8025"/>
    <n v="1.0367564728162453E-2"/>
    <x v="1"/>
    <x v="1"/>
  </r>
  <r>
    <s v="AUG"/>
    <s v="PO-25003207"/>
    <s v="บริษัท อาร์ เจ เอส คอนแทร็ค แอนด์ เซอร์วิส จากัด"/>
    <s v="งานดาดปูนด้านฝั่งติดถนนโรงงาน 1280 ตารางเมตร"/>
    <n v="1"/>
    <s v="Job "/>
    <n v="903133.5"/>
    <n v="903133.5"/>
    <n v="894145.5"/>
    <n v="8988"/>
    <n v="8988"/>
    <n v="9.952017060600676E-3"/>
    <x v="1"/>
    <x v="1"/>
  </r>
  <r>
    <s v="AUG"/>
    <s v="PO-25003208"/>
    <s v="บริษัท อาร์ เจ เอส คอนแทร็ค แอนด์ เซอร์วิส จากัด"/>
    <s v="งานเทพื้นข้างโรงงาน 618 ตารางเมตร"/>
    <n v="1"/>
    <s v="Job "/>
    <n v="506645"/>
    <n v="506645"/>
    <n v="501830"/>
    <n v="4815"/>
    <n v="4815"/>
    <n v="9.5036958817317843E-3"/>
    <x v="1"/>
    <x v="1"/>
  </r>
  <r>
    <s v="AUG"/>
    <s v="PO-25003244 "/>
    <s v="บริษัท ต่อกิจ พัฒนา 2019 จำกัด"/>
    <s v="Conservator Tank TR.6000 kVA 3Ph 50Hz 33000-6600V"/>
    <n v="1"/>
    <s v="EA"/>
    <n v="48500"/>
    <n v="48500"/>
    <n v="47000"/>
    <n v="1500"/>
    <n v="1500"/>
    <n v="3.0927835051546393E-2"/>
    <x v="0"/>
    <x v="0"/>
  </r>
  <r>
    <s v="AUG"/>
    <s v="PO-25003245"/>
    <s v="บริษัท เนวีร่า จำกัด"/>
    <s v="บัสบาร์ซัพพอร์ทแรงต่ำ 1 เฟส ยี่ห้อ Mullerรุ่นMLB-124-11/13.5"/>
    <n v="2360"/>
    <s v="EA"/>
    <n v="175"/>
    <n v="413000"/>
    <n v="155"/>
    <n v="20"/>
    <n v="47200"/>
    <n v="0.11428571428571428"/>
    <x v="1"/>
    <x v="0"/>
  </r>
  <r>
    <s v="AUG"/>
    <s v="PO-25003257"/>
    <s v="บริษัท กิ้มเฮงเชียง  จำกัด"/>
    <s v="ทองแดงเส้นแบน"/>
    <n v="286915.20000000001"/>
    <s v="KG"/>
    <n v="370"/>
    <n v="106158624"/>
    <n v="363"/>
    <n v="7"/>
    <n v="2008406.4000000001"/>
    <n v="1.891891891891892E-2"/>
    <x v="0"/>
    <x v="1"/>
  </r>
  <r>
    <s v="AUG"/>
    <s v="PO-25003251"/>
    <s v="บริษัท สยาม วิน บอร์น จำกัด"/>
    <s v="เหล็กแผ่น SS400 หนา 19.0 มม. กว้าง 1219 มม. ยาว 2438 มม."/>
    <n v="3"/>
    <s v="plate"/>
    <n v="10200"/>
    <n v="30600"/>
    <n v="10100"/>
    <n v="100"/>
    <n v="300"/>
    <n v="9.8039215686274508E-3"/>
    <x v="1"/>
    <x v="0"/>
  </r>
  <r>
    <s v="AUG"/>
    <s v="PO-25003264"/>
    <s v="บริษัท สหมิตรไวร์ แอนด์ เคเบิ้ล จำกัด"/>
    <s v="ลวดแบนหุ้มกระดาษหนา 0.5 มม. "/>
    <n v="4455"/>
    <s v="KG"/>
    <n v="361"/>
    <n v="1608255"/>
    <n v="359"/>
    <n v="2"/>
    <n v="8910"/>
    <n v="5.5401662049861496E-3"/>
    <x v="1"/>
    <x v="1"/>
  </r>
  <r>
    <s v="AUG"/>
    <s v="PO-25003265"/>
    <s v="บริษัท บางกอกแม็กเน็ตไวร์ จำกัด"/>
    <s v="ลวดกลมอาบน้ำยา ขนาด 2.00 มม."/>
    <n v="400"/>
    <s v="KG"/>
    <n v="373.41"/>
    <n v="1663541.55"/>
    <n v="370.41"/>
    <n v="3"/>
    <n v="1200"/>
    <n v="8.0340644331967533E-3"/>
    <x v="1"/>
    <x v="1"/>
  </r>
  <r>
    <s v="AUG"/>
    <s v="PO-25003265"/>
    <s v="บริษัท บางกอกแม็กเน็ตไวร์ จำกัด"/>
    <s v="ลวดกลมอาบน้ำยา ขนาด 2.20 มม."/>
    <n v="700"/>
    <s v="KG"/>
    <n v="372.91"/>
    <n v="261037.00000000003"/>
    <n v="369.91"/>
    <n v="3"/>
    <n v="2100"/>
    <n v="8.0448365557373083E-3"/>
    <x v="1"/>
    <x v="1"/>
  </r>
  <r>
    <s v="AUG"/>
    <s v="PO-25003265"/>
    <s v="บริษัท บางกอกแม็กเน็ตไวร์ จำกัด"/>
    <s v="ลวดกลมอาบน้ำยา ขนาด 1.70 มม."/>
    <n v="500"/>
    <s v="KG"/>
    <n v="374.22"/>
    <n v="187110"/>
    <n v="371.22"/>
    <n v="3"/>
    <n v="1500"/>
    <n v="8.0166746833413502E-3"/>
    <x v="1"/>
    <x v="1"/>
  </r>
  <r>
    <s v="AUG"/>
    <s v="PO-25003265"/>
    <s v="บริษัท บางกอกแม็กเน็ตไวร์ จำกัด"/>
    <s v="ลวดกลมอาบน้ำยา ขนาด 2.70 มม."/>
    <n v="600"/>
    <s v="KG"/>
    <n v="372.61"/>
    <n v="223566"/>
    <n v="369.61"/>
    <n v="3"/>
    <n v="1800"/>
    <n v="8.0513137060196985E-3"/>
    <x v="1"/>
    <x v="1"/>
  </r>
  <r>
    <s v="AUG"/>
    <s v="PO-25003265"/>
    <s v="บริษัท บางกอกแม็กเน็ตไวร์ จำกัด"/>
    <s v="ลวดกลมอาบน้ำยา ขนาด 3.00 มม."/>
    <n v="770"/>
    <s v="KG"/>
    <n v="372.08"/>
    <n v="286501.59999999998"/>
    <n v="369.08"/>
    <n v="3"/>
    <n v="2310"/>
    <n v="8.0627821973769092E-3"/>
    <x v="1"/>
    <x v="1"/>
  </r>
  <r>
    <s v="AUG"/>
    <s v="PO-25003294"/>
    <s v="บริษัท เอทีซี อินดัสตรี (ประเทศไทย)จำกัด"/>
    <s v="IP68 Flexible Conduit Fitting With Oring, Locknut AD10/PG7"/>
    <n v="1"/>
    <s v="EA"/>
    <n v="70"/>
    <n v="70"/>
    <n v="50"/>
    <n v="20"/>
    <n v="20"/>
    <n v="0.2857142857142857"/>
    <x v="1"/>
    <x v="0"/>
  </r>
  <r>
    <s v="AUG"/>
    <s v="PO-25003294"/>
    <s v="บริษัท เอทีซี อินดัสตรี (ประเทศไทย)จำกัด"/>
    <s v="IP68 Flexible Conduit Fitting With Oring, Locknut AD13/PG9"/>
    <n v="6"/>
    <s v="EA"/>
    <n v="70"/>
    <n v="420"/>
    <n v="55"/>
    <n v="15"/>
    <n v="90"/>
    <n v="0.21428571428571427"/>
    <x v="1"/>
    <x v="0"/>
  </r>
  <r>
    <s v="AUG"/>
    <s v="PO-25003319 "/>
    <s v="บริษัท เอ็น.เอช.เค.สตีล จำกัด"/>
    <s v="Cold Rolled Steel Sheet (SPCC-SD) ขนาด 1.5*900 มม."/>
    <n v="6000"/>
    <s v="KG"/>
    <n v="27"/>
    <n v="162000"/>
    <n v="26.5"/>
    <n v="0.5"/>
    <n v="3000"/>
    <n v="1.8518518518518517E-2"/>
    <x v="1"/>
    <x v="0"/>
  </r>
  <r>
    <s v="AUG"/>
    <s v="PO-25003319 "/>
    <s v="บริษัท เอ็น.เอช.เค.สตีล จำกัด"/>
    <s v="Cold Rolled Steel Sheet (SPCC-SD) ขนาด 1.5*1200 มม."/>
    <n v="9000"/>
    <s v="KG"/>
    <n v="27"/>
    <n v="243000"/>
    <n v="25.5"/>
    <n v="1.5"/>
    <n v="13500"/>
    <n v="5.5555555555555552E-2"/>
    <x v="1"/>
    <x v="0"/>
  </r>
  <r>
    <s v="AUG"/>
    <s v="PO-25003305,PO-25003306,PO-25003308,PO-25003309"/>
    <s v="บริษัท ไดมอนด์ สตีลพาร์ท แอนด์ ซัพพลาย 2551 จำกัด"/>
    <s v="งานจ้างตัดเหล็กฝาถัง TR.5140 kVA 3Ph 50Hz 22000-690V"/>
    <n v="19"/>
    <s v="EA"/>
    <n v="7700"/>
    <n v="146300"/>
    <n v="7630.2631578947367"/>
    <n v="69.736842105263349"/>
    <n v="1325.0000000000036"/>
    <n v="9.0567327409432925E-3"/>
    <x v="0"/>
    <x v="0"/>
  </r>
  <r>
    <s v="AUG"/>
    <s v="PO-25003305,PO-25003306,PO-25003308,PO-25003309"/>
    <s v="บริษัท ไดมอนด์ สตีลพาร์ท แอนด์ ซัพพลาย 2551 จำกัด"/>
    <s v="งานจ้างตัดเหล็กตัวถังTR.5140 kVA 3Ph50Hz22000-690V(TankNo.1)"/>
    <n v="19"/>
    <s v="EA"/>
    <n v="18000"/>
    <n v="342000"/>
    <n v="17930.263157894737"/>
    <n v="69.736842105263349"/>
    <n v="1325.0000000000036"/>
    <n v="3.8742690058479637E-3"/>
    <x v="0"/>
    <x v="0"/>
  </r>
  <r>
    <s v="AUG"/>
    <s v="PO-25003305,PO-25003306,PO-25003308,PO-25003309"/>
    <s v="บริษัท ไดมอนด์ สตีลพาร์ท แอนด์ ซัพพลาย 2551 จำกัด"/>
    <s v="งานจ้างตัดเหล็กตัวถังTR.5140 kVA3Ph50Hz22000-690V(Tank No.2)"/>
    <n v="19"/>
    <s v="EA"/>
    <n v="18000"/>
    <n v="342000"/>
    <n v="17930.263157894737"/>
    <n v="69.736842105263349"/>
    <n v="1325.0000000000036"/>
    <n v="3.8742690058479637E-3"/>
    <x v="0"/>
    <x v="0"/>
  </r>
  <r>
    <s v="AUG"/>
    <s v="PO-25003305,PO-25003306,PO-25003308,PO-25003309"/>
    <s v="บริษัท ไดมอนด์ สตีลพาร์ท แอนด์ ซัพพลาย 2551 จำกัด"/>
    <s v="งานจ้างตัดเหล็กตัวถังTR.5140 kVA3Ph50Hz22000-690V(Tank No.3)"/>
    <n v="19"/>
    <s v="EA"/>
    <n v="5000"/>
    <n v="95000"/>
    <n v="4930.2631578947367"/>
    <n v="69.736842105263349"/>
    <n v="1325.0000000000036"/>
    <n v="1.394736842105267E-2"/>
    <x v="0"/>
    <x v="0"/>
  </r>
  <r>
    <s v="AUG"/>
    <s v="PO-25003291"/>
    <s v="บริษัท เอ วี เอ เอ็นจิเนียริ่ง เซอร์วิส จำกัด"/>
    <s v="แกนทองแดง 48 มม. เบอร์ 5 L280"/>
    <n v="432"/>
    <s v="EA"/>
    <n v="2980"/>
    <n v="1287360"/>
    <n v="2860"/>
    <n v="120"/>
    <n v="51840"/>
    <n v="4.0268456375838924E-2"/>
    <x v="1"/>
    <x v="0"/>
  </r>
  <r>
    <s v="AUG"/>
    <s v="PO-25003295 "/>
    <s v="บริษัท ทรัพย์บริบูรณ์ เอ็นจิเนียริ่ง จำกัด"/>
    <s v="Cable Gland PG21, Stainless Steel"/>
    <n v="1"/>
    <s v="EA"/>
    <n v="405"/>
    <n v="405"/>
    <n v="400"/>
    <n v="5"/>
    <n v="5"/>
    <n v="1.2345679012345678E-2"/>
    <x v="1"/>
    <x v="0"/>
  </r>
  <r>
    <s v="AUG"/>
    <s v="PO-25003353"/>
    <s v="บริษัท ที พี จี ลูบริแคนท์ส จำกัด"/>
    <s v="Shell Diala  S4 ZX-I"/>
    <n v="9200"/>
    <s v="ลิตร"/>
    <n v="98"/>
    <n v="901600"/>
    <n v="89"/>
    <n v="9"/>
    <n v="82800"/>
    <n v="9.1836734693877556E-2"/>
    <x v="0"/>
    <x v="0"/>
  </r>
  <r>
    <s v="AUG"/>
    <s v="PO-25003321"/>
    <s v="บริษัท สยาม วิน บอร์น จำกัด"/>
    <s v="เหล็กฉาก ขนาด 50*50*6 มม."/>
    <n v="50"/>
    <s v="เส้น"/>
    <n v="610"/>
    <n v="30500"/>
    <n v="600"/>
    <n v="10"/>
    <n v="500"/>
    <n v="1.6393442622950821E-2"/>
    <x v="1"/>
    <x v="0"/>
  </r>
  <r>
    <s v="AUG"/>
    <s v="PO-25003321"/>
    <s v="บริษัท สยาม วิน บอร์น จำกัด"/>
    <s v="เหล็กราง ขนาด 100*50*5 มม."/>
    <n v="20"/>
    <s v="เส้น"/>
    <n v="1285"/>
    <n v="25700"/>
    <n v="1265"/>
    <n v="20"/>
    <n v="400"/>
    <n v="1.556420233463035E-2"/>
    <x v="1"/>
    <x v="0"/>
  </r>
  <r>
    <s v="AUG"/>
    <s v="PO-25003321"/>
    <s v="บริษัท สยาม วิน บอร์น จำกัด"/>
    <s v="เหล็กฉาก ขนาด 65*65*8 มม."/>
    <n v="40"/>
    <s v="เส้น"/>
    <n v="1080"/>
    <n v="43200"/>
    <n v="1070"/>
    <n v="10"/>
    <n v="400"/>
    <n v="9.2592592592592587E-3"/>
    <x v="1"/>
    <x v="0"/>
  </r>
  <r>
    <s v="AUG"/>
    <s v="PO-25003321"/>
    <s v="บริษัท สยาม วิน บอร์น จำกัด"/>
    <s v="เหล็กราง ขนาด 150*75*6.5 มม. ยี่ห้อ SYS"/>
    <n v="20"/>
    <s v="เส้น"/>
    <n v="2710"/>
    <n v="54200"/>
    <n v="2700"/>
    <n v="10"/>
    <n v="200"/>
    <n v="3.6900369003690036E-3"/>
    <x v="1"/>
    <x v="0"/>
  </r>
  <r>
    <s v="AUG"/>
    <s v="PO-25003321"/>
    <s v="บริษัท สยาม วิน บอร์น จำกัด"/>
    <s v="เหล็กฉาก ขนาด 40*40*5 มม."/>
    <n v="20"/>
    <s v="เส้น"/>
    <n v="405"/>
    <n v="8100"/>
    <n v="395"/>
    <n v="10"/>
    <n v="200"/>
    <n v="2.4691358024691357E-2"/>
    <x v="1"/>
    <x v="0"/>
  </r>
  <r>
    <s v="AUG"/>
    <s v="PO-25003321"/>
    <s v="บริษัท สยาม วิน บอร์น จำกัด"/>
    <s v="เหล็กราง ขนาด 50*25*5 มม."/>
    <n v="10"/>
    <s v="เส้น"/>
    <n v="590"/>
    <n v="5900"/>
    <n v="580"/>
    <n v="10"/>
    <n v="100"/>
    <n v="1.6949152542372881E-2"/>
    <x v="1"/>
    <x v="0"/>
  </r>
  <r>
    <s v="AUG"/>
    <s v="PO-25003321"/>
    <s v="บริษัท สยาม วิน บอร์น จำกัด"/>
    <s v="เหล็กราง ขนาด 125*65*6 มม. ยี่ห้อ SYS"/>
    <n v="50"/>
    <s v="เส้น"/>
    <n v="1930"/>
    <n v="96500"/>
    <n v="1925"/>
    <n v="5"/>
    <n v="250"/>
    <n v="2.5906735751295338E-3"/>
    <x v="1"/>
    <x v="0"/>
  </r>
  <r>
    <s v="AUG"/>
    <s v="PO-25003321"/>
    <s v="บริษัท สยาม วิน บอร์น จำกัด"/>
    <s v="เหล็กราง ขนาด 180*75*7 มม. ยี่ห้อ SYS"/>
    <n v="20"/>
    <s v="เส้น"/>
    <n v="4420"/>
    <n v="88400"/>
    <n v="4400"/>
    <n v="20"/>
    <n v="400"/>
    <n v="4.5248868778280547E-3"/>
    <x v="1"/>
    <x v="0"/>
  </r>
  <r>
    <s v="AUG"/>
    <s v="PO-25003217"/>
    <s v="Wuhu Zhongyuan Import and Export Co.,Ltd"/>
    <s v="Fabrication cost for Copper foil"/>
    <n v="27790"/>
    <s v="KG"/>
    <n v="30.88"/>
    <n v="858155.2"/>
    <n v="26"/>
    <n v="4.879999999999999"/>
    <n v="135615.19999999998"/>
    <n v="0.15803108808290153"/>
    <x v="1"/>
    <x v="1"/>
  </r>
  <r>
    <s v="AUG"/>
    <s v="PO-25003288"/>
    <s v="บริษัท บางกอกแม็กเน็ตไวร์ จำกัด"/>
    <s v="ลวดกลมอาบน้ำยา ขนาด 3.20 มม."/>
    <n v="30000"/>
    <s v="KG"/>
    <n v="357"/>
    <n v="10710000"/>
    <n v="353"/>
    <n v="4"/>
    <n v="120000"/>
    <n v="1.1204481792717087E-2"/>
    <x v="0"/>
    <x v="1"/>
  </r>
  <r>
    <s v="AUG"/>
    <s v="PO-25003318"/>
    <s v="บริษัท เอคเม อินซูเลชั่น จำกัด"/>
    <s v="CT 100/1A Current Transformer Class 5P10  5VA (RESIN) "/>
    <n v="4"/>
    <s v="EA"/>
    <n v="23340"/>
    <n v="93360"/>
    <n v="22840"/>
    <n v="500"/>
    <n v="2000"/>
    <n v="2.1422450728363324E-2"/>
    <x v="1"/>
    <x v="1"/>
  </r>
  <r>
    <s v="AUG"/>
    <s v="PO-25003335"/>
    <s v="Wuhu Zhongyuan Import and Export Co.,Ltd"/>
    <s v="Fabrication cost for Copper foil"/>
    <n v="15890"/>
    <s v="KG"/>
    <n v="30.88"/>
    <n v="490683.2"/>
    <n v="26"/>
    <n v="4.879999999999999"/>
    <n v="77543.199999999983"/>
    <n v="0.15803108808290153"/>
    <x v="1"/>
    <x v="1"/>
  </r>
  <r>
    <s v="AUG"/>
    <s v="PO-25003346"/>
    <s v="บริษัท วินเนอร์ นัมเบอร์เพลท จำกัด"/>
    <s v="แผ่นป้าย Logo QTC ขนาดเล็ก มอก.384-2567"/>
    <n v="200"/>
    <s v="EA"/>
    <n v="250"/>
    <n v="50000"/>
    <n v="245"/>
    <n v="5"/>
    <n v="1000"/>
    <n v="0.02"/>
    <x v="1"/>
    <x v="1"/>
  </r>
  <r>
    <s v="AUG"/>
    <s v="PO-25003346"/>
    <s v="บริษัท วินเนอร์ นัมเบอร์เพลท จำกัด"/>
    <s v="แผ่นป้าย Logo QTC ขนาดใหญ่ มอก.384-2567"/>
    <n v="100"/>
    <s v="EA"/>
    <n v="350"/>
    <n v="35000"/>
    <n v="345"/>
    <n v="5"/>
    <n v="500"/>
    <n v="1.4285714285714285E-2"/>
    <x v="1"/>
    <x v="1"/>
  </r>
  <r>
    <s v="AUG"/>
    <s v="PO-25003357"/>
    <s v="บริษัท กิ้มเฮงเชียง  จำกัด"/>
    <s v="ทองแดงเส้นแบน"/>
    <n v="1374.3"/>
    <s v="KG"/>
    <n v="375"/>
    <n v="515362.5"/>
    <n v="360"/>
    <n v="15"/>
    <n v="20614.5"/>
    <n v="0.04"/>
    <x v="0"/>
    <x v="1"/>
  </r>
  <r>
    <s v="AUG"/>
    <s v="PO-25003364"/>
    <s v="บริษัท ศิรา เซฟตี้แอนด์ทูล จำกัด"/>
    <s v="ทุ่นกักน้ํามันยาว20 ม. ทุ่น 90 cm.เหนือผิวน้ํา 30cm.ลงใต้น้ำ"/>
    <n v="1"/>
    <s v="EA"/>
    <n v="26000"/>
    <n v="26000"/>
    <n v="22000"/>
    <n v="4000"/>
    <n v="4000"/>
    <n v="0.15384615384615385"/>
    <x v="0"/>
    <x v="1"/>
  </r>
  <r>
    <s v="AUG"/>
    <s v="PO-25003365"/>
    <s v="Wuhu Zhongyuan Import and Export Co.,Ltd"/>
    <s v="Copper Foil ขนาด 2.0*600 มม."/>
    <n v="5210"/>
    <s v="KG"/>
    <n v="30.88"/>
    <n v="160884.79999999999"/>
    <n v="26"/>
    <n v="4.879999999999999"/>
    <n v="25424.799999999996"/>
    <n v="0.15803108808290153"/>
    <x v="1"/>
    <x v="1"/>
  </r>
  <r>
    <s v="AUG"/>
    <s v="PO-25003405"/>
    <s v="บริษัท สหมิตรไวร์ แอนด์ เคเบิ้ล จำกัด"/>
    <s v="ลวดแบนหุ้มกระดาษหนา 0.5 มม. "/>
    <n v="3023"/>
    <s v="KG"/>
    <n v="390"/>
    <n v="1178970"/>
    <n v="361"/>
    <n v="29"/>
    <n v="87667"/>
    <n v="7.4358974358974358E-2"/>
    <x v="1"/>
    <x v="1"/>
  </r>
  <r>
    <s v="AUG"/>
    <s v="PO-25003455"/>
    <s v="บริษัท ต่อกิจ พัฒนา 2019 จำกัด"/>
    <s v="CABLE BOX TYPE 1 TR.400 kVA 3Ph 50Hz 22000-400/230V"/>
    <n v="1"/>
    <s v="SET"/>
    <n v="26500"/>
    <n v="26500"/>
    <n v="25500"/>
    <n v="1000"/>
    <n v="1000"/>
    <n v="3.7735849056603772E-2"/>
    <x v="1"/>
    <x v="0"/>
  </r>
  <r>
    <s v="AUG"/>
    <s v="PO-25003470"/>
    <s v="บริษัท สหมิตรไวร์ แอนด์ เคเบิ้ล จำกัด"/>
    <s v="ลวดแบนหุ้มกระดาษหนา 0.5 มม. "/>
    <n v="3124"/>
    <s v="KG"/>
    <n v="390"/>
    <n v="1218360"/>
    <n v="361"/>
    <n v="29"/>
    <n v="90596"/>
    <n v="7.4358974358974358E-2"/>
    <x v="0"/>
    <x v="1"/>
  </r>
  <r>
    <s v="AUG"/>
    <s v="PO-25003344"/>
    <s v="บริษัท เอ็นทีดับเบิ้ลยู เอ็นจิเนียริ่ง ซัพพลาย จำกัด"/>
    <s v="Manual Lift Table - Double Scissors 800Kg #TMD800"/>
    <n v="1"/>
    <s v="EA"/>
    <n v="29760"/>
    <n v="29760"/>
    <n v="29260"/>
    <n v="500"/>
    <n v="500"/>
    <n v="1.6801075268817203E-2"/>
    <x v="0"/>
    <x v="4"/>
  </r>
  <r>
    <s v="AUG"/>
    <s v="PO-25003325"/>
    <s v="ห้างหุ้นส่วนจำกัด สะพานสี่ สตีล โปรดักส์"/>
    <s v="งานซ่อมประตูรั้ว ด้านหน้าโรงงาน"/>
    <n v="1"/>
    <s v="JOB"/>
    <n v="35000"/>
    <n v="35000"/>
    <n v="32000"/>
    <n v="3000"/>
    <n v="3000"/>
    <n v="8.5714285714285715E-2"/>
    <x v="1"/>
    <x v="4"/>
  </r>
  <r>
    <s v="AUG"/>
    <s v="PO-25003369"/>
    <s v="บริษัท ไทยเครื่องชั่ง จำกัด"/>
    <s v="เครื่องชั่งอิเล็คทรอนิคส์ TSCALE Model MBW 150 kg. "/>
    <n v="3"/>
    <s v="Unit "/>
    <n v="11500"/>
    <n v="34500"/>
    <n v="11000"/>
    <n v="500"/>
    <n v="1500"/>
    <n v="4.3478260869565216E-2"/>
    <x v="0"/>
    <x v="4"/>
  </r>
  <r>
    <s v="AUG"/>
    <s v="PO-25003424"/>
    <s v="บริษัท เอ็มอี เครน เซอร์วิส แอนด์ ซัพพลาย จำกัด"/>
    <s v="เครนคานคู่ขนาด10 ตัน กว้าง 30 เมตร ทางวิ่งเครนยาว 54 เมตร "/>
    <n v="2"/>
    <s v="SET"/>
    <n v="2087000"/>
    <n v="4174000"/>
    <n v="2040000"/>
    <n v="47000"/>
    <n v="94000"/>
    <n v="2.2520364159080018E-2"/>
    <x v="1"/>
    <x v="4"/>
  </r>
  <r>
    <s v="AUG"/>
    <s v="PO-25003429"/>
    <s v="บริษัท ธนากัญญ คอนสตรัคชั่น เวิร์ค จำกัด"/>
    <s v="งานซ่อมรอยรั่วระเบียงชั้น2 บริเวณใต้คอมแอร์ QTC โรงงาน 1"/>
    <n v="1"/>
    <s v="JOB"/>
    <n v="7820"/>
    <n v="7820"/>
    <n v="7500"/>
    <n v="320"/>
    <n v="320"/>
    <n v="4.0920716112531973E-2"/>
    <x v="1"/>
    <x v="4"/>
  </r>
  <r>
    <s v="AUG"/>
    <s v="PO-25003448 "/>
    <s v="บริษัท ศรีราชามงคลชัย จำกัด"/>
    <s v="ประแจแหวน-ปากตาย #8-22 48-22-9515 ชุด 15ชิ้น Milwaukee"/>
    <n v="1"/>
    <s v="ชุด"/>
    <n v="4105"/>
    <n v="4105"/>
    <n v="3694.5"/>
    <n v="410.5"/>
    <n v="410.5"/>
    <n v="0.1"/>
    <x v="0"/>
    <x v="4"/>
  </r>
  <r>
    <s v="AUG"/>
    <s v="PO-25003260"/>
    <s v="ห้างหุ้นส่วนจำกัด สะพานสี่ สตีล โปรดักส์"/>
    <s v="งานปรับพื้นคอนกรีต ด้านหน้าอาคารอะมอฟัส เพิ่่มเติม"/>
    <n v="1"/>
    <s v="JOB"/>
    <n v="152000"/>
    <n v="152000"/>
    <n v="145000"/>
    <n v="7000"/>
    <n v="7000"/>
    <n v="4.6052631578947366E-2"/>
    <x v="1"/>
    <x v="4"/>
  </r>
  <r>
    <s v="AUG"/>
    <s v="PO-25003458"/>
    <s v="บริษัท สยาม วิน บอร์น จำกัด"/>
    <s v="เหล็กแผ่น SS400 หนา 9.0 มม. กว้าง 1219 มม. ยาว 2438 มม."/>
    <n v="30"/>
    <s v="Plate"/>
    <n v="4550"/>
    <n v="136500"/>
    <n v="4515"/>
    <n v="35"/>
    <n v="1050"/>
    <n v="7.6923076923076927E-3"/>
    <x v="1"/>
    <x v="0"/>
  </r>
  <r>
    <s v="AUG"/>
    <s v="PO-25003458"/>
    <s v="บริษัท สยาม วิน บอร์น จำกัด"/>
    <s v="เหล็กแผ่น SS400 หนา 4.5 มม. กว้าง 1219 มม. ยาว 2438 มม."/>
    <n v="40"/>
    <s v="Plate"/>
    <n v="2295"/>
    <n v="91800"/>
    <n v="2255"/>
    <n v="40"/>
    <n v="1600"/>
    <n v="1.7429193899782137E-2"/>
    <x v="1"/>
    <x v="0"/>
  </r>
  <r>
    <s v="AUG"/>
    <s v="PO-25003458"/>
    <s v="บริษัท สยาม วิน บอร์น จำกัด"/>
    <s v="เหล็กแผ่นดำ หนา 4.5 มม. กว้าง 1524 มม. ยาว 3048 มม."/>
    <n v="10"/>
    <s v="Plate"/>
    <n v="3680"/>
    <n v="36800"/>
    <n v="3530"/>
    <n v="150"/>
    <n v="1500"/>
    <n v="4.0760869565217392E-2"/>
    <x v="1"/>
    <x v="0"/>
  </r>
  <r>
    <s v="AUG"/>
    <s v="PO-25003158"/>
    <s v="บริษัท พีเอส สตีล โปรเซสซิ่ง เซ็นเตอร์ จำกัด"/>
    <s v="Cold Rolled Steel Sheet (SPCC-SD) ขนาด 1.2*800 มม."/>
    <n v="6000"/>
    <s v="KG"/>
    <n v="27"/>
    <n v="162000"/>
    <n v="26.5"/>
    <n v="0.5"/>
    <n v="3000"/>
    <n v="1.8518518518518517E-2"/>
    <x v="1"/>
    <x v="0"/>
  </r>
  <r>
    <s v="AUG"/>
    <s v="PO-25003243"/>
    <s v="บริษัท เอ็น.เอช.เค.สตีล จำกัด"/>
    <s v="Cold Rolled Steel Sheet (SPCC-SD) ขนาด 1.5*1000 มม."/>
    <n v="6000"/>
    <s v="KG"/>
    <n v="27.5"/>
    <n v="165000"/>
    <n v="27"/>
    <n v="0.5"/>
    <n v="3000"/>
    <n v="1.8181818181818181E-2"/>
    <x v="1"/>
    <x v="0"/>
  </r>
  <r>
    <s v="AUG"/>
    <s v="PO-25003243"/>
    <s v="บริษัท เอ็น.เอช.เค.สตีล จำกัด"/>
    <s v="Cold Rolled Steel Sheet (SPCC-SD) ขนาด 1.5*1100 มม."/>
    <n v="6000"/>
    <s v="KG"/>
    <n v="27.5"/>
    <n v="165000"/>
    <n v="27"/>
    <n v="0.5"/>
    <n v="3000"/>
    <n v="1.8181818181818181E-2"/>
    <x v="1"/>
    <x v="0"/>
  </r>
  <r>
    <s v="AUG"/>
    <s v="PO-25003319"/>
    <s v="บริษัท เอ็น.เอช.เค.สตีล จำกัด"/>
    <s v="Cold Rolled Steel Sheet (SPCC-SD) ขนาด 1.5*900 มม."/>
    <n v="3000"/>
    <s v="KG"/>
    <n v="27"/>
    <n v="81000"/>
    <n v="26.5"/>
    <n v="0.5"/>
    <n v="1500"/>
    <n v="1.8518518518518517E-2"/>
    <x v="1"/>
    <x v="0"/>
  </r>
  <r>
    <s v="AUG"/>
    <s v="PO-25003319"/>
    <s v="บริษัท เอ็น.เอช.เค.สตีล จำกัด"/>
    <s v="Cold Rolled Steel Sheet (SPCC-SD) ขนาด 1.5*1200 มม."/>
    <n v="3000"/>
    <s v="KG"/>
    <n v="27"/>
    <n v="81000"/>
    <n v="25.5"/>
    <n v="1.5"/>
    <n v="4500"/>
    <n v="5.5555555555555552E-2"/>
    <x v="1"/>
    <x v="0"/>
  </r>
  <r>
    <s v="AUG"/>
    <s v="PO-25003319"/>
    <s v="บริษัท เอ็น.เอช.เค.สตีล จำกัด"/>
    <s v="Cold Rolled Steel Sheet (SPCC-SD) ขนาด 1.5*900 มม."/>
    <n v="3000"/>
    <s v="KG"/>
    <n v="27"/>
    <n v="81000"/>
    <n v="26.5"/>
    <n v="0.5"/>
    <n v="1500"/>
    <n v="1.8518518518518517E-2"/>
    <x v="1"/>
    <x v="0"/>
  </r>
  <r>
    <s v="AUG"/>
    <s v="PO-25003319"/>
    <s v="บริษัท เอ็น.เอช.เค.สตีล จำกัด"/>
    <s v="Cold Rolled Steel Sheet (SPCC-SD) ขนาด 1.5*1200 มม."/>
    <n v="6000"/>
    <s v="KG"/>
    <n v="27"/>
    <n v="162000"/>
    <n v="25.5"/>
    <n v="1.5"/>
    <n v="9000"/>
    <n v="5.5555555555555552E-2"/>
    <x v="1"/>
    <x v="0"/>
  </r>
  <r>
    <s v="AUG"/>
    <s v="PO-25003418"/>
    <s v="บริษัท เอ็น.เอช.เค.สตีล จำกัด"/>
    <s v="Cold Rolled Steel Sheet (SPCC-SD) ขนาด 1.2*600 มม."/>
    <n v="3000"/>
    <s v="KG"/>
    <n v="27"/>
    <n v="81000"/>
    <n v="25.5"/>
    <n v="1.5"/>
    <n v="4500"/>
    <n v="5.5555555555555552E-2"/>
    <x v="1"/>
    <x v="0"/>
  </r>
  <r>
    <s v="AUG"/>
    <s v="PO-25003454"/>
    <s v="บริษัท เอ็น.เอช.เค.สตีล จำกัด"/>
    <s v="Cold Rolled Steel Sheet (SPCC-SD) ขนาด 1.5*1200 มม."/>
    <n v="6000"/>
    <s v="KG"/>
    <n v="27"/>
    <n v="162000"/>
    <n v="26.5"/>
    <n v="0.5"/>
    <n v="3000"/>
    <n v="1.8518518518518517E-2"/>
    <x v="1"/>
    <x v="0"/>
  </r>
  <r>
    <s v="AUG"/>
    <s v="PO-25003454"/>
    <s v="บริษัท เอ็น.เอช.เค.สตีล จำกัด"/>
    <s v="Cold Rolled Steel Sheet (SPCC-SD) ขนาด 1.2*400 มม."/>
    <n v="3000"/>
    <s v="KG"/>
    <n v="27"/>
    <n v="81000"/>
    <n v="25.5"/>
    <n v="1.5"/>
    <n v="4500"/>
    <n v="5.5555555555555552E-2"/>
    <x v="1"/>
    <x v="0"/>
  </r>
  <r>
    <s v="AUG"/>
    <s v="PO-25003454"/>
    <s v="บริษัท เอ็น.เอช.เค.สตีล จำกัด"/>
    <s v="Cold Rolled Steel Sheet (SPCC-SD) ขนาด 1.5*1000 มม."/>
    <n v="3000"/>
    <s v="KG"/>
    <n v="27"/>
    <n v="81000"/>
    <n v="26.5"/>
    <n v="0.5"/>
    <n v="1500"/>
    <n v="1.8518518518518517E-2"/>
    <x v="1"/>
    <x v="0"/>
  </r>
  <r>
    <s v="AUG"/>
    <s v="PO-25003454"/>
    <s v="บริษัท เอ็น.เอช.เค.สตีล จำกัด"/>
    <s v="Cold Rolled Steel Sheet (SPCC-SD) ขนาด 1.2*700 มม."/>
    <n v="3000"/>
    <s v="KG"/>
    <n v="27"/>
    <n v="81000"/>
    <n v="26.5"/>
    <n v="0.5"/>
    <n v="1500"/>
    <n v="1.8518518518518517E-2"/>
    <x v="1"/>
    <x v="0"/>
  </r>
  <r>
    <s v="AUG"/>
    <s v="PO-25003115"/>
    <s v="บริษัท พี.เอส.พี.สเปเชียลตี้ส์ จำกัด (มหาชน)"/>
    <s v="น้ำมันหม้อแปลง Transform INH"/>
    <n v="98000"/>
    <s v="ลิตร"/>
    <n v="35"/>
    <n v="3430000"/>
    <n v="33.75"/>
    <n v="1.25"/>
    <n v="122500"/>
    <n v="3.5714285714285712E-2"/>
    <x v="0"/>
    <x v="0"/>
  </r>
  <r>
    <s v="Sep"/>
    <s v="PO-25003518"/>
    <s v="ห้างหุ้นส่วนจำกัด เอ็ม.เอ็น. อีเล็คทริค ซัพพลาย"/>
    <s v="หางปลาต่อสายแบบกลมเปลือย ยี่ห้อ T-LUG CL70-12"/>
    <n v="300"/>
    <s v="EA"/>
    <n v="26"/>
    <n v="7800"/>
    <n v="24.6"/>
    <n v="1.3999999999999986"/>
    <n v="419.99999999999955"/>
    <n v="5.3846153846153794E-2"/>
    <x v="0"/>
    <x v="1"/>
  </r>
  <r>
    <s v="Sep"/>
    <s v="PO-25003518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Sep"/>
    <s v="PO-25003525"/>
    <s v="บริษัท สตอบลี (ไทยแลนด์) จำกัด"/>
    <s v="Terminal Block UK6 No.3004524"/>
    <n v="6000"/>
    <s v="EA"/>
    <n v="18.239999999999998"/>
    <n v="109439.99999999999"/>
    <n v="15.92"/>
    <n v="2.3199999999999985"/>
    <n v="13919.999999999991"/>
    <n v="0.12719298245614027"/>
    <x v="1"/>
    <x v="1"/>
  </r>
  <r>
    <s v="Sep"/>
    <s v="PO-25003525"/>
    <s v="บริษัท สตอบลี (ไทยแลนด์) จำกัด"/>
    <s v="Terminal Block  URTK/S (ยี่ห้อ Phoenix Contact ) No.311087"/>
    <n v="700"/>
    <s v="EA"/>
    <n v="70.959999999999994"/>
    <n v="49671.999999999993"/>
    <n v="68.13"/>
    <n v="2.8299999999999983"/>
    <n v="1980.9999999999989"/>
    <n v="3.9881623449830872E-2"/>
    <x v="1"/>
    <x v="1"/>
  </r>
  <r>
    <s v="Sep"/>
    <s v="PO-25003525"/>
    <s v="บริษัท สตอบลี (ไทยแลนด์) จำกัด"/>
    <s v="Partition plate-ATP-UK (UK6N) No.3003224"/>
    <n v="600"/>
    <s v="EA"/>
    <n v="9.31"/>
    <n v="5586"/>
    <n v="8.82"/>
    <n v="0.49000000000000021"/>
    <n v="294.00000000000011"/>
    <n v="5.2631578947368439E-2"/>
    <x v="1"/>
    <x v="1"/>
  </r>
  <r>
    <s v="Sep"/>
    <s v="PO-25003525"/>
    <s v="บริษัท สตอบลี (ไทยแลนด์) จำกัด"/>
    <s v="Partition plate-ATP-UK (URTK/S)"/>
    <n v="200"/>
    <s v="EA"/>
    <n v="9.31"/>
    <n v="1862"/>
    <n v="8.82"/>
    <n v="0.49000000000000021"/>
    <n v="98.000000000000043"/>
    <n v="5.2631578947368439E-2"/>
    <x v="1"/>
    <x v="1"/>
  </r>
  <r>
    <s v="Sep"/>
    <s v="PO-25003539"/>
    <s v="บริษัท บีที สกรูเฮ้าส์ แอนด์ ซัพพลาย จำกัด"/>
    <s v="ปลั๊กอุด ขนาด 1/2&quot;"/>
    <n v="900"/>
    <s v="EA"/>
    <n v="7.8"/>
    <n v="7020"/>
    <n v="6.5"/>
    <n v="1.2999999999999998"/>
    <n v="1169.9999999999998"/>
    <n v="0.16666666666666666"/>
    <x v="1"/>
    <x v="1"/>
  </r>
  <r>
    <s v="Sep"/>
    <s v="PO-25003551"/>
    <s v="บริษัท วินเทรด โปร จำกัด"/>
    <s v="Ladder 6 Step (high 2100 mm.)"/>
    <n v="91"/>
    <s v="EA"/>
    <n v="1850"/>
    <n v="168350"/>
    <n v="1600"/>
    <n v="250"/>
    <n v="22750"/>
    <n v="0.13513513513513514"/>
    <x v="0"/>
    <x v="0"/>
  </r>
  <r>
    <s v="Sep"/>
    <s v="PO-25003551"/>
    <s v="บริษัท วินเทรด โปร จำกัด"/>
    <s v="เสายึดครีบ  Tie Rod 5/8&quot; TR.5140 kVA (Stainless 316)"/>
    <n v="114"/>
    <s v="EA"/>
    <n v="1000"/>
    <n v="114000"/>
    <n v="760"/>
    <n v="240"/>
    <n v="27360"/>
    <n v="0.24"/>
    <x v="0"/>
    <x v="0"/>
  </r>
  <r>
    <s v="Sep"/>
    <s v="PO-25003551"/>
    <s v="บริษัท วินเทรด โปร จำกัด"/>
    <s v="เสายึดครีบ  Tie Rod 5/8&quot; TR.7700 kVA (Stainless 316)"/>
    <n v="156"/>
    <s v="EA"/>
    <n v="1050"/>
    <n v="163800"/>
    <n v="930"/>
    <n v="120"/>
    <n v="18720"/>
    <n v="0.11428571428571428"/>
    <x v="0"/>
    <x v="0"/>
  </r>
  <r>
    <s v="Sep"/>
    <s v="PO-25003551"/>
    <s v="บริษัท วินเทรด โปร จำกัด"/>
    <s v="เสายึดครีบ  Tie Rod 5/8&quot; TR.7000 kVA (Stainless 316)"/>
    <n v="276"/>
    <s v="EA"/>
    <n v="1020"/>
    <n v="281520"/>
    <n v="880"/>
    <n v="140"/>
    <n v="38640"/>
    <n v="0.13725490196078433"/>
    <x v="0"/>
    <x v="0"/>
  </r>
  <r>
    <s v="Sep"/>
    <s v="PO-25003534"/>
    <s v="บริษัท เจเอ็มซี เอ็นจิเนียริ่ง แอนด์ แมชชินเนอรี่ (ประเทศไทย) จำกัด"/>
    <s v="Bolt lock Buttefly Valve Radiator Fin"/>
    <n v="6200"/>
    <s v="EA"/>
    <n v="60"/>
    <n v="372000"/>
    <n v="40"/>
    <n v="20"/>
    <n v="124000"/>
    <n v="0.33333333333333331"/>
    <x v="0"/>
    <x v="0"/>
  </r>
  <r>
    <s v="Sep"/>
    <s v="PO-25003533"/>
    <s v="บริษัท เจเอ็มซี เอ็นจิเนียริ่ง แอนด์ แมชชินเนอรี่ (ประเทศไทย) จำกัด"/>
    <s v="Support radiator fin ( No.1 , No.2 , No.3 )"/>
    <n v="52"/>
    <s v="SET"/>
    <n v="2885"/>
    <n v="150020"/>
    <n v="2740.75"/>
    <n v="144.25"/>
    <n v="7501"/>
    <n v="0.05"/>
    <x v="0"/>
    <x v="0"/>
  </r>
  <r>
    <s v="Sep"/>
    <s v="PO-25003533"/>
    <s v="บริษัท เจเอ็มซี เอ็นจิเนียริ่ง แอนด์ แมชชินเนอรี่ (ประเทศไทย) จำกัด"/>
    <s v="Support radiator fin No.4 ( Left  )"/>
    <n v="104"/>
    <s v="SET"/>
    <n v="710"/>
    <n v="73840"/>
    <n v="674.5"/>
    <n v="35.5"/>
    <n v="3692"/>
    <n v="0.05"/>
    <x v="0"/>
    <x v="0"/>
  </r>
  <r>
    <s v="Sep"/>
    <s v="PO-25003533"/>
    <s v="บริษัท เจเอ็มซี เอ็นจิเนียริ่ง แอนด์ แมชชินเนอรี่ (ประเทศไทย) จำกัด"/>
    <s v="Support radiator fin No.4 ( Right )"/>
    <n v="104"/>
    <s v="EA"/>
    <n v="710"/>
    <n v="73840"/>
    <n v="674.5"/>
    <n v="35.5"/>
    <n v="3692"/>
    <n v="0.05"/>
    <x v="0"/>
    <x v="0"/>
  </r>
  <r>
    <s v="Sep"/>
    <s v="PO-25003533"/>
    <s v="บริษัท เจเอ็มซี เอ็นจิเนียริ่ง แอนด์ แมชชินเนอรี่ (ประเทศไทย) จำกัด"/>
    <s v="Support radiator fin No.4 ( Left  )"/>
    <n v="40"/>
    <s v="SET"/>
    <n v="710"/>
    <n v="28400"/>
    <n v="674.5"/>
    <n v="35.5"/>
    <n v="1420"/>
    <n v="0.05"/>
    <x v="0"/>
    <x v="0"/>
  </r>
  <r>
    <s v="Sep"/>
    <s v="PO-25003533"/>
    <s v="บริษัท เจเอ็มซี เอ็นจิเนียริ่ง แอนด์ แมชชินเนอรี่ (ประเทศไทย) จำกัด"/>
    <s v="Support radiator fin No.4 ( Right )"/>
    <n v="40"/>
    <s v="EA"/>
    <n v="710"/>
    <n v="28400"/>
    <n v="674.5"/>
    <n v="35.5"/>
    <n v="1420"/>
    <n v="0.05"/>
    <x v="0"/>
    <x v="0"/>
  </r>
  <r>
    <s v="Sep"/>
    <s v="PO-25003533"/>
    <s v="บริษัท เจเอ็มซี เอ็นจิเนียริ่ง แอนด์ แมชชินเนอรี่ (ประเทศไทย) จำกัด"/>
    <s v="Support radiator fin ( No.1 , No.2 , No.3 )"/>
    <n v="20"/>
    <s v="SET"/>
    <n v="2885"/>
    <n v="57700"/>
    <n v="2740.75"/>
    <n v="144.25"/>
    <n v="2885"/>
    <n v="0.05"/>
    <x v="0"/>
    <x v="0"/>
  </r>
  <r>
    <s v="Sep"/>
    <s v="PO-25003568"/>
    <s v="บริษัท วินเนอร์ นัมเบอร์เพลท จำกัด"/>
    <s v="แผ่นป้าย Logo QTC ขนาดใหญ่ No.2 (สแตนเลส) New Logo"/>
    <n v="5"/>
    <s v="EA"/>
    <n v="315"/>
    <n v="1575"/>
    <n v="310"/>
    <n v="5"/>
    <n v="25"/>
    <n v="1.5873015873015872E-2"/>
    <x v="1"/>
    <x v="1"/>
  </r>
  <r>
    <s v="Sep"/>
    <s v="PO-25003568"/>
    <s v="บริษัท วินเนอร์ นัมเบอร์เพลท จำกัด"/>
    <s v="แผ่นป้าย Logo QTC ขนาดใหญ่ มอก.384-2567"/>
    <n v="200"/>
    <s v="EA"/>
    <n v="350"/>
    <n v="70000"/>
    <n v="345"/>
    <n v="5"/>
    <n v="1000"/>
    <n v="1.4285714285714285E-2"/>
    <x v="1"/>
    <x v="1"/>
  </r>
  <r>
    <s v="Sep"/>
    <s v="PO-25003568"/>
    <s v="บริษัท วินเนอร์ นัมเบอร์เพลท จำกัด"/>
    <s v="แผ่นป้าย Logo QTC ขนาดเล็ก มอก.384-2567"/>
    <n v="300"/>
    <s v="EA"/>
    <n v="250"/>
    <n v="75000"/>
    <n v="245"/>
    <n v="5"/>
    <n v="1500"/>
    <n v="0.02"/>
    <x v="1"/>
    <x v="1"/>
  </r>
  <r>
    <s v="Sep"/>
    <s v="PO-25003592"/>
    <s v="บริษัท วินเทรด โปร จำกัด"/>
    <s v="Pipe  fo pressurerelief VP080-QT"/>
    <n v="101"/>
    <s v="EA"/>
    <n v="380"/>
    <n v="38380"/>
    <n v="260"/>
    <n v="120"/>
    <n v="12120"/>
    <n v="0.31578947368421051"/>
    <x v="0"/>
    <x v="0"/>
  </r>
  <r>
    <s v="Sep"/>
    <s v="PO-25003593"/>
    <s v="บริษัท ยูไนเต็ดคอปเปอร์ จำกัด"/>
    <s v="ทองแดงเส้นแบนขนาด 10x160mm. (สำหรับงาน SOF-250043)"/>
    <n v="2"/>
    <s v="SET"/>
    <n v="124260"/>
    <n v="248520"/>
    <n v="122400"/>
    <n v="1860"/>
    <n v="3720"/>
    <n v="1.496861419604056E-2"/>
    <x v="1"/>
    <x v="1"/>
  </r>
  <r>
    <s v="Sep"/>
    <s v="PO-25003600"/>
    <s v="ห้างหุ้นส่วนจำกัด เอ็ม.เอ็น. อีเล็คทริค ซัพพลาย"/>
    <s v="หางปลาต่อสายแบบกลมเปลือย ยี่ห้อ T-LUG CL50-12,T-LUG CL50-8"/>
    <n v="300"/>
    <s v="EA"/>
    <n v="15.5"/>
    <n v="4650"/>
    <n v="14.76"/>
    <n v="0.74000000000000021"/>
    <n v="222.00000000000006"/>
    <n v="4.7741935483870984E-2"/>
    <x v="0"/>
    <x v="1"/>
  </r>
  <r>
    <s v="Sep"/>
    <s v="PO-25003600"/>
    <s v="ห้างหุ้นส่วนจำกัด เอ็ม.เอ็น. อีเล็คทริค ซัพพลาย"/>
    <s v="หางปลาต่อสายแบบกลมเปลือย ยี่ห้อ T-LUG CL120-12"/>
    <n v="200"/>
    <s v="EA"/>
    <n v="50"/>
    <n v="10000"/>
    <n v="47.56"/>
    <n v="2.4399999999999977"/>
    <n v="487.99999999999955"/>
    <n v="4.8799999999999955E-2"/>
    <x v="0"/>
    <x v="1"/>
  </r>
  <r>
    <s v="Sep"/>
    <s v="PO-25003600"/>
    <s v="ห้างหุ้นส่วนจำกัด เอ็ม.เอ็น. อีเล็คทริค ซัพพลาย"/>
    <s v="หางปลาต่อสายแบบกลมเปลือย ยี่ห้อ T-LUG ขนาด 16-8 มม."/>
    <n v="200"/>
    <s v="EA"/>
    <n v="5.25"/>
    <n v="1050"/>
    <n v="5.0999999999999996"/>
    <n v="0.15000000000000036"/>
    <n v="30.000000000000071"/>
    <n v="2.857142857142864E-2"/>
    <x v="0"/>
    <x v="1"/>
  </r>
  <r>
    <s v="Sep"/>
    <s v="PO-25003612"/>
    <s v="ห้างหุ้นส่วนจำกัด เอ็ม.เอ็น. อีเล็คทริค ซัพพลาย"/>
    <s v="สายไฟ THW  Size 16 SQ.MM.(สายแข็งสีดำ)"/>
    <n v="2"/>
    <s v="Roll"/>
    <n v="6800"/>
    <n v="13600"/>
    <n v="6363"/>
    <n v="437"/>
    <n v="874"/>
    <n v="6.4264705882352946E-2"/>
    <x v="0"/>
    <x v="1"/>
  </r>
  <r>
    <s v="Sep"/>
    <s v="PO-25003652"/>
    <s v="บริษัท วินเทรด โปร จำกัด"/>
    <s v="สตัดโบลท์สแตนเลส ขนาด M8 x 210 mm. (เกลียว 1.25 มม.)"/>
    <n v="2037"/>
    <s v="EA"/>
    <n v="45"/>
    <n v="91665"/>
    <n v="26"/>
    <n v="19"/>
    <n v="38703"/>
    <n v="0.42222222222222222"/>
    <x v="0"/>
    <x v="0"/>
  </r>
  <r>
    <s v="Sep"/>
    <s v="PO-25003663"/>
    <s v="Comemde  Pte Ltd."/>
    <s v="Oil Level Indicator With Contact model L140 “LA” (diagram W)"/>
    <n v="15"/>
    <s v="EA"/>
    <n v="10296"/>
    <n v="154440"/>
    <n v="10098"/>
    <n v="198"/>
    <n v="2970"/>
    <n v="1.9230769230769232E-2"/>
    <x v="1"/>
    <x v="1"/>
  </r>
  <r>
    <s v="Sep"/>
    <s v="PO-25003676"/>
    <s v="ห้างหุ้นส่วนจำกัด บางกอกคอปเปอร์"/>
    <s v="ลวดแบนหุ้มกระดาษหนา 0.6 มม. "/>
    <n v="3641"/>
    <s v="KG"/>
    <n v="380"/>
    <n v="1383580"/>
    <n v="375"/>
    <n v="5"/>
    <n v="18205"/>
    <n v="1.3157894736842105E-2"/>
    <x v="1"/>
    <x v="1"/>
  </r>
  <r>
    <s v="Sep"/>
    <s v="PO-25003676"/>
    <s v="ห้างหุ้นส่วนจำกัด บางกอกคอปเปอร์"/>
    <s v="ลวดแบนหุ้มกระดาษหนา 0.8 มม. "/>
    <n v="290"/>
    <s v="KG"/>
    <n v="387"/>
    <n v="112230"/>
    <n v="382"/>
    <n v="5"/>
    <n v="1450"/>
    <n v="1.2919896640826873E-2"/>
    <x v="1"/>
    <x v="1"/>
  </r>
  <r>
    <s v="Sep"/>
    <s v="PO-25003620"/>
    <s v="บริษัท เอคเม อินซูเลชั่น จำกัด"/>
    <s v="BCT Terminal Box T9015 12pin (PF1&quot;)"/>
    <n v="80"/>
    <s v="EA"/>
    <n v="5780"/>
    <n v="462400"/>
    <n v="5640"/>
    <n v="140"/>
    <n v="11200"/>
    <n v="2.4221453287197232E-2"/>
    <x v="0"/>
    <x v="0"/>
  </r>
  <r>
    <s v="Sep"/>
    <s v="PO-25003688"/>
    <s v="บริษัท เจเอ็มซี เอ็นจิเนียริ่ง แอนด์ แมชชินเนอรี่ (ประเทศไทย) จำกัด"/>
    <s v="LV Stainless Plate  Grade 304  ขนาด 330*700*9 มม."/>
    <n v="135"/>
    <s v="EA"/>
    <n v="2470"/>
    <n v="333450"/>
    <n v="2400"/>
    <n v="70"/>
    <n v="9450"/>
    <n v="2.8340080971659919E-2"/>
    <x v="0"/>
    <x v="0"/>
  </r>
  <r>
    <s v="Sep"/>
    <s v="PO-25003672"/>
    <s v="บริษัท ชลบุรีธนาคม จำกัด"/>
    <s v="Wooden Crate Tr.500 kVA (IPPC/Heat Treatment)"/>
    <n v="49"/>
    <s v="SET"/>
    <n v="1900"/>
    <n v="93100"/>
    <n v="1500"/>
    <n v="400"/>
    <n v="19600"/>
    <n v="0.21052631578947367"/>
    <x v="0"/>
    <x v="0"/>
  </r>
  <r>
    <s v="Sep"/>
    <s v="PO-25003721"/>
    <s v="ห้างหุ้นส่วนจำกัด เอ็ม.เอ็น. อีเล็คทริค ซัพพลาย"/>
    <s v="หางปลาต่อสายแบบกลมเปลือย ยี่ห้อ T-LUG CL240-12"/>
    <n v="100"/>
    <s v="EA"/>
    <n v="190"/>
    <n v="19000"/>
    <n v="182.25"/>
    <n v="7.75"/>
    <n v="775"/>
    <n v="4.0789473684210528E-2"/>
    <x v="0"/>
    <x v="1"/>
  </r>
  <r>
    <s v="Sep"/>
    <s v="PO-25003632"/>
    <s v="บริษัท วินเทรด โปร จำกัด"/>
    <s v="เสายึดครีบ  Tie Rod 5/8&quot; TR.2000 kVA (Stainless  316)"/>
    <n v="4"/>
    <s v="EA"/>
    <n v="750"/>
    <n v="3000"/>
    <n v="710"/>
    <n v="40"/>
    <n v="160"/>
    <n v="5.3333333333333337E-2"/>
    <x v="0"/>
    <x v="0"/>
  </r>
  <r>
    <s v="Sep"/>
    <s v="PO-25003632"/>
    <s v="บริษัท วินเทรด โปร จำกัด"/>
    <s v="เสายึดครีบ  Tie Rod 5/8&quot; TR.2000 kVA (Stainless  316)"/>
    <n v="16"/>
    <s v="EA"/>
    <n v="800"/>
    <n v="12800"/>
    <n v="780"/>
    <n v="20"/>
    <n v="320"/>
    <n v="2.5000000000000001E-2"/>
    <x v="0"/>
    <x v="0"/>
  </r>
  <r>
    <s v="Sep"/>
    <s v="PO-25003632"/>
    <s v="บริษัท วินเทรด โปร จำกัด"/>
    <s v="เสายึดครีบ  Tie Rod 5/8&quot; TR.2500 kVA (Stainless  316)"/>
    <n v="4"/>
    <s v="EA"/>
    <n v="850"/>
    <n v="3400"/>
    <n v="790"/>
    <n v="60"/>
    <n v="240"/>
    <n v="7.0588235294117646E-2"/>
    <x v="0"/>
    <x v="0"/>
  </r>
  <r>
    <s v="Sep"/>
    <s v="PO-25003632"/>
    <s v="บริษัท วินเทรด โปร จำกัด"/>
    <s v="เสายึดครีบ  Tie Rod 5/8&quot; TR.2570 kVA (Stainless  316)"/>
    <n v="8"/>
    <s v="EA"/>
    <n v="800"/>
    <n v="6400"/>
    <n v="780"/>
    <n v="20"/>
    <n v="160"/>
    <n v="2.5000000000000001E-2"/>
    <x v="0"/>
    <x v="0"/>
  </r>
  <r>
    <s v="Sep"/>
    <s v="PO-25003632"/>
    <s v="บริษัท วินเทรด โปร จำกัด"/>
    <s v="เสายึดครีบ  Tie Rod 5/8&quot; TR.3500kVA (Stainless  316)"/>
    <n v="8"/>
    <s v="EA"/>
    <n v="790"/>
    <n v="6320"/>
    <n v="770"/>
    <n v="20"/>
    <n v="160"/>
    <n v="2.5316455696202531E-2"/>
    <x v="0"/>
    <x v="0"/>
  </r>
  <r>
    <s v="Sep"/>
    <s v="PO-25003730"/>
    <s v="บริษัท ต่อกิจ พัฒนา 2019 จำกัด"/>
    <s v="CABLE BOX TYPE 1 TR.315 kVA 3Ph 50Hz 800-400/230V"/>
    <n v="5"/>
    <s v="SET"/>
    <n v="30500"/>
    <n v="152500"/>
    <n v="29000"/>
    <n v="1500"/>
    <n v="7500"/>
    <n v="4.9180327868852458E-2"/>
    <x v="1"/>
    <x v="0"/>
  </r>
  <r>
    <s v="Sep"/>
    <s v="PO-25003747"/>
    <s v="บริษัท กิ้มเฮงเชียง  จำกัด"/>
    <s v="ทองแดงเส้นแบน"/>
    <n v="1100.4000000000001"/>
    <s v="KG"/>
    <n v="380"/>
    <n v="418152.00000000006"/>
    <n v="370"/>
    <n v="10"/>
    <n v="11004"/>
    <n v="2.6315789473684209E-2"/>
    <x v="0"/>
    <x v="1"/>
  </r>
  <r>
    <s v="Sep"/>
    <s v="PO-25003760"/>
    <s v="ห้างหุ้นส่วนจำกัด เอ็ม.เอ็น. อีเล็คทริค ซัพพลาย"/>
    <s v="หางปลาต่อสายแบบกลมเปลือย ยี่ห้อ T-LUG CL70-12"/>
    <n v="300"/>
    <s v="EA"/>
    <n v="26"/>
    <n v="7800"/>
    <n v="24.6"/>
    <n v="1.3999999999999986"/>
    <n v="419.99999999999955"/>
    <n v="5.3846153846153794E-2"/>
    <x v="0"/>
    <x v="1"/>
  </r>
  <r>
    <s v="Sep"/>
    <s v="PO-25003788"/>
    <s v="ห้างหุ้นส่วนจำกัด เอ็ม.เอ็น. อีเล็คทริค ซัพพลาย"/>
    <s v="หางปลาต่อสายแบบกลมเปลือย ยี่ห้อ T-LUG CL70-12"/>
    <n v="500"/>
    <s v="EA"/>
    <n v="26"/>
    <n v="13000"/>
    <n v="24.6"/>
    <n v="1.3999999999999986"/>
    <n v="699.99999999999932"/>
    <n v="5.3846153846153794E-2"/>
    <x v="0"/>
    <x v="1"/>
  </r>
  <r>
    <s v="Sep"/>
    <s v="PO-25003788"/>
    <s v="ห้างหุ้นส่วนจำกัด เอ็ม.เอ็น. อีเล็คทริค ซัพพลาย"/>
    <s v="หางปลาต่อสายแบบกลมเปลือย ยี่ห้อ T-LUG ขนาด 6-10 มม."/>
    <n v="100"/>
    <s v="EA"/>
    <n v="2.6"/>
    <n v="260"/>
    <n v="2.5499999999999998"/>
    <n v="5.0000000000000266E-2"/>
    <n v="5.0000000000000266"/>
    <n v="1.9230769230769332E-2"/>
    <x v="0"/>
    <x v="1"/>
  </r>
  <r>
    <s v="Sep"/>
    <s v="PO-25003790"/>
    <s v="บริษัท สหมิตรไวร์ แอนด์ เคเบิ้ล จำกัด"/>
    <s v="ลวดแบนหุ้มกระดาษหนา 0.5 มม. "/>
    <n v="2998"/>
    <s v="KG"/>
    <n v="387"/>
    <n v="1160226"/>
    <n v="357"/>
    <n v="30"/>
    <n v="89940"/>
    <n v="7.7519379844961239E-2"/>
    <x v="0"/>
    <x v="1"/>
  </r>
  <r>
    <s v="Sep"/>
    <s v="PO-25003583"/>
    <s v="บริษัท กิ้มเฮงเชียง  จำกัด"/>
    <s v="ทองแดงเส้นแบน"/>
    <n v="562.6"/>
    <s v="KG"/>
    <n v="380"/>
    <n v="213788"/>
    <n v="370"/>
    <n v="10"/>
    <n v="5626"/>
    <n v="2.6315789473684209E-2"/>
    <x v="0"/>
    <x v="1"/>
  </r>
  <r>
    <s v="Sep"/>
    <s v="PO-25003507"/>
    <s v="Wuhu Zhongyuan Import and Export Co.,Ltd"/>
    <s v="Copper Foil ขนาด 2.0*750 มม."/>
    <n v="1860"/>
    <s v="KG"/>
    <n v="354.1"/>
    <n v="658626"/>
    <n v="346.84"/>
    <n v="7.2600000000000477"/>
    <n v="13503.600000000089"/>
    <n v="2.0502682857949865E-2"/>
    <x v="0"/>
    <x v="1"/>
  </r>
  <r>
    <s v="Sep"/>
    <s v="PO-25003507"/>
    <s v="Wuhu Zhongyuan Import and Export Co.,Ltd"/>
    <s v="Copper Foil ขนาด 1.10*530 มม."/>
    <n v="16800"/>
    <s v="KG"/>
    <n v="354.1"/>
    <n v="5948880"/>
    <n v="345.19"/>
    <n v="8.910000000000025"/>
    <n v="149688.00000000041"/>
    <n v="2.5162383507483829E-2"/>
    <x v="0"/>
    <x v="1"/>
  </r>
  <r>
    <s v="Sep"/>
    <s v="PO-25000989"/>
    <s v="HEINRICH  GEORG  GMBH  MASCHINENFABRIK"/>
    <s v="ค่าขนส่งสินค้าเข้าโรงงาน"/>
    <n v="1"/>
    <s v="JOB"/>
    <n v="3500"/>
    <n v="3500"/>
    <n v="0"/>
    <n v="3500"/>
    <n v="3500"/>
    <n v="1"/>
    <x v="1"/>
    <x v="1"/>
  </r>
  <r>
    <s v="Sep"/>
    <s v="PO-25003781"/>
    <s v="บริษัท ต่อกิจ พัฒนา 2019 จำกัด"/>
    <s v="Control Box Type 4 "/>
    <n v="2"/>
    <s v="EA"/>
    <n v="8500"/>
    <n v="17000"/>
    <n v="7300"/>
    <n v="1200"/>
    <n v="2400"/>
    <n v="0.14117647058823529"/>
    <x v="1"/>
    <x v="0"/>
  </r>
  <r>
    <s v="Sep"/>
    <s v="PO-25003848"/>
    <s v="บริษัท ชลบุรีธนาคม จำกัด"/>
    <s v="Wooden Crate Tr.300 kVA"/>
    <n v="42"/>
    <s v="SET"/>
    <n v="1300"/>
    <n v="54600"/>
    <n v="1200"/>
    <n v="100"/>
    <n v="4200"/>
    <n v="7.6923076923076927E-2"/>
    <x v="0"/>
    <x v="0"/>
  </r>
  <r>
    <s v="Sep"/>
    <s v="PO-25003805"/>
    <s v="บริษัท ต่อกิจ พัฒนา 2019 จำกัด"/>
    <s v="Control  Box  (Plate 6 รู)"/>
    <n v="1"/>
    <s v="SET"/>
    <n v="7500"/>
    <n v="7500"/>
    <n v="6750"/>
    <n v="750"/>
    <n v="750"/>
    <n v="0.1"/>
    <x v="0"/>
    <x v="0"/>
  </r>
  <r>
    <s v="Sep"/>
    <s v="PO-25003805"/>
    <s v="บริษัท ต่อกิจ พัฒนา 2019 จำกัด"/>
    <s v="Box ตัวเสียบ ขนาด 1250x500x1100 มม."/>
    <n v="1"/>
    <s v="SET"/>
    <n v="15500"/>
    <n v="15500"/>
    <n v="13950"/>
    <n v="1550"/>
    <n v="1550"/>
    <n v="0.1"/>
    <x v="0"/>
    <x v="0"/>
  </r>
  <r>
    <s v="Sep"/>
    <s v="PO-25003805"/>
    <s v="บริษัท ต่อกิจ พัฒนา 2019 จำกัด"/>
    <s v="CABLE BOX TYPE 1 TR.2500 kVA 3Ph 50Hz 22000-800V"/>
    <n v="1"/>
    <s v="SET"/>
    <n v="72500"/>
    <n v="72500"/>
    <n v="65250"/>
    <n v="7250"/>
    <n v="7250"/>
    <n v="0.1"/>
    <x v="0"/>
    <x v="0"/>
  </r>
  <r>
    <s v="Sep"/>
    <s v="PO-25003821"/>
    <s v="บริษัท ต่อกิจ พัฒนา 2019 จำกัด"/>
    <s v="Control  Box  (Plate 6 รู)"/>
    <n v="1"/>
    <s v="EA"/>
    <n v="7500"/>
    <n v="7500"/>
    <n v="6750"/>
    <n v="750"/>
    <n v="750"/>
    <n v="0.1"/>
    <x v="0"/>
    <x v="0"/>
  </r>
  <r>
    <s v="Sep"/>
    <s v="PO-25003821"/>
    <s v="บริษัท ต่อกิจ พัฒนา 2019 จำกัด"/>
    <s v="Control  Box  (Plate 6 รู)"/>
    <n v="1"/>
    <s v="EA"/>
    <n v="7500"/>
    <n v="7500"/>
    <n v="6750"/>
    <n v="750"/>
    <n v="750"/>
    <n v="0.1"/>
    <x v="0"/>
    <x v="0"/>
  </r>
  <r>
    <s v="Sep"/>
    <s v="PO-25003821"/>
    <s v="บริษัท ต่อกิจ พัฒนา 2019 จำกัด"/>
    <s v="CABLE BOX TYPE 1 TR.2570 kVA 3Ph 50Hz 22000-690V"/>
    <n v="1"/>
    <s v="SET"/>
    <n v="66500"/>
    <n v="66500"/>
    <n v="59850"/>
    <n v="6650"/>
    <n v="6650"/>
    <n v="0.1"/>
    <x v="0"/>
    <x v="0"/>
  </r>
  <r>
    <s v="Sep"/>
    <s v="PO-25003821"/>
    <s v="บริษัท ต่อกิจ พัฒนา 2019 จำกัด"/>
    <s v="Box ตัวเสียบ ขนาด 1290x500x1100 มม (HV) "/>
    <n v="1"/>
    <s v="SET"/>
    <n v="15500"/>
    <n v="15500"/>
    <n v="13950"/>
    <n v="1550"/>
    <n v="1550"/>
    <n v="0.1"/>
    <x v="0"/>
    <x v="0"/>
  </r>
  <r>
    <s v="Sep"/>
    <s v="PO-25003821"/>
    <s v="บริษัท ต่อกิจ พัฒนา 2019 จำกัด"/>
    <s v="CABLE BOX TYPE 1 TR.2570 kVA 3Ph 50Hz 22000-690V"/>
    <n v="1"/>
    <s v="SET"/>
    <n v="66500"/>
    <n v="66500"/>
    <n v="59850"/>
    <n v="6650"/>
    <n v="6650"/>
    <n v="0.1"/>
    <x v="0"/>
    <x v="0"/>
  </r>
  <r>
    <s v="Sep"/>
    <s v="PO-25003821"/>
    <s v="บริษัท ต่อกิจ พัฒนา 2019 จำกัด"/>
    <s v="Box ตัวเสียบ ขนาด 1290x500x1100 มม (HV)"/>
    <n v="1"/>
    <s v="SET"/>
    <n v="15500"/>
    <n v="15500"/>
    <n v="13950"/>
    <n v="1550"/>
    <n v="1550"/>
    <n v="0.1"/>
    <x v="0"/>
    <x v="0"/>
  </r>
  <r>
    <s v="Sep"/>
    <s v="PO-25003824"/>
    <s v="บริษัท ต่อกิจ พัฒนา 2019 จำกัด"/>
    <s v="Control  Box  (Plate 6 รู)"/>
    <n v="2"/>
    <s v="EA"/>
    <n v="7500"/>
    <n v="15000"/>
    <n v="6750"/>
    <n v="750"/>
    <n v="1500"/>
    <n v="0.1"/>
    <x v="0"/>
    <x v="0"/>
  </r>
  <r>
    <s v="Sep"/>
    <s v="PO-25003824"/>
    <s v="บริษัท ต่อกิจ พัฒนา 2019 จำกัด"/>
    <s v="Box ตัวเสียบ ขนาด 1250x500x1100 มม."/>
    <n v="2"/>
    <s v="SET"/>
    <n v="15500"/>
    <n v="31000"/>
    <n v="13950"/>
    <n v="1550"/>
    <n v="3100"/>
    <n v="0.1"/>
    <x v="0"/>
    <x v="0"/>
  </r>
  <r>
    <s v="Sep"/>
    <s v="PO-25003824"/>
    <s v="บริษัท ต่อกิจ พัฒนา 2019 จำกัด"/>
    <s v="Control  Box  (Plate 6 รู)"/>
    <n v="2"/>
    <s v="EA"/>
    <n v="7500"/>
    <n v="15000"/>
    <n v="6750"/>
    <n v="750"/>
    <n v="1500"/>
    <n v="0.1"/>
    <x v="0"/>
    <x v="0"/>
  </r>
  <r>
    <s v="Sep"/>
    <s v="PO-25003824"/>
    <s v="บริษัท ต่อกิจ พัฒนา 2019 จำกัด"/>
    <s v="Box ตัวเสียบ ขนาด 1250x500x1100 มม."/>
    <n v="2"/>
    <s v="SET"/>
    <n v="15500"/>
    <n v="31000"/>
    <n v="13950"/>
    <n v="1550"/>
    <n v="3100"/>
    <n v="0.1"/>
    <x v="0"/>
    <x v="0"/>
  </r>
  <r>
    <s v="Sep"/>
    <s v="PO-25003824"/>
    <s v="บริษัท ต่อกิจ พัฒนา 2019 จำกัด"/>
    <s v="CABLE BOX TYPE 1 TR.2000 kVA 3Ph 50Hz 22000-400/230V"/>
    <n v="2"/>
    <s v="SET"/>
    <n v="69500"/>
    <n v="139000"/>
    <n v="62550"/>
    <n v="6950"/>
    <n v="13900"/>
    <n v="0.1"/>
    <x v="0"/>
    <x v="0"/>
  </r>
  <r>
    <s v="Sep"/>
    <s v="PO-25003824"/>
    <s v="บริษัท ต่อกิจ พัฒนา 2019 จำกัด"/>
    <s v="CABLE BOX TYPE 1 TR.2000 kVA 3Ph 50Hz 22000-400/230V"/>
    <n v="2"/>
    <s v="SET"/>
    <n v="69500"/>
    <n v="139000"/>
    <n v="62550"/>
    <n v="6950"/>
    <n v="13900"/>
    <n v="0.1"/>
    <x v="0"/>
    <x v="0"/>
  </r>
  <r>
    <s v="Sep"/>
    <s v="PO-25003863"/>
    <s v="บริษัท ต่อกิจ พัฒนา 2019 จำกัด"/>
    <s v="CABLE BOX TYPE 1 TR.3500 kVA 3Ph 50Hz 22000-800V"/>
    <n v="2"/>
    <s v="SET"/>
    <n v="89500"/>
    <n v="179000"/>
    <n v="80550"/>
    <n v="8950"/>
    <n v="17900"/>
    <n v="0.1"/>
    <x v="0"/>
    <x v="0"/>
  </r>
  <r>
    <s v="Sep"/>
    <s v="PO-25003863"/>
    <s v="บริษัท ต่อกิจ พัฒนา 2019 จำกัด"/>
    <s v="Control  Box  (Plate 6 รู)"/>
    <n v="2"/>
    <s v="EA"/>
    <n v="7500"/>
    <n v="15000"/>
    <n v="6750"/>
    <n v="750"/>
    <n v="1500"/>
    <n v="0.1"/>
    <x v="0"/>
    <x v="0"/>
  </r>
  <r>
    <s v="Sep"/>
    <s v="PO-25003862"/>
    <s v="บริษัท เอ็กซ์เชนจ์ อินเตอร์ จำกัด"/>
    <s v=" J-Bolt SS400 M20x300xT100xJ100mm.HDG"/>
    <n v="32"/>
    <s v="EA"/>
    <n v="150"/>
    <n v="4800"/>
    <n v="102"/>
    <n v="48"/>
    <n v="1536"/>
    <n v="0.32"/>
    <x v="1"/>
    <x v="0"/>
  </r>
  <r>
    <s v="Sep"/>
    <s v="PO-25003871"/>
    <s v="บริษัท ต่อกิจ พัฒนา 2019 จำกัด"/>
    <s v="Control  Box  (Plate 6 รู)"/>
    <n v="1"/>
    <s v="EA"/>
    <n v="7500"/>
    <n v="7500"/>
    <n v="6750"/>
    <n v="750"/>
    <n v="750"/>
    <n v="0.1"/>
    <x v="0"/>
    <x v="0"/>
  </r>
  <r>
    <s v="Sep"/>
    <s v="PO-25003871"/>
    <s v="บริษัท ต่อกิจ พัฒนา 2019 จำกัด"/>
    <s v="CABLE BOX TYPE 1 TR.2000 kVA 3Ph 50Hz 22000-400V"/>
    <n v="1"/>
    <s v="SET"/>
    <n v="63500"/>
    <n v="63500"/>
    <n v="57150"/>
    <n v="6350"/>
    <n v="6350"/>
    <n v="0.1"/>
    <x v="0"/>
    <x v="0"/>
  </r>
  <r>
    <s v="Sep"/>
    <s v="PO-25003871"/>
    <s v="บริษัท ต่อกิจ พัฒนา 2019 จำกัด"/>
    <s v="Box ตัวเสียบ ขนาด 1290x500x1100 มม (HV)"/>
    <n v="1"/>
    <s v="SET"/>
    <n v="15500"/>
    <n v="15500"/>
    <n v="13950"/>
    <n v="1550"/>
    <n v="1550"/>
    <n v="0.1"/>
    <x v="0"/>
    <x v="0"/>
  </r>
  <r>
    <s v="Sep"/>
    <s v="PO-25003906"/>
    <s v="ห้างหุ้นส่วนจำกัด เอ็ม.เอ็น. อีเล็คทริค ซัพพลาย"/>
    <s v="หางปลาต่อสายแบบกลมเปลือย ยี่ห้อ T-LUG CL120-12"/>
    <n v="100"/>
    <s v="EA"/>
    <n v="50"/>
    <n v="5000"/>
    <n v="47.56"/>
    <n v="2.4399999999999977"/>
    <n v="243.99999999999977"/>
    <n v="4.8799999999999955E-2"/>
    <x v="0"/>
    <x v="1"/>
  </r>
  <r>
    <s v="Sep"/>
    <s v="PO-25003892"/>
    <s v="Comemde  Pte Ltd."/>
    <s v="Oil Level Indicator  With Contact model L140 “LA”"/>
    <n v="50"/>
    <s v="EA"/>
    <n v="9456.5"/>
    <n v="472825"/>
    <n v="9267.3700000000008"/>
    <n v="189.1299999999992"/>
    <n v="9456.49999999996"/>
    <n v="1.9999999999999914E-2"/>
    <x v="1"/>
    <x v="1"/>
  </r>
  <r>
    <s v="Sep"/>
    <s v="PO-25003838"/>
    <s v="Wuhu Zhongyuan Import and Export Co.,Ltd"/>
    <s v="Copper Foil"/>
    <n v="20030"/>
    <s v="KG"/>
    <n v="356.07"/>
    <n v="7132082.0999999996"/>
    <n v="344.36"/>
    <n v="11.70999999999998"/>
    <n v="234551.29999999958"/>
    <n v="3.2886791922936441E-2"/>
    <x v="0"/>
    <x v="1"/>
  </r>
  <r>
    <s v="Sep"/>
    <s v="PO-25003843"/>
    <s v="บริษัท ต่อกิจ พัฒนา 2019 จำกัด"/>
    <s v="Control Box Type 4"/>
    <n v="2"/>
    <s v="EA"/>
    <n v="8500"/>
    <n v="17000"/>
    <n v="7300"/>
    <n v="1200"/>
    <n v="2400"/>
    <n v="0.14117647058823529"/>
    <x v="1"/>
    <x v="0"/>
  </r>
  <r>
    <s v="Sep"/>
    <s v="Gulf project"/>
    <s v="บริษัท พี ซี อีลีแมค จำกัด"/>
    <s v="Box ตัวเสียบ ขนาด 1250x500x1100 มม."/>
    <n v="72"/>
    <s v="SET"/>
    <n v="17800"/>
    <n v="1281600"/>
    <n v="15000"/>
    <n v="2800"/>
    <n v="201600"/>
    <n v="0.15730337078651685"/>
    <x v="0"/>
    <x v="0"/>
  </r>
  <r>
    <s v="Sep"/>
    <s v="Gulf project"/>
    <s v="บริษัท พี ซี อีลีแมค จำกัด"/>
    <s v="Box ตัวเสียบ ขนาด 1640x450x1100 มม (LV) 5รู"/>
    <n v="26"/>
    <s v="SET"/>
    <n v="20800"/>
    <n v="540800"/>
    <n v="18400"/>
    <n v="2400"/>
    <n v="62400"/>
    <n v="0.11538461538461539"/>
    <x v="0"/>
    <x v="0"/>
  </r>
  <r>
    <s v="Sep"/>
    <s v="Gulf project"/>
    <s v="บริษัท พี ซี อีลีแมค จำกัด"/>
    <s v="Box ตัวเสียบ ขนาด 1640x450x1100 มม."/>
    <n v="48"/>
    <s v="SET"/>
    <n v="20800"/>
    <n v="998400"/>
    <n v="18400"/>
    <n v="2400"/>
    <n v="115200"/>
    <n v="0.11538461538461539"/>
    <x v="0"/>
    <x v="0"/>
  </r>
  <r>
    <s v="Sep"/>
    <s v="Gulf project"/>
    <s v="บริษัท พี ซี อีลีแมค จำกัด"/>
    <s v="CABLE BOX TYPE 1 TR.5140 kVA 3Ph 50Hz 22000-690V"/>
    <n v="19"/>
    <s v="SET"/>
    <n v="84700"/>
    <n v="1609300"/>
    <n v="82000"/>
    <n v="2700"/>
    <n v="51300"/>
    <n v="3.1877213695395513E-2"/>
    <x v="0"/>
    <x v="0"/>
  </r>
  <r>
    <s v="Sep"/>
    <s v="Gulf project"/>
    <s v="บริษัท พี ซี อีลีแมค จำกัด"/>
    <s v="CABLE BOX TYPE 1 TR.7000 kVA 3Ph 50Hz 22000-800/800V"/>
    <n v="46"/>
    <s v="SET"/>
    <n v="52000"/>
    <n v="2392000"/>
    <n v="49000"/>
    <n v="3000"/>
    <n v="138000"/>
    <n v="5.7692307692307696E-2"/>
    <x v="0"/>
    <x v="0"/>
  </r>
  <r>
    <s v="Sep"/>
    <s v="Gulf project"/>
    <s v="บริษัท พี ซี อีลีแมค จำกัด"/>
    <s v="CABLE BOX TYPE 1 TR.7700 kVA 3Ph 50Hz 22000-800/800V"/>
    <n v="26"/>
    <s v="SET"/>
    <n v="52000"/>
    <n v="1352000"/>
    <n v="49000"/>
    <n v="3000"/>
    <n v="78000"/>
    <n v="5.7692307692307696E-2"/>
    <x v="0"/>
    <x v="0"/>
  </r>
  <r>
    <s v="Sep"/>
    <s v="Gulf project"/>
    <s v="บริษัท พี ซี อีลีแมค จำกัด"/>
    <s v="Control  Box"/>
    <n v="26"/>
    <s v="EA"/>
    <n v="6500"/>
    <n v="169000"/>
    <n v="6000"/>
    <n v="500"/>
    <n v="13000"/>
    <n v="7.6923076923076927E-2"/>
    <x v="0"/>
    <x v="0"/>
  </r>
  <r>
    <s v="Sep"/>
    <s v="PO-25003938"/>
    <s v="บริษัท สหมิตรไวร์ แอนด์ เคเบิ้ล จำกัด"/>
    <s v="ลวดแบนหุ้มกระดาษหนา 0.5 มม."/>
    <n v="7948"/>
    <s v="KG"/>
    <n v="357"/>
    <n v="2837436"/>
    <n v="356.5"/>
    <n v="0.5"/>
    <n v="3974"/>
    <n v="1.4005602240896359E-3"/>
    <x v="1"/>
    <x v="1"/>
  </r>
  <r>
    <s v="Sep"/>
    <s v="PO-25002637"/>
    <s v="Messko GmbH"/>
    <s v="Freight charge "/>
    <n v="1"/>
    <s v="JOB"/>
    <n v="66507.649999999994"/>
    <n v="66507.649999999994"/>
    <n v="61522.82"/>
    <n v="4984.8299999999945"/>
    <n v="4984.8299999999945"/>
    <n v="7.4951227415192015E-2"/>
    <x v="0"/>
    <x v="1"/>
  </r>
  <r>
    <s v="Sep"/>
    <s v="PO-25003964"/>
    <s v="บริษัท สาย4 พีพีดรักส์ จำกัด"/>
    <s v="8149 เครื่องวัดแอลกอฮอล์ AT8100 + Printer"/>
    <n v="2"/>
    <s v="EA"/>
    <n v="18200"/>
    <n v="36400"/>
    <n v="13900"/>
    <n v="4300"/>
    <n v="13900"/>
    <n v="0.23626373626373626"/>
    <x v="0"/>
    <x v="1"/>
  </r>
  <r>
    <s v="Sep"/>
    <s v="PO-25003940"/>
    <s v="บริษัท สยาม วิน บอร์น จำกัด"/>
    <s v="เหล็กราง ขนาด 100*50*5 มม."/>
    <n v="50"/>
    <s v="เส้น"/>
    <n v="1255"/>
    <n v="62750"/>
    <n v="1250"/>
    <n v="5"/>
    <n v="250"/>
    <n v="3.9840637450199202E-3"/>
    <x v="3"/>
    <x v="0"/>
  </r>
  <r>
    <s v="Sep"/>
    <s v="PO-25003940"/>
    <s v="บริษัท สยาม วิน บอร์น จำกัด"/>
    <s v="เหล็กฉาก ขนาด 65*65*8 มม."/>
    <n v="50"/>
    <s v="เส้น"/>
    <n v="1098"/>
    <n v="54900"/>
    <n v="1080"/>
    <n v="18"/>
    <n v="900"/>
    <n v="1.6393442622950821E-2"/>
    <x v="3"/>
    <x v="0"/>
  </r>
  <r>
    <s v="Sep"/>
    <s v="PO-25003940"/>
    <s v="บริษัท สยาม วิน บอร์น จำกัด"/>
    <s v="เหล็กราง ขนาด 75*40*5 มม."/>
    <n v="20"/>
    <s v="เส้น"/>
    <n v="950"/>
    <n v="19000"/>
    <n v="930"/>
    <n v="20"/>
    <n v="400"/>
    <n v="2.1052631578947368E-2"/>
    <x v="3"/>
    <x v="0"/>
  </r>
  <r>
    <s v="Sep"/>
    <s v="PO-25003952"/>
    <s v="บริษัท ต่อกิจ พัฒนา 2019 จำกัด"/>
    <s v="CABLE BOX TYPE 1 TR.400 kVA 3Ph 50Hz 22000-400/230V"/>
    <n v="1"/>
    <s v="SET"/>
    <n v="26500"/>
    <n v="26500"/>
    <n v="25500"/>
    <n v="1000"/>
    <n v="1000"/>
    <n v="3.7735849056603772E-2"/>
    <x v="3"/>
    <x v="0"/>
  </r>
  <r>
    <s v="Sep"/>
    <s v="PO-25003640"/>
    <s v="บริษัท เอ็มอี เครน เซอร์วิส แอนด์ ซัพพลาย จำกัด"/>
    <s v="เครนโรง Power 5 ton"/>
    <n v="1"/>
    <s v="SET"/>
    <n v="1237500"/>
    <n v="1237500"/>
    <n v="1220000"/>
    <n v="17500"/>
    <n v="17500"/>
    <n v="1.4141414141414142E-2"/>
    <x v="1"/>
    <x v="4"/>
  </r>
  <r>
    <s v="Sep"/>
    <s v="PO-25003640"/>
    <s v="บริษัท เอ็มอี เครน เซอร์วิส แอนด์ ซัพพลาย จำกัด"/>
    <s v="เครนโรง Power 50 ton"/>
    <n v="1"/>
    <s v="SET"/>
    <n v="3008000"/>
    <n v="3008000"/>
    <n v="2970000"/>
    <n v="38000"/>
    <n v="38000"/>
    <n v="1.2632978723404254E-2"/>
    <x v="1"/>
    <x v="4"/>
  </r>
  <r>
    <s v="Sep"/>
    <s v="PO-25003522"/>
    <s v="บริษัท เคเอ็มเอส ดีไซน์ แอนด์ คอนสตรัคชั่น จำกัด"/>
    <s v="ปรับระดับดิน"/>
    <n v="1"/>
    <s v="JOB"/>
    <n v="1333169.6000000001"/>
    <n v="1333169.6000000001"/>
    <n v="1300000"/>
    <n v="33169.600000000093"/>
    <n v="33169.600000000093"/>
    <n v="2.4880255295350338E-2"/>
    <x v="1"/>
    <x v="4"/>
  </r>
  <r>
    <s v="Sep"/>
    <s v="PO-25003482"/>
    <s v="บริษัท ศรีราชามงคลชัย จำกัด"/>
    <s v="บล็อกกระแทกมุม"/>
    <n v="1"/>
    <s v="EA"/>
    <n v="6344"/>
    <n v="6344"/>
    <n v="6026.8"/>
    <n v="317.19999999999982"/>
    <n v="317.19999999999982"/>
    <n v="4.9999999999999968E-2"/>
    <x v="0"/>
    <x v="4"/>
  </r>
  <r>
    <s v="Sep"/>
    <s v="PO-25003482"/>
    <s v="บริษัท ศรีราชามงคลชัย จำกัด"/>
    <s v="พัดลมติดผนัง 16&quot; W16M1 HATARI"/>
    <n v="1"/>
    <s v="EA"/>
    <n v="1075.05"/>
    <n v="1075.05"/>
    <n v="1040"/>
    <n v="35.049999999999955"/>
    <n v="35.049999999999955"/>
    <n v="3.2603134737919127E-2"/>
    <x v="0"/>
    <x v="4"/>
  </r>
  <r>
    <s v="Sep"/>
    <s v="PO-25003519"/>
    <s v="บริษัท ไทยพัฒนสิน (จิ้นเส็ง 2000) จำกัด"/>
    <s v="&quot;GRUNDFOS&quot; PUMP CMB 5-46 PT"/>
    <n v="1"/>
    <s v="EA"/>
    <n v="29000"/>
    <n v="29000"/>
    <n v="28500"/>
    <n v="500"/>
    <n v="500"/>
    <n v="1.7241379310344827E-2"/>
    <x v="0"/>
    <x v="4"/>
  </r>
  <r>
    <s v="Sep"/>
    <s v="PO-25003512"/>
    <s v="บริษัท โคเน่ จำกัด (มหาชน)"/>
    <s v="OSCILLATOR SWITCH,24VDC"/>
    <n v="3"/>
    <s v="EA"/>
    <n v="9080"/>
    <n v="27240"/>
    <n v="8172"/>
    <n v="908"/>
    <n v="2724"/>
    <n v="0.1"/>
    <x v="1"/>
    <x v="4"/>
  </r>
  <r>
    <s v="Sep"/>
    <s v="PO-25003513"/>
    <s v="บริษัท เคเอ็มเอส ดีไซน์ แอนด์ คอนสตรัคชั่น จำกัด"/>
    <s v="งานทำกำแพงกันดินโรงงาน QTMC และโรง Power"/>
    <n v="1"/>
    <s v="JOB"/>
    <n v="950000"/>
    <n v="950000"/>
    <n v="946635.42"/>
    <n v="3364.5799999999581"/>
    <n v="3364.5799999999581"/>
    <n v="3.5416631578946926E-3"/>
    <x v="4"/>
    <x v="4"/>
  </r>
  <r>
    <s v="Sep"/>
    <s v="PO-25003543"/>
    <s v="บริษัท เอสที แอสฟัลต์ แอนด์ คอนสตรัคชั่น จำกัด"/>
    <s v="งานขุดลอกงานแอสฟัลท์เดิมพร้อมขนทิ้ง"/>
    <n v="1"/>
    <s v="JOB"/>
    <n v="82600"/>
    <n v="82600"/>
    <n v="80000"/>
    <n v="2600"/>
    <n v="2600"/>
    <n v="3.1476997578692496E-2"/>
    <x v="0"/>
    <x v="4"/>
  </r>
  <r>
    <s v="Sep"/>
    <s v="PO-25003556"/>
    <s v="บริษัท ธนากัญญ คอนสตรัคชั่น เวิร์ค จำกัด"/>
    <s v="งานติดตั้งแผ่นเมทัลชีท กันนกเข้าอาคาร master coil"/>
    <n v="1"/>
    <s v="JOB"/>
    <n v="141139.5"/>
    <n v="141139.5"/>
    <n v="138000"/>
    <n v="3139.5"/>
    <n v="3139.5"/>
    <n v="2.2243950134441456E-2"/>
    <x v="0"/>
    <x v="4"/>
  </r>
  <r>
    <s v="Sep"/>
    <s v="PO-25003571"/>
    <s v="บริษัท ธนากัญญ คอนสตรัคชั่น เวิร์ค จำกัด"/>
    <s v="งานแก้ไขและซ่อมแซมทาสีช่องจอดรถมอเตอร์ไซต์ หน้าหอพัก"/>
    <n v="1"/>
    <s v="JOB"/>
    <n v="43125"/>
    <n v="43125"/>
    <n v="42000"/>
    <n v="1125"/>
    <n v="1125"/>
    <n v="2.6086956521739129E-2"/>
    <x v="1"/>
    <x v="4"/>
  </r>
  <r>
    <s v="Sep"/>
    <s v="PO-25003618"/>
    <s v="บริษัท ศรีราชามงคลชัย จำกัด"/>
    <s v="แบตเตอรี่ GBA 18V 4.0Ah M-C BOSCH"/>
    <n v="2"/>
    <s v="EA"/>
    <n v="1730"/>
    <n v="3460"/>
    <n v="1643.5"/>
    <n v="86.5"/>
    <n v="173"/>
    <n v="0.05"/>
    <x v="0"/>
    <x v="4"/>
  </r>
  <r>
    <s v="Sep"/>
    <s v="PO-25003720"/>
    <s v="บริษัท เอ็มอี เครน เซอร์วิส แอนด์ ซัพพลาย จำกัด"/>
    <s v="เครนโรง Power Factory  10 ton"/>
    <n v="1"/>
    <s v="SET"/>
    <n v="1323500"/>
    <n v="1323500"/>
    <n v="1290000"/>
    <n v="33500"/>
    <n v="33500"/>
    <n v="2.5311673592746504E-2"/>
    <x v="1"/>
    <x v="4"/>
  </r>
  <r>
    <s v="Sep"/>
    <s v="PO-25003666"/>
    <s v="ห้างหุ้นส่วนจำกัด วรวัตรผ้าใบ"/>
    <s v="งานรื้อย้ายติดตั้งเต๊นท์ด้านหลังโรงงาน"/>
    <n v="1"/>
    <s v="JOB"/>
    <n v="502200"/>
    <n v="502200"/>
    <n v="450000"/>
    <n v="52200"/>
    <n v="52200"/>
    <n v="0.1039426523297491"/>
    <x v="0"/>
    <x v="4"/>
  </r>
  <r>
    <s v="Sep"/>
    <s v="PO-25003693"/>
    <s v="บริษัท ออฟฟิศเมท (ไทย) จำกัด"/>
    <s v="ตู้กดน้ำร้อน-เย็น"/>
    <n v="1"/>
    <s v="EA"/>
    <n v="4663.55"/>
    <n v="4663.55"/>
    <n v="4523.6400000000003"/>
    <n v="139.90999999999985"/>
    <n v="139.90999999999985"/>
    <n v="3.0000750501227573E-2"/>
    <x v="1"/>
    <x v="4"/>
  </r>
  <r>
    <s v="Sep"/>
    <s v="PO-25003708"/>
    <s v="บริษัท ตัน แอนด์ ซันส์ จำกัด"/>
    <s v="Fiber glass banding tape size 0.30mm. x 40mm. "/>
    <n v="8000"/>
    <s v="Metre"/>
    <n v="22.5"/>
    <n v="180000"/>
    <n v="20.93"/>
    <n v="1.5700000000000003"/>
    <n v="12560.000000000002"/>
    <n v="6.9777777777777786E-2"/>
    <x v="1"/>
    <x v="4"/>
  </r>
  <r>
    <s v="Sep"/>
    <s v="PO-25003737"/>
    <s v="ห้างหุ้นส่วนจำกัด สะพานสี่ สตีล โปรดักส์"/>
    <s v="ซ่อมพื้นทรุดโรง Amorphous"/>
    <n v="1"/>
    <s v="JOB"/>
    <n v="432500"/>
    <n v="432500"/>
    <n v="420000"/>
    <n v="12500"/>
    <n v="12500"/>
    <n v="2.8901734104046242E-2"/>
    <x v="1"/>
    <x v="4"/>
  </r>
  <r>
    <s v="Sep"/>
    <s v="PO-25003719"/>
    <s v="บริษัท อาร์ เจ เอส คอนแทร็ค แอนด์ เซอร์วิส จากัด"/>
    <s v="เพิ่มความยาวถนน Main 32 เมตร"/>
    <n v="1"/>
    <s v="JOB"/>
    <n v="500770"/>
    <n v="500770"/>
    <n v="489250"/>
    <n v="11520"/>
    <n v="11520"/>
    <n v="2.3004572957645228E-2"/>
    <x v="1"/>
    <x v="4"/>
  </r>
  <r>
    <s v="Sep"/>
    <s v="PO-25003709"/>
    <s v="บริษัท ไทยพัฒนสิน (จิ้นเส็ง 2000) จำกัด"/>
    <s v="คีมแหวนล็อคสลัก เหล็กกล้าคาร์บอน"/>
    <n v="1"/>
    <s v="SET"/>
    <n v="3498"/>
    <n v="3498"/>
    <n v="2623.5"/>
    <n v="874.5"/>
    <n v="874.5"/>
    <n v="0.25"/>
    <x v="0"/>
    <x v="4"/>
  </r>
  <r>
    <s v="Sep"/>
    <s v="PO-25003758"/>
    <s v="บริษัท พี.เค.กรุ๊ป ซัพพลาย จำกัด"/>
    <s v="ซีลยางไหล (7.5/21x6/16.5x10) (NBR) 70 shore A"/>
    <n v="2"/>
    <s v="EA"/>
    <n v="25000"/>
    <n v="50000"/>
    <n v="23750"/>
    <n v="1250"/>
    <n v="2500"/>
    <n v="0.05"/>
    <x v="1"/>
    <x v="4"/>
  </r>
  <r>
    <s v="Sep"/>
    <s v="PO-25003777"/>
    <s v="บริษัท เอสพีเค บิวดิ้ง ดีไซน์ จำกัด"/>
    <s v="โต๊ะ/TV Stand ห้องประชุมชั้น 2 ดาเเวนพอร์ต"/>
    <n v="1"/>
    <s v="SET"/>
    <n v="35450"/>
    <n v="35450"/>
    <n v="33000"/>
    <n v="2450"/>
    <n v="2450"/>
    <n v="6.9111424541607902E-2"/>
    <x v="1"/>
    <x v="4"/>
  </r>
  <r>
    <s v="Sep"/>
    <s v="PO-25003856"/>
    <s v="บริษัท ไทยพัฒนสิน (จิ้นเส็ง 2000) จำกัด"/>
    <s v="อุปกรณ์ทำงานของส่วนงานซ่อมบำรุง"/>
    <n v="1"/>
    <s v="SET"/>
    <n v="16750"/>
    <n v="16750"/>
    <n v="11725"/>
    <n v="5025"/>
    <n v="5025"/>
    <n v="0.3"/>
    <x v="0"/>
    <x v="4"/>
  </r>
  <r>
    <s v="Sep"/>
    <s v="PO-25003887"/>
    <s v="บริษัท อาร์ เจ เอส คอนแทร็ค แอนด์ เซอร์วิส จากัด"/>
    <s v="งานรางระบายน้ำ"/>
    <n v="1"/>
    <s v="JOB"/>
    <n v="693710"/>
    <n v="693710"/>
    <n v="687210"/>
    <n v="6500"/>
    <n v="6500"/>
    <n v="9.3699096164103161E-3"/>
    <x v="1"/>
    <x v="4"/>
  </r>
  <r>
    <s v="Sep"/>
    <s v="PO-25003882"/>
    <s v="บริษัท อาร์ เจ เอส คอนแทร็ค แอนด์ เซอร์วิส จากัด"/>
    <s v="งานเจาะหลุม Ground Grid"/>
    <n v="1"/>
    <s v="JOB"/>
    <n v="426650"/>
    <n v="426650"/>
    <n v="421650"/>
    <n v="5000"/>
    <n v="5000"/>
    <n v="1.1719207781553966E-2"/>
    <x v="1"/>
    <x v="4"/>
  </r>
  <r>
    <s v="Sep"/>
    <s v="PO-25003868"/>
    <s v="บริษัท เอ็มอี เครน เซอร์วิส แอนด์ ซัพพลาย จำกัด"/>
    <s v="ซ่อมบำรุงรักษาเครนภายในตามคอมเม้นต์วิศวกรส่วนสร้าง/ซ่อมบำรุง"/>
    <n v="1"/>
    <s v="JOB"/>
    <n v="114490"/>
    <n v="114490"/>
    <n v="109000"/>
    <n v="5490"/>
    <n v="5490"/>
    <n v="4.7951786182199321E-2"/>
    <x v="1"/>
    <x v="4"/>
  </r>
  <r>
    <s v="Sep"/>
    <s v="PO-25003867"/>
    <s v="บริษัท ซานโต ไฟร์ โปรดักส์ จำกัด"/>
    <s v="เครื่องดับเพลิง BF-2000 ขนาด 10 ปอนด์ &quot;FIREMAN&quot;"/>
    <n v="4"/>
    <s v="EA"/>
    <n v="3000"/>
    <n v="12000"/>
    <n v="2700"/>
    <n v="300"/>
    <n v="1200"/>
    <n v="0.1"/>
    <x v="1"/>
    <x v="4"/>
  </r>
  <r>
    <s v="Sep"/>
    <s v="PO-25003891"/>
    <s v="บริษัท ศรีราชามงคลชัย จำกัด"/>
    <s v="แบตเตอรี่ 18 V BOSCH รุ่น GBA"/>
    <n v="5"/>
    <s v="EA"/>
    <n v="1730"/>
    <n v="8650"/>
    <n v="1643.5"/>
    <n v="86.5"/>
    <n v="432.5"/>
    <n v="0.05"/>
    <x v="0"/>
    <x v="4"/>
  </r>
  <r>
    <s v="Sep"/>
    <s v="PO-25003936"/>
    <s v="บริษัท เอ็นทีพี58 รับเหมาก่อสร้าง จำกัด"/>
    <s v="งานระบบน้ำ-ไฟเข้าบ้านน็อคดาวน์"/>
    <n v="1"/>
    <s v="JOB"/>
    <n v="891216"/>
    <n v="891216"/>
    <n v="888655"/>
    <n v="2561"/>
    <n v="2561"/>
    <n v="2.8736019101990988E-3"/>
    <x v="0"/>
    <x v="4"/>
  </r>
  <r>
    <s v="Sep"/>
    <s v="PO-25003923"/>
    <s v="บริษัท ศรีราชามงคลชัย จำกัด"/>
    <s v="พัดลมติดผนัง 16&quot; W16M1 HATARI"/>
    <n v="1"/>
    <s v="EA"/>
    <n v="1075.05"/>
    <n v="1075.05"/>
    <n v="1040"/>
    <n v="35.049999999999955"/>
    <n v="35.049999999999955"/>
    <n v="3.2603134737919127E-2"/>
    <x v="0"/>
    <x v="4"/>
  </r>
  <r>
    <s v="Sep"/>
    <s v="PO-25003977"/>
    <s v="บริษัท อาร์ เจ เอส คอนแทร็ค แอนด์ เซอร์วิส จากัด"/>
    <s v="ทำความสะอาดปล่องดูดควันโรงอาหาร"/>
    <n v="1"/>
    <s v="JOB"/>
    <n v="11000"/>
    <n v="11000"/>
    <n v="10000"/>
    <n v="1000"/>
    <n v="1000"/>
    <n v="9.0909090909090912E-2"/>
    <x v="0"/>
    <x v="4"/>
  </r>
  <r>
    <s v="Sep"/>
    <s v="PO-25003982"/>
    <s v="ห้างหุ้นส่วนจำกัด สะพานสี่ สตีล โปรดักส์"/>
    <s v="งานปรับปรุงด้านหน้าโรงขยะ"/>
    <n v="1"/>
    <s v="JOB"/>
    <n v="48000"/>
    <n v="48000"/>
    <n v="45000"/>
    <n v="3000"/>
    <n v="3000"/>
    <n v="6.25E-2"/>
    <x v="1"/>
    <x v="4"/>
  </r>
  <r>
    <s v="Sep"/>
    <s v="PO-25003653-2"/>
    <s v="บริษัท เอ็น.เอช.เค.สตีล จำกัด"/>
    <s v="Cold Rolled Steel Sheet (SPCC-SD) ขนาด 1.5*1000 มม."/>
    <n v="3058"/>
    <s v="KG"/>
    <n v="27"/>
    <n v="82566"/>
    <n v="26.5"/>
    <n v="0.5"/>
    <n v="1529"/>
    <n v="1.8518518518518517E-2"/>
    <x v="1"/>
    <x v="0"/>
  </r>
  <r>
    <s v="Sep"/>
    <s v="PO-25003653-2"/>
    <s v="บริษัท เอ็น.เอช.เค.สตีล จำกัด"/>
    <s v="Cold Rolled Steel Sheet (SPCC-SD) ขนาด 1.5*1100 มม."/>
    <n v="3000"/>
    <s v="KG"/>
    <n v="27"/>
    <n v="81000"/>
    <n v="26.5"/>
    <n v="0.5"/>
    <n v="1500"/>
    <n v="1.8518518518518517E-2"/>
    <x v="1"/>
    <x v="0"/>
  </r>
  <r>
    <s v="Sep"/>
    <s v="PO-25003744-2"/>
    <s v="บริษัท เอ็น.เอช.เค.สตีล จำกัด"/>
    <s v="Cold Rolled Steel Sheet (SPCC-SD) ขนาด 1.5*1000 มม."/>
    <n v="3208"/>
    <s v="KG"/>
    <n v="27"/>
    <n v="86616"/>
    <n v="26.5"/>
    <n v="0.5"/>
    <n v="1604"/>
    <n v="1.8518518518518517E-2"/>
    <x v="1"/>
    <x v="0"/>
  </r>
  <r>
    <s v="Sep"/>
    <s v="PO-25003768-2"/>
    <s v="บริษัท เอ็น.เอช.เค.สตีล จำกัด"/>
    <s v="Cold Rolled Steel Sheet (SPCC-SD) ขนาด 1.5*1000 มม."/>
    <n v="6000"/>
    <s v="KG"/>
    <n v="27"/>
    <n v="162000"/>
    <n v="26.5"/>
    <n v="0.5"/>
    <n v="3000"/>
    <n v="1.8518518518518517E-2"/>
    <x v="1"/>
    <x v="0"/>
  </r>
  <r>
    <s v="Sep"/>
    <s v="PO-25003768-2"/>
    <s v="บริษัท เอ็น.เอช.เค.สตีล จำกัด"/>
    <s v="Cold Rolled Steel Sheet (SPCC-SD) ขนาด 1.2*700 มม."/>
    <n v="3030"/>
    <s v="KG"/>
    <n v="27"/>
    <n v="81810"/>
    <n v="26.5"/>
    <n v="0.5"/>
    <n v="1515"/>
    <n v="1.8518518518518517E-2"/>
    <x v="1"/>
    <x v="0"/>
  </r>
  <r>
    <s v="Sep"/>
    <s v="PO-25003980-1"/>
    <s v="บริษัท เอ็น.เอช.เค.สตีล จำกัด"/>
    <s v="Cold Rolled Steel Sheet (SPCC-SD) ขนาด 1.5*1100 มม."/>
    <n v="3000"/>
    <s v="KG"/>
    <n v="27"/>
    <n v="81000"/>
    <n v="26.5"/>
    <n v="0.5"/>
    <n v="1500"/>
    <n v="1.8518518518518517E-2"/>
    <x v="1"/>
    <x v="0"/>
  </r>
  <r>
    <s v="Sep"/>
    <s v="PO-25003841-1"/>
    <s v="บริษัท ที พี จี ลูบริแคนท์ส จำกัด"/>
    <s v="Shell Diala  S4 ZX-I"/>
    <n v="600"/>
    <s v="ลิตร"/>
    <n v="98"/>
    <n v="58800"/>
    <n v="89"/>
    <n v="9"/>
    <n v="5400"/>
    <n v="9.1836734693877556E-2"/>
    <x v="0"/>
    <x v="0"/>
  </r>
  <r>
    <s v="Sep"/>
    <s v="PO-25003624-1"/>
    <s v="บริษัท พี.เอส.พี.สเปเชียลตี้ส์ จำกัด (มหาชน)"/>
    <s v="น้ำมันหม้อแปลง Transform INH"/>
    <n v="112000"/>
    <s v="ลิตร"/>
    <n v="35"/>
    <n v="3920000"/>
    <n v="33.5"/>
    <n v="1.5"/>
    <n v="168000"/>
    <n v="4.2857142857142858E-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4"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dataField="1" numFmtId="43" showAll="0"/>
    <pivotField numFmtId="10" showAll="0"/>
    <pivotField axis="axisRow" showAll="0">
      <items count="6">
        <item x="3"/>
        <item x="0"/>
        <item x="1"/>
        <item x="2"/>
        <item x="4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รวมที่ต่อรองได้" fld="10" baseField="0" baseItem="0" numFmtId="43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13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12" type="button" dataOnly="0" labelOnly="1" outline="0" axis="axisRow" fieldPosition="0"/>
    </format>
    <format dxfId="6">
      <pivotArea dataOnly="0" labelOnly="1" fieldPosition="0">
        <references count="1">
          <reference field="12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68c5a4-6572-41d1-b04f-2b4a6899ba22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Q4518"/>
  <sheetViews>
    <sheetView tabSelected="1" zoomScale="110" zoomScaleNormal="110" workbookViewId="0">
      <pane xSplit="5" ySplit="2" topLeftCell="L4485" activePane="bottomRight" state="frozen"/>
      <selection pane="topRight" activeCell="F1" sqref="F1"/>
      <selection pane="bottomLeft" activeCell="A3" sqref="A3"/>
      <selection pane="bottomRight" activeCell="O4498" sqref="O4498"/>
    </sheetView>
  </sheetViews>
  <sheetFormatPr defaultColWidth="9.140625" defaultRowHeight="12"/>
  <cols>
    <col min="1" max="1" width="6" style="70" bestFit="1" customWidth="1"/>
    <col min="2" max="2" width="6.140625" style="16" bestFit="1" customWidth="1"/>
    <col min="3" max="3" width="13.7109375" style="70" customWidth="1"/>
    <col min="4" max="4" width="37.140625" style="15" customWidth="1"/>
    <col min="5" max="5" width="53.7109375" style="15" customWidth="1"/>
    <col min="6" max="6" width="14.140625" style="95" customWidth="1"/>
    <col min="7" max="7" width="7.42578125" style="16" customWidth="1"/>
    <col min="8" max="8" width="16.42578125" style="17" customWidth="1"/>
    <col min="9" max="9" width="12.85546875" style="17" bestFit="1" customWidth="1"/>
    <col min="10" max="10" width="12.5703125" style="519" bestFit="1" customWidth="1"/>
    <col min="11" max="11" width="11.7109375" style="519" bestFit="1" customWidth="1"/>
    <col min="12" max="12" width="12" style="519" bestFit="1" customWidth="1"/>
    <col min="13" max="13" width="9.42578125" style="557" bestFit="1" customWidth="1"/>
    <col min="14" max="14" width="19.7109375" style="15" customWidth="1"/>
    <col min="15" max="15" width="15.7109375" style="15" bestFit="1" customWidth="1"/>
    <col min="16" max="16" width="17.85546875" style="15" bestFit="1" customWidth="1"/>
    <col min="17" max="16384" width="9.140625" style="15"/>
  </cols>
  <sheetData>
    <row r="2" spans="1:16" s="389" customFormat="1">
      <c r="A2" s="5" t="s">
        <v>0</v>
      </c>
      <c r="B2" s="387" t="s">
        <v>1</v>
      </c>
      <c r="C2" s="5" t="s">
        <v>2</v>
      </c>
      <c r="D2" s="5" t="s">
        <v>3</v>
      </c>
      <c r="E2" s="5" t="s">
        <v>4</v>
      </c>
      <c r="F2" s="388" t="s">
        <v>5</v>
      </c>
      <c r="G2" s="5" t="s">
        <v>6</v>
      </c>
      <c r="H2" s="6" t="s">
        <v>7</v>
      </c>
      <c r="I2" s="6" t="s">
        <v>8</v>
      </c>
      <c r="J2" s="520" t="s">
        <v>9</v>
      </c>
      <c r="K2" s="520" t="s">
        <v>10</v>
      </c>
      <c r="L2" s="520" t="s">
        <v>11</v>
      </c>
      <c r="M2" s="556" t="s">
        <v>12</v>
      </c>
      <c r="N2" s="5" t="s">
        <v>13</v>
      </c>
      <c r="O2" s="5" t="s">
        <v>14</v>
      </c>
    </row>
    <row r="3" spans="1:16">
      <c r="A3" s="71">
        <v>2023</v>
      </c>
      <c r="B3" s="403" t="s">
        <v>15</v>
      </c>
      <c r="C3" s="62" t="s">
        <v>16</v>
      </c>
      <c r="D3" s="76" t="s">
        <v>17</v>
      </c>
      <c r="E3" s="47" t="s">
        <v>18</v>
      </c>
      <c r="F3" s="406">
        <v>36</v>
      </c>
      <c r="G3" s="488" t="s">
        <v>19</v>
      </c>
      <c r="H3" s="502">
        <v>460</v>
      </c>
      <c r="I3" s="502">
        <f t="shared" ref="I3:I66" si="0">H3*F3</f>
        <v>16560</v>
      </c>
      <c r="J3" s="529">
        <v>420</v>
      </c>
      <c r="K3" s="529">
        <f t="shared" ref="K3:K66" si="1">H3-J3</f>
        <v>40</v>
      </c>
      <c r="L3" s="530">
        <f t="shared" ref="L3:L66" si="2">K3*F3</f>
        <v>1440</v>
      </c>
      <c r="M3" s="536">
        <f t="shared" ref="M3:M66" si="3">K3/H3</f>
        <v>8.6956521739130432E-2</v>
      </c>
      <c r="N3" s="80" t="s">
        <v>20</v>
      </c>
      <c r="O3" s="47" t="s">
        <v>21</v>
      </c>
      <c r="P3" s="15" t="s">
        <v>22</v>
      </c>
    </row>
    <row r="4" spans="1:16">
      <c r="A4" s="71">
        <v>2023</v>
      </c>
      <c r="B4" s="403" t="s">
        <v>15</v>
      </c>
      <c r="C4" s="62" t="s">
        <v>23</v>
      </c>
      <c r="D4" s="76" t="s">
        <v>24</v>
      </c>
      <c r="E4" s="47" t="s">
        <v>25</v>
      </c>
      <c r="F4" s="51">
        <v>36</v>
      </c>
      <c r="G4" s="42" t="s">
        <v>19</v>
      </c>
      <c r="H4" s="44">
        <v>44.5</v>
      </c>
      <c r="I4" s="502">
        <f t="shared" si="0"/>
        <v>1602</v>
      </c>
      <c r="J4" s="529">
        <v>39</v>
      </c>
      <c r="K4" s="529">
        <f t="shared" si="1"/>
        <v>5.5</v>
      </c>
      <c r="L4" s="530">
        <f t="shared" si="2"/>
        <v>198</v>
      </c>
      <c r="M4" s="536">
        <f t="shared" si="3"/>
        <v>0.12359550561797752</v>
      </c>
      <c r="N4" s="80" t="s">
        <v>22</v>
      </c>
      <c r="O4" s="47" t="s">
        <v>21</v>
      </c>
      <c r="P4" s="15" t="s">
        <v>20</v>
      </c>
    </row>
    <row r="5" spans="1:16">
      <c r="A5" s="71">
        <v>2023</v>
      </c>
      <c r="B5" s="403" t="s">
        <v>15</v>
      </c>
      <c r="C5" s="62" t="s">
        <v>26</v>
      </c>
      <c r="D5" s="76" t="s">
        <v>27</v>
      </c>
      <c r="E5" s="47" t="s">
        <v>28</v>
      </c>
      <c r="F5" s="51">
        <v>2</v>
      </c>
      <c r="G5" s="42" t="s">
        <v>29</v>
      </c>
      <c r="H5" s="44">
        <v>1200</v>
      </c>
      <c r="I5" s="502">
        <f t="shared" si="0"/>
        <v>2400</v>
      </c>
      <c r="J5" s="529">
        <v>990</v>
      </c>
      <c r="K5" s="529">
        <f t="shared" si="1"/>
        <v>210</v>
      </c>
      <c r="L5" s="530">
        <f t="shared" si="2"/>
        <v>420</v>
      </c>
      <c r="M5" s="536">
        <f t="shared" si="3"/>
        <v>0.17499999999999999</v>
      </c>
      <c r="N5" s="80" t="s">
        <v>22</v>
      </c>
      <c r="O5" s="47" t="s">
        <v>21</v>
      </c>
      <c r="P5" s="15" t="s">
        <v>30</v>
      </c>
    </row>
    <row r="6" spans="1:16">
      <c r="A6" s="71">
        <v>2023</v>
      </c>
      <c r="B6" s="403" t="s">
        <v>15</v>
      </c>
      <c r="C6" s="62" t="s">
        <v>31</v>
      </c>
      <c r="D6" s="76" t="s">
        <v>17</v>
      </c>
      <c r="E6" s="47" t="s">
        <v>32</v>
      </c>
      <c r="F6" s="51">
        <v>576</v>
      </c>
      <c r="G6" s="42" t="s">
        <v>29</v>
      </c>
      <c r="H6" s="44">
        <v>28</v>
      </c>
      <c r="I6" s="502">
        <f t="shared" si="0"/>
        <v>16128</v>
      </c>
      <c r="J6" s="529">
        <v>25</v>
      </c>
      <c r="K6" s="529">
        <f t="shared" si="1"/>
        <v>3</v>
      </c>
      <c r="L6" s="530">
        <f t="shared" si="2"/>
        <v>1728</v>
      </c>
      <c r="M6" s="536">
        <f t="shared" si="3"/>
        <v>0.10714285714285714</v>
      </c>
      <c r="N6" s="80" t="s">
        <v>20</v>
      </c>
      <c r="O6" s="47" t="s">
        <v>21</v>
      </c>
      <c r="P6" s="15" t="s">
        <v>33</v>
      </c>
    </row>
    <row r="7" spans="1:16">
      <c r="A7" s="71">
        <v>2023</v>
      </c>
      <c r="B7" s="403" t="s">
        <v>15</v>
      </c>
      <c r="C7" s="62" t="s">
        <v>34</v>
      </c>
      <c r="D7" s="76" t="s">
        <v>35</v>
      </c>
      <c r="E7" s="47" t="s">
        <v>36</v>
      </c>
      <c r="F7" s="51">
        <v>1893</v>
      </c>
      <c r="G7" s="42" t="s">
        <v>37</v>
      </c>
      <c r="H7" s="44">
        <v>360</v>
      </c>
      <c r="I7" s="502">
        <f t="shared" si="0"/>
        <v>681480</v>
      </c>
      <c r="J7" s="529">
        <v>359.5</v>
      </c>
      <c r="K7" s="529">
        <f t="shared" si="1"/>
        <v>0.5</v>
      </c>
      <c r="L7" s="530">
        <f t="shared" si="2"/>
        <v>946.5</v>
      </c>
      <c r="M7" s="536">
        <f t="shared" si="3"/>
        <v>1.3888888888888889E-3</v>
      </c>
      <c r="N7" s="80" t="s">
        <v>38</v>
      </c>
      <c r="O7" s="47" t="s">
        <v>39</v>
      </c>
      <c r="P7" s="15" t="s">
        <v>40</v>
      </c>
    </row>
    <row r="8" spans="1:16">
      <c r="A8" s="71">
        <v>2023</v>
      </c>
      <c r="B8" s="403" t="s">
        <v>15</v>
      </c>
      <c r="C8" s="62" t="s">
        <v>34</v>
      </c>
      <c r="D8" s="76" t="s">
        <v>35</v>
      </c>
      <c r="E8" s="47" t="s">
        <v>36</v>
      </c>
      <c r="F8" s="51">
        <v>1893</v>
      </c>
      <c r="G8" s="42" t="s">
        <v>37</v>
      </c>
      <c r="H8" s="44">
        <v>360</v>
      </c>
      <c r="I8" s="502">
        <f t="shared" si="0"/>
        <v>681480</v>
      </c>
      <c r="J8" s="529">
        <v>359.5</v>
      </c>
      <c r="K8" s="529">
        <f t="shared" si="1"/>
        <v>0.5</v>
      </c>
      <c r="L8" s="530">
        <f t="shared" si="2"/>
        <v>946.5</v>
      </c>
      <c r="M8" s="536">
        <f t="shared" si="3"/>
        <v>1.3888888888888889E-3</v>
      </c>
      <c r="N8" s="80" t="s">
        <v>38</v>
      </c>
      <c r="O8" s="47" t="s">
        <v>39</v>
      </c>
    </row>
    <row r="9" spans="1:16">
      <c r="A9" s="71">
        <v>2023</v>
      </c>
      <c r="B9" s="403" t="s">
        <v>15</v>
      </c>
      <c r="C9" s="62" t="s">
        <v>34</v>
      </c>
      <c r="D9" s="76" t="s">
        <v>35</v>
      </c>
      <c r="E9" s="47" t="s">
        <v>41</v>
      </c>
      <c r="F9" s="51">
        <v>110</v>
      </c>
      <c r="G9" s="42" t="s">
        <v>37</v>
      </c>
      <c r="H9" s="44">
        <v>360</v>
      </c>
      <c r="I9" s="502">
        <f t="shared" si="0"/>
        <v>39600</v>
      </c>
      <c r="J9" s="529">
        <v>359.5</v>
      </c>
      <c r="K9" s="529">
        <f t="shared" si="1"/>
        <v>0.5</v>
      </c>
      <c r="L9" s="530">
        <f t="shared" si="2"/>
        <v>55</v>
      </c>
      <c r="M9" s="536">
        <f t="shared" si="3"/>
        <v>1.3888888888888889E-3</v>
      </c>
      <c r="N9" s="80" t="s">
        <v>38</v>
      </c>
      <c r="O9" s="47" t="s">
        <v>39</v>
      </c>
    </row>
    <row r="10" spans="1:16">
      <c r="A10" s="71">
        <v>2023</v>
      </c>
      <c r="B10" s="403" t="s">
        <v>15</v>
      </c>
      <c r="C10" s="62" t="s">
        <v>34</v>
      </c>
      <c r="D10" s="76" t="s">
        <v>35</v>
      </c>
      <c r="E10" s="56" t="s">
        <v>42</v>
      </c>
      <c r="F10" s="58">
        <v>321</v>
      </c>
      <c r="G10" s="42" t="s">
        <v>37</v>
      </c>
      <c r="H10" s="44">
        <v>360</v>
      </c>
      <c r="I10" s="502">
        <f t="shared" si="0"/>
        <v>115560</v>
      </c>
      <c r="J10" s="529">
        <v>359.5</v>
      </c>
      <c r="K10" s="529">
        <f t="shared" si="1"/>
        <v>0.5</v>
      </c>
      <c r="L10" s="530">
        <f t="shared" si="2"/>
        <v>160.5</v>
      </c>
      <c r="M10" s="536">
        <f t="shared" si="3"/>
        <v>1.3888888888888889E-3</v>
      </c>
      <c r="N10" s="80" t="s">
        <v>38</v>
      </c>
      <c r="O10" s="47" t="s">
        <v>39</v>
      </c>
    </row>
    <row r="11" spans="1:16">
      <c r="A11" s="71">
        <v>2023</v>
      </c>
      <c r="B11" s="403" t="s">
        <v>15</v>
      </c>
      <c r="C11" s="62" t="s">
        <v>43</v>
      </c>
      <c r="D11" s="76" t="s">
        <v>44</v>
      </c>
      <c r="E11" s="56" t="s">
        <v>45</v>
      </c>
      <c r="F11" s="58">
        <v>593.27</v>
      </c>
      <c r="G11" s="42" t="s">
        <v>37</v>
      </c>
      <c r="H11" s="44">
        <v>346</v>
      </c>
      <c r="I11" s="502">
        <f t="shared" si="0"/>
        <v>205271.41999999998</v>
      </c>
      <c r="J11" s="529">
        <v>334</v>
      </c>
      <c r="K11" s="529">
        <f t="shared" si="1"/>
        <v>12</v>
      </c>
      <c r="L11" s="530">
        <f t="shared" si="2"/>
        <v>7119.24</v>
      </c>
      <c r="M11" s="536">
        <f t="shared" si="3"/>
        <v>3.4682080924855488E-2</v>
      </c>
      <c r="N11" s="80" t="s">
        <v>38</v>
      </c>
      <c r="O11" s="47" t="s">
        <v>39</v>
      </c>
    </row>
    <row r="12" spans="1:16">
      <c r="A12" s="71">
        <v>2023</v>
      </c>
      <c r="B12" s="403" t="s">
        <v>15</v>
      </c>
      <c r="C12" s="62" t="s">
        <v>43</v>
      </c>
      <c r="D12" s="76" t="s">
        <v>44</v>
      </c>
      <c r="E12" s="56" t="s">
        <v>46</v>
      </c>
      <c r="F12" s="58">
        <v>295.02</v>
      </c>
      <c r="G12" s="42" t="s">
        <v>37</v>
      </c>
      <c r="H12" s="44">
        <v>346</v>
      </c>
      <c r="I12" s="502">
        <f t="shared" si="0"/>
        <v>102076.92</v>
      </c>
      <c r="J12" s="529">
        <v>334.5</v>
      </c>
      <c r="K12" s="529">
        <f t="shared" si="1"/>
        <v>11.5</v>
      </c>
      <c r="L12" s="530">
        <f t="shared" si="2"/>
        <v>3392.7299999999996</v>
      </c>
      <c r="M12" s="536">
        <f t="shared" si="3"/>
        <v>3.3236994219653176E-2</v>
      </c>
      <c r="N12" s="80" t="s">
        <v>38</v>
      </c>
      <c r="O12" s="47" t="s">
        <v>39</v>
      </c>
    </row>
    <row r="13" spans="1:16">
      <c r="A13" s="71">
        <v>2023</v>
      </c>
      <c r="B13" s="403" t="s">
        <v>15</v>
      </c>
      <c r="C13" s="62" t="s">
        <v>43</v>
      </c>
      <c r="D13" s="76" t="s">
        <v>44</v>
      </c>
      <c r="E13" s="56" t="s">
        <v>45</v>
      </c>
      <c r="F13" s="58">
        <v>688.13</v>
      </c>
      <c r="G13" s="42" t="s">
        <v>37</v>
      </c>
      <c r="H13" s="44">
        <v>346</v>
      </c>
      <c r="I13" s="502">
        <f t="shared" si="0"/>
        <v>238092.98</v>
      </c>
      <c r="J13" s="529">
        <v>334</v>
      </c>
      <c r="K13" s="529">
        <f t="shared" si="1"/>
        <v>12</v>
      </c>
      <c r="L13" s="530">
        <f t="shared" si="2"/>
        <v>8257.56</v>
      </c>
      <c r="M13" s="536">
        <f t="shared" si="3"/>
        <v>3.4682080924855488E-2</v>
      </c>
      <c r="N13" s="80" t="s">
        <v>38</v>
      </c>
      <c r="O13" s="47" t="s">
        <v>39</v>
      </c>
    </row>
    <row r="14" spans="1:16">
      <c r="A14" s="71">
        <v>2023</v>
      </c>
      <c r="B14" s="403" t="s">
        <v>15</v>
      </c>
      <c r="C14" s="62" t="s">
        <v>43</v>
      </c>
      <c r="D14" s="76" t="s">
        <v>44</v>
      </c>
      <c r="E14" s="56" t="s">
        <v>47</v>
      </c>
      <c r="F14" s="58">
        <v>607.17999999999995</v>
      </c>
      <c r="G14" s="42" t="s">
        <v>37</v>
      </c>
      <c r="H14" s="44">
        <v>349</v>
      </c>
      <c r="I14" s="502">
        <f t="shared" si="0"/>
        <v>211905.81999999998</v>
      </c>
      <c r="J14" s="529">
        <v>338.5</v>
      </c>
      <c r="K14" s="529">
        <f t="shared" si="1"/>
        <v>10.5</v>
      </c>
      <c r="L14" s="530">
        <f t="shared" si="2"/>
        <v>6375.3899999999994</v>
      </c>
      <c r="M14" s="536">
        <f t="shared" si="3"/>
        <v>3.0085959885386818E-2</v>
      </c>
      <c r="N14" s="80" t="s">
        <v>38</v>
      </c>
      <c r="O14" s="47" t="s">
        <v>39</v>
      </c>
    </row>
    <row r="15" spans="1:16">
      <c r="A15" s="71">
        <v>2023</v>
      </c>
      <c r="B15" s="403" t="s">
        <v>15</v>
      </c>
      <c r="C15" s="62" t="s">
        <v>43</v>
      </c>
      <c r="D15" s="76" t="s">
        <v>44</v>
      </c>
      <c r="E15" s="56" t="s">
        <v>48</v>
      </c>
      <c r="F15" s="58">
        <v>101.67</v>
      </c>
      <c r="G15" s="42" t="s">
        <v>37</v>
      </c>
      <c r="H15" s="44">
        <v>350</v>
      </c>
      <c r="I15" s="502">
        <f t="shared" si="0"/>
        <v>35584.5</v>
      </c>
      <c r="J15" s="529">
        <v>340</v>
      </c>
      <c r="K15" s="529">
        <f t="shared" si="1"/>
        <v>10</v>
      </c>
      <c r="L15" s="530">
        <f t="shared" si="2"/>
        <v>1016.7</v>
      </c>
      <c r="M15" s="536">
        <f t="shared" si="3"/>
        <v>2.8571428571428571E-2</v>
      </c>
      <c r="N15" s="80" t="s">
        <v>38</v>
      </c>
      <c r="O15" s="47" t="s">
        <v>39</v>
      </c>
    </row>
    <row r="16" spans="1:16">
      <c r="A16" s="71">
        <v>2023</v>
      </c>
      <c r="B16" s="403" t="s">
        <v>15</v>
      </c>
      <c r="C16" s="62" t="s">
        <v>43</v>
      </c>
      <c r="D16" s="76" t="s">
        <v>44</v>
      </c>
      <c r="E16" s="56" t="s">
        <v>49</v>
      </c>
      <c r="F16" s="58">
        <v>700.27</v>
      </c>
      <c r="G16" s="42" t="s">
        <v>37</v>
      </c>
      <c r="H16" s="44">
        <v>348</v>
      </c>
      <c r="I16" s="502">
        <f t="shared" si="0"/>
        <v>243693.96</v>
      </c>
      <c r="J16" s="529">
        <v>334</v>
      </c>
      <c r="K16" s="529">
        <f t="shared" si="1"/>
        <v>14</v>
      </c>
      <c r="L16" s="530">
        <f t="shared" si="2"/>
        <v>9803.7799999999988</v>
      </c>
      <c r="M16" s="536">
        <f t="shared" si="3"/>
        <v>4.0229885057471264E-2</v>
      </c>
      <c r="N16" s="80" t="s">
        <v>38</v>
      </c>
      <c r="O16" s="47" t="s">
        <v>39</v>
      </c>
    </row>
    <row r="17" spans="1:15">
      <c r="A17" s="71">
        <v>2023</v>
      </c>
      <c r="B17" s="403" t="s">
        <v>15</v>
      </c>
      <c r="C17" s="62" t="s">
        <v>43</v>
      </c>
      <c r="D17" s="76" t="s">
        <v>44</v>
      </c>
      <c r="E17" s="56" t="s">
        <v>50</v>
      </c>
      <c r="F17" s="58">
        <v>256.35000000000002</v>
      </c>
      <c r="G17" s="42" t="s">
        <v>37</v>
      </c>
      <c r="H17" s="44">
        <v>349</v>
      </c>
      <c r="I17" s="502">
        <f t="shared" si="0"/>
        <v>89466.150000000009</v>
      </c>
      <c r="J17" s="529">
        <v>338.5</v>
      </c>
      <c r="K17" s="529">
        <f t="shared" si="1"/>
        <v>10.5</v>
      </c>
      <c r="L17" s="530">
        <f t="shared" si="2"/>
        <v>2691.6750000000002</v>
      </c>
      <c r="M17" s="536">
        <f t="shared" si="3"/>
        <v>3.0085959885386818E-2</v>
      </c>
      <c r="N17" s="80" t="s">
        <v>38</v>
      </c>
      <c r="O17" s="47" t="s">
        <v>39</v>
      </c>
    </row>
    <row r="18" spans="1:15">
      <c r="A18" s="71">
        <v>2023</v>
      </c>
      <c r="B18" s="403" t="s">
        <v>15</v>
      </c>
      <c r="C18" s="62" t="s">
        <v>43</v>
      </c>
      <c r="D18" s="76" t="s">
        <v>44</v>
      </c>
      <c r="E18" s="56" t="s">
        <v>51</v>
      </c>
      <c r="F18" s="58">
        <v>101.18</v>
      </c>
      <c r="G18" s="42" t="s">
        <v>37</v>
      </c>
      <c r="H18" s="44">
        <v>348</v>
      </c>
      <c r="I18" s="502">
        <f t="shared" si="0"/>
        <v>35210.639999999999</v>
      </c>
      <c r="J18" s="529">
        <v>337</v>
      </c>
      <c r="K18" s="529">
        <f t="shared" si="1"/>
        <v>11</v>
      </c>
      <c r="L18" s="530">
        <f t="shared" si="2"/>
        <v>1112.98</v>
      </c>
      <c r="M18" s="536">
        <f t="shared" si="3"/>
        <v>3.1609195402298854E-2</v>
      </c>
      <c r="N18" s="80" t="s">
        <v>38</v>
      </c>
      <c r="O18" s="47" t="s">
        <v>39</v>
      </c>
    </row>
    <row r="19" spans="1:15">
      <c r="A19" s="71">
        <v>2023</v>
      </c>
      <c r="B19" s="403" t="s">
        <v>15</v>
      </c>
      <c r="C19" s="62" t="s">
        <v>43</v>
      </c>
      <c r="D19" s="76" t="s">
        <v>44</v>
      </c>
      <c r="E19" s="56" t="s">
        <v>51</v>
      </c>
      <c r="F19" s="58">
        <v>370.41</v>
      </c>
      <c r="G19" s="42" t="s">
        <v>37</v>
      </c>
      <c r="H19" s="44">
        <v>348</v>
      </c>
      <c r="I19" s="502">
        <f t="shared" si="0"/>
        <v>128902.68000000001</v>
      </c>
      <c r="J19" s="529">
        <v>337</v>
      </c>
      <c r="K19" s="529">
        <f t="shared" si="1"/>
        <v>11</v>
      </c>
      <c r="L19" s="530">
        <f t="shared" si="2"/>
        <v>4074.51</v>
      </c>
      <c r="M19" s="536">
        <f t="shared" si="3"/>
        <v>3.1609195402298854E-2</v>
      </c>
      <c r="N19" s="80" t="s">
        <v>38</v>
      </c>
      <c r="O19" s="47" t="s">
        <v>39</v>
      </c>
    </row>
    <row r="20" spans="1:15">
      <c r="A20" s="71">
        <v>2023</v>
      </c>
      <c r="B20" s="403" t="s">
        <v>15</v>
      </c>
      <c r="C20" s="62" t="s">
        <v>43</v>
      </c>
      <c r="D20" s="76" t="s">
        <v>44</v>
      </c>
      <c r="E20" s="56" t="s">
        <v>52</v>
      </c>
      <c r="F20" s="58">
        <v>538.64</v>
      </c>
      <c r="G20" s="42" t="s">
        <v>37</v>
      </c>
      <c r="H20" s="44">
        <v>345</v>
      </c>
      <c r="I20" s="502">
        <f t="shared" si="0"/>
        <v>185830.8</v>
      </c>
      <c r="J20" s="529">
        <v>334</v>
      </c>
      <c r="K20" s="529">
        <f t="shared" si="1"/>
        <v>11</v>
      </c>
      <c r="L20" s="530">
        <f t="shared" si="2"/>
        <v>5925.04</v>
      </c>
      <c r="M20" s="536">
        <f t="shared" si="3"/>
        <v>3.1884057971014491E-2</v>
      </c>
      <c r="N20" s="80" t="s">
        <v>38</v>
      </c>
      <c r="O20" s="47" t="s">
        <v>39</v>
      </c>
    </row>
    <row r="21" spans="1:15">
      <c r="A21" s="71">
        <v>2023</v>
      </c>
      <c r="B21" s="403" t="s">
        <v>15</v>
      </c>
      <c r="C21" s="62" t="s">
        <v>53</v>
      </c>
      <c r="D21" s="76" t="s">
        <v>54</v>
      </c>
      <c r="E21" s="56" t="s">
        <v>55</v>
      </c>
      <c r="F21" s="58">
        <v>1000</v>
      </c>
      <c r="G21" s="42" t="s">
        <v>19</v>
      </c>
      <c r="H21" s="44">
        <v>4.5</v>
      </c>
      <c r="I21" s="502">
        <f t="shared" si="0"/>
        <v>4500</v>
      </c>
      <c r="J21" s="529">
        <v>0.85</v>
      </c>
      <c r="K21" s="529">
        <f t="shared" si="1"/>
        <v>3.65</v>
      </c>
      <c r="L21" s="530">
        <f t="shared" si="2"/>
        <v>3650</v>
      </c>
      <c r="M21" s="536">
        <f t="shared" si="3"/>
        <v>0.81111111111111112</v>
      </c>
      <c r="N21" s="80" t="s">
        <v>22</v>
      </c>
      <c r="O21" s="47" t="s">
        <v>21</v>
      </c>
    </row>
    <row r="22" spans="1:15">
      <c r="A22" s="71">
        <v>2023</v>
      </c>
      <c r="B22" s="403" t="s">
        <v>15</v>
      </c>
      <c r="C22" s="62" t="s">
        <v>56</v>
      </c>
      <c r="D22" s="76" t="s">
        <v>57</v>
      </c>
      <c r="E22" s="56" t="s">
        <v>58</v>
      </c>
      <c r="F22" s="58">
        <v>1</v>
      </c>
      <c r="G22" s="42" t="s">
        <v>59</v>
      </c>
      <c r="H22" s="44">
        <v>852778</v>
      </c>
      <c r="I22" s="502">
        <f t="shared" si="0"/>
        <v>852778</v>
      </c>
      <c r="J22" s="529">
        <v>820000</v>
      </c>
      <c r="K22" s="529">
        <f t="shared" si="1"/>
        <v>32778</v>
      </c>
      <c r="L22" s="530">
        <f t="shared" si="2"/>
        <v>32778</v>
      </c>
      <c r="M22" s="536">
        <f t="shared" si="3"/>
        <v>3.8436732654923089E-2</v>
      </c>
      <c r="N22" s="80" t="s">
        <v>38</v>
      </c>
      <c r="O22" s="47" t="s">
        <v>21</v>
      </c>
    </row>
    <row r="23" spans="1:15">
      <c r="A23" s="71">
        <v>2023</v>
      </c>
      <c r="B23" s="403" t="s">
        <v>15</v>
      </c>
      <c r="C23" s="62" t="s">
        <v>60</v>
      </c>
      <c r="D23" s="76" t="s">
        <v>61</v>
      </c>
      <c r="E23" s="56" t="s">
        <v>62</v>
      </c>
      <c r="F23" s="58">
        <v>1</v>
      </c>
      <c r="G23" s="42" t="s">
        <v>63</v>
      </c>
      <c r="H23" s="44">
        <v>5000</v>
      </c>
      <c r="I23" s="502">
        <f t="shared" si="0"/>
        <v>5000</v>
      </c>
      <c r="J23" s="529">
        <v>4500</v>
      </c>
      <c r="K23" s="529">
        <f t="shared" si="1"/>
        <v>500</v>
      </c>
      <c r="L23" s="530">
        <f t="shared" si="2"/>
        <v>500</v>
      </c>
      <c r="M23" s="536">
        <f t="shared" si="3"/>
        <v>0.1</v>
      </c>
      <c r="N23" s="80" t="s">
        <v>38</v>
      </c>
      <c r="O23" s="47" t="s">
        <v>39</v>
      </c>
    </row>
    <row r="24" spans="1:15">
      <c r="A24" s="71">
        <v>2023</v>
      </c>
      <c r="B24" s="403" t="s">
        <v>15</v>
      </c>
      <c r="C24" s="62" t="s">
        <v>60</v>
      </c>
      <c r="D24" s="76" t="s">
        <v>61</v>
      </c>
      <c r="E24" s="56" t="s">
        <v>64</v>
      </c>
      <c r="F24" s="58">
        <v>1</v>
      </c>
      <c r="G24" s="42" t="s">
        <v>63</v>
      </c>
      <c r="H24" s="44">
        <v>13500</v>
      </c>
      <c r="I24" s="502">
        <f t="shared" si="0"/>
        <v>13500</v>
      </c>
      <c r="J24" s="529">
        <v>13000</v>
      </c>
      <c r="K24" s="529">
        <f t="shared" si="1"/>
        <v>500</v>
      </c>
      <c r="L24" s="530">
        <f t="shared" si="2"/>
        <v>500</v>
      </c>
      <c r="M24" s="536">
        <f t="shared" si="3"/>
        <v>3.7037037037037035E-2</v>
      </c>
      <c r="N24" s="80" t="s">
        <v>38</v>
      </c>
      <c r="O24" s="47" t="s">
        <v>39</v>
      </c>
    </row>
    <row r="25" spans="1:15" ht="24">
      <c r="A25" s="71">
        <v>2023</v>
      </c>
      <c r="B25" s="403" t="s">
        <v>15</v>
      </c>
      <c r="C25" s="436" t="s">
        <v>65</v>
      </c>
      <c r="D25" s="410" t="s">
        <v>17</v>
      </c>
      <c r="E25" s="450" t="s">
        <v>66</v>
      </c>
      <c r="F25" s="475">
        <v>1</v>
      </c>
      <c r="G25" s="412" t="s">
        <v>19</v>
      </c>
      <c r="H25" s="411">
        <v>35000</v>
      </c>
      <c r="I25" s="502">
        <f t="shared" si="0"/>
        <v>35000</v>
      </c>
      <c r="J25" s="529">
        <v>33500</v>
      </c>
      <c r="K25" s="529">
        <f t="shared" si="1"/>
        <v>1500</v>
      </c>
      <c r="L25" s="530">
        <f t="shared" si="2"/>
        <v>1500</v>
      </c>
      <c r="M25" s="536">
        <f t="shared" si="3"/>
        <v>4.2857142857142858E-2</v>
      </c>
      <c r="N25" s="64" t="s">
        <v>22</v>
      </c>
      <c r="O25" s="84" t="s">
        <v>21</v>
      </c>
    </row>
    <row r="26" spans="1:15">
      <c r="A26" s="71">
        <v>2023</v>
      </c>
      <c r="B26" s="398" t="s">
        <v>15</v>
      </c>
      <c r="C26" s="75" t="s">
        <v>67</v>
      </c>
      <c r="D26" s="407" t="s">
        <v>68</v>
      </c>
      <c r="E26" s="56" t="s">
        <v>69</v>
      </c>
      <c r="F26" s="58">
        <v>46</v>
      </c>
      <c r="G26" s="42" t="s">
        <v>37</v>
      </c>
      <c r="H26" s="44">
        <v>350</v>
      </c>
      <c r="I26" s="502">
        <f t="shared" si="0"/>
        <v>16100</v>
      </c>
      <c r="J26" s="529">
        <v>348</v>
      </c>
      <c r="K26" s="529">
        <f t="shared" si="1"/>
        <v>2</v>
      </c>
      <c r="L26" s="530">
        <f t="shared" si="2"/>
        <v>92</v>
      </c>
      <c r="M26" s="536">
        <f t="shared" si="3"/>
        <v>5.7142857142857143E-3</v>
      </c>
      <c r="N26" s="64" t="s">
        <v>22</v>
      </c>
      <c r="O26" s="47" t="s">
        <v>39</v>
      </c>
    </row>
    <row r="27" spans="1:15">
      <c r="A27" s="71">
        <v>2023</v>
      </c>
      <c r="B27" s="1" t="s">
        <v>15</v>
      </c>
      <c r="C27" s="71" t="s">
        <v>67</v>
      </c>
      <c r="D27" s="2" t="s">
        <v>68</v>
      </c>
      <c r="E27" s="81" t="s">
        <v>70</v>
      </c>
      <c r="F27" s="58">
        <v>108</v>
      </c>
      <c r="G27" s="42" t="s">
        <v>37</v>
      </c>
      <c r="H27" s="44">
        <v>350</v>
      </c>
      <c r="I27" s="502">
        <f t="shared" si="0"/>
        <v>37800</v>
      </c>
      <c r="J27" s="529">
        <v>348</v>
      </c>
      <c r="K27" s="529">
        <f t="shared" si="1"/>
        <v>2</v>
      </c>
      <c r="L27" s="530">
        <f t="shared" si="2"/>
        <v>216</v>
      </c>
      <c r="M27" s="536">
        <f t="shared" si="3"/>
        <v>5.7142857142857143E-3</v>
      </c>
      <c r="N27" s="64" t="s">
        <v>22</v>
      </c>
      <c r="O27" s="47" t="s">
        <v>39</v>
      </c>
    </row>
    <row r="28" spans="1:15">
      <c r="A28" s="71">
        <v>2023</v>
      </c>
      <c r="B28" s="42" t="s">
        <v>15</v>
      </c>
      <c r="C28" s="62" t="s">
        <v>67</v>
      </c>
      <c r="D28" s="47" t="s">
        <v>68</v>
      </c>
      <c r="E28" s="47" t="s">
        <v>71</v>
      </c>
      <c r="F28" s="51">
        <v>126.7</v>
      </c>
      <c r="G28" s="42" t="s">
        <v>37</v>
      </c>
      <c r="H28" s="44">
        <v>350</v>
      </c>
      <c r="I28" s="502">
        <f t="shared" si="0"/>
        <v>44345</v>
      </c>
      <c r="J28" s="529">
        <v>348</v>
      </c>
      <c r="K28" s="529">
        <f t="shared" si="1"/>
        <v>2</v>
      </c>
      <c r="L28" s="530">
        <f t="shared" si="2"/>
        <v>253.4</v>
      </c>
      <c r="M28" s="536">
        <f t="shared" si="3"/>
        <v>5.7142857142857143E-3</v>
      </c>
      <c r="N28" s="64" t="s">
        <v>22</v>
      </c>
      <c r="O28" s="47" t="s">
        <v>39</v>
      </c>
    </row>
    <row r="29" spans="1:15">
      <c r="A29" s="71">
        <v>2023</v>
      </c>
      <c r="B29" s="42" t="s">
        <v>15</v>
      </c>
      <c r="C29" s="62" t="s">
        <v>67</v>
      </c>
      <c r="D29" s="47" t="s">
        <v>68</v>
      </c>
      <c r="E29" s="47" t="s">
        <v>72</v>
      </c>
      <c r="F29" s="51">
        <v>216.8</v>
      </c>
      <c r="G29" s="42" t="s">
        <v>37</v>
      </c>
      <c r="H29" s="44">
        <v>350</v>
      </c>
      <c r="I29" s="502">
        <f t="shared" si="0"/>
        <v>75880</v>
      </c>
      <c r="J29" s="529">
        <v>348</v>
      </c>
      <c r="K29" s="529">
        <f t="shared" si="1"/>
        <v>2</v>
      </c>
      <c r="L29" s="530">
        <f t="shared" si="2"/>
        <v>433.6</v>
      </c>
      <c r="M29" s="536">
        <f t="shared" si="3"/>
        <v>5.7142857142857143E-3</v>
      </c>
      <c r="N29" s="64" t="s">
        <v>22</v>
      </c>
      <c r="O29" s="47" t="s">
        <v>39</v>
      </c>
    </row>
    <row r="30" spans="1:15">
      <c r="A30" s="71">
        <v>2023</v>
      </c>
      <c r="B30" s="42" t="s">
        <v>15</v>
      </c>
      <c r="C30" s="62" t="s">
        <v>67</v>
      </c>
      <c r="D30" s="47" t="s">
        <v>68</v>
      </c>
      <c r="E30" s="47" t="s">
        <v>73</v>
      </c>
      <c r="F30" s="51">
        <v>129.9</v>
      </c>
      <c r="G30" s="42" t="s">
        <v>37</v>
      </c>
      <c r="H30" s="44">
        <v>350</v>
      </c>
      <c r="I30" s="502">
        <f t="shared" si="0"/>
        <v>45465</v>
      </c>
      <c r="J30" s="529">
        <v>348</v>
      </c>
      <c r="K30" s="529">
        <f t="shared" si="1"/>
        <v>2</v>
      </c>
      <c r="L30" s="530">
        <f t="shared" si="2"/>
        <v>259.8</v>
      </c>
      <c r="M30" s="536">
        <f t="shared" si="3"/>
        <v>5.7142857142857143E-3</v>
      </c>
      <c r="N30" s="64" t="s">
        <v>22</v>
      </c>
      <c r="O30" s="47" t="s">
        <v>39</v>
      </c>
    </row>
    <row r="31" spans="1:15">
      <c r="A31" s="71">
        <v>2023</v>
      </c>
      <c r="B31" s="42" t="s">
        <v>15</v>
      </c>
      <c r="C31" s="62" t="s">
        <v>67</v>
      </c>
      <c r="D31" s="47" t="s">
        <v>68</v>
      </c>
      <c r="E31" s="47" t="s">
        <v>74</v>
      </c>
      <c r="F31" s="51">
        <v>72.5</v>
      </c>
      <c r="G31" s="42" t="s">
        <v>37</v>
      </c>
      <c r="H31" s="44">
        <v>350</v>
      </c>
      <c r="I31" s="502">
        <f t="shared" si="0"/>
        <v>25375</v>
      </c>
      <c r="J31" s="529">
        <v>348</v>
      </c>
      <c r="K31" s="529">
        <f t="shared" si="1"/>
        <v>2</v>
      </c>
      <c r="L31" s="530">
        <f t="shared" si="2"/>
        <v>145</v>
      </c>
      <c r="M31" s="536">
        <f t="shared" si="3"/>
        <v>5.7142857142857143E-3</v>
      </c>
      <c r="N31" s="64" t="s">
        <v>22</v>
      </c>
      <c r="O31" s="47" t="s">
        <v>39</v>
      </c>
    </row>
    <row r="32" spans="1:15">
      <c r="A32" s="71">
        <v>2023</v>
      </c>
      <c r="B32" s="42" t="s">
        <v>15</v>
      </c>
      <c r="C32" s="62" t="s">
        <v>53</v>
      </c>
      <c r="D32" s="47" t="s">
        <v>54</v>
      </c>
      <c r="E32" s="47" t="s">
        <v>55</v>
      </c>
      <c r="F32" s="51">
        <v>1000</v>
      </c>
      <c r="G32" s="42" t="s">
        <v>19</v>
      </c>
      <c r="H32" s="44">
        <v>4.5</v>
      </c>
      <c r="I32" s="502">
        <f t="shared" si="0"/>
        <v>4500</v>
      </c>
      <c r="J32" s="529">
        <v>0.85</v>
      </c>
      <c r="K32" s="529">
        <f t="shared" si="1"/>
        <v>3.65</v>
      </c>
      <c r="L32" s="530">
        <f t="shared" si="2"/>
        <v>3650</v>
      </c>
      <c r="M32" s="536">
        <f t="shared" si="3"/>
        <v>0.81111111111111112</v>
      </c>
      <c r="N32" s="80" t="s">
        <v>22</v>
      </c>
      <c r="O32" s="47" t="s">
        <v>21</v>
      </c>
    </row>
    <row r="33" spans="1:15">
      <c r="A33" s="71">
        <v>2023</v>
      </c>
      <c r="B33" s="42" t="s">
        <v>15</v>
      </c>
      <c r="C33" s="62" t="s">
        <v>56</v>
      </c>
      <c r="D33" s="47" t="s">
        <v>57</v>
      </c>
      <c r="E33" s="47" t="s">
        <v>58</v>
      </c>
      <c r="F33" s="51">
        <v>1</v>
      </c>
      <c r="G33" s="42" t="s">
        <v>59</v>
      </c>
      <c r="H33" s="44">
        <v>852778</v>
      </c>
      <c r="I33" s="502">
        <f t="shared" si="0"/>
        <v>852778</v>
      </c>
      <c r="J33" s="529">
        <v>820000</v>
      </c>
      <c r="K33" s="529">
        <f t="shared" si="1"/>
        <v>32778</v>
      </c>
      <c r="L33" s="530">
        <f t="shared" si="2"/>
        <v>32778</v>
      </c>
      <c r="M33" s="536">
        <f t="shared" si="3"/>
        <v>3.8436732654923089E-2</v>
      </c>
      <c r="N33" s="80" t="s">
        <v>38</v>
      </c>
      <c r="O33" s="47" t="s">
        <v>21</v>
      </c>
    </row>
    <row r="34" spans="1:15">
      <c r="A34" s="71">
        <v>2023</v>
      </c>
      <c r="B34" s="42" t="s">
        <v>15</v>
      </c>
      <c r="C34" s="62" t="s">
        <v>75</v>
      </c>
      <c r="D34" s="47" t="s">
        <v>24</v>
      </c>
      <c r="E34" s="47" t="s">
        <v>76</v>
      </c>
      <c r="F34" s="51">
        <v>20</v>
      </c>
      <c r="G34" s="42" t="s">
        <v>19</v>
      </c>
      <c r="H34" s="44">
        <v>1320</v>
      </c>
      <c r="I34" s="502">
        <f t="shared" si="0"/>
        <v>26400</v>
      </c>
      <c r="J34" s="529">
        <v>1230</v>
      </c>
      <c r="K34" s="529">
        <f t="shared" si="1"/>
        <v>90</v>
      </c>
      <c r="L34" s="530">
        <f t="shared" si="2"/>
        <v>1800</v>
      </c>
      <c r="M34" s="536">
        <f t="shared" si="3"/>
        <v>6.8181818181818177E-2</v>
      </c>
      <c r="N34" s="80" t="s">
        <v>22</v>
      </c>
      <c r="O34" s="47" t="s">
        <v>21</v>
      </c>
    </row>
    <row r="35" spans="1:15">
      <c r="A35" s="71">
        <v>2023</v>
      </c>
      <c r="B35" s="42" t="s">
        <v>15</v>
      </c>
      <c r="C35" s="62" t="s">
        <v>77</v>
      </c>
      <c r="D35" s="47" t="s">
        <v>78</v>
      </c>
      <c r="E35" s="47" t="s">
        <v>79</v>
      </c>
      <c r="F35" s="51">
        <v>5</v>
      </c>
      <c r="G35" s="42" t="s">
        <v>19</v>
      </c>
      <c r="H35" s="44">
        <v>250</v>
      </c>
      <c r="I35" s="502">
        <f t="shared" si="0"/>
        <v>1250</v>
      </c>
      <c r="J35" s="529">
        <v>180</v>
      </c>
      <c r="K35" s="529">
        <f t="shared" si="1"/>
        <v>70</v>
      </c>
      <c r="L35" s="530">
        <f t="shared" si="2"/>
        <v>350</v>
      </c>
      <c r="M35" s="536">
        <f t="shared" si="3"/>
        <v>0.28000000000000003</v>
      </c>
      <c r="N35" s="80" t="s">
        <v>22</v>
      </c>
      <c r="O35" s="47" t="s">
        <v>21</v>
      </c>
    </row>
    <row r="36" spans="1:15">
      <c r="A36" s="71">
        <v>2023</v>
      </c>
      <c r="B36" s="42" t="s">
        <v>15</v>
      </c>
      <c r="C36" s="62" t="s">
        <v>80</v>
      </c>
      <c r="D36" s="47" t="s">
        <v>17</v>
      </c>
      <c r="E36" s="47" t="s">
        <v>81</v>
      </c>
      <c r="F36" s="51">
        <v>36</v>
      </c>
      <c r="G36" s="42" t="s">
        <v>82</v>
      </c>
      <c r="H36" s="8">
        <v>650</v>
      </c>
      <c r="I36" s="502">
        <f t="shared" si="0"/>
        <v>23400</v>
      </c>
      <c r="J36" s="529">
        <v>600</v>
      </c>
      <c r="K36" s="529">
        <f t="shared" si="1"/>
        <v>50</v>
      </c>
      <c r="L36" s="530">
        <f t="shared" si="2"/>
        <v>1800</v>
      </c>
      <c r="M36" s="536">
        <f t="shared" si="3"/>
        <v>7.6923076923076927E-2</v>
      </c>
      <c r="N36" s="80" t="s">
        <v>22</v>
      </c>
      <c r="O36" s="47" t="s">
        <v>21</v>
      </c>
    </row>
    <row r="37" spans="1:15">
      <c r="A37" s="71">
        <v>2023</v>
      </c>
      <c r="B37" s="42" t="s">
        <v>15</v>
      </c>
      <c r="C37" s="62" t="s">
        <v>83</v>
      </c>
      <c r="D37" s="47" t="s">
        <v>84</v>
      </c>
      <c r="E37" s="47" t="s">
        <v>85</v>
      </c>
      <c r="F37" s="51">
        <v>1</v>
      </c>
      <c r="G37" s="42" t="s">
        <v>59</v>
      </c>
      <c r="H37" s="8">
        <v>50000</v>
      </c>
      <c r="I37" s="502">
        <f t="shared" si="0"/>
        <v>50000</v>
      </c>
      <c r="J37" s="529">
        <v>48000</v>
      </c>
      <c r="K37" s="529">
        <f t="shared" si="1"/>
        <v>2000</v>
      </c>
      <c r="L37" s="530">
        <f t="shared" si="2"/>
        <v>2000</v>
      </c>
      <c r="M37" s="536">
        <f t="shared" si="3"/>
        <v>0.04</v>
      </c>
      <c r="N37" s="80" t="s">
        <v>38</v>
      </c>
      <c r="O37" s="47" t="s">
        <v>21</v>
      </c>
    </row>
    <row r="38" spans="1:15">
      <c r="A38" s="71">
        <v>2023</v>
      </c>
      <c r="B38" s="42" t="s">
        <v>15</v>
      </c>
      <c r="C38" s="62" t="s">
        <v>86</v>
      </c>
      <c r="D38" s="47" t="s">
        <v>84</v>
      </c>
      <c r="E38" s="47" t="s">
        <v>87</v>
      </c>
      <c r="F38" s="51">
        <v>1</v>
      </c>
      <c r="G38" s="42" t="s">
        <v>59</v>
      </c>
      <c r="H38" s="44">
        <v>15000</v>
      </c>
      <c r="I38" s="502">
        <f t="shared" si="0"/>
        <v>15000</v>
      </c>
      <c r="J38" s="529">
        <v>14000</v>
      </c>
      <c r="K38" s="529">
        <f t="shared" si="1"/>
        <v>1000</v>
      </c>
      <c r="L38" s="530">
        <f t="shared" si="2"/>
        <v>1000</v>
      </c>
      <c r="M38" s="536">
        <f t="shared" si="3"/>
        <v>6.6666666666666666E-2</v>
      </c>
      <c r="N38" s="80" t="s">
        <v>38</v>
      </c>
      <c r="O38" s="47" t="s">
        <v>21</v>
      </c>
    </row>
    <row r="39" spans="1:15">
      <c r="A39" s="71">
        <v>2023</v>
      </c>
      <c r="B39" s="42" t="s">
        <v>15</v>
      </c>
      <c r="C39" s="62" t="s">
        <v>88</v>
      </c>
      <c r="D39" s="47" t="s">
        <v>89</v>
      </c>
      <c r="E39" s="47" t="s">
        <v>90</v>
      </c>
      <c r="F39" s="51">
        <v>1</v>
      </c>
      <c r="G39" s="42" t="s">
        <v>59</v>
      </c>
      <c r="H39" s="8">
        <v>125550</v>
      </c>
      <c r="I39" s="502">
        <f t="shared" si="0"/>
        <v>125550</v>
      </c>
      <c r="J39" s="529">
        <v>112995</v>
      </c>
      <c r="K39" s="529">
        <f t="shared" si="1"/>
        <v>12555</v>
      </c>
      <c r="L39" s="530">
        <f t="shared" si="2"/>
        <v>12555</v>
      </c>
      <c r="M39" s="536">
        <f t="shared" si="3"/>
        <v>0.1</v>
      </c>
      <c r="N39" s="80" t="s">
        <v>38</v>
      </c>
      <c r="O39" s="47" t="s">
        <v>21</v>
      </c>
    </row>
    <row r="40" spans="1:15">
      <c r="A40" s="71">
        <v>2023</v>
      </c>
      <c r="B40" s="42" t="s">
        <v>15</v>
      </c>
      <c r="C40" s="62" t="s">
        <v>91</v>
      </c>
      <c r="D40" s="47" t="s">
        <v>27</v>
      </c>
      <c r="E40" s="47" t="s">
        <v>28</v>
      </c>
      <c r="F40" s="51">
        <v>2</v>
      </c>
      <c r="G40" s="42" t="s">
        <v>29</v>
      </c>
      <c r="H40" s="44">
        <v>1300</v>
      </c>
      <c r="I40" s="502">
        <f t="shared" si="0"/>
        <v>2600</v>
      </c>
      <c r="J40" s="529">
        <v>1000</v>
      </c>
      <c r="K40" s="529">
        <f t="shared" si="1"/>
        <v>300</v>
      </c>
      <c r="L40" s="530">
        <f t="shared" si="2"/>
        <v>600</v>
      </c>
      <c r="M40" s="536">
        <f t="shared" si="3"/>
        <v>0.23076923076923078</v>
      </c>
      <c r="N40" s="64" t="s">
        <v>22</v>
      </c>
      <c r="O40" s="47" t="s">
        <v>21</v>
      </c>
    </row>
    <row r="41" spans="1:15">
      <c r="A41" s="71">
        <v>2023</v>
      </c>
      <c r="B41" s="42" t="s">
        <v>15</v>
      </c>
      <c r="C41" s="62" t="s">
        <v>92</v>
      </c>
      <c r="D41" s="47" t="s">
        <v>24</v>
      </c>
      <c r="E41" s="47" t="s">
        <v>25</v>
      </c>
      <c r="F41" s="51">
        <v>24</v>
      </c>
      <c r="G41" s="42" t="s">
        <v>19</v>
      </c>
      <c r="H41" s="44">
        <v>44.5</v>
      </c>
      <c r="I41" s="502">
        <f t="shared" si="0"/>
        <v>1068</v>
      </c>
      <c r="J41" s="529">
        <v>39</v>
      </c>
      <c r="K41" s="529">
        <f t="shared" si="1"/>
        <v>5.5</v>
      </c>
      <c r="L41" s="530">
        <f t="shared" si="2"/>
        <v>132</v>
      </c>
      <c r="M41" s="536">
        <f t="shared" si="3"/>
        <v>0.12359550561797752</v>
      </c>
      <c r="N41" s="64" t="s">
        <v>22</v>
      </c>
      <c r="O41" s="47" t="s">
        <v>21</v>
      </c>
    </row>
    <row r="42" spans="1:15">
      <c r="A42" s="71">
        <v>2023</v>
      </c>
      <c r="B42" s="42" t="s">
        <v>15</v>
      </c>
      <c r="C42" s="62" t="s">
        <v>93</v>
      </c>
      <c r="D42" s="47" t="s">
        <v>94</v>
      </c>
      <c r="E42" s="47" t="s">
        <v>28</v>
      </c>
      <c r="F42" s="51">
        <v>15</v>
      </c>
      <c r="G42" s="42" t="s">
        <v>29</v>
      </c>
      <c r="H42" s="44">
        <v>1360</v>
      </c>
      <c r="I42" s="502">
        <f t="shared" si="0"/>
        <v>20400</v>
      </c>
      <c r="J42" s="529">
        <v>1280</v>
      </c>
      <c r="K42" s="529">
        <f t="shared" si="1"/>
        <v>80</v>
      </c>
      <c r="L42" s="530">
        <f t="shared" si="2"/>
        <v>1200</v>
      </c>
      <c r="M42" s="536">
        <f t="shared" si="3"/>
        <v>5.8823529411764705E-2</v>
      </c>
      <c r="N42" s="64" t="s">
        <v>22</v>
      </c>
      <c r="O42" s="47" t="s">
        <v>21</v>
      </c>
    </row>
    <row r="43" spans="1:15">
      <c r="A43" s="71">
        <v>2023</v>
      </c>
      <c r="B43" s="42" t="s">
        <v>15</v>
      </c>
      <c r="C43" s="62" t="s">
        <v>95</v>
      </c>
      <c r="D43" s="47" t="s">
        <v>96</v>
      </c>
      <c r="E43" s="47" t="s">
        <v>97</v>
      </c>
      <c r="F43" s="51">
        <v>50</v>
      </c>
      <c r="G43" s="42" t="s">
        <v>98</v>
      </c>
      <c r="H43" s="44">
        <v>250</v>
      </c>
      <c r="I43" s="502">
        <f t="shared" si="0"/>
        <v>12500</v>
      </c>
      <c r="J43" s="529">
        <v>140</v>
      </c>
      <c r="K43" s="529">
        <f t="shared" si="1"/>
        <v>110</v>
      </c>
      <c r="L43" s="530">
        <f t="shared" si="2"/>
        <v>5500</v>
      </c>
      <c r="M43" s="536">
        <f t="shared" si="3"/>
        <v>0.44</v>
      </c>
      <c r="N43" s="64" t="s">
        <v>22</v>
      </c>
      <c r="O43" s="47" t="s">
        <v>21</v>
      </c>
    </row>
    <row r="44" spans="1:15">
      <c r="A44" s="71">
        <v>2023</v>
      </c>
      <c r="B44" s="42" t="s">
        <v>15</v>
      </c>
      <c r="C44" s="62" t="s">
        <v>95</v>
      </c>
      <c r="D44" s="47" t="s">
        <v>96</v>
      </c>
      <c r="E44" s="47" t="s">
        <v>99</v>
      </c>
      <c r="F44" s="51">
        <v>50</v>
      </c>
      <c r="G44" s="42" t="s">
        <v>98</v>
      </c>
      <c r="H44" s="44">
        <v>781</v>
      </c>
      <c r="I44" s="502">
        <f t="shared" si="0"/>
        <v>39050</v>
      </c>
      <c r="J44" s="529">
        <v>432</v>
      </c>
      <c r="K44" s="529">
        <f t="shared" si="1"/>
        <v>349</v>
      </c>
      <c r="L44" s="530">
        <f t="shared" si="2"/>
        <v>17450</v>
      </c>
      <c r="M44" s="536">
        <f t="shared" si="3"/>
        <v>0.44686299615877079</v>
      </c>
      <c r="N44" s="64" t="s">
        <v>22</v>
      </c>
      <c r="O44" s="47" t="s">
        <v>21</v>
      </c>
    </row>
    <row r="45" spans="1:15">
      <c r="A45" s="71">
        <v>2023</v>
      </c>
      <c r="B45" s="42" t="s">
        <v>15</v>
      </c>
      <c r="C45" s="62" t="s">
        <v>100</v>
      </c>
      <c r="D45" s="47" t="s">
        <v>94</v>
      </c>
      <c r="E45" s="47" t="s">
        <v>101</v>
      </c>
      <c r="F45" s="51">
        <v>30</v>
      </c>
      <c r="G45" s="42" t="s">
        <v>29</v>
      </c>
      <c r="H45" s="44">
        <v>900</v>
      </c>
      <c r="I45" s="502">
        <f t="shared" si="0"/>
        <v>27000</v>
      </c>
      <c r="J45" s="529">
        <v>600</v>
      </c>
      <c r="K45" s="529">
        <f t="shared" si="1"/>
        <v>300</v>
      </c>
      <c r="L45" s="530">
        <f t="shared" si="2"/>
        <v>9000</v>
      </c>
      <c r="M45" s="536">
        <f t="shared" si="3"/>
        <v>0.33333333333333331</v>
      </c>
      <c r="N45" s="64" t="s">
        <v>22</v>
      </c>
      <c r="O45" s="47" t="s">
        <v>21</v>
      </c>
    </row>
    <row r="46" spans="1:15">
      <c r="A46" s="71">
        <v>2023</v>
      </c>
      <c r="B46" s="42" t="s">
        <v>15</v>
      </c>
      <c r="C46" s="62" t="s">
        <v>102</v>
      </c>
      <c r="D46" s="47" t="s">
        <v>103</v>
      </c>
      <c r="E46" s="47" t="s">
        <v>104</v>
      </c>
      <c r="F46" s="51">
        <v>1</v>
      </c>
      <c r="G46" s="42" t="s">
        <v>59</v>
      </c>
      <c r="H46" s="44">
        <v>29000</v>
      </c>
      <c r="I46" s="502">
        <f t="shared" si="0"/>
        <v>29000</v>
      </c>
      <c r="J46" s="529">
        <v>21550</v>
      </c>
      <c r="K46" s="529">
        <f t="shared" si="1"/>
        <v>7450</v>
      </c>
      <c r="L46" s="530">
        <f t="shared" si="2"/>
        <v>7450</v>
      </c>
      <c r="M46" s="536">
        <f t="shared" si="3"/>
        <v>0.25689655172413794</v>
      </c>
      <c r="N46" s="80" t="s">
        <v>22</v>
      </c>
      <c r="O46" s="47" t="s">
        <v>105</v>
      </c>
    </row>
    <row r="47" spans="1:15">
      <c r="A47" s="71">
        <v>2023</v>
      </c>
      <c r="B47" s="42" t="s">
        <v>15</v>
      </c>
      <c r="C47" s="428" t="s">
        <v>106</v>
      </c>
      <c r="D47" s="47" t="s">
        <v>107</v>
      </c>
      <c r="E47" s="47" t="s">
        <v>108</v>
      </c>
      <c r="F47" s="51">
        <v>60</v>
      </c>
      <c r="G47" s="42" t="s">
        <v>19</v>
      </c>
      <c r="H47" s="44">
        <v>1600</v>
      </c>
      <c r="I47" s="502">
        <f t="shared" si="0"/>
        <v>96000</v>
      </c>
      <c r="J47" s="529">
        <v>1550</v>
      </c>
      <c r="K47" s="529">
        <f t="shared" si="1"/>
        <v>50</v>
      </c>
      <c r="L47" s="530">
        <f t="shared" si="2"/>
        <v>3000</v>
      </c>
      <c r="M47" s="536">
        <f t="shared" si="3"/>
        <v>3.125E-2</v>
      </c>
      <c r="N47" s="64" t="s">
        <v>38</v>
      </c>
      <c r="O47" s="47" t="s">
        <v>105</v>
      </c>
    </row>
    <row r="48" spans="1:15">
      <c r="A48" s="71">
        <v>2023</v>
      </c>
      <c r="B48" s="42" t="s">
        <v>15</v>
      </c>
      <c r="C48" s="62" t="s">
        <v>109</v>
      </c>
      <c r="D48" s="47" t="s">
        <v>110</v>
      </c>
      <c r="E48" s="47" t="s">
        <v>111</v>
      </c>
      <c r="F48" s="51">
        <v>1</v>
      </c>
      <c r="G48" s="42" t="s">
        <v>19</v>
      </c>
      <c r="H48" s="44">
        <v>71000</v>
      </c>
      <c r="I48" s="502">
        <f t="shared" si="0"/>
        <v>71000</v>
      </c>
      <c r="J48" s="529">
        <v>63500</v>
      </c>
      <c r="K48" s="529">
        <f t="shared" si="1"/>
        <v>7500</v>
      </c>
      <c r="L48" s="530">
        <f t="shared" si="2"/>
        <v>7500</v>
      </c>
      <c r="M48" s="536">
        <f t="shared" si="3"/>
        <v>0.10563380281690141</v>
      </c>
      <c r="N48" s="64" t="s">
        <v>22</v>
      </c>
      <c r="O48" s="47" t="s">
        <v>21</v>
      </c>
    </row>
    <row r="49" spans="1:15">
      <c r="A49" s="71">
        <v>2023</v>
      </c>
      <c r="B49" s="42" t="s">
        <v>15</v>
      </c>
      <c r="C49" s="62" t="s">
        <v>112</v>
      </c>
      <c r="D49" s="47" t="s">
        <v>113</v>
      </c>
      <c r="E49" s="47" t="s">
        <v>114</v>
      </c>
      <c r="F49" s="51">
        <v>1</v>
      </c>
      <c r="G49" s="42" t="s">
        <v>19</v>
      </c>
      <c r="H49" s="44">
        <v>260000</v>
      </c>
      <c r="I49" s="502">
        <f t="shared" si="0"/>
        <v>260000</v>
      </c>
      <c r="J49" s="529">
        <v>250000</v>
      </c>
      <c r="K49" s="529">
        <f t="shared" si="1"/>
        <v>10000</v>
      </c>
      <c r="L49" s="530">
        <f t="shared" si="2"/>
        <v>10000</v>
      </c>
      <c r="M49" s="536">
        <f t="shared" si="3"/>
        <v>3.8461538461538464E-2</v>
      </c>
      <c r="N49" s="64" t="s">
        <v>38</v>
      </c>
      <c r="O49" s="47" t="s">
        <v>21</v>
      </c>
    </row>
    <row r="50" spans="1:15">
      <c r="A50" s="71">
        <v>2023</v>
      </c>
      <c r="B50" s="42" t="s">
        <v>15</v>
      </c>
      <c r="C50" s="62" t="s">
        <v>115</v>
      </c>
      <c r="D50" s="47" t="s">
        <v>17</v>
      </c>
      <c r="E50" s="47" t="s">
        <v>116</v>
      </c>
      <c r="F50" s="51">
        <v>10</v>
      </c>
      <c r="G50" s="42" t="s">
        <v>19</v>
      </c>
      <c r="H50" s="44">
        <v>2135</v>
      </c>
      <c r="I50" s="502">
        <f t="shared" si="0"/>
        <v>21350</v>
      </c>
      <c r="J50" s="529">
        <v>2000</v>
      </c>
      <c r="K50" s="529">
        <f t="shared" si="1"/>
        <v>135</v>
      </c>
      <c r="L50" s="530">
        <f t="shared" si="2"/>
        <v>1350</v>
      </c>
      <c r="M50" s="536">
        <f t="shared" si="3"/>
        <v>6.323185011709602E-2</v>
      </c>
      <c r="N50" s="64" t="s">
        <v>20</v>
      </c>
      <c r="O50" s="47" t="s">
        <v>21</v>
      </c>
    </row>
    <row r="51" spans="1:15">
      <c r="A51" s="71">
        <v>2023</v>
      </c>
      <c r="B51" s="42" t="s">
        <v>15</v>
      </c>
      <c r="C51" s="62" t="s">
        <v>117</v>
      </c>
      <c r="D51" s="47" t="s">
        <v>118</v>
      </c>
      <c r="E51" s="47" t="s">
        <v>119</v>
      </c>
      <c r="F51" s="51">
        <v>1</v>
      </c>
      <c r="G51" s="42" t="s">
        <v>19</v>
      </c>
      <c r="H51" s="44">
        <v>2168</v>
      </c>
      <c r="I51" s="502">
        <f t="shared" si="0"/>
        <v>2168</v>
      </c>
      <c r="J51" s="529">
        <v>1800</v>
      </c>
      <c r="K51" s="529">
        <f t="shared" si="1"/>
        <v>368</v>
      </c>
      <c r="L51" s="530">
        <f t="shared" si="2"/>
        <v>368</v>
      </c>
      <c r="M51" s="536">
        <f t="shared" si="3"/>
        <v>0.16974169741697417</v>
      </c>
      <c r="N51" s="64" t="s">
        <v>22</v>
      </c>
      <c r="O51" s="47" t="s">
        <v>21</v>
      </c>
    </row>
    <row r="52" spans="1:15">
      <c r="A52" s="71">
        <v>2023</v>
      </c>
      <c r="B52" s="42" t="s">
        <v>15</v>
      </c>
      <c r="C52" s="62" t="s">
        <v>120</v>
      </c>
      <c r="D52" s="47" t="s">
        <v>121</v>
      </c>
      <c r="E52" s="47" t="s">
        <v>122</v>
      </c>
      <c r="F52" s="51">
        <v>50</v>
      </c>
      <c r="G52" s="42" t="s">
        <v>19</v>
      </c>
      <c r="H52" s="44">
        <v>125</v>
      </c>
      <c r="I52" s="502">
        <f t="shared" si="0"/>
        <v>6250</v>
      </c>
      <c r="J52" s="529">
        <v>110</v>
      </c>
      <c r="K52" s="529">
        <f t="shared" si="1"/>
        <v>15</v>
      </c>
      <c r="L52" s="530">
        <f t="shared" si="2"/>
        <v>750</v>
      </c>
      <c r="M52" s="536">
        <f t="shared" si="3"/>
        <v>0.12</v>
      </c>
      <c r="N52" s="64" t="s">
        <v>22</v>
      </c>
      <c r="O52" s="47" t="s">
        <v>21</v>
      </c>
    </row>
    <row r="53" spans="1:15">
      <c r="A53" s="71">
        <v>2023</v>
      </c>
      <c r="B53" s="42" t="s">
        <v>15</v>
      </c>
      <c r="C53" s="62" t="s">
        <v>120</v>
      </c>
      <c r="D53" s="47" t="s">
        <v>121</v>
      </c>
      <c r="E53" s="47" t="s">
        <v>123</v>
      </c>
      <c r="F53" s="51">
        <v>50</v>
      </c>
      <c r="G53" s="42" t="s">
        <v>19</v>
      </c>
      <c r="H53" s="44">
        <v>110</v>
      </c>
      <c r="I53" s="502">
        <f t="shared" si="0"/>
        <v>5500</v>
      </c>
      <c r="J53" s="529">
        <v>105</v>
      </c>
      <c r="K53" s="529">
        <f t="shared" si="1"/>
        <v>5</v>
      </c>
      <c r="L53" s="530">
        <f t="shared" si="2"/>
        <v>250</v>
      </c>
      <c r="M53" s="536">
        <f t="shared" si="3"/>
        <v>4.5454545454545456E-2</v>
      </c>
      <c r="N53" s="64" t="s">
        <v>22</v>
      </c>
      <c r="O53" s="47" t="s">
        <v>21</v>
      </c>
    </row>
    <row r="54" spans="1:15">
      <c r="A54" s="71">
        <v>2023</v>
      </c>
      <c r="B54" s="42" t="s">
        <v>15</v>
      </c>
      <c r="C54" s="62" t="s">
        <v>124</v>
      </c>
      <c r="D54" s="47" t="s">
        <v>125</v>
      </c>
      <c r="E54" s="47" t="s">
        <v>126</v>
      </c>
      <c r="F54" s="51">
        <v>1</v>
      </c>
      <c r="G54" s="42" t="s">
        <v>59</v>
      </c>
      <c r="H54" s="44">
        <v>176000</v>
      </c>
      <c r="I54" s="502">
        <f t="shared" si="0"/>
        <v>176000</v>
      </c>
      <c r="J54" s="529">
        <v>157100</v>
      </c>
      <c r="K54" s="529">
        <f t="shared" si="1"/>
        <v>18900</v>
      </c>
      <c r="L54" s="530">
        <f t="shared" si="2"/>
        <v>18900</v>
      </c>
      <c r="M54" s="536">
        <f t="shared" si="3"/>
        <v>0.10738636363636364</v>
      </c>
      <c r="N54" s="64" t="s">
        <v>38</v>
      </c>
      <c r="O54" s="47" t="s">
        <v>21</v>
      </c>
    </row>
    <row r="55" spans="1:15">
      <c r="A55" s="71">
        <v>2023</v>
      </c>
      <c r="B55" s="42" t="s">
        <v>15</v>
      </c>
      <c r="C55" s="62" t="s">
        <v>127</v>
      </c>
      <c r="D55" s="47" t="s">
        <v>128</v>
      </c>
      <c r="E55" s="47" t="s">
        <v>129</v>
      </c>
      <c r="F55" s="51">
        <v>1</v>
      </c>
      <c r="G55" s="42" t="s">
        <v>19</v>
      </c>
      <c r="H55" s="44">
        <v>19500</v>
      </c>
      <c r="I55" s="502">
        <f t="shared" si="0"/>
        <v>19500</v>
      </c>
      <c r="J55" s="529">
        <v>19000</v>
      </c>
      <c r="K55" s="529">
        <f t="shared" si="1"/>
        <v>500</v>
      </c>
      <c r="L55" s="530">
        <f t="shared" si="2"/>
        <v>500</v>
      </c>
      <c r="M55" s="536">
        <f t="shared" si="3"/>
        <v>2.564102564102564E-2</v>
      </c>
      <c r="N55" s="64" t="s">
        <v>22</v>
      </c>
      <c r="O55" s="47" t="s">
        <v>21</v>
      </c>
    </row>
    <row r="56" spans="1:15">
      <c r="A56" s="71">
        <v>2023</v>
      </c>
      <c r="B56" s="42" t="s">
        <v>15</v>
      </c>
      <c r="C56" s="62" t="s">
        <v>130</v>
      </c>
      <c r="D56" s="47" t="s">
        <v>17</v>
      </c>
      <c r="E56" s="47" t="s">
        <v>131</v>
      </c>
      <c r="F56" s="51">
        <v>4</v>
      </c>
      <c r="G56" s="42" t="s">
        <v>19</v>
      </c>
      <c r="H56" s="44">
        <v>190</v>
      </c>
      <c r="I56" s="502">
        <f t="shared" si="0"/>
        <v>760</v>
      </c>
      <c r="J56" s="529">
        <v>85</v>
      </c>
      <c r="K56" s="529">
        <f t="shared" si="1"/>
        <v>105</v>
      </c>
      <c r="L56" s="530">
        <f t="shared" si="2"/>
        <v>420</v>
      </c>
      <c r="M56" s="536">
        <f t="shared" si="3"/>
        <v>0.55263157894736847</v>
      </c>
      <c r="N56" s="64" t="s">
        <v>22</v>
      </c>
      <c r="O56" s="47" t="s">
        <v>21</v>
      </c>
    </row>
    <row r="57" spans="1:15">
      <c r="A57" s="71">
        <v>2023</v>
      </c>
      <c r="B57" s="42" t="s">
        <v>15</v>
      </c>
      <c r="C57" s="62" t="s">
        <v>132</v>
      </c>
      <c r="D57" s="47" t="s">
        <v>118</v>
      </c>
      <c r="E57" s="47" t="s">
        <v>133</v>
      </c>
      <c r="F57" s="51">
        <v>30</v>
      </c>
      <c r="G57" s="42" t="s">
        <v>19</v>
      </c>
      <c r="H57" s="44">
        <v>210</v>
      </c>
      <c r="I57" s="502">
        <f t="shared" si="0"/>
        <v>6300</v>
      </c>
      <c r="J57" s="529">
        <v>205</v>
      </c>
      <c r="K57" s="529">
        <f t="shared" si="1"/>
        <v>5</v>
      </c>
      <c r="L57" s="530">
        <f t="shared" si="2"/>
        <v>150</v>
      </c>
      <c r="M57" s="536">
        <f t="shared" si="3"/>
        <v>2.3809523809523808E-2</v>
      </c>
      <c r="N57" s="64" t="s">
        <v>22</v>
      </c>
      <c r="O57" s="47" t="s">
        <v>21</v>
      </c>
    </row>
    <row r="58" spans="1:15">
      <c r="A58" s="71">
        <v>2023</v>
      </c>
      <c r="B58" s="42" t="s">
        <v>15</v>
      </c>
      <c r="C58" s="62" t="s">
        <v>132</v>
      </c>
      <c r="D58" s="47" t="s">
        <v>118</v>
      </c>
      <c r="E58" s="47" t="s">
        <v>134</v>
      </c>
      <c r="F58" s="51">
        <v>20</v>
      </c>
      <c r="G58" s="42" t="s">
        <v>19</v>
      </c>
      <c r="H58" s="44">
        <v>250</v>
      </c>
      <c r="I58" s="502">
        <f t="shared" si="0"/>
        <v>5000</v>
      </c>
      <c r="J58" s="529">
        <v>228</v>
      </c>
      <c r="K58" s="529">
        <f t="shared" si="1"/>
        <v>22</v>
      </c>
      <c r="L58" s="530">
        <f t="shared" si="2"/>
        <v>440</v>
      </c>
      <c r="M58" s="536">
        <f t="shared" si="3"/>
        <v>8.7999999999999995E-2</v>
      </c>
      <c r="N58" s="64" t="s">
        <v>22</v>
      </c>
      <c r="O58" s="47" t="s">
        <v>21</v>
      </c>
    </row>
    <row r="59" spans="1:15">
      <c r="A59" s="71">
        <v>2023</v>
      </c>
      <c r="B59" s="42" t="s">
        <v>15</v>
      </c>
      <c r="C59" s="62" t="s">
        <v>135</v>
      </c>
      <c r="D59" s="47" t="s">
        <v>118</v>
      </c>
      <c r="E59" s="47" t="s">
        <v>136</v>
      </c>
      <c r="F59" s="51">
        <v>1</v>
      </c>
      <c r="G59" s="42" t="s">
        <v>19</v>
      </c>
      <c r="H59" s="44">
        <v>5900</v>
      </c>
      <c r="I59" s="502">
        <f t="shared" si="0"/>
        <v>5900</v>
      </c>
      <c r="J59" s="529">
        <v>4685</v>
      </c>
      <c r="K59" s="529">
        <f t="shared" si="1"/>
        <v>1215</v>
      </c>
      <c r="L59" s="530">
        <f t="shared" si="2"/>
        <v>1215</v>
      </c>
      <c r="M59" s="536">
        <f t="shared" si="3"/>
        <v>0.20593220338983051</v>
      </c>
      <c r="N59" s="64" t="s">
        <v>22</v>
      </c>
      <c r="O59" s="47" t="s">
        <v>21</v>
      </c>
    </row>
    <row r="60" spans="1:15">
      <c r="A60" s="71">
        <v>2023</v>
      </c>
      <c r="B60" s="42" t="s">
        <v>15</v>
      </c>
      <c r="C60" s="62" t="s">
        <v>137</v>
      </c>
      <c r="D60" s="47" t="s">
        <v>78</v>
      </c>
      <c r="E60" s="2" t="s">
        <v>138</v>
      </c>
      <c r="F60" s="458">
        <v>500</v>
      </c>
      <c r="G60" s="472" t="s">
        <v>19</v>
      </c>
      <c r="H60" s="8">
        <v>1.5</v>
      </c>
      <c r="I60" s="502">
        <f t="shared" si="0"/>
        <v>750</v>
      </c>
      <c r="J60" s="529">
        <v>0.75</v>
      </c>
      <c r="K60" s="529">
        <f t="shared" si="1"/>
        <v>0.75</v>
      </c>
      <c r="L60" s="530">
        <f t="shared" si="2"/>
        <v>375</v>
      </c>
      <c r="M60" s="536">
        <f t="shared" si="3"/>
        <v>0.5</v>
      </c>
      <c r="N60" s="64" t="s">
        <v>38</v>
      </c>
      <c r="O60" s="47" t="s">
        <v>21</v>
      </c>
    </row>
    <row r="61" spans="1:15">
      <c r="A61" s="71">
        <v>2023</v>
      </c>
      <c r="B61" s="42" t="s">
        <v>15</v>
      </c>
      <c r="C61" s="62" t="s">
        <v>139</v>
      </c>
      <c r="D61" s="47" t="s">
        <v>140</v>
      </c>
      <c r="E61" s="47" t="s">
        <v>141</v>
      </c>
      <c r="F61" s="51">
        <v>2</v>
      </c>
      <c r="G61" s="42" t="s">
        <v>19</v>
      </c>
      <c r="H61" s="41">
        <v>11300</v>
      </c>
      <c r="I61" s="502">
        <f t="shared" si="0"/>
        <v>22600</v>
      </c>
      <c r="J61" s="528">
        <v>8475</v>
      </c>
      <c r="K61" s="529">
        <f t="shared" si="1"/>
        <v>2825</v>
      </c>
      <c r="L61" s="530">
        <f t="shared" si="2"/>
        <v>5650</v>
      </c>
      <c r="M61" s="536">
        <f t="shared" si="3"/>
        <v>0.25</v>
      </c>
      <c r="N61" s="64" t="s">
        <v>22</v>
      </c>
      <c r="O61" s="47" t="s">
        <v>21</v>
      </c>
    </row>
    <row r="62" spans="1:15">
      <c r="A62" s="71">
        <v>2023</v>
      </c>
      <c r="B62" s="42" t="s">
        <v>15</v>
      </c>
      <c r="C62" s="62" t="s">
        <v>142</v>
      </c>
      <c r="D62" s="47" t="s">
        <v>118</v>
      </c>
      <c r="E62" s="47" t="s">
        <v>143</v>
      </c>
      <c r="F62" s="51">
        <v>6</v>
      </c>
      <c r="G62" s="42" t="s">
        <v>19</v>
      </c>
      <c r="H62" s="41">
        <v>250</v>
      </c>
      <c r="I62" s="502">
        <f t="shared" si="0"/>
        <v>1500</v>
      </c>
      <c r="J62" s="528">
        <v>185</v>
      </c>
      <c r="K62" s="529">
        <f t="shared" si="1"/>
        <v>65</v>
      </c>
      <c r="L62" s="530">
        <f t="shared" si="2"/>
        <v>390</v>
      </c>
      <c r="M62" s="536">
        <f t="shared" si="3"/>
        <v>0.26</v>
      </c>
      <c r="N62" s="64" t="s">
        <v>22</v>
      </c>
      <c r="O62" s="47" t="s">
        <v>21</v>
      </c>
    </row>
    <row r="63" spans="1:15">
      <c r="A63" s="71">
        <v>2023</v>
      </c>
      <c r="B63" s="42" t="s">
        <v>15</v>
      </c>
      <c r="C63" s="62" t="s">
        <v>144</v>
      </c>
      <c r="D63" s="47" t="s">
        <v>17</v>
      </c>
      <c r="E63" s="47" t="s">
        <v>145</v>
      </c>
      <c r="F63" s="51">
        <v>1</v>
      </c>
      <c r="G63" s="42"/>
      <c r="H63" s="41">
        <v>3500</v>
      </c>
      <c r="I63" s="502">
        <f t="shared" si="0"/>
        <v>3500</v>
      </c>
      <c r="J63" s="528">
        <v>750</v>
      </c>
      <c r="K63" s="529">
        <f t="shared" si="1"/>
        <v>2750</v>
      </c>
      <c r="L63" s="530">
        <f t="shared" si="2"/>
        <v>2750</v>
      </c>
      <c r="M63" s="536">
        <f t="shared" si="3"/>
        <v>0.7857142857142857</v>
      </c>
      <c r="N63" s="64" t="s">
        <v>22</v>
      </c>
      <c r="O63" s="47" t="s">
        <v>21</v>
      </c>
    </row>
    <row r="64" spans="1:15">
      <c r="A64" s="71">
        <v>2023</v>
      </c>
      <c r="B64" s="42" t="s">
        <v>15</v>
      </c>
      <c r="C64" s="428" t="s">
        <v>146</v>
      </c>
      <c r="D64" s="47" t="s">
        <v>35</v>
      </c>
      <c r="E64" s="33" t="s">
        <v>147</v>
      </c>
      <c r="F64" s="460">
        <v>1053</v>
      </c>
      <c r="G64" s="456" t="s">
        <v>37</v>
      </c>
      <c r="H64" s="41">
        <v>360</v>
      </c>
      <c r="I64" s="502">
        <f t="shared" si="0"/>
        <v>379080</v>
      </c>
      <c r="J64" s="528">
        <v>359.5</v>
      </c>
      <c r="K64" s="529">
        <f t="shared" si="1"/>
        <v>0.5</v>
      </c>
      <c r="L64" s="530">
        <f t="shared" si="2"/>
        <v>526.5</v>
      </c>
      <c r="M64" s="536">
        <f t="shared" si="3"/>
        <v>1.3888888888888889E-3</v>
      </c>
      <c r="N64" s="64" t="s">
        <v>38</v>
      </c>
      <c r="O64" s="47" t="s">
        <v>105</v>
      </c>
    </row>
    <row r="65" spans="1:15">
      <c r="A65" s="71">
        <v>2023</v>
      </c>
      <c r="B65" s="42" t="s">
        <v>15</v>
      </c>
      <c r="C65" s="428" t="s">
        <v>146</v>
      </c>
      <c r="D65" s="47" t="s">
        <v>35</v>
      </c>
      <c r="E65" s="33" t="s">
        <v>147</v>
      </c>
      <c r="F65" s="460">
        <v>1053</v>
      </c>
      <c r="G65" s="456" t="s">
        <v>37</v>
      </c>
      <c r="H65" s="41">
        <v>360</v>
      </c>
      <c r="I65" s="502">
        <f t="shared" si="0"/>
        <v>379080</v>
      </c>
      <c r="J65" s="528">
        <v>359.5</v>
      </c>
      <c r="K65" s="529">
        <f t="shared" si="1"/>
        <v>0.5</v>
      </c>
      <c r="L65" s="530">
        <f t="shared" si="2"/>
        <v>526.5</v>
      </c>
      <c r="M65" s="536">
        <f t="shared" si="3"/>
        <v>1.3888888888888889E-3</v>
      </c>
      <c r="N65" s="64" t="s">
        <v>38</v>
      </c>
      <c r="O65" s="47" t="s">
        <v>105</v>
      </c>
    </row>
    <row r="66" spans="1:15">
      <c r="A66" s="71">
        <v>2023</v>
      </c>
      <c r="B66" s="42" t="s">
        <v>15</v>
      </c>
      <c r="C66" s="62" t="s">
        <v>148</v>
      </c>
      <c r="D66" s="47" t="s">
        <v>149</v>
      </c>
      <c r="E66" s="47" t="s">
        <v>150</v>
      </c>
      <c r="F66" s="51">
        <v>20</v>
      </c>
      <c r="G66" s="42" t="s">
        <v>19</v>
      </c>
      <c r="H66" s="44">
        <v>48</v>
      </c>
      <c r="I66" s="502">
        <f t="shared" si="0"/>
        <v>960</v>
      </c>
      <c r="J66" s="529">
        <v>45</v>
      </c>
      <c r="K66" s="529">
        <f t="shared" si="1"/>
        <v>3</v>
      </c>
      <c r="L66" s="530">
        <f t="shared" si="2"/>
        <v>60</v>
      </c>
      <c r="M66" s="536">
        <f t="shared" si="3"/>
        <v>6.25E-2</v>
      </c>
      <c r="N66" s="64" t="s">
        <v>22</v>
      </c>
      <c r="O66" s="47" t="s">
        <v>105</v>
      </c>
    </row>
    <row r="67" spans="1:15">
      <c r="A67" s="71">
        <v>2023</v>
      </c>
      <c r="B67" s="42" t="s">
        <v>15</v>
      </c>
      <c r="C67" s="62" t="s">
        <v>151</v>
      </c>
      <c r="D67" s="47" t="s">
        <v>149</v>
      </c>
      <c r="E67" s="47" t="s">
        <v>152</v>
      </c>
      <c r="F67" s="51">
        <v>1</v>
      </c>
      <c r="G67" s="42" t="s">
        <v>19</v>
      </c>
      <c r="H67" s="44">
        <v>2800</v>
      </c>
      <c r="I67" s="502">
        <f t="shared" ref="I67:I130" si="4">H67*F67</f>
        <v>2800</v>
      </c>
      <c r="J67" s="529">
        <v>2500</v>
      </c>
      <c r="K67" s="529">
        <f t="shared" ref="K67:K130" si="5">H67-J67</f>
        <v>300</v>
      </c>
      <c r="L67" s="530">
        <f t="shared" ref="L67:L130" si="6">K67*F67</f>
        <v>300</v>
      </c>
      <c r="M67" s="536">
        <f t="shared" ref="M67:M130" si="7">K67/H67</f>
        <v>0.10714285714285714</v>
      </c>
      <c r="N67" s="64" t="s">
        <v>22</v>
      </c>
      <c r="O67" s="47" t="s">
        <v>21</v>
      </c>
    </row>
    <row r="68" spans="1:15">
      <c r="A68" s="71">
        <v>2023</v>
      </c>
      <c r="B68" s="42" t="s">
        <v>15</v>
      </c>
      <c r="C68" s="62" t="s">
        <v>151</v>
      </c>
      <c r="D68" s="47" t="s">
        <v>149</v>
      </c>
      <c r="E68" s="47" t="s">
        <v>153</v>
      </c>
      <c r="F68" s="51">
        <v>1</v>
      </c>
      <c r="G68" s="42" t="s">
        <v>19</v>
      </c>
      <c r="H68" s="44">
        <v>7000</v>
      </c>
      <c r="I68" s="502">
        <f t="shared" si="4"/>
        <v>7000</v>
      </c>
      <c r="J68" s="529">
        <v>6500</v>
      </c>
      <c r="K68" s="529">
        <f t="shared" si="5"/>
        <v>500</v>
      </c>
      <c r="L68" s="530">
        <f t="shared" si="6"/>
        <v>500</v>
      </c>
      <c r="M68" s="536">
        <f t="shared" si="7"/>
        <v>7.1428571428571425E-2</v>
      </c>
      <c r="N68" s="64" t="s">
        <v>22</v>
      </c>
      <c r="O68" s="47" t="s">
        <v>21</v>
      </c>
    </row>
    <row r="69" spans="1:15">
      <c r="A69" s="71">
        <v>2023</v>
      </c>
      <c r="B69" s="42" t="s">
        <v>15</v>
      </c>
      <c r="C69" s="62" t="s">
        <v>151</v>
      </c>
      <c r="D69" s="47" t="s">
        <v>149</v>
      </c>
      <c r="E69" s="47" t="s">
        <v>154</v>
      </c>
      <c r="F69" s="51">
        <v>1</v>
      </c>
      <c r="G69" s="42" t="s">
        <v>19</v>
      </c>
      <c r="H69" s="44">
        <v>4990</v>
      </c>
      <c r="I69" s="502">
        <f t="shared" si="4"/>
        <v>4990</v>
      </c>
      <c r="J69" s="529">
        <v>4500</v>
      </c>
      <c r="K69" s="529">
        <f t="shared" si="5"/>
        <v>490</v>
      </c>
      <c r="L69" s="530">
        <f t="shared" si="6"/>
        <v>490</v>
      </c>
      <c r="M69" s="536">
        <f t="shared" si="7"/>
        <v>9.8196392785571143E-2</v>
      </c>
      <c r="N69" s="64" t="s">
        <v>22</v>
      </c>
      <c r="O69" s="47" t="s">
        <v>21</v>
      </c>
    </row>
    <row r="70" spans="1:15">
      <c r="A70" s="71">
        <v>2023</v>
      </c>
      <c r="B70" s="42" t="s">
        <v>15</v>
      </c>
      <c r="C70" s="62" t="s">
        <v>151</v>
      </c>
      <c r="D70" s="47" t="s">
        <v>149</v>
      </c>
      <c r="E70" s="47" t="s">
        <v>155</v>
      </c>
      <c r="F70" s="51">
        <v>1</v>
      </c>
      <c r="G70" s="42" t="s">
        <v>19</v>
      </c>
      <c r="H70" s="44">
        <v>10900</v>
      </c>
      <c r="I70" s="502">
        <f t="shared" si="4"/>
        <v>10900</v>
      </c>
      <c r="J70" s="529">
        <v>9600</v>
      </c>
      <c r="K70" s="529">
        <f t="shared" si="5"/>
        <v>1300</v>
      </c>
      <c r="L70" s="530">
        <f t="shared" si="6"/>
        <v>1300</v>
      </c>
      <c r="M70" s="536">
        <f t="shared" si="7"/>
        <v>0.11926605504587157</v>
      </c>
      <c r="N70" s="64" t="s">
        <v>22</v>
      </c>
      <c r="O70" s="47" t="s">
        <v>21</v>
      </c>
    </row>
    <row r="71" spans="1:15">
      <c r="A71" s="71">
        <v>2023</v>
      </c>
      <c r="B71" s="42" t="s">
        <v>15</v>
      </c>
      <c r="C71" s="62" t="s">
        <v>156</v>
      </c>
      <c r="D71" s="47" t="s">
        <v>157</v>
      </c>
      <c r="E71" s="47" t="s">
        <v>158</v>
      </c>
      <c r="F71" s="51">
        <v>1</v>
      </c>
      <c r="G71" s="42" t="s">
        <v>19</v>
      </c>
      <c r="H71" s="44">
        <v>13000</v>
      </c>
      <c r="I71" s="502">
        <f t="shared" si="4"/>
        <v>13000</v>
      </c>
      <c r="J71" s="529">
        <v>10240</v>
      </c>
      <c r="K71" s="529">
        <f t="shared" si="5"/>
        <v>2760</v>
      </c>
      <c r="L71" s="530">
        <f t="shared" si="6"/>
        <v>2760</v>
      </c>
      <c r="M71" s="536">
        <f t="shared" si="7"/>
        <v>0.21230769230769231</v>
      </c>
      <c r="N71" s="64" t="s">
        <v>22</v>
      </c>
      <c r="O71" s="47" t="s">
        <v>21</v>
      </c>
    </row>
    <row r="72" spans="1:15">
      <c r="A72" s="71">
        <v>2023</v>
      </c>
      <c r="B72" s="42" t="s">
        <v>15</v>
      </c>
      <c r="C72" s="62" t="s">
        <v>159</v>
      </c>
      <c r="D72" s="47" t="s">
        <v>160</v>
      </c>
      <c r="E72" s="47" t="s">
        <v>161</v>
      </c>
      <c r="F72" s="51">
        <v>1</v>
      </c>
      <c r="G72" s="42" t="s">
        <v>63</v>
      </c>
      <c r="H72" s="44">
        <v>4076000</v>
      </c>
      <c r="I72" s="502">
        <f t="shared" si="4"/>
        <v>4076000</v>
      </c>
      <c r="J72" s="529">
        <v>4000000</v>
      </c>
      <c r="K72" s="529">
        <f t="shared" si="5"/>
        <v>76000</v>
      </c>
      <c r="L72" s="530">
        <f t="shared" si="6"/>
        <v>76000</v>
      </c>
      <c r="M72" s="536">
        <f t="shared" si="7"/>
        <v>1.8645731108930325E-2</v>
      </c>
      <c r="N72" s="64" t="s">
        <v>38</v>
      </c>
      <c r="O72" s="47" t="s">
        <v>21</v>
      </c>
    </row>
    <row r="73" spans="1:15">
      <c r="A73" s="71">
        <v>2023</v>
      </c>
      <c r="B73" s="42" t="s">
        <v>15</v>
      </c>
      <c r="C73" s="62" t="s">
        <v>162</v>
      </c>
      <c r="D73" s="47" t="s">
        <v>17</v>
      </c>
      <c r="E73" s="47" t="s">
        <v>163</v>
      </c>
      <c r="F73" s="51">
        <v>1</v>
      </c>
      <c r="G73" s="42" t="s">
        <v>19</v>
      </c>
      <c r="H73" s="44">
        <v>4029</v>
      </c>
      <c r="I73" s="502">
        <f t="shared" si="4"/>
        <v>4029</v>
      </c>
      <c r="J73" s="529">
        <v>3850</v>
      </c>
      <c r="K73" s="529">
        <f t="shared" si="5"/>
        <v>179</v>
      </c>
      <c r="L73" s="530">
        <f t="shared" si="6"/>
        <v>179</v>
      </c>
      <c r="M73" s="536">
        <f t="shared" si="7"/>
        <v>4.4427897741375032E-2</v>
      </c>
      <c r="N73" s="64" t="s">
        <v>22</v>
      </c>
      <c r="O73" s="47" t="s">
        <v>21</v>
      </c>
    </row>
    <row r="74" spans="1:15">
      <c r="A74" s="71">
        <v>2023</v>
      </c>
      <c r="B74" s="42" t="s">
        <v>15</v>
      </c>
      <c r="C74" s="62" t="s">
        <v>164</v>
      </c>
      <c r="D74" s="47" t="s">
        <v>24</v>
      </c>
      <c r="E74" s="47" t="s">
        <v>25</v>
      </c>
      <c r="F74" s="51">
        <v>36</v>
      </c>
      <c r="G74" s="42" t="s">
        <v>19</v>
      </c>
      <c r="H74" s="44">
        <v>44.5</v>
      </c>
      <c r="I74" s="502">
        <f t="shared" si="4"/>
        <v>1602</v>
      </c>
      <c r="J74" s="529">
        <v>39</v>
      </c>
      <c r="K74" s="529">
        <f t="shared" si="5"/>
        <v>5.5</v>
      </c>
      <c r="L74" s="530">
        <f t="shared" si="6"/>
        <v>198</v>
      </c>
      <c r="M74" s="536">
        <f t="shared" si="7"/>
        <v>0.12359550561797752</v>
      </c>
      <c r="N74" s="64" t="s">
        <v>22</v>
      </c>
      <c r="O74" s="47" t="s">
        <v>21</v>
      </c>
    </row>
    <row r="75" spans="1:15">
      <c r="A75" s="71">
        <v>2023</v>
      </c>
      <c r="B75" s="42" t="s">
        <v>15</v>
      </c>
      <c r="C75" s="62" t="s">
        <v>165</v>
      </c>
      <c r="D75" s="47" t="s">
        <v>166</v>
      </c>
      <c r="E75" s="47" t="s">
        <v>167</v>
      </c>
      <c r="F75" s="51">
        <v>1460</v>
      </c>
      <c r="G75" s="42" t="s">
        <v>37</v>
      </c>
      <c r="H75" s="44">
        <v>33.164999999999999</v>
      </c>
      <c r="I75" s="502">
        <f t="shared" si="4"/>
        <v>48420.9</v>
      </c>
      <c r="J75" s="529">
        <v>32.505000000000003</v>
      </c>
      <c r="K75" s="529">
        <f t="shared" si="5"/>
        <v>0.65999999999999659</v>
      </c>
      <c r="L75" s="530">
        <f t="shared" si="6"/>
        <v>963.59999999999502</v>
      </c>
      <c r="M75" s="536">
        <f t="shared" si="7"/>
        <v>1.990049751243771E-2</v>
      </c>
      <c r="N75" s="64" t="s">
        <v>38</v>
      </c>
      <c r="O75" s="47" t="s">
        <v>105</v>
      </c>
    </row>
    <row r="76" spans="1:15">
      <c r="A76" s="71">
        <v>2023</v>
      </c>
      <c r="B76" s="42" t="s">
        <v>15</v>
      </c>
      <c r="C76" s="62" t="s">
        <v>165</v>
      </c>
      <c r="D76" s="47" t="s">
        <v>166</v>
      </c>
      <c r="E76" s="47" t="s">
        <v>168</v>
      </c>
      <c r="F76" s="51">
        <v>1760</v>
      </c>
      <c r="G76" s="42" t="s">
        <v>37</v>
      </c>
      <c r="H76" s="44">
        <v>33.17</v>
      </c>
      <c r="I76" s="502">
        <f t="shared" si="4"/>
        <v>58379.200000000004</v>
      </c>
      <c r="J76" s="529">
        <v>32.505000000000003</v>
      </c>
      <c r="K76" s="529">
        <f t="shared" si="5"/>
        <v>0.66499999999999915</v>
      </c>
      <c r="L76" s="530">
        <f t="shared" si="6"/>
        <v>1170.3999999999985</v>
      </c>
      <c r="M76" s="536">
        <f t="shared" si="7"/>
        <v>2.0048236358154933E-2</v>
      </c>
      <c r="N76" s="64" t="s">
        <v>38</v>
      </c>
      <c r="O76" s="47" t="s">
        <v>105</v>
      </c>
    </row>
    <row r="77" spans="1:15">
      <c r="A77" s="71">
        <v>2023</v>
      </c>
      <c r="B77" s="42" t="s">
        <v>15</v>
      </c>
      <c r="C77" s="62" t="s">
        <v>165</v>
      </c>
      <c r="D77" s="47" t="s">
        <v>166</v>
      </c>
      <c r="E77" s="47" t="s">
        <v>169</v>
      </c>
      <c r="F77" s="51">
        <v>1148</v>
      </c>
      <c r="G77" s="42" t="s">
        <v>37</v>
      </c>
      <c r="H77" s="44">
        <v>33.17</v>
      </c>
      <c r="I77" s="502">
        <f t="shared" si="4"/>
        <v>38079.160000000003</v>
      </c>
      <c r="J77" s="529">
        <v>32.505000000000003</v>
      </c>
      <c r="K77" s="529">
        <f t="shared" si="5"/>
        <v>0.66499999999999915</v>
      </c>
      <c r="L77" s="530">
        <f t="shared" si="6"/>
        <v>763.41999999999905</v>
      </c>
      <c r="M77" s="536">
        <f t="shared" si="7"/>
        <v>2.0048236358154933E-2</v>
      </c>
      <c r="N77" s="64" t="s">
        <v>38</v>
      </c>
      <c r="O77" s="47" t="s">
        <v>105</v>
      </c>
    </row>
    <row r="78" spans="1:15">
      <c r="A78" s="71">
        <v>2023</v>
      </c>
      <c r="B78" s="42" t="s">
        <v>15</v>
      </c>
      <c r="C78" s="62" t="s">
        <v>170</v>
      </c>
      <c r="D78" s="47" t="s">
        <v>171</v>
      </c>
      <c r="E78" s="47" t="s">
        <v>172</v>
      </c>
      <c r="F78" s="51">
        <v>1</v>
      </c>
      <c r="G78" s="42" t="s">
        <v>19</v>
      </c>
      <c r="H78" s="44">
        <v>703110</v>
      </c>
      <c r="I78" s="502">
        <f t="shared" si="4"/>
        <v>703110</v>
      </c>
      <c r="J78" s="529">
        <v>700000</v>
      </c>
      <c r="K78" s="529">
        <f t="shared" si="5"/>
        <v>3110</v>
      </c>
      <c r="L78" s="530">
        <f t="shared" si="6"/>
        <v>3110</v>
      </c>
      <c r="M78" s="536">
        <f t="shared" si="7"/>
        <v>4.4232054728278649E-3</v>
      </c>
      <c r="N78" s="64" t="s">
        <v>38</v>
      </c>
      <c r="O78" s="47" t="s">
        <v>21</v>
      </c>
    </row>
    <row r="79" spans="1:15">
      <c r="A79" s="71">
        <v>2023</v>
      </c>
      <c r="B79" s="42" t="s">
        <v>15</v>
      </c>
      <c r="C79" s="62" t="s">
        <v>173</v>
      </c>
      <c r="D79" s="47" t="s">
        <v>174</v>
      </c>
      <c r="E79" s="47" t="s">
        <v>175</v>
      </c>
      <c r="F79" s="51">
        <v>1</v>
      </c>
      <c r="G79" s="42" t="s">
        <v>59</v>
      </c>
      <c r="H79" s="44">
        <v>20500</v>
      </c>
      <c r="I79" s="502">
        <f t="shared" si="4"/>
        <v>20500</v>
      </c>
      <c r="J79" s="529">
        <v>8100</v>
      </c>
      <c r="K79" s="529">
        <f t="shared" si="5"/>
        <v>12400</v>
      </c>
      <c r="L79" s="530">
        <f t="shared" si="6"/>
        <v>12400</v>
      </c>
      <c r="M79" s="536">
        <f t="shared" si="7"/>
        <v>0.60487804878048779</v>
      </c>
      <c r="N79" s="64" t="s">
        <v>22</v>
      </c>
      <c r="O79" s="47" t="s">
        <v>21</v>
      </c>
    </row>
    <row r="80" spans="1:15">
      <c r="A80" s="71">
        <v>2023</v>
      </c>
      <c r="B80" s="42" t="s">
        <v>15</v>
      </c>
      <c r="C80" s="62" t="s">
        <v>176</v>
      </c>
      <c r="D80" s="47" t="s">
        <v>174</v>
      </c>
      <c r="E80" s="47" t="s">
        <v>177</v>
      </c>
      <c r="F80" s="51">
        <v>1</v>
      </c>
      <c r="G80" s="42" t="s">
        <v>59</v>
      </c>
      <c r="H80" s="44">
        <v>10800</v>
      </c>
      <c r="I80" s="502">
        <f t="shared" si="4"/>
        <v>10800</v>
      </c>
      <c r="J80" s="529">
        <v>4800</v>
      </c>
      <c r="K80" s="529">
        <f t="shared" si="5"/>
        <v>6000</v>
      </c>
      <c r="L80" s="530">
        <f t="shared" si="6"/>
        <v>6000</v>
      </c>
      <c r="M80" s="536">
        <f t="shared" si="7"/>
        <v>0.55555555555555558</v>
      </c>
      <c r="N80" s="64" t="s">
        <v>22</v>
      </c>
      <c r="O80" s="47" t="s">
        <v>21</v>
      </c>
    </row>
    <row r="81" spans="1:15">
      <c r="A81" s="71">
        <v>2023</v>
      </c>
      <c r="B81" s="42" t="s">
        <v>178</v>
      </c>
      <c r="C81" s="62" t="s">
        <v>179</v>
      </c>
      <c r="D81" s="47" t="s">
        <v>149</v>
      </c>
      <c r="E81" s="47" t="s">
        <v>180</v>
      </c>
      <c r="F81" s="51">
        <v>1</v>
      </c>
      <c r="G81" s="42" t="s">
        <v>19</v>
      </c>
      <c r="H81" s="44">
        <v>8500</v>
      </c>
      <c r="I81" s="44">
        <f t="shared" si="4"/>
        <v>8500</v>
      </c>
      <c r="J81" s="529">
        <v>6000</v>
      </c>
      <c r="K81" s="529">
        <f t="shared" si="5"/>
        <v>2500</v>
      </c>
      <c r="L81" s="530">
        <f t="shared" si="6"/>
        <v>2500</v>
      </c>
      <c r="M81" s="536">
        <f t="shared" si="7"/>
        <v>0.29411764705882354</v>
      </c>
      <c r="N81" s="80" t="s">
        <v>22</v>
      </c>
      <c r="O81" s="47" t="s">
        <v>21</v>
      </c>
    </row>
    <row r="82" spans="1:15">
      <c r="A82" s="71">
        <v>2023</v>
      </c>
      <c r="B82" s="42" t="s">
        <v>178</v>
      </c>
      <c r="C82" s="62" t="s">
        <v>181</v>
      </c>
      <c r="D82" s="47" t="s">
        <v>182</v>
      </c>
      <c r="E82" s="47" t="s">
        <v>183</v>
      </c>
      <c r="F82" s="51">
        <v>1</v>
      </c>
      <c r="G82" s="42" t="s">
        <v>19</v>
      </c>
      <c r="H82" s="44">
        <v>8800</v>
      </c>
      <c r="I82" s="44">
        <f t="shared" si="4"/>
        <v>8800</v>
      </c>
      <c r="J82" s="529">
        <v>6520</v>
      </c>
      <c r="K82" s="529">
        <f t="shared" si="5"/>
        <v>2280</v>
      </c>
      <c r="L82" s="530">
        <f t="shared" si="6"/>
        <v>2280</v>
      </c>
      <c r="M82" s="536">
        <f t="shared" si="7"/>
        <v>0.25909090909090909</v>
      </c>
      <c r="N82" s="80" t="s">
        <v>22</v>
      </c>
      <c r="O82" s="47" t="s">
        <v>21</v>
      </c>
    </row>
    <row r="83" spans="1:15">
      <c r="A83" s="71">
        <v>2023</v>
      </c>
      <c r="B83" s="42" t="s">
        <v>178</v>
      </c>
      <c r="C83" s="62" t="s">
        <v>184</v>
      </c>
      <c r="D83" s="47" t="s">
        <v>17</v>
      </c>
      <c r="E83" s="47" t="s">
        <v>185</v>
      </c>
      <c r="F83" s="51">
        <v>10</v>
      </c>
      <c r="G83" s="42" t="s">
        <v>19</v>
      </c>
      <c r="H83" s="44">
        <v>260</v>
      </c>
      <c r="I83" s="44">
        <f t="shared" si="4"/>
        <v>2600</v>
      </c>
      <c r="J83" s="529">
        <v>250</v>
      </c>
      <c r="K83" s="529">
        <f t="shared" si="5"/>
        <v>10</v>
      </c>
      <c r="L83" s="530">
        <f t="shared" si="6"/>
        <v>100</v>
      </c>
      <c r="M83" s="536">
        <f t="shared" si="7"/>
        <v>3.8461538461538464E-2</v>
      </c>
      <c r="N83" s="80" t="s">
        <v>22</v>
      </c>
      <c r="O83" s="47" t="s">
        <v>21</v>
      </c>
    </row>
    <row r="84" spans="1:15">
      <c r="A84" s="71">
        <v>2023</v>
      </c>
      <c r="B84" s="42" t="s">
        <v>178</v>
      </c>
      <c r="C84" s="62" t="s">
        <v>184</v>
      </c>
      <c r="D84" s="47" t="s">
        <v>17</v>
      </c>
      <c r="E84" s="15" t="s">
        <v>186</v>
      </c>
      <c r="F84" s="51">
        <v>10</v>
      </c>
      <c r="G84" s="42" t="s">
        <v>19</v>
      </c>
      <c r="H84" s="44">
        <v>90</v>
      </c>
      <c r="I84" s="44">
        <f t="shared" si="4"/>
        <v>900</v>
      </c>
      <c r="J84" s="529">
        <v>45</v>
      </c>
      <c r="K84" s="529">
        <f t="shared" si="5"/>
        <v>45</v>
      </c>
      <c r="L84" s="530">
        <f t="shared" si="6"/>
        <v>450</v>
      </c>
      <c r="M84" s="536">
        <f t="shared" si="7"/>
        <v>0.5</v>
      </c>
      <c r="N84" s="80" t="s">
        <v>22</v>
      </c>
      <c r="O84" s="47" t="s">
        <v>21</v>
      </c>
    </row>
    <row r="85" spans="1:15">
      <c r="A85" s="71">
        <v>2023</v>
      </c>
      <c r="B85" s="42" t="s">
        <v>178</v>
      </c>
      <c r="C85" s="62" t="s">
        <v>184</v>
      </c>
      <c r="D85" s="47" t="s">
        <v>17</v>
      </c>
      <c r="E85" s="47" t="s">
        <v>187</v>
      </c>
      <c r="F85" s="51">
        <v>5</v>
      </c>
      <c r="G85" s="42" t="s">
        <v>19</v>
      </c>
      <c r="H85" s="44">
        <v>105</v>
      </c>
      <c r="I85" s="44">
        <f t="shared" si="4"/>
        <v>525</v>
      </c>
      <c r="J85" s="529">
        <v>50</v>
      </c>
      <c r="K85" s="529">
        <f t="shared" si="5"/>
        <v>55</v>
      </c>
      <c r="L85" s="530">
        <f t="shared" si="6"/>
        <v>275</v>
      </c>
      <c r="M85" s="536">
        <f t="shared" si="7"/>
        <v>0.52380952380952384</v>
      </c>
      <c r="N85" s="80" t="s">
        <v>22</v>
      </c>
      <c r="O85" s="47" t="s">
        <v>21</v>
      </c>
    </row>
    <row r="86" spans="1:15">
      <c r="A86" s="71">
        <v>2023</v>
      </c>
      <c r="B86" s="42" t="s">
        <v>178</v>
      </c>
      <c r="C86" s="62" t="s">
        <v>184</v>
      </c>
      <c r="D86" s="47" t="s">
        <v>17</v>
      </c>
      <c r="E86" s="47" t="s">
        <v>188</v>
      </c>
      <c r="F86" s="51">
        <v>5</v>
      </c>
      <c r="G86" s="42" t="s">
        <v>19</v>
      </c>
      <c r="H86" s="44">
        <v>140</v>
      </c>
      <c r="I86" s="44">
        <f t="shared" si="4"/>
        <v>700</v>
      </c>
      <c r="J86" s="529">
        <v>75</v>
      </c>
      <c r="K86" s="529">
        <f t="shared" si="5"/>
        <v>65</v>
      </c>
      <c r="L86" s="530">
        <f t="shared" si="6"/>
        <v>325</v>
      </c>
      <c r="M86" s="536">
        <f t="shared" si="7"/>
        <v>0.4642857142857143</v>
      </c>
      <c r="N86" s="80" t="s">
        <v>22</v>
      </c>
      <c r="O86" s="47" t="s">
        <v>21</v>
      </c>
    </row>
    <row r="87" spans="1:15">
      <c r="A87" s="71">
        <v>2023</v>
      </c>
      <c r="B87" s="42" t="s">
        <v>178</v>
      </c>
      <c r="C87" s="62" t="s">
        <v>189</v>
      </c>
      <c r="D87" s="47" t="s">
        <v>174</v>
      </c>
      <c r="E87" s="47" t="s">
        <v>190</v>
      </c>
      <c r="F87" s="51">
        <v>5</v>
      </c>
      <c r="G87" s="42" t="s">
        <v>19</v>
      </c>
      <c r="H87" s="44">
        <v>150</v>
      </c>
      <c r="I87" s="44">
        <f t="shared" si="4"/>
        <v>750</v>
      </c>
      <c r="J87" s="529">
        <v>50</v>
      </c>
      <c r="K87" s="529">
        <f t="shared" si="5"/>
        <v>100</v>
      </c>
      <c r="L87" s="530">
        <f t="shared" si="6"/>
        <v>500</v>
      </c>
      <c r="M87" s="536">
        <f t="shared" si="7"/>
        <v>0.66666666666666663</v>
      </c>
      <c r="N87" s="80" t="s">
        <v>22</v>
      </c>
      <c r="O87" s="47" t="s">
        <v>21</v>
      </c>
    </row>
    <row r="88" spans="1:15">
      <c r="A88" s="71">
        <v>2023</v>
      </c>
      <c r="B88" s="42" t="s">
        <v>178</v>
      </c>
      <c r="C88" s="75" t="s">
        <v>191</v>
      </c>
      <c r="D88" s="47" t="s">
        <v>192</v>
      </c>
      <c r="E88" s="55" t="s">
        <v>193</v>
      </c>
      <c r="F88" s="54">
        <v>4</v>
      </c>
      <c r="G88" s="42" t="s">
        <v>63</v>
      </c>
      <c r="H88" s="44">
        <v>11105</v>
      </c>
      <c r="I88" s="44">
        <f t="shared" si="4"/>
        <v>44420</v>
      </c>
      <c r="J88" s="529">
        <v>10770</v>
      </c>
      <c r="K88" s="529">
        <f t="shared" si="5"/>
        <v>335</v>
      </c>
      <c r="L88" s="530">
        <f t="shared" si="6"/>
        <v>1340</v>
      </c>
      <c r="M88" s="536">
        <f t="shared" si="7"/>
        <v>3.0166591625393965E-2</v>
      </c>
      <c r="N88" s="64" t="s">
        <v>22</v>
      </c>
      <c r="O88" s="47" t="s">
        <v>39</v>
      </c>
    </row>
    <row r="89" spans="1:15">
      <c r="A89" s="71">
        <v>2023</v>
      </c>
      <c r="B89" s="42" t="s">
        <v>178</v>
      </c>
      <c r="C89" s="62" t="s">
        <v>191</v>
      </c>
      <c r="D89" s="76" t="s">
        <v>192</v>
      </c>
      <c r="E89" s="155" t="s">
        <v>194</v>
      </c>
      <c r="F89" s="51">
        <v>4</v>
      </c>
      <c r="G89" s="42" t="s">
        <v>63</v>
      </c>
      <c r="H89" s="496">
        <v>13750</v>
      </c>
      <c r="I89" s="44">
        <f t="shared" si="4"/>
        <v>55000</v>
      </c>
      <c r="J89" s="529">
        <v>13340</v>
      </c>
      <c r="K89" s="529">
        <f t="shared" si="5"/>
        <v>410</v>
      </c>
      <c r="L89" s="530">
        <f t="shared" si="6"/>
        <v>1640</v>
      </c>
      <c r="M89" s="536">
        <f t="shared" si="7"/>
        <v>2.9818181818181817E-2</v>
      </c>
      <c r="N89" s="64" t="s">
        <v>22</v>
      </c>
      <c r="O89" s="47" t="s">
        <v>39</v>
      </c>
    </row>
    <row r="90" spans="1:15">
      <c r="A90" s="71">
        <v>2023</v>
      </c>
      <c r="B90" s="42" t="s">
        <v>178</v>
      </c>
      <c r="C90" s="62" t="s">
        <v>191</v>
      </c>
      <c r="D90" s="76" t="s">
        <v>192</v>
      </c>
      <c r="E90" s="47" t="s">
        <v>195</v>
      </c>
      <c r="F90" s="51">
        <v>6</v>
      </c>
      <c r="G90" s="42" t="s">
        <v>63</v>
      </c>
      <c r="H90" s="496">
        <v>16720</v>
      </c>
      <c r="I90" s="44">
        <f t="shared" si="4"/>
        <v>100320</v>
      </c>
      <c r="J90" s="529">
        <v>16220</v>
      </c>
      <c r="K90" s="529">
        <f t="shared" si="5"/>
        <v>500</v>
      </c>
      <c r="L90" s="530">
        <f t="shared" si="6"/>
        <v>3000</v>
      </c>
      <c r="M90" s="536">
        <f t="shared" si="7"/>
        <v>2.9904306220095694E-2</v>
      </c>
      <c r="N90" s="64" t="s">
        <v>22</v>
      </c>
      <c r="O90" s="47" t="s">
        <v>39</v>
      </c>
    </row>
    <row r="91" spans="1:15">
      <c r="A91" s="71">
        <v>2023</v>
      </c>
      <c r="B91" s="42" t="s">
        <v>178</v>
      </c>
      <c r="C91" s="62" t="s">
        <v>191</v>
      </c>
      <c r="D91" s="76" t="s">
        <v>192</v>
      </c>
      <c r="E91" s="47" t="s">
        <v>196</v>
      </c>
      <c r="F91" s="51">
        <v>8</v>
      </c>
      <c r="G91" s="42" t="s">
        <v>63</v>
      </c>
      <c r="H91" s="44">
        <v>24860</v>
      </c>
      <c r="I91" s="44">
        <f t="shared" si="4"/>
        <v>198880</v>
      </c>
      <c r="J91" s="529">
        <v>24115</v>
      </c>
      <c r="K91" s="529">
        <f t="shared" si="5"/>
        <v>745</v>
      </c>
      <c r="L91" s="530">
        <f t="shared" si="6"/>
        <v>5960</v>
      </c>
      <c r="M91" s="536">
        <f t="shared" si="7"/>
        <v>2.9967819790828642E-2</v>
      </c>
      <c r="N91" s="64" t="s">
        <v>22</v>
      </c>
      <c r="O91" s="47" t="s">
        <v>39</v>
      </c>
    </row>
    <row r="92" spans="1:15">
      <c r="A92" s="71">
        <v>2023</v>
      </c>
      <c r="B92" s="42" t="s">
        <v>178</v>
      </c>
      <c r="C92" s="62" t="s">
        <v>191</v>
      </c>
      <c r="D92" s="76" t="s">
        <v>192</v>
      </c>
      <c r="E92" s="47" t="s">
        <v>197</v>
      </c>
      <c r="F92" s="51">
        <v>8</v>
      </c>
      <c r="G92" s="42" t="s">
        <v>63</v>
      </c>
      <c r="H92" s="44">
        <v>27830</v>
      </c>
      <c r="I92" s="44">
        <f t="shared" si="4"/>
        <v>222640</v>
      </c>
      <c r="J92" s="529">
        <v>26995</v>
      </c>
      <c r="K92" s="529">
        <f t="shared" si="5"/>
        <v>835</v>
      </c>
      <c r="L92" s="530">
        <f t="shared" si="6"/>
        <v>6680</v>
      </c>
      <c r="M92" s="536">
        <f t="shared" si="7"/>
        <v>3.0003593244699964E-2</v>
      </c>
      <c r="N92" s="64" t="s">
        <v>22</v>
      </c>
      <c r="O92" s="47" t="s">
        <v>39</v>
      </c>
    </row>
    <row r="93" spans="1:15">
      <c r="A93" s="71">
        <v>2023</v>
      </c>
      <c r="B93" s="42" t="s">
        <v>178</v>
      </c>
      <c r="C93" s="62" t="s">
        <v>191</v>
      </c>
      <c r="D93" s="76" t="s">
        <v>192</v>
      </c>
      <c r="E93" s="47" t="s">
        <v>198</v>
      </c>
      <c r="F93" s="51">
        <v>10</v>
      </c>
      <c r="G93" s="42" t="s">
        <v>63</v>
      </c>
      <c r="H93" s="44">
        <v>37180</v>
      </c>
      <c r="I93" s="44">
        <f t="shared" si="4"/>
        <v>371800</v>
      </c>
      <c r="J93" s="529">
        <v>36065</v>
      </c>
      <c r="K93" s="529">
        <f t="shared" si="5"/>
        <v>1115</v>
      </c>
      <c r="L93" s="530">
        <f t="shared" si="6"/>
        <v>11150</v>
      </c>
      <c r="M93" s="536">
        <f t="shared" si="7"/>
        <v>2.9989241527703065E-2</v>
      </c>
      <c r="N93" s="64" t="s">
        <v>22</v>
      </c>
      <c r="O93" s="47" t="s">
        <v>39</v>
      </c>
    </row>
    <row r="94" spans="1:15">
      <c r="A94" s="71">
        <v>2023</v>
      </c>
      <c r="B94" s="403" t="s">
        <v>178</v>
      </c>
      <c r="C94" s="62" t="s">
        <v>199</v>
      </c>
      <c r="D94" s="76" t="s">
        <v>200</v>
      </c>
      <c r="E94" s="47" t="s">
        <v>201</v>
      </c>
      <c r="F94" s="51">
        <v>2</v>
      </c>
      <c r="G94" s="42" t="s">
        <v>63</v>
      </c>
      <c r="H94" s="44">
        <v>48500</v>
      </c>
      <c r="I94" s="44">
        <f t="shared" si="4"/>
        <v>97000</v>
      </c>
      <c r="J94" s="529">
        <v>47000</v>
      </c>
      <c r="K94" s="529">
        <f t="shared" si="5"/>
        <v>1500</v>
      </c>
      <c r="L94" s="530">
        <f t="shared" si="6"/>
        <v>3000</v>
      </c>
      <c r="M94" s="536">
        <f t="shared" si="7"/>
        <v>3.0927835051546393E-2</v>
      </c>
      <c r="N94" s="64" t="s">
        <v>22</v>
      </c>
      <c r="O94" s="47" t="s">
        <v>39</v>
      </c>
    </row>
    <row r="95" spans="1:15">
      <c r="A95" s="71">
        <v>2023</v>
      </c>
      <c r="B95" s="403" t="s">
        <v>178</v>
      </c>
      <c r="C95" s="62" t="s">
        <v>202</v>
      </c>
      <c r="D95" s="76" t="s">
        <v>200</v>
      </c>
      <c r="E95" s="47" t="s">
        <v>203</v>
      </c>
      <c r="F95" s="51">
        <v>4</v>
      </c>
      <c r="G95" s="152" t="s">
        <v>19</v>
      </c>
      <c r="H95" s="44">
        <v>11000</v>
      </c>
      <c r="I95" s="44">
        <f t="shared" si="4"/>
        <v>44000</v>
      </c>
      <c r="J95" s="529">
        <v>10000</v>
      </c>
      <c r="K95" s="529">
        <f t="shared" si="5"/>
        <v>1000</v>
      </c>
      <c r="L95" s="530">
        <f t="shared" si="6"/>
        <v>4000</v>
      </c>
      <c r="M95" s="536">
        <f t="shared" si="7"/>
        <v>9.0909090909090912E-2</v>
      </c>
      <c r="N95" s="64" t="s">
        <v>22</v>
      </c>
      <c r="O95" s="47" t="s">
        <v>39</v>
      </c>
    </row>
    <row r="96" spans="1:15">
      <c r="A96" s="71">
        <v>2023</v>
      </c>
      <c r="B96" s="403" t="s">
        <v>178</v>
      </c>
      <c r="C96" s="62" t="s">
        <v>204</v>
      </c>
      <c r="D96" s="47" t="s">
        <v>35</v>
      </c>
      <c r="E96" s="47" t="s">
        <v>147</v>
      </c>
      <c r="F96" s="51">
        <v>1728</v>
      </c>
      <c r="G96" s="42" t="s">
        <v>37</v>
      </c>
      <c r="H96" s="44">
        <v>363</v>
      </c>
      <c r="I96" s="44">
        <f t="shared" si="4"/>
        <v>627264</v>
      </c>
      <c r="J96" s="529">
        <v>360</v>
      </c>
      <c r="K96" s="529">
        <f t="shared" si="5"/>
        <v>3</v>
      </c>
      <c r="L96" s="530">
        <f t="shared" si="6"/>
        <v>5184</v>
      </c>
      <c r="M96" s="536">
        <f t="shared" si="7"/>
        <v>8.2644628099173556E-3</v>
      </c>
      <c r="N96" s="64" t="s">
        <v>38</v>
      </c>
      <c r="O96" s="47" t="s">
        <v>105</v>
      </c>
    </row>
    <row r="97" spans="1:15">
      <c r="A97" s="71">
        <v>2023</v>
      </c>
      <c r="B97" s="403" t="s">
        <v>178</v>
      </c>
      <c r="C97" s="429" t="s">
        <v>205</v>
      </c>
      <c r="D97" s="47" t="s">
        <v>44</v>
      </c>
      <c r="E97" s="47" t="s">
        <v>45</v>
      </c>
      <c r="F97" s="51">
        <v>188.49</v>
      </c>
      <c r="G97" s="42" t="s">
        <v>37</v>
      </c>
      <c r="H97" s="44">
        <v>355</v>
      </c>
      <c r="I97" s="44">
        <f t="shared" si="4"/>
        <v>66913.95</v>
      </c>
      <c r="J97" s="529">
        <v>346</v>
      </c>
      <c r="K97" s="529">
        <f t="shared" si="5"/>
        <v>9</v>
      </c>
      <c r="L97" s="530">
        <f t="shared" si="6"/>
        <v>1696.41</v>
      </c>
      <c r="M97" s="536">
        <f t="shared" si="7"/>
        <v>2.5352112676056339E-2</v>
      </c>
      <c r="N97" s="80" t="s">
        <v>38</v>
      </c>
      <c r="O97" s="47" t="s">
        <v>105</v>
      </c>
    </row>
    <row r="98" spans="1:15">
      <c r="A98" s="71">
        <v>2023</v>
      </c>
      <c r="B98" s="403" t="s">
        <v>178</v>
      </c>
      <c r="C98" s="429" t="s">
        <v>205</v>
      </c>
      <c r="D98" s="76" t="s">
        <v>44</v>
      </c>
      <c r="E98" s="47" t="s">
        <v>206</v>
      </c>
      <c r="F98" s="51">
        <v>230.66</v>
      </c>
      <c r="G98" s="42" t="s">
        <v>37</v>
      </c>
      <c r="H98" s="44">
        <v>354</v>
      </c>
      <c r="I98" s="44">
        <f t="shared" si="4"/>
        <v>81653.64</v>
      </c>
      <c r="J98" s="529">
        <v>345</v>
      </c>
      <c r="K98" s="529">
        <f t="shared" si="5"/>
        <v>9</v>
      </c>
      <c r="L98" s="530">
        <f t="shared" si="6"/>
        <v>2075.94</v>
      </c>
      <c r="M98" s="536">
        <f t="shared" si="7"/>
        <v>2.5423728813559324E-2</v>
      </c>
      <c r="N98" s="80" t="s">
        <v>38</v>
      </c>
      <c r="O98" s="47" t="s">
        <v>105</v>
      </c>
    </row>
    <row r="99" spans="1:15">
      <c r="A99" s="71">
        <v>2023</v>
      </c>
      <c r="B99" s="403" t="s">
        <v>178</v>
      </c>
      <c r="C99" s="429" t="s">
        <v>205</v>
      </c>
      <c r="D99" s="76" t="s">
        <v>44</v>
      </c>
      <c r="E99" s="47" t="s">
        <v>207</v>
      </c>
      <c r="F99" s="51">
        <v>84.84</v>
      </c>
      <c r="G99" s="42" t="s">
        <v>37</v>
      </c>
      <c r="H99" s="44">
        <v>355</v>
      </c>
      <c r="I99" s="44">
        <f t="shared" si="4"/>
        <v>30118.2</v>
      </c>
      <c r="J99" s="529">
        <v>346</v>
      </c>
      <c r="K99" s="529">
        <f t="shared" si="5"/>
        <v>9</v>
      </c>
      <c r="L99" s="530">
        <f t="shared" si="6"/>
        <v>763.56000000000006</v>
      </c>
      <c r="M99" s="536">
        <f t="shared" si="7"/>
        <v>2.5352112676056339E-2</v>
      </c>
      <c r="N99" s="80" t="s">
        <v>38</v>
      </c>
      <c r="O99" s="47" t="s">
        <v>105</v>
      </c>
    </row>
    <row r="100" spans="1:15">
      <c r="A100" s="71">
        <v>2023</v>
      </c>
      <c r="B100" s="403" t="s">
        <v>178</v>
      </c>
      <c r="C100" s="429" t="s">
        <v>205</v>
      </c>
      <c r="D100" s="76" t="s">
        <v>44</v>
      </c>
      <c r="E100" s="47" t="s">
        <v>208</v>
      </c>
      <c r="F100" s="51">
        <v>185.19</v>
      </c>
      <c r="G100" s="42" t="s">
        <v>37</v>
      </c>
      <c r="H100" s="44">
        <v>352</v>
      </c>
      <c r="I100" s="44">
        <f t="shared" si="4"/>
        <v>65186.879999999997</v>
      </c>
      <c r="J100" s="529">
        <v>348</v>
      </c>
      <c r="K100" s="529">
        <f t="shared" si="5"/>
        <v>4</v>
      </c>
      <c r="L100" s="530">
        <f t="shared" si="6"/>
        <v>740.76</v>
      </c>
      <c r="M100" s="536">
        <f t="shared" si="7"/>
        <v>1.1363636363636364E-2</v>
      </c>
      <c r="N100" s="80" t="s">
        <v>38</v>
      </c>
      <c r="O100" s="47" t="s">
        <v>105</v>
      </c>
    </row>
    <row r="101" spans="1:15">
      <c r="A101" s="71">
        <v>2023</v>
      </c>
      <c r="B101" s="403" t="s">
        <v>178</v>
      </c>
      <c r="C101" s="429" t="s">
        <v>205</v>
      </c>
      <c r="D101" s="76" t="s">
        <v>44</v>
      </c>
      <c r="E101" s="47" t="s">
        <v>209</v>
      </c>
      <c r="F101" s="51">
        <v>121.81</v>
      </c>
      <c r="G101" s="42" t="s">
        <v>37</v>
      </c>
      <c r="H101" s="44">
        <v>354</v>
      </c>
      <c r="I101" s="44">
        <f t="shared" si="4"/>
        <v>43120.74</v>
      </c>
      <c r="J101" s="529">
        <v>345</v>
      </c>
      <c r="K101" s="529">
        <f t="shared" si="5"/>
        <v>9</v>
      </c>
      <c r="L101" s="530">
        <f t="shared" si="6"/>
        <v>1096.29</v>
      </c>
      <c r="M101" s="536">
        <f t="shared" si="7"/>
        <v>2.5423728813559324E-2</v>
      </c>
      <c r="N101" s="80" t="s">
        <v>38</v>
      </c>
      <c r="O101" s="47" t="s">
        <v>105</v>
      </c>
    </row>
    <row r="102" spans="1:15">
      <c r="A102" s="71">
        <v>2023</v>
      </c>
      <c r="B102" s="403" t="s">
        <v>178</v>
      </c>
      <c r="C102" s="429" t="s">
        <v>205</v>
      </c>
      <c r="D102" s="76" t="s">
        <v>44</v>
      </c>
      <c r="E102" s="47" t="s">
        <v>210</v>
      </c>
      <c r="F102" s="51">
        <v>1169.99</v>
      </c>
      <c r="G102" s="42" t="s">
        <v>37</v>
      </c>
      <c r="H102" s="44">
        <v>353</v>
      </c>
      <c r="I102" s="44">
        <f t="shared" si="4"/>
        <v>413006.47000000003</v>
      </c>
      <c r="J102" s="529">
        <v>346</v>
      </c>
      <c r="K102" s="529">
        <f t="shared" si="5"/>
        <v>7</v>
      </c>
      <c r="L102" s="530">
        <f t="shared" si="6"/>
        <v>8189.93</v>
      </c>
      <c r="M102" s="536">
        <f t="shared" si="7"/>
        <v>1.9830028328611898E-2</v>
      </c>
      <c r="N102" s="80" t="s">
        <v>38</v>
      </c>
      <c r="O102" s="47" t="s">
        <v>105</v>
      </c>
    </row>
    <row r="103" spans="1:15">
      <c r="A103" s="71">
        <v>2023</v>
      </c>
      <c r="B103" s="403" t="s">
        <v>178</v>
      </c>
      <c r="C103" s="434" t="s">
        <v>211</v>
      </c>
      <c r="D103" s="76" t="s">
        <v>212</v>
      </c>
      <c r="E103" s="47" t="s">
        <v>213</v>
      </c>
      <c r="F103" s="51">
        <v>1</v>
      </c>
      <c r="G103" s="42" t="s">
        <v>19</v>
      </c>
      <c r="H103" s="44">
        <v>440000</v>
      </c>
      <c r="I103" s="44">
        <f t="shared" si="4"/>
        <v>440000</v>
      </c>
      <c r="J103" s="529">
        <v>425000</v>
      </c>
      <c r="K103" s="529">
        <f t="shared" si="5"/>
        <v>15000</v>
      </c>
      <c r="L103" s="530">
        <f t="shared" si="6"/>
        <v>15000</v>
      </c>
      <c r="M103" s="536">
        <f t="shared" si="7"/>
        <v>3.4090909090909088E-2</v>
      </c>
      <c r="N103" s="80" t="s">
        <v>38</v>
      </c>
      <c r="O103" s="47" t="s">
        <v>105</v>
      </c>
    </row>
    <row r="104" spans="1:15">
      <c r="A104" s="71">
        <v>2023</v>
      </c>
      <c r="B104" s="403" t="s">
        <v>178</v>
      </c>
      <c r="C104" s="62" t="s">
        <v>214</v>
      </c>
      <c r="D104" s="76" t="s">
        <v>35</v>
      </c>
      <c r="E104" s="47" t="s">
        <v>215</v>
      </c>
      <c r="F104" s="51">
        <v>1031</v>
      </c>
      <c r="G104" s="42" t="s">
        <v>37</v>
      </c>
      <c r="H104" s="44">
        <v>363</v>
      </c>
      <c r="I104" s="44">
        <f t="shared" si="4"/>
        <v>374253</v>
      </c>
      <c r="J104" s="529">
        <v>362</v>
      </c>
      <c r="K104" s="529">
        <f t="shared" si="5"/>
        <v>1</v>
      </c>
      <c r="L104" s="530">
        <f t="shared" si="6"/>
        <v>1031</v>
      </c>
      <c r="M104" s="536">
        <f t="shared" si="7"/>
        <v>2.7548209366391185E-3</v>
      </c>
      <c r="N104" s="80" t="s">
        <v>38</v>
      </c>
      <c r="O104" s="47" t="s">
        <v>105</v>
      </c>
    </row>
    <row r="105" spans="1:15">
      <c r="A105" s="71">
        <v>2023</v>
      </c>
      <c r="B105" s="403" t="s">
        <v>178</v>
      </c>
      <c r="C105" s="62" t="s">
        <v>214</v>
      </c>
      <c r="D105" s="76" t="s">
        <v>35</v>
      </c>
      <c r="E105" s="47" t="s">
        <v>216</v>
      </c>
      <c r="F105" s="51">
        <v>325</v>
      </c>
      <c r="G105" s="42" t="s">
        <v>37</v>
      </c>
      <c r="H105" s="44">
        <v>363</v>
      </c>
      <c r="I105" s="44">
        <f t="shared" si="4"/>
        <v>117975</v>
      </c>
      <c r="J105" s="529">
        <v>362</v>
      </c>
      <c r="K105" s="529">
        <f t="shared" si="5"/>
        <v>1</v>
      </c>
      <c r="L105" s="530">
        <f t="shared" si="6"/>
        <v>325</v>
      </c>
      <c r="M105" s="536">
        <f t="shared" si="7"/>
        <v>2.7548209366391185E-3</v>
      </c>
      <c r="N105" s="80" t="s">
        <v>38</v>
      </c>
      <c r="O105" s="47" t="s">
        <v>105</v>
      </c>
    </row>
    <row r="106" spans="1:15">
      <c r="A106" s="71">
        <v>2023</v>
      </c>
      <c r="B106" s="403" t="s">
        <v>178</v>
      </c>
      <c r="C106" s="62" t="s">
        <v>214</v>
      </c>
      <c r="D106" s="76" t="s">
        <v>35</v>
      </c>
      <c r="E106" s="47" t="s">
        <v>216</v>
      </c>
      <c r="F106" s="51">
        <v>325</v>
      </c>
      <c r="G106" s="42" t="s">
        <v>37</v>
      </c>
      <c r="H106" s="44">
        <v>363</v>
      </c>
      <c r="I106" s="44">
        <f t="shared" si="4"/>
        <v>117975</v>
      </c>
      <c r="J106" s="529">
        <v>362</v>
      </c>
      <c r="K106" s="529">
        <f t="shared" si="5"/>
        <v>1</v>
      </c>
      <c r="L106" s="530">
        <f t="shared" si="6"/>
        <v>325</v>
      </c>
      <c r="M106" s="536">
        <f t="shared" si="7"/>
        <v>2.7548209366391185E-3</v>
      </c>
      <c r="N106" s="80" t="s">
        <v>38</v>
      </c>
      <c r="O106" s="47" t="s">
        <v>105</v>
      </c>
    </row>
    <row r="107" spans="1:15">
      <c r="A107" s="71">
        <v>2023</v>
      </c>
      <c r="B107" s="403" t="s">
        <v>178</v>
      </c>
      <c r="C107" s="62" t="s">
        <v>214</v>
      </c>
      <c r="D107" s="76" t="s">
        <v>35</v>
      </c>
      <c r="E107" s="47" t="s">
        <v>217</v>
      </c>
      <c r="F107" s="51">
        <v>500</v>
      </c>
      <c r="G107" s="42" t="s">
        <v>37</v>
      </c>
      <c r="H107" s="44">
        <v>363</v>
      </c>
      <c r="I107" s="44">
        <f t="shared" si="4"/>
        <v>181500</v>
      </c>
      <c r="J107" s="529">
        <v>362</v>
      </c>
      <c r="K107" s="529">
        <f t="shared" si="5"/>
        <v>1</v>
      </c>
      <c r="L107" s="530">
        <f t="shared" si="6"/>
        <v>500</v>
      </c>
      <c r="M107" s="536">
        <f t="shared" si="7"/>
        <v>2.7548209366391185E-3</v>
      </c>
      <c r="N107" s="80" t="s">
        <v>38</v>
      </c>
      <c r="O107" s="47" t="s">
        <v>105</v>
      </c>
    </row>
    <row r="108" spans="1:15">
      <c r="A108" s="71">
        <v>2023</v>
      </c>
      <c r="B108" s="403" t="s">
        <v>178</v>
      </c>
      <c r="C108" s="62" t="s">
        <v>218</v>
      </c>
      <c r="D108" s="76" t="s">
        <v>35</v>
      </c>
      <c r="E108" s="47" t="s">
        <v>216</v>
      </c>
      <c r="F108" s="51">
        <v>422</v>
      </c>
      <c r="G108" s="42" t="s">
        <v>37</v>
      </c>
      <c r="H108" s="44">
        <v>363</v>
      </c>
      <c r="I108" s="44">
        <f t="shared" si="4"/>
        <v>153186</v>
      </c>
      <c r="J108" s="529">
        <v>362</v>
      </c>
      <c r="K108" s="529">
        <f t="shared" si="5"/>
        <v>1</v>
      </c>
      <c r="L108" s="530">
        <f t="shared" si="6"/>
        <v>422</v>
      </c>
      <c r="M108" s="536">
        <f t="shared" si="7"/>
        <v>2.7548209366391185E-3</v>
      </c>
      <c r="N108" s="80" t="s">
        <v>38</v>
      </c>
      <c r="O108" s="47" t="s">
        <v>105</v>
      </c>
    </row>
    <row r="109" spans="1:15">
      <c r="A109" s="71">
        <v>2023</v>
      </c>
      <c r="B109" s="403" t="s">
        <v>178</v>
      </c>
      <c r="C109" s="62" t="s">
        <v>218</v>
      </c>
      <c r="D109" s="76" t="s">
        <v>35</v>
      </c>
      <c r="E109" s="47" t="s">
        <v>219</v>
      </c>
      <c r="F109" s="51">
        <v>389</v>
      </c>
      <c r="G109" s="42" t="s">
        <v>37</v>
      </c>
      <c r="H109" s="44">
        <v>363</v>
      </c>
      <c r="I109" s="44">
        <f t="shared" si="4"/>
        <v>141207</v>
      </c>
      <c r="J109" s="529">
        <v>362</v>
      </c>
      <c r="K109" s="529">
        <f t="shared" si="5"/>
        <v>1</v>
      </c>
      <c r="L109" s="530">
        <f t="shared" si="6"/>
        <v>389</v>
      </c>
      <c r="M109" s="536">
        <f t="shared" si="7"/>
        <v>2.7548209366391185E-3</v>
      </c>
      <c r="N109" s="80" t="s">
        <v>38</v>
      </c>
      <c r="O109" s="47" t="s">
        <v>105</v>
      </c>
    </row>
    <row r="110" spans="1:15">
      <c r="A110" s="71">
        <v>2023</v>
      </c>
      <c r="B110" s="403" t="s">
        <v>178</v>
      </c>
      <c r="C110" s="62" t="s">
        <v>218</v>
      </c>
      <c r="D110" s="15" t="s">
        <v>35</v>
      </c>
      <c r="E110" s="47" t="s">
        <v>220</v>
      </c>
      <c r="F110" s="51">
        <v>324</v>
      </c>
      <c r="G110" s="42" t="s">
        <v>37</v>
      </c>
      <c r="H110" s="44">
        <v>363</v>
      </c>
      <c r="I110" s="44">
        <f t="shared" si="4"/>
        <v>117612</v>
      </c>
      <c r="J110" s="529">
        <v>362</v>
      </c>
      <c r="K110" s="529">
        <f t="shared" si="5"/>
        <v>1</v>
      </c>
      <c r="L110" s="530">
        <f t="shared" si="6"/>
        <v>324</v>
      </c>
      <c r="M110" s="536">
        <f t="shared" si="7"/>
        <v>2.7548209366391185E-3</v>
      </c>
      <c r="N110" s="80" t="s">
        <v>38</v>
      </c>
      <c r="O110" s="47" t="s">
        <v>105</v>
      </c>
    </row>
    <row r="111" spans="1:15">
      <c r="A111" s="71">
        <v>2023</v>
      </c>
      <c r="B111" s="403" t="s">
        <v>178</v>
      </c>
      <c r="C111" s="62" t="s">
        <v>221</v>
      </c>
      <c r="D111" s="76" t="s">
        <v>149</v>
      </c>
      <c r="E111" s="47" t="s">
        <v>222</v>
      </c>
      <c r="F111" s="51">
        <v>1</v>
      </c>
      <c r="G111" s="152" t="s">
        <v>19</v>
      </c>
      <c r="H111" s="44">
        <v>120</v>
      </c>
      <c r="I111" s="44">
        <f t="shared" si="4"/>
        <v>120</v>
      </c>
      <c r="J111" s="529">
        <v>100</v>
      </c>
      <c r="K111" s="529">
        <f t="shared" si="5"/>
        <v>20</v>
      </c>
      <c r="L111" s="530">
        <f t="shared" si="6"/>
        <v>20</v>
      </c>
      <c r="M111" s="536">
        <f t="shared" si="7"/>
        <v>0.16666666666666666</v>
      </c>
      <c r="N111" s="80" t="s">
        <v>38</v>
      </c>
      <c r="O111" s="47" t="s">
        <v>105</v>
      </c>
    </row>
    <row r="112" spans="1:15">
      <c r="A112" s="71">
        <v>2023</v>
      </c>
      <c r="B112" s="403" t="s">
        <v>178</v>
      </c>
      <c r="C112" s="62" t="s">
        <v>223</v>
      </c>
      <c r="D112" s="76" t="s">
        <v>149</v>
      </c>
      <c r="E112" s="47" t="s">
        <v>224</v>
      </c>
      <c r="F112" s="51">
        <v>1</v>
      </c>
      <c r="G112" s="42" t="s">
        <v>225</v>
      </c>
      <c r="H112" s="44">
        <v>3300</v>
      </c>
      <c r="I112" s="44">
        <f t="shared" si="4"/>
        <v>3300</v>
      </c>
      <c r="J112" s="529">
        <v>3000</v>
      </c>
      <c r="K112" s="529">
        <f t="shared" si="5"/>
        <v>300</v>
      </c>
      <c r="L112" s="530">
        <f t="shared" si="6"/>
        <v>300</v>
      </c>
      <c r="M112" s="536">
        <f t="shared" si="7"/>
        <v>9.0909090909090912E-2</v>
      </c>
      <c r="N112" s="80" t="s">
        <v>38</v>
      </c>
      <c r="O112" s="47" t="s">
        <v>105</v>
      </c>
    </row>
    <row r="113" spans="1:15">
      <c r="A113" s="71">
        <v>2023</v>
      </c>
      <c r="B113" s="403" t="s">
        <v>178</v>
      </c>
      <c r="C113" s="62" t="s">
        <v>226</v>
      </c>
      <c r="D113" s="76" t="s">
        <v>192</v>
      </c>
      <c r="E113" s="47" t="s">
        <v>227</v>
      </c>
      <c r="F113" s="51">
        <v>124</v>
      </c>
      <c r="G113" s="42" t="s">
        <v>19</v>
      </c>
      <c r="H113" s="44">
        <v>3545</v>
      </c>
      <c r="I113" s="44">
        <f t="shared" si="4"/>
        <v>439580</v>
      </c>
      <c r="J113" s="529">
        <v>3365</v>
      </c>
      <c r="K113" s="529">
        <f t="shared" si="5"/>
        <v>180</v>
      </c>
      <c r="L113" s="530">
        <f t="shared" si="6"/>
        <v>22320</v>
      </c>
      <c r="M113" s="536">
        <f t="shared" si="7"/>
        <v>5.0775740479548657E-2</v>
      </c>
      <c r="N113" s="80" t="s">
        <v>38</v>
      </c>
      <c r="O113" s="47"/>
    </row>
    <row r="114" spans="1:15">
      <c r="A114" s="71">
        <v>2023</v>
      </c>
      <c r="B114" s="403" t="s">
        <v>178</v>
      </c>
      <c r="C114" s="62" t="s">
        <v>228</v>
      </c>
      <c r="D114" s="76" t="s">
        <v>229</v>
      </c>
      <c r="E114" s="47" t="s">
        <v>230</v>
      </c>
      <c r="F114" s="51">
        <v>3000</v>
      </c>
      <c r="G114" s="42" t="s">
        <v>231</v>
      </c>
      <c r="H114" s="44">
        <v>35</v>
      </c>
      <c r="I114" s="44">
        <f t="shared" si="4"/>
        <v>105000</v>
      </c>
      <c r="J114" s="529">
        <v>34.700000000000003</v>
      </c>
      <c r="K114" s="529">
        <f t="shared" si="5"/>
        <v>0.29999999999999716</v>
      </c>
      <c r="L114" s="530">
        <f t="shared" si="6"/>
        <v>899.99999999999147</v>
      </c>
      <c r="M114" s="536">
        <f t="shared" si="7"/>
        <v>8.5714285714284903E-3</v>
      </c>
      <c r="N114" s="64" t="s">
        <v>22</v>
      </c>
      <c r="O114" s="47" t="s">
        <v>39</v>
      </c>
    </row>
    <row r="115" spans="1:15">
      <c r="A115" s="71">
        <v>2023</v>
      </c>
      <c r="B115" s="403" t="s">
        <v>178</v>
      </c>
      <c r="C115" s="62" t="s">
        <v>232</v>
      </c>
      <c r="D115" s="76" t="s">
        <v>229</v>
      </c>
      <c r="E115" s="47" t="s">
        <v>233</v>
      </c>
      <c r="F115" s="51">
        <v>6000</v>
      </c>
      <c r="G115" s="42" t="s">
        <v>231</v>
      </c>
      <c r="H115" s="44">
        <v>35</v>
      </c>
      <c r="I115" s="44">
        <f t="shared" si="4"/>
        <v>210000</v>
      </c>
      <c r="J115" s="529">
        <v>34.5</v>
      </c>
      <c r="K115" s="529">
        <f t="shared" si="5"/>
        <v>0.5</v>
      </c>
      <c r="L115" s="530">
        <f t="shared" si="6"/>
        <v>3000</v>
      </c>
      <c r="M115" s="536">
        <f t="shared" si="7"/>
        <v>1.4285714285714285E-2</v>
      </c>
      <c r="N115" s="64" t="s">
        <v>22</v>
      </c>
      <c r="O115" s="47" t="s">
        <v>39</v>
      </c>
    </row>
    <row r="116" spans="1:15">
      <c r="A116" s="71">
        <v>2023</v>
      </c>
      <c r="B116" s="42" t="s">
        <v>178</v>
      </c>
      <c r="C116" s="62" t="s">
        <v>234</v>
      </c>
      <c r="D116" s="47" t="s">
        <v>229</v>
      </c>
      <c r="E116" s="47" t="s">
        <v>233</v>
      </c>
      <c r="F116" s="51">
        <v>6000</v>
      </c>
      <c r="G116" s="42" t="s">
        <v>231</v>
      </c>
      <c r="H116" s="44">
        <v>35</v>
      </c>
      <c r="I116" s="44">
        <f t="shared" si="4"/>
        <v>210000</v>
      </c>
      <c r="J116" s="529">
        <v>34.5</v>
      </c>
      <c r="K116" s="529">
        <f t="shared" si="5"/>
        <v>0.5</v>
      </c>
      <c r="L116" s="530">
        <f t="shared" si="6"/>
        <v>3000</v>
      </c>
      <c r="M116" s="536">
        <f t="shared" si="7"/>
        <v>1.4285714285714285E-2</v>
      </c>
      <c r="N116" s="64" t="s">
        <v>22</v>
      </c>
      <c r="O116" s="47" t="s">
        <v>39</v>
      </c>
    </row>
    <row r="117" spans="1:15">
      <c r="A117" s="71">
        <v>2023</v>
      </c>
      <c r="B117" s="42" t="s">
        <v>178</v>
      </c>
      <c r="C117" s="62" t="s">
        <v>235</v>
      </c>
      <c r="D117" s="47" t="s">
        <v>236</v>
      </c>
      <c r="E117" s="47" t="s">
        <v>237</v>
      </c>
      <c r="F117" s="51">
        <v>1</v>
      </c>
      <c r="G117" s="42" t="s">
        <v>238</v>
      </c>
      <c r="H117" s="44">
        <v>5990</v>
      </c>
      <c r="I117" s="44">
        <f t="shared" si="4"/>
        <v>5990</v>
      </c>
      <c r="J117" s="529">
        <v>5172.75</v>
      </c>
      <c r="K117" s="529">
        <f t="shared" si="5"/>
        <v>817.25</v>
      </c>
      <c r="L117" s="530">
        <f t="shared" si="6"/>
        <v>817.25</v>
      </c>
      <c r="M117" s="536">
        <f t="shared" si="7"/>
        <v>0.13643572621035058</v>
      </c>
      <c r="N117" s="80" t="s">
        <v>22</v>
      </c>
      <c r="O117" s="47" t="s">
        <v>21</v>
      </c>
    </row>
    <row r="118" spans="1:15">
      <c r="A118" s="71">
        <v>2023</v>
      </c>
      <c r="B118" s="42" t="s">
        <v>178</v>
      </c>
      <c r="C118" s="62" t="s">
        <v>235</v>
      </c>
      <c r="D118" s="47" t="s">
        <v>236</v>
      </c>
      <c r="E118" s="47" t="s">
        <v>239</v>
      </c>
      <c r="F118" s="51">
        <v>1</v>
      </c>
      <c r="G118" s="42" t="s">
        <v>63</v>
      </c>
      <c r="H118" s="44">
        <v>2725</v>
      </c>
      <c r="I118" s="44">
        <f t="shared" si="4"/>
        <v>2725</v>
      </c>
      <c r="J118" s="529">
        <v>2523.66</v>
      </c>
      <c r="K118" s="529">
        <f t="shared" si="5"/>
        <v>201.34000000000015</v>
      </c>
      <c r="L118" s="530">
        <f t="shared" si="6"/>
        <v>201.34000000000015</v>
      </c>
      <c r="M118" s="536">
        <f t="shared" si="7"/>
        <v>7.3886238532110141E-2</v>
      </c>
      <c r="N118" s="80" t="s">
        <v>22</v>
      </c>
      <c r="O118" s="47" t="s">
        <v>21</v>
      </c>
    </row>
    <row r="119" spans="1:15">
      <c r="A119" s="71">
        <v>2023</v>
      </c>
      <c r="B119" s="42" t="s">
        <v>178</v>
      </c>
      <c r="C119" s="62" t="s">
        <v>235</v>
      </c>
      <c r="D119" s="47" t="s">
        <v>236</v>
      </c>
      <c r="E119" s="47" t="s">
        <v>240</v>
      </c>
      <c r="F119" s="51">
        <v>1</v>
      </c>
      <c r="G119" s="42" t="s">
        <v>238</v>
      </c>
      <c r="H119" s="44">
        <v>2800</v>
      </c>
      <c r="I119" s="44">
        <f t="shared" si="4"/>
        <v>2800</v>
      </c>
      <c r="J119" s="529">
        <v>1567.5</v>
      </c>
      <c r="K119" s="529">
        <f t="shared" si="5"/>
        <v>1232.5</v>
      </c>
      <c r="L119" s="530">
        <f t="shared" si="6"/>
        <v>1232.5</v>
      </c>
      <c r="M119" s="536">
        <f t="shared" si="7"/>
        <v>0.44017857142857142</v>
      </c>
      <c r="N119" s="80" t="s">
        <v>22</v>
      </c>
      <c r="O119" s="47" t="s">
        <v>21</v>
      </c>
    </row>
    <row r="120" spans="1:15">
      <c r="A120" s="71">
        <v>2023</v>
      </c>
      <c r="B120" s="42" t="s">
        <v>178</v>
      </c>
      <c r="C120" s="62" t="s">
        <v>241</v>
      </c>
      <c r="D120" s="47" t="s">
        <v>118</v>
      </c>
      <c r="E120" s="47" t="s">
        <v>242</v>
      </c>
      <c r="F120" s="51">
        <v>2</v>
      </c>
      <c r="G120" s="42" t="s">
        <v>19</v>
      </c>
      <c r="H120" s="44">
        <v>412</v>
      </c>
      <c r="I120" s="44">
        <f t="shared" si="4"/>
        <v>824</v>
      </c>
      <c r="J120" s="529">
        <v>260</v>
      </c>
      <c r="K120" s="529">
        <f t="shared" si="5"/>
        <v>152</v>
      </c>
      <c r="L120" s="530">
        <f t="shared" si="6"/>
        <v>304</v>
      </c>
      <c r="M120" s="536">
        <f t="shared" si="7"/>
        <v>0.36893203883495146</v>
      </c>
      <c r="N120" s="80" t="s">
        <v>22</v>
      </c>
      <c r="O120" s="47" t="s">
        <v>21</v>
      </c>
    </row>
    <row r="121" spans="1:15">
      <c r="A121" s="71">
        <v>2023</v>
      </c>
      <c r="B121" s="42" t="s">
        <v>178</v>
      </c>
      <c r="C121" s="62" t="s">
        <v>241</v>
      </c>
      <c r="D121" s="47" t="s">
        <v>118</v>
      </c>
      <c r="E121" s="47" t="s">
        <v>243</v>
      </c>
      <c r="F121" s="51">
        <v>2</v>
      </c>
      <c r="G121" s="42" t="s">
        <v>19</v>
      </c>
      <c r="H121" s="44">
        <v>1393</v>
      </c>
      <c r="I121" s="44">
        <f t="shared" si="4"/>
        <v>2786</v>
      </c>
      <c r="J121" s="529">
        <v>430</v>
      </c>
      <c r="K121" s="529">
        <f t="shared" si="5"/>
        <v>963</v>
      </c>
      <c r="L121" s="530">
        <f t="shared" si="6"/>
        <v>1926</v>
      </c>
      <c r="M121" s="536">
        <f t="shared" si="7"/>
        <v>0.69131371141421394</v>
      </c>
      <c r="N121" s="80" t="s">
        <v>22</v>
      </c>
      <c r="O121" s="47" t="s">
        <v>21</v>
      </c>
    </row>
    <row r="122" spans="1:15">
      <c r="A122" s="71">
        <v>2023</v>
      </c>
      <c r="B122" s="42" t="s">
        <v>178</v>
      </c>
      <c r="C122" s="62" t="s">
        <v>241</v>
      </c>
      <c r="D122" s="47" t="s">
        <v>118</v>
      </c>
      <c r="E122" s="47" t="s">
        <v>244</v>
      </c>
      <c r="F122" s="51">
        <v>2</v>
      </c>
      <c r="G122" s="42" t="s">
        <v>19</v>
      </c>
      <c r="H122" s="44">
        <v>1585</v>
      </c>
      <c r="I122" s="44">
        <f t="shared" si="4"/>
        <v>3170</v>
      </c>
      <c r="J122" s="529">
        <v>460</v>
      </c>
      <c r="K122" s="529">
        <f t="shared" si="5"/>
        <v>1125</v>
      </c>
      <c r="L122" s="530">
        <f t="shared" si="6"/>
        <v>2250</v>
      </c>
      <c r="M122" s="536">
        <f t="shared" si="7"/>
        <v>0.70977917981072558</v>
      </c>
      <c r="N122" s="80" t="s">
        <v>22</v>
      </c>
      <c r="O122" s="47" t="s">
        <v>21</v>
      </c>
    </row>
    <row r="123" spans="1:15">
      <c r="A123" s="71">
        <v>2023</v>
      </c>
      <c r="B123" s="42" t="s">
        <v>178</v>
      </c>
      <c r="C123" s="62" t="s">
        <v>241</v>
      </c>
      <c r="D123" s="47" t="s">
        <v>118</v>
      </c>
      <c r="E123" s="47" t="s">
        <v>245</v>
      </c>
      <c r="F123" s="51">
        <v>2</v>
      </c>
      <c r="G123" s="42" t="s">
        <v>19</v>
      </c>
      <c r="H123" s="44">
        <v>1665</v>
      </c>
      <c r="I123" s="44">
        <f t="shared" si="4"/>
        <v>3330</v>
      </c>
      <c r="J123" s="529">
        <v>520</v>
      </c>
      <c r="K123" s="529">
        <f t="shared" si="5"/>
        <v>1145</v>
      </c>
      <c r="L123" s="530">
        <f t="shared" si="6"/>
        <v>2290</v>
      </c>
      <c r="M123" s="536">
        <f t="shared" si="7"/>
        <v>0.68768768768768773</v>
      </c>
      <c r="N123" s="80" t="s">
        <v>22</v>
      </c>
      <c r="O123" s="47" t="s">
        <v>21</v>
      </c>
    </row>
    <row r="124" spans="1:15">
      <c r="A124" s="71">
        <v>2023</v>
      </c>
      <c r="B124" s="42" t="s">
        <v>178</v>
      </c>
      <c r="C124" s="62" t="s">
        <v>241</v>
      </c>
      <c r="D124" s="47" t="s">
        <v>118</v>
      </c>
      <c r="E124" s="47" t="s">
        <v>246</v>
      </c>
      <c r="F124" s="51">
        <v>2</v>
      </c>
      <c r="G124" s="42" t="s">
        <v>19</v>
      </c>
      <c r="H124" s="44">
        <v>906</v>
      </c>
      <c r="I124" s="44">
        <f t="shared" si="4"/>
        <v>1812</v>
      </c>
      <c r="J124" s="529">
        <v>815</v>
      </c>
      <c r="K124" s="529">
        <f t="shared" si="5"/>
        <v>91</v>
      </c>
      <c r="L124" s="530">
        <f t="shared" si="6"/>
        <v>182</v>
      </c>
      <c r="M124" s="536">
        <f t="shared" si="7"/>
        <v>0.10044150110375276</v>
      </c>
      <c r="N124" s="80" t="s">
        <v>22</v>
      </c>
      <c r="O124" s="47" t="s">
        <v>21</v>
      </c>
    </row>
    <row r="125" spans="1:15">
      <c r="A125" s="71">
        <v>2023</v>
      </c>
      <c r="B125" s="42" t="s">
        <v>178</v>
      </c>
      <c r="C125" s="62" t="s">
        <v>247</v>
      </c>
      <c r="D125" s="47" t="s">
        <v>248</v>
      </c>
      <c r="E125" s="47" t="s">
        <v>249</v>
      </c>
      <c r="F125" s="51">
        <v>1</v>
      </c>
      <c r="G125" s="42" t="s">
        <v>19</v>
      </c>
      <c r="H125" s="44">
        <v>10700</v>
      </c>
      <c r="I125" s="44">
        <f t="shared" si="4"/>
        <v>10700</v>
      </c>
      <c r="J125" s="529">
        <v>9095</v>
      </c>
      <c r="K125" s="529">
        <f t="shared" si="5"/>
        <v>1605</v>
      </c>
      <c r="L125" s="530">
        <f t="shared" si="6"/>
        <v>1605</v>
      </c>
      <c r="M125" s="536">
        <f t="shared" si="7"/>
        <v>0.15</v>
      </c>
      <c r="N125" s="80" t="s">
        <v>22</v>
      </c>
      <c r="O125" s="47" t="s">
        <v>21</v>
      </c>
    </row>
    <row r="126" spans="1:15">
      <c r="A126" s="71">
        <v>2023</v>
      </c>
      <c r="B126" s="42" t="s">
        <v>178</v>
      </c>
      <c r="C126" s="62" t="s">
        <v>250</v>
      </c>
      <c r="D126" s="47" t="s">
        <v>24</v>
      </c>
      <c r="E126" s="47" t="s">
        <v>251</v>
      </c>
      <c r="F126" s="51">
        <v>5</v>
      </c>
      <c r="G126" s="42" t="s">
        <v>19</v>
      </c>
      <c r="H126" s="44">
        <v>3450</v>
      </c>
      <c r="I126" s="44">
        <f t="shared" si="4"/>
        <v>17250</v>
      </c>
      <c r="J126" s="529">
        <v>3200</v>
      </c>
      <c r="K126" s="529">
        <f t="shared" si="5"/>
        <v>250</v>
      </c>
      <c r="L126" s="530">
        <f t="shared" si="6"/>
        <v>1250</v>
      </c>
      <c r="M126" s="536">
        <f t="shared" si="7"/>
        <v>7.2463768115942032E-2</v>
      </c>
      <c r="N126" s="80" t="s">
        <v>22</v>
      </c>
      <c r="O126" s="47" t="s">
        <v>21</v>
      </c>
    </row>
    <row r="127" spans="1:15">
      <c r="A127" s="71">
        <v>2023</v>
      </c>
      <c r="B127" s="42" t="s">
        <v>178</v>
      </c>
      <c r="C127" s="62" t="s">
        <v>252</v>
      </c>
      <c r="D127" s="47" t="s">
        <v>253</v>
      </c>
      <c r="E127" s="47" t="s">
        <v>254</v>
      </c>
      <c r="F127" s="51">
        <v>1</v>
      </c>
      <c r="G127" s="42" t="s">
        <v>19</v>
      </c>
      <c r="H127" s="44">
        <v>4700</v>
      </c>
      <c r="I127" s="44">
        <f t="shared" si="4"/>
        <v>4700</v>
      </c>
      <c r="J127" s="529">
        <v>4499</v>
      </c>
      <c r="K127" s="529">
        <f t="shared" si="5"/>
        <v>201</v>
      </c>
      <c r="L127" s="530">
        <f t="shared" si="6"/>
        <v>201</v>
      </c>
      <c r="M127" s="536">
        <f t="shared" si="7"/>
        <v>4.2765957446808514E-2</v>
      </c>
      <c r="N127" s="80" t="s">
        <v>22</v>
      </c>
      <c r="O127" s="47" t="s">
        <v>21</v>
      </c>
    </row>
    <row r="128" spans="1:15">
      <c r="A128" s="71">
        <v>2023</v>
      </c>
      <c r="B128" s="42" t="s">
        <v>178</v>
      </c>
      <c r="C128" s="62" t="s">
        <v>255</v>
      </c>
      <c r="D128" s="47" t="s">
        <v>253</v>
      </c>
      <c r="E128" s="47" t="s">
        <v>256</v>
      </c>
      <c r="F128" s="51">
        <v>1</v>
      </c>
      <c r="G128" s="42" t="s">
        <v>19</v>
      </c>
      <c r="H128" s="44">
        <v>6290</v>
      </c>
      <c r="I128" s="44">
        <f t="shared" si="4"/>
        <v>6290</v>
      </c>
      <c r="J128" s="529">
        <v>5499</v>
      </c>
      <c r="K128" s="529">
        <f t="shared" si="5"/>
        <v>791</v>
      </c>
      <c r="L128" s="530">
        <f t="shared" si="6"/>
        <v>791</v>
      </c>
      <c r="M128" s="536">
        <f t="shared" si="7"/>
        <v>0.12575516693163752</v>
      </c>
      <c r="N128" s="80" t="s">
        <v>22</v>
      </c>
      <c r="O128" s="47" t="s">
        <v>21</v>
      </c>
    </row>
    <row r="129" spans="1:15">
      <c r="A129" s="71">
        <v>2023</v>
      </c>
      <c r="B129" s="42" t="s">
        <v>178</v>
      </c>
      <c r="C129" s="62" t="s">
        <v>257</v>
      </c>
      <c r="D129" s="47" t="s">
        <v>182</v>
      </c>
      <c r="E129" s="47" t="s">
        <v>258</v>
      </c>
      <c r="F129" s="51">
        <v>1</v>
      </c>
      <c r="G129" s="42" t="s">
        <v>19</v>
      </c>
      <c r="H129" s="44">
        <v>110000</v>
      </c>
      <c r="I129" s="44">
        <f t="shared" si="4"/>
        <v>110000</v>
      </c>
      <c r="J129" s="529">
        <v>95000</v>
      </c>
      <c r="K129" s="529">
        <f t="shared" si="5"/>
        <v>15000</v>
      </c>
      <c r="L129" s="530">
        <f t="shared" si="6"/>
        <v>15000</v>
      </c>
      <c r="M129" s="536">
        <f t="shared" si="7"/>
        <v>0.13636363636363635</v>
      </c>
      <c r="N129" s="80" t="s">
        <v>22</v>
      </c>
      <c r="O129" s="47" t="s">
        <v>21</v>
      </c>
    </row>
    <row r="130" spans="1:15">
      <c r="A130" s="71">
        <v>2023</v>
      </c>
      <c r="B130" s="42" t="s">
        <v>178</v>
      </c>
      <c r="C130" s="62" t="s">
        <v>259</v>
      </c>
      <c r="D130" s="47" t="s">
        <v>260</v>
      </c>
      <c r="E130" s="81" t="s">
        <v>261</v>
      </c>
      <c r="F130" s="51">
        <v>1</v>
      </c>
      <c r="G130" s="42" t="s">
        <v>19</v>
      </c>
      <c r="H130" s="44">
        <v>456850</v>
      </c>
      <c r="I130" s="44">
        <f t="shared" si="4"/>
        <v>456850</v>
      </c>
      <c r="J130" s="529">
        <v>326000</v>
      </c>
      <c r="K130" s="529">
        <f t="shared" si="5"/>
        <v>130850</v>
      </c>
      <c r="L130" s="530">
        <f t="shared" si="6"/>
        <v>130850</v>
      </c>
      <c r="M130" s="536">
        <f t="shared" si="7"/>
        <v>0.2864178614424866</v>
      </c>
      <c r="N130" s="80" t="s">
        <v>22</v>
      </c>
      <c r="O130" s="47" t="s">
        <v>21</v>
      </c>
    </row>
    <row r="131" spans="1:15">
      <c r="A131" s="71">
        <v>2023</v>
      </c>
      <c r="B131" s="42" t="s">
        <v>178</v>
      </c>
      <c r="C131" s="62" t="s">
        <v>262</v>
      </c>
      <c r="D131" s="47" t="s">
        <v>17</v>
      </c>
      <c r="E131" s="47" t="s">
        <v>263</v>
      </c>
      <c r="F131" s="51">
        <v>1</v>
      </c>
      <c r="G131" s="42" t="s">
        <v>59</v>
      </c>
      <c r="H131" s="44">
        <v>6000</v>
      </c>
      <c r="I131" s="44">
        <f t="shared" ref="I131:I194" si="8">H131*F131</f>
        <v>6000</v>
      </c>
      <c r="J131" s="529">
        <v>3000</v>
      </c>
      <c r="K131" s="529">
        <f t="shared" ref="K131:K194" si="9">H131-J131</f>
        <v>3000</v>
      </c>
      <c r="L131" s="530">
        <f t="shared" ref="L131:L194" si="10">K131*F131</f>
        <v>3000</v>
      </c>
      <c r="M131" s="536">
        <f t="shared" ref="M131:M194" si="11">K131/H131</f>
        <v>0.5</v>
      </c>
      <c r="N131" s="80" t="s">
        <v>22</v>
      </c>
      <c r="O131" s="47" t="s">
        <v>21</v>
      </c>
    </row>
    <row r="132" spans="1:15">
      <c r="A132" s="71">
        <v>2023</v>
      </c>
      <c r="B132" s="42" t="s">
        <v>178</v>
      </c>
      <c r="C132" s="62" t="s">
        <v>264</v>
      </c>
      <c r="D132" s="47" t="s">
        <v>265</v>
      </c>
      <c r="E132" s="47" t="s">
        <v>266</v>
      </c>
      <c r="F132" s="51">
        <v>2000</v>
      </c>
      <c r="G132" s="42" t="s">
        <v>231</v>
      </c>
      <c r="H132" s="44">
        <v>38</v>
      </c>
      <c r="I132" s="44">
        <f t="shared" si="8"/>
        <v>76000</v>
      </c>
      <c r="J132" s="529">
        <v>33.5</v>
      </c>
      <c r="K132" s="529">
        <f t="shared" si="9"/>
        <v>4.5</v>
      </c>
      <c r="L132" s="530">
        <f t="shared" si="10"/>
        <v>9000</v>
      </c>
      <c r="M132" s="536">
        <f t="shared" si="11"/>
        <v>0.11842105263157894</v>
      </c>
      <c r="N132" s="80" t="s">
        <v>22</v>
      </c>
      <c r="O132" s="47" t="s">
        <v>21</v>
      </c>
    </row>
    <row r="133" spans="1:15">
      <c r="A133" s="71">
        <v>2023</v>
      </c>
      <c r="B133" s="42" t="s">
        <v>178</v>
      </c>
      <c r="C133" s="62" t="s">
        <v>267</v>
      </c>
      <c r="D133" s="47" t="s">
        <v>17</v>
      </c>
      <c r="E133" s="47" t="s">
        <v>268</v>
      </c>
      <c r="F133" s="51">
        <v>24</v>
      </c>
      <c r="G133" s="42" t="s">
        <v>19</v>
      </c>
      <c r="H133" s="44">
        <v>44.5</v>
      </c>
      <c r="I133" s="44">
        <f t="shared" si="8"/>
        <v>1068</v>
      </c>
      <c r="J133" s="529">
        <v>38.5</v>
      </c>
      <c r="K133" s="529">
        <f t="shared" si="9"/>
        <v>6</v>
      </c>
      <c r="L133" s="530">
        <f t="shared" si="10"/>
        <v>144</v>
      </c>
      <c r="M133" s="536">
        <f t="shared" si="11"/>
        <v>0.1348314606741573</v>
      </c>
      <c r="N133" s="80" t="s">
        <v>22</v>
      </c>
      <c r="O133" s="47" t="s">
        <v>21</v>
      </c>
    </row>
    <row r="134" spans="1:15">
      <c r="A134" s="71">
        <v>2023</v>
      </c>
      <c r="B134" s="42" t="s">
        <v>178</v>
      </c>
      <c r="C134" s="62" t="s">
        <v>269</v>
      </c>
      <c r="D134" s="47" t="s">
        <v>270</v>
      </c>
      <c r="E134" s="47" t="s">
        <v>69</v>
      </c>
      <c r="F134" s="468">
        <v>46</v>
      </c>
      <c r="G134" s="42" t="s">
        <v>231</v>
      </c>
      <c r="H134" s="44">
        <v>347</v>
      </c>
      <c r="I134" s="44">
        <f t="shared" si="8"/>
        <v>15962</v>
      </c>
      <c r="J134" s="529">
        <v>345</v>
      </c>
      <c r="K134" s="529">
        <f t="shared" si="9"/>
        <v>2</v>
      </c>
      <c r="L134" s="530">
        <f t="shared" si="10"/>
        <v>92</v>
      </c>
      <c r="M134" s="536">
        <f t="shared" si="11"/>
        <v>5.763688760806916E-3</v>
      </c>
      <c r="N134" s="64" t="s">
        <v>22</v>
      </c>
      <c r="O134" s="47" t="s">
        <v>39</v>
      </c>
    </row>
    <row r="135" spans="1:15">
      <c r="A135" s="71">
        <v>2023</v>
      </c>
      <c r="B135" s="42" t="s">
        <v>178</v>
      </c>
      <c r="C135" s="62" t="s">
        <v>269</v>
      </c>
      <c r="D135" s="47" t="s">
        <v>270</v>
      </c>
      <c r="E135" s="47" t="s">
        <v>70</v>
      </c>
      <c r="F135" s="468">
        <v>54</v>
      </c>
      <c r="G135" s="42" t="s">
        <v>231</v>
      </c>
      <c r="H135" s="44">
        <v>347</v>
      </c>
      <c r="I135" s="44">
        <f t="shared" si="8"/>
        <v>18738</v>
      </c>
      <c r="J135" s="529">
        <v>345</v>
      </c>
      <c r="K135" s="529">
        <f t="shared" si="9"/>
        <v>2</v>
      </c>
      <c r="L135" s="530">
        <f t="shared" si="10"/>
        <v>108</v>
      </c>
      <c r="M135" s="536">
        <f t="shared" si="11"/>
        <v>5.763688760806916E-3</v>
      </c>
      <c r="N135" s="64" t="s">
        <v>22</v>
      </c>
      <c r="O135" s="47" t="s">
        <v>39</v>
      </c>
    </row>
    <row r="136" spans="1:15">
      <c r="A136" s="71">
        <v>2023</v>
      </c>
      <c r="B136" s="42" t="s">
        <v>178</v>
      </c>
      <c r="C136" s="62" t="s">
        <v>269</v>
      </c>
      <c r="D136" s="47" t="s">
        <v>270</v>
      </c>
      <c r="E136" s="47" t="s">
        <v>71</v>
      </c>
      <c r="F136" s="468">
        <v>181</v>
      </c>
      <c r="G136" s="42" t="s">
        <v>231</v>
      </c>
      <c r="H136" s="44">
        <v>347</v>
      </c>
      <c r="I136" s="44">
        <f t="shared" si="8"/>
        <v>62807</v>
      </c>
      <c r="J136" s="529">
        <v>345</v>
      </c>
      <c r="K136" s="529">
        <f t="shared" si="9"/>
        <v>2</v>
      </c>
      <c r="L136" s="530">
        <f t="shared" si="10"/>
        <v>362</v>
      </c>
      <c r="M136" s="536">
        <f t="shared" si="11"/>
        <v>5.763688760806916E-3</v>
      </c>
      <c r="N136" s="64" t="s">
        <v>22</v>
      </c>
      <c r="O136" s="47" t="s">
        <v>39</v>
      </c>
    </row>
    <row r="137" spans="1:15">
      <c r="A137" s="71">
        <v>2023</v>
      </c>
      <c r="B137" s="42" t="s">
        <v>178</v>
      </c>
      <c r="C137" s="62" t="s">
        <v>269</v>
      </c>
      <c r="D137" s="47" t="s">
        <v>270</v>
      </c>
      <c r="E137" s="47" t="s">
        <v>271</v>
      </c>
      <c r="F137" s="468">
        <v>162.5</v>
      </c>
      <c r="G137" s="42" t="s">
        <v>231</v>
      </c>
      <c r="H137" s="44">
        <v>347</v>
      </c>
      <c r="I137" s="44">
        <f t="shared" si="8"/>
        <v>56387.5</v>
      </c>
      <c r="J137" s="529">
        <v>345</v>
      </c>
      <c r="K137" s="529">
        <f t="shared" si="9"/>
        <v>2</v>
      </c>
      <c r="L137" s="530">
        <f t="shared" si="10"/>
        <v>325</v>
      </c>
      <c r="M137" s="536">
        <f t="shared" si="11"/>
        <v>5.763688760806916E-3</v>
      </c>
      <c r="N137" s="64" t="s">
        <v>22</v>
      </c>
      <c r="O137" s="47" t="s">
        <v>39</v>
      </c>
    </row>
    <row r="138" spans="1:15">
      <c r="A138" s="71">
        <v>2023</v>
      </c>
      <c r="B138" s="42" t="s">
        <v>178</v>
      </c>
      <c r="C138" s="62" t="s">
        <v>269</v>
      </c>
      <c r="D138" s="47" t="s">
        <v>270</v>
      </c>
      <c r="E138" s="47" t="s">
        <v>73</v>
      </c>
      <c r="F138" s="468">
        <v>216.5</v>
      </c>
      <c r="G138" s="42" t="s">
        <v>231</v>
      </c>
      <c r="H138" s="44">
        <v>347</v>
      </c>
      <c r="I138" s="44">
        <f t="shared" si="8"/>
        <v>75125.5</v>
      </c>
      <c r="J138" s="529">
        <v>345</v>
      </c>
      <c r="K138" s="529">
        <f t="shared" si="9"/>
        <v>2</v>
      </c>
      <c r="L138" s="530">
        <f t="shared" si="10"/>
        <v>433</v>
      </c>
      <c r="M138" s="536">
        <f t="shared" si="11"/>
        <v>5.763688760806916E-3</v>
      </c>
      <c r="N138" s="64" t="s">
        <v>22</v>
      </c>
      <c r="O138" s="47" t="s">
        <v>39</v>
      </c>
    </row>
    <row r="139" spans="1:15">
      <c r="A139" s="71">
        <v>2023</v>
      </c>
      <c r="B139" s="42" t="s">
        <v>178</v>
      </c>
      <c r="C139" s="62" t="s">
        <v>272</v>
      </c>
      <c r="D139" s="47" t="s">
        <v>270</v>
      </c>
      <c r="E139" s="47" t="s">
        <v>70</v>
      </c>
      <c r="F139" s="51">
        <v>54</v>
      </c>
      <c r="G139" s="42" t="s">
        <v>231</v>
      </c>
      <c r="H139" s="44">
        <v>347</v>
      </c>
      <c r="I139" s="44">
        <f t="shared" si="8"/>
        <v>18738</v>
      </c>
      <c r="J139" s="529">
        <v>345</v>
      </c>
      <c r="K139" s="529">
        <f t="shared" si="9"/>
        <v>2</v>
      </c>
      <c r="L139" s="530">
        <f t="shared" si="10"/>
        <v>108</v>
      </c>
      <c r="M139" s="536">
        <f t="shared" si="11"/>
        <v>5.763688760806916E-3</v>
      </c>
      <c r="N139" s="64" t="s">
        <v>22</v>
      </c>
      <c r="O139" s="47" t="s">
        <v>39</v>
      </c>
    </row>
    <row r="140" spans="1:15">
      <c r="A140" s="71">
        <v>2023</v>
      </c>
      <c r="B140" s="42" t="s">
        <v>178</v>
      </c>
      <c r="C140" s="62" t="s">
        <v>272</v>
      </c>
      <c r="D140" s="47" t="s">
        <v>270</v>
      </c>
      <c r="E140" s="47" t="s">
        <v>69</v>
      </c>
      <c r="F140" s="51">
        <v>46</v>
      </c>
      <c r="G140" s="42" t="s">
        <v>231</v>
      </c>
      <c r="H140" s="44">
        <v>347</v>
      </c>
      <c r="I140" s="44">
        <f t="shared" si="8"/>
        <v>15962</v>
      </c>
      <c r="J140" s="529">
        <v>345</v>
      </c>
      <c r="K140" s="529">
        <f t="shared" si="9"/>
        <v>2</v>
      </c>
      <c r="L140" s="530">
        <f t="shared" si="10"/>
        <v>92</v>
      </c>
      <c r="M140" s="536">
        <f t="shared" si="11"/>
        <v>5.763688760806916E-3</v>
      </c>
      <c r="N140" s="64" t="s">
        <v>22</v>
      </c>
      <c r="O140" s="47" t="s">
        <v>39</v>
      </c>
    </row>
    <row r="141" spans="1:15">
      <c r="A141" s="71">
        <v>2023</v>
      </c>
      <c r="B141" s="42" t="s">
        <v>178</v>
      </c>
      <c r="C141" s="62" t="s">
        <v>272</v>
      </c>
      <c r="D141" s="47" t="s">
        <v>270</v>
      </c>
      <c r="E141" s="47" t="s">
        <v>72</v>
      </c>
      <c r="F141" s="51">
        <v>298.10000000000002</v>
      </c>
      <c r="G141" s="42" t="s">
        <v>231</v>
      </c>
      <c r="H141" s="44">
        <v>347</v>
      </c>
      <c r="I141" s="44">
        <f t="shared" si="8"/>
        <v>103440.70000000001</v>
      </c>
      <c r="J141" s="529">
        <v>345</v>
      </c>
      <c r="K141" s="529">
        <f t="shared" si="9"/>
        <v>2</v>
      </c>
      <c r="L141" s="530">
        <f t="shared" si="10"/>
        <v>596.20000000000005</v>
      </c>
      <c r="M141" s="536">
        <f t="shared" si="11"/>
        <v>5.763688760806916E-3</v>
      </c>
      <c r="N141" s="64" t="s">
        <v>22</v>
      </c>
      <c r="O141" s="47" t="s">
        <v>39</v>
      </c>
    </row>
    <row r="142" spans="1:15">
      <c r="A142" s="71">
        <v>2023</v>
      </c>
      <c r="B142" s="42" t="s">
        <v>178</v>
      </c>
      <c r="C142" s="62" t="s">
        <v>273</v>
      </c>
      <c r="D142" s="47" t="s">
        <v>229</v>
      </c>
      <c r="E142" s="47" t="s">
        <v>274</v>
      </c>
      <c r="F142" s="65">
        <v>3000</v>
      </c>
      <c r="G142" s="422" t="s">
        <v>37</v>
      </c>
      <c r="H142" s="44">
        <v>35</v>
      </c>
      <c r="I142" s="44">
        <f t="shared" si="8"/>
        <v>105000</v>
      </c>
      <c r="J142" s="529">
        <v>34.700000000000003</v>
      </c>
      <c r="K142" s="529">
        <f t="shared" si="9"/>
        <v>0.29999999999999716</v>
      </c>
      <c r="L142" s="530">
        <f t="shared" si="10"/>
        <v>899.99999999999147</v>
      </c>
      <c r="M142" s="536">
        <f t="shared" si="11"/>
        <v>8.5714285714284903E-3</v>
      </c>
      <c r="N142" s="64" t="s">
        <v>22</v>
      </c>
      <c r="O142" s="47" t="s">
        <v>39</v>
      </c>
    </row>
    <row r="143" spans="1:15">
      <c r="A143" s="71">
        <v>2023</v>
      </c>
      <c r="B143" s="42" t="s">
        <v>178</v>
      </c>
      <c r="C143" s="62" t="s">
        <v>273</v>
      </c>
      <c r="D143" s="47" t="s">
        <v>229</v>
      </c>
      <c r="E143" s="47" t="s">
        <v>275</v>
      </c>
      <c r="F143" s="65">
        <v>3000</v>
      </c>
      <c r="G143" s="422" t="s">
        <v>37</v>
      </c>
      <c r="H143" s="44">
        <v>35</v>
      </c>
      <c r="I143" s="44">
        <f t="shared" si="8"/>
        <v>105000</v>
      </c>
      <c r="J143" s="529">
        <v>34.700000000000003</v>
      </c>
      <c r="K143" s="529">
        <f t="shared" si="9"/>
        <v>0.29999999999999716</v>
      </c>
      <c r="L143" s="530">
        <f t="shared" si="10"/>
        <v>899.99999999999147</v>
      </c>
      <c r="M143" s="536">
        <f t="shared" si="11"/>
        <v>8.5714285714284903E-3</v>
      </c>
      <c r="N143" s="64" t="s">
        <v>22</v>
      </c>
      <c r="O143" s="47" t="s">
        <v>39</v>
      </c>
    </row>
    <row r="144" spans="1:15">
      <c r="A144" s="71">
        <v>2023</v>
      </c>
      <c r="B144" s="42" t="s">
        <v>178</v>
      </c>
      <c r="C144" s="62" t="s">
        <v>273</v>
      </c>
      <c r="D144" s="47" t="s">
        <v>229</v>
      </c>
      <c r="E144" s="47" t="s">
        <v>230</v>
      </c>
      <c r="F144" s="65">
        <v>3000</v>
      </c>
      <c r="G144" s="422" t="s">
        <v>37</v>
      </c>
      <c r="H144" s="44">
        <v>35</v>
      </c>
      <c r="I144" s="44">
        <f t="shared" si="8"/>
        <v>105000</v>
      </c>
      <c r="J144" s="529">
        <v>34.700000000000003</v>
      </c>
      <c r="K144" s="529">
        <f t="shared" si="9"/>
        <v>0.29999999999999716</v>
      </c>
      <c r="L144" s="530">
        <f t="shared" si="10"/>
        <v>899.99999999999147</v>
      </c>
      <c r="M144" s="536">
        <f t="shared" si="11"/>
        <v>8.5714285714284903E-3</v>
      </c>
      <c r="N144" s="64" t="s">
        <v>22</v>
      </c>
      <c r="O144" s="47" t="s">
        <v>39</v>
      </c>
    </row>
    <row r="145" spans="1:15">
      <c r="A145" s="71">
        <v>2023</v>
      </c>
      <c r="B145" s="42" t="s">
        <v>178</v>
      </c>
      <c r="C145" s="62" t="s">
        <v>273</v>
      </c>
      <c r="D145" s="47" t="s">
        <v>229</v>
      </c>
      <c r="E145" s="47" t="s">
        <v>233</v>
      </c>
      <c r="F145" s="65">
        <v>6000</v>
      </c>
      <c r="G145" s="422" t="s">
        <v>37</v>
      </c>
      <c r="H145" s="44">
        <v>35</v>
      </c>
      <c r="I145" s="44">
        <f t="shared" si="8"/>
        <v>210000</v>
      </c>
      <c r="J145" s="529">
        <v>34.700000000000003</v>
      </c>
      <c r="K145" s="529">
        <f t="shared" si="9"/>
        <v>0.29999999999999716</v>
      </c>
      <c r="L145" s="530">
        <f t="shared" si="10"/>
        <v>1799.9999999999829</v>
      </c>
      <c r="M145" s="536">
        <f t="shared" si="11"/>
        <v>8.5714285714284903E-3</v>
      </c>
      <c r="N145" s="64" t="s">
        <v>22</v>
      </c>
      <c r="O145" s="47" t="s">
        <v>39</v>
      </c>
    </row>
    <row r="146" spans="1:15">
      <c r="A146" s="71">
        <v>2023</v>
      </c>
      <c r="B146" s="42" t="s">
        <v>178</v>
      </c>
      <c r="C146" s="62" t="s">
        <v>218</v>
      </c>
      <c r="D146" s="47" t="s">
        <v>35</v>
      </c>
      <c r="E146" s="47" t="s">
        <v>216</v>
      </c>
      <c r="F146" s="65">
        <v>422</v>
      </c>
      <c r="G146" s="422" t="s">
        <v>37</v>
      </c>
      <c r="H146" s="44">
        <v>363</v>
      </c>
      <c r="I146" s="44">
        <f t="shared" si="8"/>
        <v>153186</v>
      </c>
      <c r="J146" s="529">
        <v>362</v>
      </c>
      <c r="K146" s="529">
        <f t="shared" si="9"/>
        <v>1</v>
      </c>
      <c r="L146" s="530">
        <f t="shared" si="10"/>
        <v>422</v>
      </c>
      <c r="M146" s="536">
        <f t="shared" si="11"/>
        <v>2.7548209366391185E-3</v>
      </c>
      <c r="N146" s="64" t="s">
        <v>38</v>
      </c>
      <c r="O146" s="47" t="s">
        <v>105</v>
      </c>
    </row>
    <row r="147" spans="1:15">
      <c r="A147" s="71">
        <v>2023</v>
      </c>
      <c r="B147" s="42" t="s">
        <v>178</v>
      </c>
      <c r="C147" s="62" t="s">
        <v>218</v>
      </c>
      <c r="D147" s="47" t="s">
        <v>35</v>
      </c>
      <c r="E147" s="47" t="s">
        <v>219</v>
      </c>
      <c r="F147" s="65">
        <v>389</v>
      </c>
      <c r="G147" s="422" t="s">
        <v>37</v>
      </c>
      <c r="H147" s="44">
        <v>363</v>
      </c>
      <c r="I147" s="44">
        <f t="shared" si="8"/>
        <v>141207</v>
      </c>
      <c r="J147" s="529">
        <v>362</v>
      </c>
      <c r="K147" s="529">
        <f t="shared" si="9"/>
        <v>1</v>
      </c>
      <c r="L147" s="530">
        <f t="shared" si="10"/>
        <v>389</v>
      </c>
      <c r="M147" s="536">
        <f t="shared" si="11"/>
        <v>2.7548209366391185E-3</v>
      </c>
      <c r="N147" s="64" t="s">
        <v>38</v>
      </c>
      <c r="O147" s="47" t="s">
        <v>105</v>
      </c>
    </row>
    <row r="148" spans="1:15">
      <c r="A148" s="71">
        <v>2023</v>
      </c>
      <c r="B148" s="42" t="s">
        <v>178</v>
      </c>
      <c r="C148" s="62" t="s">
        <v>218</v>
      </c>
      <c r="D148" s="47" t="s">
        <v>35</v>
      </c>
      <c r="E148" s="47" t="s">
        <v>220</v>
      </c>
      <c r="F148" s="65">
        <v>324</v>
      </c>
      <c r="G148" s="422" t="s">
        <v>37</v>
      </c>
      <c r="H148" s="44">
        <v>363</v>
      </c>
      <c r="I148" s="44">
        <f t="shared" si="8"/>
        <v>117612</v>
      </c>
      <c r="J148" s="529">
        <v>362</v>
      </c>
      <c r="K148" s="529">
        <f t="shared" si="9"/>
        <v>1</v>
      </c>
      <c r="L148" s="530">
        <f t="shared" si="10"/>
        <v>324</v>
      </c>
      <c r="M148" s="536">
        <f t="shared" si="11"/>
        <v>2.7548209366391185E-3</v>
      </c>
      <c r="N148" s="64" t="s">
        <v>38</v>
      </c>
      <c r="O148" s="47" t="s">
        <v>105</v>
      </c>
    </row>
    <row r="149" spans="1:15">
      <c r="A149" s="71">
        <v>2023</v>
      </c>
      <c r="B149" s="42" t="s">
        <v>178</v>
      </c>
      <c r="C149" s="62" t="s">
        <v>276</v>
      </c>
      <c r="D149" s="47" t="s">
        <v>35</v>
      </c>
      <c r="E149" s="47" t="s">
        <v>277</v>
      </c>
      <c r="F149" s="65">
        <v>493</v>
      </c>
      <c r="G149" s="422" t="s">
        <v>37</v>
      </c>
      <c r="H149" s="44">
        <v>363</v>
      </c>
      <c r="I149" s="44">
        <f t="shared" si="8"/>
        <v>178959</v>
      </c>
      <c r="J149" s="529">
        <v>362</v>
      </c>
      <c r="K149" s="529">
        <f t="shared" si="9"/>
        <v>1</v>
      </c>
      <c r="L149" s="530">
        <f t="shared" si="10"/>
        <v>493</v>
      </c>
      <c r="M149" s="536">
        <f t="shared" si="11"/>
        <v>2.7548209366391185E-3</v>
      </c>
      <c r="N149" s="64" t="s">
        <v>38</v>
      </c>
      <c r="O149" s="47" t="s">
        <v>105</v>
      </c>
    </row>
    <row r="150" spans="1:15">
      <c r="A150" s="71">
        <v>2023</v>
      </c>
      <c r="B150" s="42" t="s">
        <v>178</v>
      </c>
      <c r="C150" s="62" t="s">
        <v>278</v>
      </c>
      <c r="D150" s="47" t="s">
        <v>279</v>
      </c>
      <c r="E150" s="2" t="s">
        <v>280</v>
      </c>
      <c r="F150" s="66">
        <v>50</v>
      </c>
      <c r="G150" s="485" t="s">
        <v>19</v>
      </c>
      <c r="H150" s="8">
        <v>63</v>
      </c>
      <c r="I150" s="44">
        <f t="shared" si="8"/>
        <v>3150</v>
      </c>
      <c r="J150" s="521">
        <v>54.51</v>
      </c>
      <c r="K150" s="529">
        <f t="shared" si="9"/>
        <v>8.490000000000002</v>
      </c>
      <c r="L150" s="530">
        <f t="shared" si="10"/>
        <v>424.50000000000011</v>
      </c>
      <c r="M150" s="536">
        <f t="shared" si="11"/>
        <v>0.1347619047619048</v>
      </c>
      <c r="N150" s="64" t="s">
        <v>22</v>
      </c>
      <c r="O150" s="47" t="s">
        <v>105</v>
      </c>
    </row>
    <row r="151" spans="1:15">
      <c r="A151" s="71">
        <v>2023</v>
      </c>
      <c r="B151" s="42" t="s">
        <v>178</v>
      </c>
      <c r="C151" s="62" t="s">
        <v>278</v>
      </c>
      <c r="D151" s="47" t="s">
        <v>279</v>
      </c>
      <c r="E151" s="33" t="s">
        <v>281</v>
      </c>
      <c r="F151" s="67">
        <v>300</v>
      </c>
      <c r="G151" s="486" t="s">
        <v>19</v>
      </c>
      <c r="H151" s="41">
        <v>21</v>
      </c>
      <c r="I151" s="44">
        <f t="shared" si="8"/>
        <v>6300</v>
      </c>
      <c r="J151" s="528">
        <v>20.74</v>
      </c>
      <c r="K151" s="529">
        <f t="shared" si="9"/>
        <v>0.26000000000000156</v>
      </c>
      <c r="L151" s="530">
        <f t="shared" si="10"/>
        <v>78.000000000000469</v>
      </c>
      <c r="M151" s="536">
        <f t="shared" si="11"/>
        <v>1.2380952380952456E-2</v>
      </c>
      <c r="N151" s="64" t="s">
        <v>22</v>
      </c>
      <c r="O151" s="47" t="s">
        <v>105</v>
      </c>
    </row>
    <row r="152" spans="1:15">
      <c r="A152" s="71">
        <v>2023</v>
      </c>
      <c r="B152" s="42" t="s">
        <v>178</v>
      </c>
      <c r="C152" s="62" t="s">
        <v>282</v>
      </c>
      <c r="D152" s="47" t="s">
        <v>283</v>
      </c>
      <c r="E152" s="33" t="s">
        <v>284</v>
      </c>
      <c r="F152" s="67">
        <v>1</v>
      </c>
      <c r="G152" s="486" t="s">
        <v>285</v>
      </c>
      <c r="H152" s="41">
        <v>49100</v>
      </c>
      <c r="I152" s="44">
        <f t="shared" si="8"/>
        <v>49100</v>
      </c>
      <c r="J152" s="528">
        <v>44500</v>
      </c>
      <c r="K152" s="529">
        <f t="shared" si="9"/>
        <v>4600</v>
      </c>
      <c r="L152" s="530">
        <f t="shared" si="10"/>
        <v>4600</v>
      </c>
      <c r="M152" s="536">
        <f t="shared" si="11"/>
        <v>9.368635437881874E-2</v>
      </c>
      <c r="N152" s="64" t="s">
        <v>22</v>
      </c>
      <c r="O152" s="47" t="s">
        <v>105</v>
      </c>
    </row>
    <row r="153" spans="1:15">
      <c r="A153" s="71">
        <v>2023</v>
      </c>
      <c r="B153" s="42" t="s">
        <v>178</v>
      </c>
      <c r="C153" s="62" t="s">
        <v>286</v>
      </c>
      <c r="D153" s="47" t="s">
        <v>35</v>
      </c>
      <c r="E153" s="33" t="s">
        <v>287</v>
      </c>
      <c r="F153" s="67">
        <v>477</v>
      </c>
      <c r="G153" s="486" t="s">
        <v>37</v>
      </c>
      <c r="H153" s="41">
        <v>363</v>
      </c>
      <c r="I153" s="44">
        <f t="shared" si="8"/>
        <v>173151</v>
      </c>
      <c r="J153" s="528">
        <v>362</v>
      </c>
      <c r="K153" s="529">
        <f t="shared" si="9"/>
        <v>1</v>
      </c>
      <c r="L153" s="530">
        <f t="shared" si="10"/>
        <v>477</v>
      </c>
      <c r="M153" s="536">
        <f t="shared" si="11"/>
        <v>2.7548209366391185E-3</v>
      </c>
      <c r="N153" s="64" t="s">
        <v>38</v>
      </c>
      <c r="O153" s="47" t="s">
        <v>105</v>
      </c>
    </row>
    <row r="154" spans="1:15">
      <c r="A154" s="71">
        <v>2023</v>
      </c>
      <c r="B154" s="42" t="s">
        <v>178</v>
      </c>
      <c r="C154" s="62" t="s">
        <v>286</v>
      </c>
      <c r="D154" s="47" t="s">
        <v>35</v>
      </c>
      <c r="E154" s="33" t="s">
        <v>288</v>
      </c>
      <c r="F154" s="67">
        <v>280</v>
      </c>
      <c r="G154" s="486" t="s">
        <v>37</v>
      </c>
      <c r="H154" s="41">
        <v>363</v>
      </c>
      <c r="I154" s="44">
        <f t="shared" si="8"/>
        <v>101640</v>
      </c>
      <c r="J154" s="528">
        <v>362</v>
      </c>
      <c r="K154" s="529">
        <f t="shared" si="9"/>
        <v>1</v>
      </c>
      <c r="L154" s="530">
        <f t="shared" si="10"/>
        <v>280</v>
      </c>
      <c r="M154" s="536">
        <f t="shared" si="11"/>
        <v>2.7548209366391185E-3</v>
      </c>
      <c r="N154" s="64" t="s">
        <v>38</v>
      </c>
      <c r="O154" s="47" t="s">
        <v>105</v>
      </c>
    </row>
    <row r="155" spans="1:15">
      <c r="A155" s="71">
        <v>2023</v>
      </c>
      <c r="B155" s="42" t="s">
        <v>178</v>
      </c>
      <c r="C155" s="62" t="s">
        <v>289</v>
      </c>
      <c r="D155" s="47" t="s">
        <v>290</v>
      </c>
      <c r="E155" s="33" t="s">
        <v>291</v>
      </c>
      <c r="F155" s="67">
        <v>1</v>
      </c>
      <c r="G155" s="486" t="s">
        <v>285</v>
      </c>
      <c r="H155" s="41">
        <v>24000</v>
      </c>
      <c r="I155" s="44">
        <f t="shared" si="8"/>
        <v>24000</v>
      </c>
      <c r="J155" s="528">
        <v>23000</v>
      </c>
      <c r="K155" s="529">
        <f t="shared" si="9"/>
        <v>1000</v>
      </c>
      <c r="L155" s="530">
        <f t="shared" si="10"/>
        <v>1000</v>
      </c>
      <c r="M155" s="536">
        <f t="shared" si="11"/>
        <v>4.1666666666666664E-2</v>
      </c>
      <c r="N155" s="64" t="s">
        <v>22</v>
      </c>
      <c r="O155" s="47" t="s">
        <v>105</v>
      </c>
    </row>
    <row r="156" spans="1:15">
      <c r="A156" s="71">
        <v>2023</v>
      </c>
      <c r="B156" s="42" t="s">
        <v>178</v>
      </c>
      <c r="C156" s="62" t="s">
        <v>292</v>
      </c>
      <c r="D156" s="47" t="s">
        <v>44</v>
      </c>
      <c r="E156" s="47" t="s">
        <v>206</v>
      </c>
      <c r="F156" s="65">
        <v>221.56</v>
      </c>
      <c r="G156" s="422" t="s">
        <v>37</v>
      </c>
      <c r="H156" s="44">
        <v>354</v>
      </c>
      <c r="I156" s="44">
        <f t="shared" si="8"/>
        <v>78432.240000000005</v>
      </c>
      <c r="J156" s="529">
        <v>346</v>
      </c>
      <c r="K156" s="529">
        <f t="shared" si="9"/>
        <v>8</v>
      </c>
      <c r="L156" s="530">
        <f t="shared" si="10"/>
        <v>1772.48</v>
      </c>
      <c r="M156" s="536">
        <f t="shared" si="11"/>
        <v>2.2598870056497175E-2</v>
      </c>
      <c r="N156" s="64" t="s">
        <v>38</v>
      </c>
      <c r="O156" s="47" t="s">
        <v>105</v>
      </c>
    </row>
    <row r="157" spans="1:15">
      <c r="A157" s="71">
        <v>2023</v>
      </c>
      <c r="B157" s="42" t="s">
        <v>178</v>
      </c>
      <c r="C157" s="62" t="s">
        <v>292</v>
      </c>
      <c r="D157" s="47" t="s">
        <v>44</v>
      </c>
      <c r="E157" s="47" t="s">
        <v>49</v>
      </c>
      <c r="F157" s="65">
        <v>500</v>
      </c>
      <c r="G157" s="422" t="s">
        <v>37</v>
      </c>
      <c r="H157" s="44">
        <v>357</v>
      </c>
      <c r="I157" s="44">
        <f t="shared" si="8"/>
        <v>178500</v>
      </c>
      <c r="J157" s="529">
        <v>348</v>
      </c>
      <c r="K157" s="529">
        <f t="shared" si="9"/>
        <v>9</v>
      </c>
      <c r="L157" s="530">
        <f t="shared" si="10"/>
        <v>4500</v>
      </c>
      <c r="M157" s="536">
        <f t="shared" si="11"/>
        <v>2.5210084033613446E-2</v>
      </c>
      <c r="N157" s="64" t="s">
        <v>38</v>
      </c>
      <c r="O157" s="47" t="s">
        <v>105</v>
      </c>
    </row>
    <row r="158" spans="1:15">
      <c r="A158" s="71">
        <v>2023</v>
      </c>
      <c r="B158" s="42" t="s">
        <v>178</v>
      </c>
      <c r="C158" s="62" t="s">
        <v>292</v>
      </c>
      <c r="D158" s="47" t="s">
        <v>44</v>
      </c>
      <c r="E158" s="47" t="s">
        <v>293</v>
      </c>
      <c r="F158" s="65">
        <v>311.8</v>
      </c>
      <c r="G158" s="422" t="s">
        <v>37</v>
      </c>
      <c r="H158" s="44">
        <v>351</v>
      </c>
      <c r="I158" s="44">
        <f t="shared" si="8"/>
        <v>109441.8</v>
      </c>
      <c r="J158" s="529">
        <v>348</v>
      </c>
      <c r="K158" s="529">
        <f t="shared" si="9"/>
        <v>3</v>
      </c>
      <c r="L158" s="530">
        <f t="shared" si="10"/>
        <v>935.40000000000009</v>
      </c>
      <c r="M158" s="536">
        <f t="shared" si="11"/>
        <v>8.5470085470085479E-3</v>
      </c>
      <c r="N158" s="64" t="s">
        <v>38</v>
      </c>
      <c r="O158" s="47" t="s">
        <v>105</v>
      </c>
    </row>
    <row r="159" spans="1:15">
      <c r="A159" s="71">
        <v>2023</v>
      </c>
      <c r="B159" s="42" t="s">
        <v>178</v>
      </c>
      <c r="C159" s="62" t="s">
        <v>292</v>
      </c>
      <c r="D159" s="47" t="s">
        <v>44</v>
      </c>
      <c r="E159" s="47" t="s">
        <v>210</v>
      </c>
      <c r="F159" s="65">
        <v>1004.33</v>
      </c>
      <c r="G159" s="422" t="s">
        <v>37</v>
      </c>
      <c r="H159" s="44">
        <v>353</v>
      </c>
      <c r="I159" s="44">
        <f t="shared" si="8"/>
        <v>354528.49</v>
      </c>
      <c r="J159" s="529">
        <v>348</v>
      </c>
      <c r="K159" s="529">
        <f t="shared" si="9"/>
        <v>5</v>
      </c>
      <c r="L159" s="530">
        <f t="shared" si="10"/>
        <v>5021.6500000000005</v>
      </c>
      <c r="M159" s="536">
        <f t="shared" si="11"/>
        <v>1.4164305949008499E-2</v>
      </c>
      <c r="N159" s="64" t="s">
        <v>38</v>
      </c>
      <c r="O159" s="47" t="s">
        <v>105</v>
      </c>
    </row>
    <row r="160" spans="1:15">
      <c r="A160" s="71">
        <v>2023</v>
      </c>
      <c r="B160" s="42" t="s">
        <v>178</v>
      </c>
      <c r="C160" s="428" t="s">
        <v>294</v>
      </c>
      <c r="D160" s="47" t="s">
        <v>166</v>
      </c>
      <c r="E160" s="47" t="s">
        <v>295</v>
      </c>
      <c r="F160" s="65">
        <v>640</v>
      </c>
      <c r="G160" s="422" t="s">
        <v>37</v>
      </c>
      <c r="H160" s="44">
        <v>34</v>
      </c>
      <c r="I160" s="44">
        <f t="shared" si="8"/>
        <v>21760</v>
      </c>
      <c r="J160" s="529">
        <v>33.32</v>
      </c>
      <c r="K160" s="529">
        <f t="shared" si="9"/>
        <v>0.67999999999999972</v>
      </c>
      <c r="L160" s="530">
        <f t="shared" si="10"/>
        <v>435.19999999999982</v>
      </c>
      <c r="M160" s="536">
        <f t="shared" si="11"/>
        <v>1.999999999999999E-2</v>
      </c>
      <c r="N160" s="64" t="s">
        <v>38</v>
      </c>
      <c r="O160" s="47" t="s">
        <v>105</v>
      </c>
    </row>
    <row r="161" spans="1:15">
      <c r="A161" s="71">
        <v>2023</v>
      </c>
      <c r="B161" s="42" t="s">
        <v>178</v>
      </c>
      <c r="C161" s="428" t="s">
        <v>296</v>
      </c>
      <c r="D161" s="47" t="s">
        <v>35</v>
      </c>
      <c r="E161" s="47" t="s">
        <v>297</v>
      </c>
      <c r="F161" s="65">
        <v>300</v>
      </c>
      <c r="G161" s="422" t="s">
        <v>37</v>
      </c>
      <c r="H161" s="44">
        <v>363</v>
      </c>
      <c r="I161" s="44">
        <f t="shared" si="8"/>
        <v>108900</v>
      </c>
      <c r="J161" s="529">
        <v>362</v>
      </c>
      <c r="K161" s="529">
        <f t="shared" si="9"/>
        <v>1</v>
      </c>
      <c r="L161" s="530">
        <f t="shared" si="10"/>
        <v>300</v>
      </c>
      <c r="M161" s="536">
        <f t="shared" si="11"/>
        <v>2.7548209366391185E-3</v>
      </c>
      <c r="N161" s="64" t="s">
        <v>38</v>
      </c>
      <c r="O161" s="47" t="s">
        <v>105</v>
      </c>
    </row>
    <row r="162" spans="1:15">
      <c r="A162" s="71">
        <v>2023</v>
      </c>
      <c r="B162" s="42" t="s">
        <v>178</v>
      </c>
      <c r="C162" s="432" t="s">
        <v>298</v>
      </c>
      <c r="D162" s="47" t="s">
        <v>107</v>
      </c>
      <c r="E162" s="47" t="s">
        <v>108</v>
      </c>
      <c r="F162" s="65">
        <v>100</v>
      </c>
      <c r="G162" s="422" t="s">
        <v>19</v>
      </c>
      <c r="H162" s="44">
        <v>1600</v>
      </c>
      <c r="I162" s="44">
        <f t="shared" si="8"/>
        <v>160000</v>
      </c>
      <c r="J162" s="529">
        <v>1550</v>
      </c>
      <c r="K162" s="529">
        <f t="shared" si="9"/>
        <v>50</v>
      </c>
      <c r="L162" s="530">
        <f t="shared" si="10"/>
        <v>5000</v>
      </c>
      <c r="M162" s="536">
        <f t="shared" si="11"/>
        <v>3.125E-2</v>
      </c>
      <c r="N162" s="64" t="s">
        <v>38</v>
      </c>
      <c r="O162" s="47" t="s">
        <v>105</v>
      </c>
    </row>
    <row r="163" spans="1:15">
      <c r="A163" s="71">
        <v>2023</v>
      </c>
      <c r="B163" s="42" t="s">
        <v>178</v>
      </c>
      <c r="C163" s="62" t="s">
        <v>299</v>
      </c>
      <c r="D163" s="47" t="s">
        <v>300</v>
      </c>
      <c r="E163" s="47" t="s">
        <v>301</v>
      </c>
      <c r="F163" s="65">
        <v>20</v>
      </c>
      <c r="G163" s="422" t="s">
        <v>302</v>
      </c>
      <c r="H163" s="44">
        <v>13500</v>
      </c>
      <c r="I163" s="44">
        <f t="shared" si="8"/>
        <v>270000</v>
      </c>
      <c r="J163" s="529">
        <v>13000</v>
      </c>
      <c r="K163" s="529">
        <f t="shared" si="9"/>
        <v>500</v>
      </c>
      <c r="L163" s="530">
        <f t="shared" si="10"/>
        <v>10000</v>
      </c>
      <c r="M163" s="536">
        <f t="shared" si="11"/>
        <v>3.7037037037037035E-2</v>
      </c>
      <c r="N163" s="64" t="s">
        <v>38</v>
      </c>
      <c r="O163" s="47" t="s">
        <v>105</v>
      </c>
    </row>
    <row r="164" spans="1:15">
      <c r="A164" s="71">
        <v>2023</v>
      </c>
      <c r="B164" s="42" t="s">
        <v>178</v>
      </c>
      <c r="C164" s="428" t="s">
        <v>303</v>
      </c>
      <c r="D164" s="47" t="s">
        <v>304</v>
      </c>
      <c r="E164" s="47" t="s">
        <v>305</v>
      </c>
      <c r="F164" s="65">
        <v>17</v>
      </c>
      <c r="G164" s="422" t="s">
        <v>19</v>
      </c>
      <c r="H164" s="44">
        <v>10000</v>
      </c>
      <c r="I164" s="44">
        <f t="shared" si="8"/>
        <v>170000</v>
      </c>
      <c r="J164" s="529">
        <v>9000</v>
      </c>
      <c r="K164" s="529">
        <f t="shared" si="9"/>
        <v>1000</v>
      </c>
      <c r="L164" s="530">
        <f t="shared" si="10"/>
        <v>17000</v>
      </c>
      <c r="M164" s="536">
        <f t="shared" si="11"/>
        <v>0.1</v>
      </c>
      <c r="N164" s="64" t="s">
        <v>38</v>
      </c>
      <c r="O164" s="47" t="s">
        <v>105</v>
      </c>
    </row>
    <row r="165" spans="1:15">
      <c r="A165" s="71">
        <v>2023</v>
      </c>
      <c r="B165" s="42" t="s">
        <v>178</v>
      </c>
      <c r="C165" s="428" t="s">
        <v>306</v>
      </c>
      <c r="D165" s="47" t="s">
        <v>307</v>
      </c>
      <c r="E165" s="47" t="s">
        <v>308</v>
      </c>
      <c r="F165" s="65">
        <v>30000</v>
      </c>
      <c r="G165" s="422" t="s">
        <v>309</v>
      </c>
      <c r="H165" s="44">
        <v>198</v>
      </c>
      <c r="I165" s="44">
        <f t="shared" si="8"/>
        <v>5940000</v>
      </c>
      <c r="J165" s="529">
        <v>197.5</v>
      </c>
      <c r="K165" s="529">
        <f t="shared" si="9"/>
        <v>0.5</v>
      </c>
      <c r="L165" s="530">
        <f t="shared" si="10"/>
        <v>15000</v>
      </c>
      <c r="M165" s="536">
        <f t="shared" si="11"/>
        <v>2.5252525252525255E-3</v>
      </c>
      <c r="N165" s="64" t="s">
        <v>38</v>
      </c>
      <c r="O165" s="47" t="s">
        <v>105</v>
      </c>
    </row>
    <row r="166" spans="1:15">
      <c r="A166" s="71">
        <v>2023</v>
      </c>
      <c r="B166" s="42" t="s">
        <v>178</v>
      </c>
      <c r="C166" s="62" t="s">
        <v>310</v>
      </c>
      <c r="D166" s="47" t="s">
        <v>311</v>
      </c>
      <c r="E166" s="47" t="s">
        <v>312</v>
      </c>
      <c r="F166" s="65">
        <v>1</v>
      </c>
      <c r="G166" s="422" t="s">
        <v>59</v>
      </c>
      <c r="H166" s="44">
        <v>645000</v>
      </c>
      <c r="I166" s="44">
        <f t="shared" si="8"/>
        <v>645000</v>
      </c>
      <c r="J166" s="529">
        <v>612750</v>
      </c>
      <c r="K166" s="529">
        <f t="shared" si="9"/>
        <v>32250</v>
      </c>
      <c r="L166" s="530">
        <f t="shared" si="10"/>
        <v>32250</v>
      </c>
      <c r="M166" s="536">
        <f t="shared" si="11"/>
        <v>0.05</v>
      </c>
      <c r="N166" s="64" t="s">
        <v>38</v>
      </c>
      <c r="O166" s="47" t="s">
        <v>21</v>
      </c>
    </row>
    <row r="167" spans="1:15">
      <c r="A167" s="71">
        <v>2023</v>
      </c>
      <c r="B167" s="42" t="s">
        <v>178</v>
      </c>
      <c r="C167" s="62" t="s">
        <v>313</v>
      </c>
      <c r="D167" s="47" t="s">
        <v>314</v>
      </c>
      <c r="E167" s="47" t="s">
        <v>315</v>
      </c>
      <c r="F167" s="51">
        <v>1</v>
      </c>
      <c r="G167" s="422" t="s">
        <v>59</v>
      </c>
      <c r="H167" s="44">
        <v>90550</v>
      </c>
      <c r="I167" s="44">
        <f t="shared" si="8"/>
        <v>90550</v>
      </c>
      <c r="J167" s="529">
        <v>80900</v>
      </c>
      <c r="K167" s="529">
        <f t="shared" si="9"/>
        <v>9650</v>
      </c>
      <c r="L167" s="530">
        <f t="shared" si="10"/>
        <v>9650</v>
      </c>
      <c r="M167" s="536">
        <f t="shared" si="11"/>
        <v>0.10657095527332965</v>
      </c>
      <c r="N167" s="64" t="s">
        <v>22</v>
      </c>
      <c r="O167" s="47" t="s">
        <v>21</v>
      </c>
    </row>
    <row r="168" spans="1:15">
      <c r="A168" s="71">
        <v>2023</v>
      </c>
      <c r="B168" s="42" t="s">
        <v>178</v>
      </c>
      <c r="C168" s="62" t="s">
        <v>313</v>
      </c>
      <c r="D168" s="47" t="s">
        <v>314</v>
      </c>
      <c r="E168" s="47" t="s">
        <v>316</v>
      </c>
      <c r="F168" s="51">
        <v>1</v>
      </c>
      <c r="G168" s="422" t="s">
        <v>59</v>
      </c>
      <c r="H168" s="44">
        <v>97750</v>
      </c>
      <c r="I168" s="44">
        <f t="shared" si="8"/>
        <v>97750</v>
      </c>
      <c r="J168" s="529">
        <v>94400</v>
      </c>
      <c r="K168" s="529">
        <f t="shared" si="9"/>
        <v>3350</v>
      </c>
      <c r="L168" s="530">
        <f t="shared" si="10"/>
        <v>3350</v>
      </c>
      <c r="M168" s="536">
        <f t="shared" si="11"/>
        <v>3.4271099744245526E-2</v>
      </c>
      <c r="N168" s="64" t="s">
        <v>22</v>
      </c>
      <c r="O168" s="47" t="s">
        <v>21</v>
      </c>
    </row>
    <row r="169" spans="1:15">
      <c r="A169" s="71">
        <v>2023</v>
      </c>
      <c r="B169" s="42" t="s">
        <v>178</v>
      </c>
      <c r="C169" s="62" t="s">
        <v>317</v>
      </c>
      <c r="D169" s="47" t="s">
        <v>118</v>
      </c>
      <c r="E169" s="47" t="s">
        <v>118</v>
      </c>
      <c r="F169" s="51">
        <v>2</v>
      </c>
      <c r="G169" s="42" t="s">
        <v>63</v>
      </c>
      <c r="H169" s="44">
        <v>870</v>
      </c>
      <c r="I169" s="44">
        <f t="shared" si="8"/>
        <v>1740</v>
      </c>
      <c r="J169" s="529">
        <v>550</v>
      </c>
      <c r="K169" s="529">
        <f t="shared" si="9"/>
        <v>320</v>
      </c>
      <c r="L169" s="530">
        <f t="shared" si="10"/>
        <v>640</v>
      </c>
      <c r="M169" s="536">
        <f t="shared" si="11"/>
        <v>0.36781609195402298</v>
      </c>
      <c r="N169" s="64" t="s">
        <v>22</v>
      </c>
      <c r="O169" s="47" t="s">
        <v>21</v>
      </c>
    </row>
    <row r="170" spans="1:15">
      <c r="A170" s="71">
        <v>2023</v>
      </c>
      <c r="B170" s="42" t="s">
        <v>178</v>
      </c>
      <c r="C170" s="62" t="s">
        <v>318</v>
      </c>
      <c r="D170" s="47" t="s">
        <v>128</v>
      </c>
      <c r="E170" s="47" t="s">
        <v>319</v>
      </c>
      <c r="F170" s="65">
        <v>1</v>
      </c>
      <c r="G170" s="422" t="s">
        <v>19</v>
      </c>
      <c r="H170" s="44">
        <v>13350</v>
      </c>
      <c r="I170" s="44">
        <f t="shared" si="8"/>
        <v>13350</v>
      </c>
      <c r="J170" s="529">
        <v>12250</v>
      </c>
      <c r="K170" s="529">
        <f t="shared" si="9"/>
        <v>1100</v>
      </c>
      <c r="L170" s="530">
        <f t="shared" si="10"/>
        <v>1100</v>
      </c>
      <c r="M170" s="536">
        <f t="shared" si="11"/>
        <v>8.2397003745318345E-2</v>
      </c>
      <c r="N170" s="64" t="s">
        <v>22</v>
      </c>
      <c r="O170" s="47" t="s">
        <v>21</v>
      </c>
    </row>
    <row r="171" spans="1:15">
      <c r="A171" s="71">
        <v>2023</v>
      </c>
      <c r="B171" s="42" t="s">
        <v>178</v>
      </c>
      <c r="C171" s="62" t="s">
        <v>320</v>
      </c>
      <c r="D171" s="47" t="s">
        <v>24</v>
      </c>
      <c r="E171" s="47" t="s">
        <v>321</v>
      </c>
      <c r="F171" s="51">
        <v>1</v>
      </c>
      <c r="G171" s="42" t="s">
        <v>19</v>
      </c>
      <c r="H171" s="44">
        <v>3930</v>
      </c>
      <c r="I171" s="44">
        <f t="shared" si="8"/>
        <v>3930</v>
      </c>
      <c r="J171" s="529">
        <v>3800</v>
      </c>
      <c r="K171" s="529">
        <f t="shared" si="9"/>
        <v>130</v>
      </c>
      <c r="L171" s="530">
        <f t="shared" si="10"/>
        <v>130</v>
      </c>
      <c r="M171" s="536">
        <f t="shared" si="11"/>
        <v>3.3078880407124679E-2</v>
      </c>
      <c r="N171" s="64" t="s">
        <v>22</v>
      </c>
      <c r="O171" s="47" t="s">
        <v>21</v>
      </c>
    </row>
    <row r="172" spans="1:15">
      <c r="A172" s="71">
        <v>2023</v>
      </c>
      <c r="B172" s="42" t="s">
        <v>178</v>
      </c>
      <c r="C172" s="62" t="s">
        <v>322</v>
      </c>
      <c r="D172" s="47" t="s">
        <v>323</v>
      </c>
      <c r="E172" s="47" t="s">
        <v>324</v>
      </c>
      <c r="F172" s="51">
        <v>96</v>
      </c>
      <c r="G172" s="42" t="s">
        <v>29</v>
      </c>
      <c r="H172" s="44">
        <v>415</v>
      </c>
      <c r="I172" s="44">
        <f t="shared" si="8"/>
        <v>39840</v>
      </c>
      <c r="J172" s="529">
        <v>400</v>
      </c>
      <c r="K172" s="529">
        <f t="shared" si="9"/>
        <v>15</v>
      </c>
      <c r="L172" s="530">
        <f t="shared" si="10"/>
        <v>1440</v>
      </c>
      <c r="M172" s="536">
        <f t="shared" si="11"/>
        <v>3.614457831325301E-2</v>
      </c>
      <c r="N172" s="64" t="s">
        <v>22</v>
      </c>
      <c r="O172" s="47" t="s">
        <v>21</v>
      </c>
    </row>
    <row r="173" spans="1:15">
      <c r="A173" s="71">
        <v>2023</v>
      </c>
      <c r="B173" s="42" t="s">
        <v>178</v>
      </c>
      <c r="C173" s="62" t="s">
        <v>325</v>
      </c>
      <c r="D173" s="47" t="s">
        <v>157</v>
      </c>
      <c r="E173" s="47" t="s">
        <v>326</v>
      </c>
      <c r="F173" s="51">
        <v>1</v>
      </c>
      <c r="G173" s="42" t="s">
        <v>19</v>
      </c>
      <c r="H173" s="44">
        <v>19580</v>
      </c>
      <c r="I173" s="44">
        <f t="shared" si="8"/>
        <v>19580</v>
      </c>
      <c r="J173" s="529">
        <v>14000</v>
      </c>
      <c r="K173" s="529">
        <f t="shared" si="9"/>
        <v>5580</v>
      </c>
      <c r="L173" s="530">
        <f t="shared" si="10"/>
        <v>5580</v>
      </c>
      <c r="M173" s="536">
        <f t="shared" si="11"/>
        <v>0.28498467824310519</v>
      </c>
      <c r="N173" s="64" t="s">
        <v>22</v>
      </c>
      <c r="O173" s="47" t="s">
        <v>21</v>
      </c>
    </row>
    <row r="174" spans="1:15">
      <c r="A174" s="71">
        <v>2023</v>
      </c>
      <c r="B174" s="42" t="s">
        <v>327</v>
      </c>
      <c r="C174" s="62" t="s">
        <v>328</v>
      </c>
      <c r="D174" s="47" t="s">
        <v>329</v>
      </c>
      <c r="E174" s="15" t="s">
        <v>330</v>
      </c>
      <c r="F174" s="51">
        <v>4</v>
      </c>
      <c r="G174" s="42" t="s">
        <v>331</v>
      </c>
      <c r="H174" s="44">
        <v>14885</v>
      </c>
      <c r="I174" s="44">
        <f t="shared" si="8"/>
        <v>59540</v>
      </c>
      <c r="J174" s="529">
        <v>14750</v>
      </c>
      <c r="K174" s="529">
        <f t="shared" si="9"/>
        <v>135</v>
      </c>
      <c r="L174" s="530">
        <f t="shared" si="10"/>
        <v>540</v>
      </c>
      <c r="M174" s="536">
        <f t="shared" si="11"/>
        <v>9.0695330870003352E-3</v>
      </c>
      <c r="N174" s="64" t="s">
        <v>38</v>
      </c>
      <c r="O174" s="47" t="s">
        <v>39</v>
      </c>
    </row>
    <row r="175" spans="1:15">
      <c r="A175" s="71">
        <v>2023</v>
      </c>
      <c r="B175" s="42" t="s">
        <v>327</v>
      </c>
      <c r="C175" s="62" t="s">
        <v>332</v>
      </c>
      <c r="D175" s="47" t="s">
        <v>229</v>
      </c>
      <c r="E175" s="47" t="s">
        <v>333</v>
      </c>
      <c r="F175" s="51">
        <v>3000</v>
      </c>
      <c r="G175" s="42" t="s">
        <v>231</v>
      </c>
      <c r="H175" s="44">
        <v>35</v>
      </c>
      <c r="I175" s="44">
        <f t="shared" si="8"/>
        <v>105000</v>
      </c>
      <c r="J175" s="529">
        <v>34.700000000000003</v>
      </c>
      <c r="K175" s="529">
        <f t="shared" si="9"/>
        <v>0.29999999999999716</v>
      </c>
      <c r="L175" s="530">
        <f t="shared" si="10"/>
        <v>899.99999999999147</v>
      </c>
      <c r="M175" s="536">
        <f t="shared" si="11"/>
        <v>8.5714285714284903E-3</v>
      </c>
      <c r="N175" s="64" t="s">
        <v>22</v>
      </c>
      <c r="O175" s="47" t="s">
        <v>39</v>
      </c>
    </row>
    <row r="176" spans="1:15">
      <c r="A176" s="71">
        <v>2023</v>
      </c>
      <c r="B176" s="42" t="s">
        <v>327</v>
      </c>
      <c r="C176" s="62" t="s">
        <v>334</v>
      </c>
      <c r="D176" s="47" t="s">
        <v>335</v>
      </c>
      <c r="E176" s="47" t="s">
        <v>336</v>
      </c>
      <c r="F176" s="51">
        <v>42000</v>
      </c>
      <c r="G176" s="42" t="s">
        <v>337</v>
      </c>
      <c r="H176" s="44">
        <v>36.5</v>
      </c>
      <c r="I176" s="44">
        <f t="shared" si="8"/>
        <v>1533000</v>
      </c>
      <c r="J176" s="529">
        <v>36</v>
      </c>
      <c r="K176" s="529">
        <f t="shared" si="9"/>
        <v>0.5</v>
      </c>
      <c r="L176" s="530">
        <f t="shared" si="10"/>
        <v>21000</v>
      </c>
      <c r="M176" s="536">
        <f t="shared" si="11"/>
        <v>1.3698630136986301E-2</v>
      </c>
      <c r="N176" s="64" t="s">
        <v>38</v>
      </c>
      <c r="O176" s="47" t="s">
        <v>39</v>
      </c>
    </row>
    <row r="177" spans="1:15">
      <c r="A177" s="71">
        <v>2023</v>
      </c>
      <c r="B177" s="42" t="s">
        <v>327</v>
      </c>
      <c r="C177" s="62" t="s">
        <v>338</v>
      </c>
      <c r="D177" s="47" t="s">
        <v>339</v>
      </c>
      <c r="E177" s="47" t="s">
        <v>340</v>
      </c>
      <c r="F177" s="51">
        <v>1</v>
      </c>
      <c r="G177" s="42" t="s">
        <v>19</v>
      </c>
      <c r="H177" s="44">
        <v>9800</v>
      </c>
      <c r="I177" s="44">
        <f t="shared" si="8"/>
        <v>9800</v>
      </c>
      <c r="J177" s="529">
        <v>8000</v>
      </c>
      <c r="K177" s="529">
        <f t="shared" si="9"/>
        <v>1800</v>
      </c>
      <c r="L177" s="530">
        <f t="shared" si="10"/>
        <v>1800</v>
      </c>
      <c r="M177" s="536">
        <f t="shared" si="11"/>
        <v>0.18367346938775511</v>
      </c>
      <c r="N177" s="80" t="s">
        <v>22</v>
      </c>
      <c r="O177" s="47" t="s">
        <v>21</v>
      </c>
    </row>
    <row r="178" spans="1:15">
      <c r="A178" s="71">
        <v>2023</v>
      </c>
      <c r="B178" s="42" t="s">
        <v>327</v>
      </c>
      <c r="C178" s="75" t="s">
        <v>341</v>
      </c>
      <c r="D178" s="47" t="s">
        <v>342</v>
      </c>
      <c r="E178" s="55" t="s">
        <v>343</v>
      </c>
      <c r="F178" s="54">
        <v>1</v>
      </c>
      <c r="G178" s="42" t="s">
        <v>19</v>
      </c>
      <c r="H178" s="44">
        <v>18200</v>
      </c>
      <c r="I178" s="44">
        <f t="shared" si="8"/>
        <v>18200</v>
      </c>
      <c r="J178" s="529">
        <v>14300</v>
      </c>
      <c r="K178" s="529">
        <f t="shared" si="9"/>
        <v>3900</v>
      </c>
      <c r="L178" s="530">
        <f t="shared" si="10"/>
        <v>3900</v>
      </c>
      <c r="M178" s="536">
        <f t="shared" si="11"/>
        <v>0.21428571428571427</v>
      </c>
      <c r="N178" s="80" t="s">
        <v>22</v>
      </c>
      <c r="O178" s="47" t="s">
        <v>21</v>
      </c>
    </row>
    <row r="179" spans="1:15">
      <c r="A179" s="71">
        <v>2023</v>
      </c>
      <c r="B179" s="403" t="s">
        <v>327</v>
      </c>
      <c r="C179" s="62" t="s">
        <v>344</v>
      </c>
      <c r="D179" s="76" t="s">
        <v>345</v>
      </c>
      <c r="E179" s="47" t="s">
        <v>346</v>
      </c>
      <c r="F179" s="51">
        <v>1</v>
      </c>
      <c r="G179" s="42" t="s">
        <v>59</v>
      </c>
      <c r="H179" s="44">
        <v>443000</v>
      </c>
      <c r="I179" s="44">
        <f t="shared" si="8"/>
        <v>443000</v>
      </c>
      <c r="J179" s="529">
        <v>435000</v>
      </c>
      <c r="K179" s="529">
        <f t="shared" si="9"/>
        <v>8000</v>
      </c>
      <c r="L179" s="530">
        <f t="shared" si="10"/>
        <v>8000</v>
      </c>
      <c r="M179" s="536">
        <f t="shared" si="11"/>
        <v>1.8058690744920992E-2</v>
      </c>
      <c r="N179" s="80" t="s">
        <v>38</v>
      </c>
      <c r="O179" s="47" t="s">
        <v>21</v>
      </c>
    </row>
    <row r="180" spans="1:15">
      <c r="A180" s="71">
        <v>2023</v>
      </c>
      <c r="B180" s="403" t="s">
        <v>327</v>
      </c>
      <c r="C180" s="62" t="s">
        <v>347</v>
      </c>
      <c r="D180" s="76" t="s">
        <v>17</v>
      </c>
      <c r="E180" s="47" t="s">
        <v>18</v>
      </c>
      <c r="F180" s="51">
        <v>60</v>
      </c>
      <c r="G180" s="42" t="s">
        <v>19</v>
      </c>
      <c r="H180" s="44">
        <v>480</v>
      </c>
      <c r="I180" s="44">
        <f t="shared" si="8"/>
        <v>28800</v>
      </c>
      <c r="J180" s="529">
        <v>420</v>
      </c>
      <c r="K180" s="529">
        <f t="shared" si="9"/>
        <v>60</v>
      </c>
      <c r="L180" s="530">
        <f t="shared" si="10"/>
        <v>3600</v>
      </c>
      <c r="M180" s="536">
        <f t="shared" si="11"/>
        <v>0.125</v>
      </c>
      <c r="N180" s="80" t="s">
        <v>20</v>
      </c>
      <c r="O180" s="47" t="s">
        <v>21</v>
      </c>
    </row>
    <row r="181" spans="1:15">
      <c r="A181" s="71">
        <v>2023</v>
      </c>
      <c r="B181" s="403" t="s">
        <v>327</v>
      </c>
      <c r="C181" s="62" t="s">
        <v>348</v>
      </c>
      <c r="D181" s="76" t="s">
        <v>349</v>
      </c>
      <c r="E181" s="47" t="s">
        <v>350</v>
      </c>
      <c r="F181" s="51">
        <v>1</v>
      </c>
      <c r="G181" s="42" t="s">
        <v>59</v>
      </c>
      <c r="H181" s="44">
        <v>103000</v>
      </c>
      <c r="I181" s="44">
        <f t="shared" si="8"/>
        <v>103000</v>
      </c>
      <c r="J181" s="529">
        <v>85000</v>
      </c>
      <c r="K181" s="529">
        <f t="shared" si="9"/>
        <v>18000</v>
      </c>
      <c r="L181" s="530">
        <f t="shared" si="10"/>
        <v>18000</v>
      </c>
      <c r="M181" s="536">
        <f t="shared" si="11"/>
        <v>0.17475728155339806</v>
      </c>
      <c r="N181" s="80" t="s">
        <v>22</v>
      </c>
      <c r="O181" s="47" t="s">
        <v>21</v>
      </c>
    </row>
    <row r="182" spans="1:15">
      <c r="A182" s="71">
        <v>2023</v>
      </c>
      <c r="B182" s="403" t="s">
        <v>327</v>
      </c>
      <c r="C182" s="62" t="s">
        <v>351</v>
      </c>
      <c r="D182" s="76" t="s">
        <v>314</v>
      </c>
      <c r="E182" s="47" t="s">
        <v>352</v>
      </c>
      <c r="F182" s="51">
        <v>1</v>
      </c>
      <c r="G182" s="42" t="s">
        <v>59</v>
      </c>
      <c r="H182" s="44">
        <v>48000</v>
      </c>
      <c r="I182" s="44">
        <f t="shared" si="8"/>
        <v>48000</v>
      </c>
      <c r="J182" s="529">
        <v>45000</v>
      </c>
      <c r="K182" s="529">
        <f t="shared" si="9"/>
        <v>3000</v>
      </c>
      <c r="L182" s="530">
        <f t="shared" si="10"/>
        <v>3000</v>
      </c>
      <c r="M182" s="536">
        <f t="shared" si="11"/>
        <v>6.25E-2</v>
      </c>
      <c r="N182" s="80" t="s">
        <v>38</v>
      </c>
      <c r="O182" s="47" t="s">
        <v>21</v>
      </c>
    </row>
    <row r="183" spans="1:15">
      <c r="A183" s="71">
        <v>2023</v>
      </c>
      <c r="B183" s="403" t="s">
        <v>327</v>
      </c>
      <c r="C183" s="62" t="s">
        <v>353</v>
      </c>
      <c r="D183" s="76" t="s">
        <v>345</v>
      </c>
      <c r="E183" s="47" t="s">
        <v>354</v>
      </c>
      <c r="F183" s="51">
        <v>1</v>
      </c>
      <c r="G183" s="42" t="s">
        <v>59</v>
      </c>
      <c r="H183" s="44">
        <v>74000</v>
      </c>
      <c r="I183" s="44">
        <f t="shared" si="8"/>
        <v>74000</v>
      </c>
      <c r="J183" s="529">
        <v>72000</v>
      </c>
      <c r="K183" s="529">
        <f t="shared" si="9"/>
        <v>2000</v>
      </c>
      <c r="L183" s="530">
        <f t="shared" si="10"/>
        <v>2000</v>
      </c>
      <c r="M183" s="536">
        <f t="shared" si="11"/>
        <v>2.7027027027027029E-2</v>
      </c>
      <c r="N183" s="80" t="s">
        <v>38</v>
      </c>
      <c r="O183" s="47" t="s">
        <v>21</v>
      </c>
    </row>
    <row r="184" spans="1:15">
      <c r="A184" s="71">
        <v>2023</v>
      </c>
      <c r="B184" s="403" t="s">
        <v>327</v>
      </c>
      <c r="C184" s="62" t="s">
        <v>355</v>
      </c>
      <c r="D184" s="76" t="s">
        <v>356</v>
      </c>
      <c r="E184" s="47" t="s">
        <v>357</v>
      </c>
      <c r="F184" s="51">
        <v>18</v>
      </c>
      <c r="G184" s="42" t="s">
        <v>29</v>
      </c>
      <c r="H184" s="44">
        <v>4400</v>
      </c>
      <c r="I184" s="44">
        <f t="shared" si="8"/>
        <v>79200</v>
      </c>
      <c r="J184" s="529">
        <v>4015</v>
      </c>
      <c r="K184" s="529">
        <f t="shared" si="9"/>
        <v>385</v>
      </c>
      <c r="L184" s="530">
        <f t="shared" si="10"/>
        <v>6930</v>
      </c>
      <c r="M184" s="536">
        <f t="shared" si="11"/>
        <v>8.7499999999999994E-2</v>
      </c>
      <c r="N184" s="80" t="s">
        <v>20</v>
      </c>
      <c r="O184" s="47" t="s">
        <v>21</v>
      </c>
    </row>
    <row r="185" spans="1:15">
      <c r="A185" s="71">
        <v>2023</v>
      </c>
      <c r="B185" s="403" t="s">
        <v>327</v>
      </c>
      <c r="C185" s="62" t="s">
        <v>358</v>
      </c>
      <c r="D185" s="76" t="s">
        <v>345</v>
      </c>
      <c r="E185" s="47" t="s">
        <v>359</v>
      </c>
      <c r="F185" s="51">
        <v>1</v>
      </c>
      <c r="G185" s="152" t="s">
        <v>59</v>
      </c>
      <c r="H185" s="44">
        <v>853000</v>
      </c>
      <c r="I185" s="44">
        <f t="shared" si="8"/>
        <v>853000</v>
      </c>
      <c r="J185" s="529">
        <v>800000</v>
      </c>
      <c r="K185" s="529">
        <f t="shared" si="9"/>
        <v>53000</v>
      </c>
      <c r="L185" s="530">
        <f t="shared" si="10"/>
        <v>53000</v>
      </c>
      <c r="M185" s="536">
        <f t="shared" si="11"/>
        <v>6.2133645955451351E-2</v>
      </c>
      <c r="N185" s="80" t="s">
        <v>38</v>
      </c>
      <c r="O185" s="47" t="s">
        <v>21</v>
      </c>
    </row>
    <row r="186" spans="1:15">
      <c r="A186" s="71">
        <v>2023</v>
      </c>
      <c r="B186" s="403" t="s">
        <v>327</v>
      </c>
      <c r="C186" s="62" t="s">
        <v>360</v>
      </c>
      <c r="D186" s="76" t="s">
        <v>118</v>
      </c>
      <c r="E186" s="47" t="s">
        <v>361</v>
      </c>
      <c r="F186" s="51">
        <v>1</v>
      </c>
      <c r="G186" s="152" t="s">
        <v>19</v>
      </c>
      <c r="H186" s="44">
        <v>4700</v>
      </c>
      <c r="I186" s="44">
        <f t="shared" si="8"/>
        <v>4700</v>
      </c>
      <c r="J186" s="529">
        <v>3450</v>
      </c>
      <c r="K186" s="529">
        <f t="shared" si="9"/>
        <v>1250</v>
      </c>
      <c r="L186" s="530">
        <f t="shared" si="10"/>
        <v>1250</v>
      </c>
      <c r="M186" s="536">
        <f t="shared" si="11"/>
        <v>0.26595744680851063</v>
      </c>
      <c r="N186" s="80" t="s">
        <v>22</v>
      </c>
      <c r="O186" s="47" t="s">
        <v>21</v>
      </c>
    </row>
    <row r="187" spans="1:15">
      <c r="A187" s="71">
        <v>2023</v>
      </c>
      <c r="B187" s="403" t="s">
        <v>327</v>
      </c>
      <c r="C187" s="62" t="s">
        <v>360</v>
      </c>
      <c r="D187" s="76" t="s">
        <v>118</v>
      </c>
      <c r="E187" s="47" t="s">
        <v>362</v>
      </c>
      <c r="F187" s="51">
        <v>2</v>
      </c>
      <c r="G187" s="42" t="s">
        <v>19</v>
      </c>
      <c r="H187" s="44">
        <v>7350</v>
      </c>
      <c r="I187" s="44">
        <f t="shared" si="8"/>
        <v>14700</v>
      </c>
      <c r="J187" s="529">
        <v>5595</v>
      </c>
      <c r="K187" s="529">
        <f t="shared" si="9"/>
        <v>1755</v>
      </c>
      <c r="L187" s="530">
        <f t="shared" si="10"/>
        <v>3510</v>
      </c>
      <c r="M187" s="536">
        <f t="shared" si="11"/>
        <v>0.23877551020408164</v>
      </c>
      <c r="N187" s="80" t="s">
        <v>22</v>
      </c>
      <c r="O187" s="47" t="s">
        <v>21</v>
      </c>
    </row>
    <row r="188" spans="1:15">
      <c r="A188" s="71">
        <v>2023</v>
      </c>
      <c r="B188" s="403" t="s">
        <v>327</v>
      </c>
      <c r="C188" s="62" t="s">
        <v>363</v>
      </c>
      <c r="D188" s="76" t="s">
        <v>118</v>
      </c>
      <c r="E188" s="47" t="s">
        <v>364</v>
      </c>
      <c r="F188" s="51">
        <v>2</v>
      </c>
      <c r="G188" s="42" t="s">
        <v>19</v>
      </c>
      <c r="H188" s="44">
        <v>1290</v>
      </c>
      <c r="I188" s="44">
        <f t="shared" si="8"/>
        <v>2580</v>
      </c>
      <c r="J188" s="529">
        <v>875</v>
      </c>
      <c r="K188" s="529">
        <f t="shared" si="9"/>
        <v>415</v>
      </c>
      <c r="L188" s="530">
        <f t="shared" si="10"/>
        <v>830</v>
      </c>
      <c r="M188" s="536">
        <f t="shared" si="11"/>
        <v>0.32170542635658916</v>
      </c>
      <c r="N188" s="80" t="s">
        <v>22</v>
      </c>
      <c r="O188" s="47" t="s">
        <v>21</v>
      </c>
    </row>
    <row r="189" spans="1:15">
      <c r="A189" s="71">
        <v>2023</v>
      </c>
      <c r="B189" s="403" t="s">
        <v>327</v>
      </c>
      <c r="C189" s="62" t="s">
        <v>363</v>
      </c>
      <c r="D189" s="76" t="s">
        <v>118</v>
      </c>
      <c r="E189" s="47" t="s">
        <v>365</v>
      </c>
      <c r="F189" s="51">
        <v>1</v>
      </c>
      <c r="G189" s="42" t="s">
        <v>19</v>
      </c>
      <c r="H189" s="44">
        <v>3250</v>
      </c>
      <c r="I189" s="44">
        <f t="shared" si="8"/>
        <v>3250</v>
      </c>
      <c r="J189" s="529">
        <v>3178</v>
      </c>
      <c r="K189" s="529">
        <f t="shared" si="9"/>
        <v>72</v>
      </c>
      <c r="L189" s="530">
        <f t="shared" si="10"/>
        <v>72</v>
      </c>
      <c r="M189" s="536">
        <f t="shared" si="11"/>
        <v>2.2153846153846152E-2</v>
      </c>
      <c r="N189" s="80" t="s">
        <v>22</v>
      </c>
      <c r="O189" s="47" t="s">
        <v>21</v>
      </c>
    </row>
    <row r="190" spans="1:15">
      <c r="A190" s="71">
        <v>2023</v>
      </c>
      <c r="B190" s="403" t="s">
        <v>327</v>
      </c>
      <c r="C190" s="62" t="s">
        <v>366</v>
      </c>
      <c r="D190" s="76" t="s">
        <v>149</v>
      </c>
      <c r="E190" s="47" t="s">
        <v>367</v>
      </c>
      <c r="F190" s="51">
        <v>2</v>
      </c>
      <c r="G190" s="42" t="s">
        <v>19</v>
      </c>
      <c r="H190" s="44">
        <v>1798</v>
      </c>
      <c r="I190" s="44">
        <f t="shared" si="8"/>
        <v>3596</v>
      </c>
      <c r="J190" s="529">
        <v>1600</v>
      </c>
      <c r="K190" s="529">
        <f t="shared" si="9"/>
        <v>198</v>
      </c>
      <c r="L190" s="530">
        <f t="shared" si="10"/>
        <v>396</v>
      </c>
      <c r="M190" s="536">
        <f t="shared" si="11"/>
        <v>0.11012235817575083</v>
      </c>
      <c r="N190" s="80" t="s">
        <v>22</v>
      </c>
      <c r="O190" s="47" t="s">
        <v>21</v>
      </c>
    </row>
    <row r="191" spans="1:15">
      <c r="A191" s="71">
        <v>2023</v>
      </c>
      <c r="B191" s="403" t="s">
        <v>327</v>
      </c>
      <c r="C191" s="62" t="s">
        <v>368</v>
      </c>
      <c r="D191" s="47" t="s">
        <v>369</v>
      </c>
      <c r="E191" s="47" t="s">
        <v>370</v>
      </c>
      <c r="F191" s="51">
        <v>9</v>
      </c>
      <c r="G191" s="42" t="s">
        <v>19</v>
      </c>
      <c r="H191" s="44">
        <v>1180.8499999999999</v>
      </c>
      <c r="I191" s="44">
        <f t="shared" si="8"/>
        <v>10627.65</v>
      </c>
      <c r="J191" s="529">
        <v>997.5</v>
      </c>
      <c r="K191" s="529">
        <f t="shared" si="9"/>
        <v>183.34999999999991</v>
      </c>
      <c r="L191" s="530">
        <f t="shared" si="10"/>
        <v>1650.1499999999992</v>
      </c>
      <c r="M191" s="536">
        <f t="shared" si="11"/>
        <v>0.15526950925181007</v>
      </c>
      <c r="N191" s="80" t="s">
        <v>22</v>
      </c>
      <c r="O191" s="47" t="s">
        <v>21</v>
      </c>
    </row>
    <row r="192" spans="1:15">
      <c r="A192" s="71">
        <v>2023</v>
      </c>
      <c r="B192" s="403" t="s">
        <v>327</v>
      </c>
      <c r="C192" s="62" t="s">
        <v>368</v>
      </c>
      <c r="D192" s="76" t="s">
        <v>369</v>
      </c>
      <c r="E192" s="47" t="s">
        <v>371</v>
      </c>
      <c r="F192" s="51">
        <v>6</v>
      </c>
      <c r="G192" s="42" t="s">
        <v>19</v>
      </c>
      <c r="H192" s="44">
        <v>1180.8499999999999</v>
      </c>
      <c r="I192" s="44">
        <f t="shared" si="8"/>
        <v>7085.0999999999995</v>
      </c>
      <c r="J192" s="529">
        <v>997.5</v>
      </c>
      <c r="K192" s="529">
        <f t="shared" si="9"/>
        <v>183.34999999999991</v>
      </c>
      <c r="L192" s="530">
        <f t="shared" si="10"/>
        <v>1100.0999999999995</v>
      </c>
      <c r="M192" s="536">
        <f t="shared" si="11"/>
        <v>0.15526950925181007</v>
      </c>
      <c r="N192" s="80" t="s">
        <v>22</v>
      </c>
      <c r="O192" s="47" t="s">
        <v>21</v>
      </c>
    </row>
    <row r="193" spans="1:15">
      <c r="A193" s="71">
        <v>2023</v>
      </c>
      <c r="B193" s="403" t="s">
        <v>327</v>
      </c>
      <c r="C193" s="62" t="s">
        <v>368</v>
      </c>
      <c r="D193" s="76" t="s">
        <v>369</v>
      </c>
      <c r="E193" s="47" t="s">
        <v>372</v>
      </c>
      <c r="F193" s="51">
        <v>6</v>
      </c>
      <c r="G193" s="42" t="s">
        <v>19</v>
      </c>
      <c r="H193" s="44">
        <v>1118.1500000000001</v>
      </c>
      <c r="I193" s="44">
        <f t="shared" si="8"/>
        <v>6708.9000000000005</v>
      </c>
      <c r="J193" s="529">
        <v>883.5</v>
      </c>
      <c r="K193" s="529">
        <f t="shared" si="9"/>
        <v>234.65000000000009</v>
      </c>
      <c r="L193" s="530">
        <f t="shared" si="10"/>
        <v>1407.9000000000005</v>
      </c>
      <c r="M193" s="536">
        <f t="shared" si="11"/>
        <v>0.20985556499575198</v>
      </c>
      <c r="N193" s="80" t="s">
        <v>22</v>
      </c>
      <c r="O193" s="47" t="s">
        <v>21</v>
      </c>
    </row>
    <row r="194" spans="1:15">
      <c r="A194" s="71">
        <v>2023</v>
      </c>
      <c r="B194" s="403" t="s">
        <v>327</v>
      </c>
      <c r="C194" s="62" t="s">
        <v>368</v>
      </c>
      <c r="D194" s="76" t="s">
        <v>369</v>
      </c>
      <c r="E194" s="47" t="s">
        <v>373</v>
      </c>
      <c r="F194" s="51">
        <v>6</v>
      </c>
      <c r="G194" s="42" t="s">
        <v>19</v>
      </c>
      <c r="H194" s="44">
        <v>1118.1500000000001</v>
      </c>
      <c r="I194" s="44">
        <f t="shared" si="8"/>
        <v>6708.9000000000005</v>
      </c>
      <c r="J194" s="529">
        <v>883.5</v>
      </c>
      <c r="K194" s="529">
        <f t="shared" si="9"/>
        <v>234.65000000000009</v>
      </c>
      <c r="L194" s="530">
        <f t="shared" si="10"/>
        <v>1407.9000000000005</v>
      </c>
      <c r="M194" s="536">
        <f t="shared" si="11"/>
        <v>0.20985556499575198</v>
      </c>
      <c r="N194" s="80" t="s">
        <v>22</v>
      </c>
      <c r="O194" s="47" t="s">
        <v>21</v>
      </c>
    </row>
    <row r="195" spans="1:15">
      <c r="A195" s="71">
        <v>2023</v>
      </c>
      <c r="B195" s="403" t="s">
        <v>327</v>
      </c>
      <c r="C195" s="62" t="s">
        <v>368</v>
      </c>
      <c r="D195" s="76" t="s">
        <v>369</v>
      </c>
      <c r="E195" s="47" t="s">
        <v>374</v>
      </c>
      <c r="F195" s="51">
        <v>26</v>
      </c>
      <c r="G195" s="42" t="s">
        <v>19</v>
      </c>
      <c r="H195" s="44">
        <v>20</v>
      </c>
      <c r="I195" s="44">
        <f t="shared" ref="I195:I258" si="12">H195*F195</f>
        <v>520</v>
      </c>
      <c r="J195" s="529">
        <v>19</v>
      </c>
      <c r="K195" s="529">
        <f t="shared" ref="K195:K258" si="13">H195-J195</f>
        <v>1</v>
      </c>
      <c r="L195" s="530">
        <f t="shared" ref="L195:L258" si="14">K195*F195</f>
        <v>26</v>
      </c>
      <c r="M195" s="536">
        <f t="shared" ref="M195:M258" si="15">K195/H195</f>
        <v>0.05</v>
      </c>
      <c r="N195" s="80" t="s">
        <v>22</v>
      </c>
      <c r="O195" s="47" t="s">
        <v>21</v>
      </c>
    </row>
    <row r="196" spans="1:15">
      <c r="A196" s="71">
        <v>2023</v>
      </c>
      <c r="B196" s="403" t="s">
        <v>327</v>
      </c>
      <c r="C196" s="62" t="s">
        <v>375</v>
      </c>
      <c r="D196" s="76" t="s">
        <v>376</v>
      </c>
      <c r="E196" s="47" t="s">
        <v>377</v>
      </c>
      <c r="F196" s="51">
        <v>1</v>
      </c>
      <c r="G196" s="42" t="s">
        <v>59</v>
      </c>
      <c r="H196" s="44">
        <v>17200</v>
      </c>
      <c r="I196" s="44">
        <f t="shared" si="12"/>
        <v>17200</v>
      </c>
      <c r="J196" s="529">
        <v>16340</v>
      </c>
      <c r="K196" s="529">
        <f t="shared" si="13"/>
        <v>860</v>
      </c>
      <c r="L196" s="530">
        <f t="shared" si="14"/>
        <v>860</v>
      </c>
      <c r="M196" s="536">
        <f t="shared" si="15"/>
        <v>0.05</v>
      </c>
      <c r="N196" s="80" t="s">
        <v>38</v>
      </c>
      <c r="O196" s="47" t="s">
        <v>21</v>
      </c>
    </row>
    <row r="197" spans="1:15">
      <c r="A197" s="71">
        <v>2023</v>
      </c>
      <c r="B197" s="403" t="s">
        <v>327</v>
      </c>
      <c r="C197" s="62" t="s">
        <v>378</v>
      </c>
      <c r="D197" s="76" t="s">
        <v>329</v>
      </c>
      <c r="E197" s="47" t="s">
        <v>379</v>
      </c>
      <c r="F197" s="51">
        <v>30</v>
      </c>
      <c r="G197" s="42" t="s">
        <v>331</v>
      </c>
      <c r="H197" s="44">
        <v>6270</v>
      </c>
      <c r="I197" s="44">
        <f t="shared" si="12"/>
        <v>188100</v>
      </c>
      <c r="J197" s="529">
        <v>6210</v>
      </c>
      <c r="K197" s="529">
        <f t="shared" si="13"/>
        <v>60</v>
      </c>
      <c r="L197" s="530">
        <f t="shared" si="14"/>
        <v>1800</v>
      </c>
      <c r="M197" s="536">
        <f t="shared" si="15"/>
        <v>9.5693779904306216E-3</v>
      </c>
      <c r="N197" s="64" t="s">
        <v>22</v>
      </c>
      <c r="O197" s="47" t="s">
        <v>39</v>
      </c>
    </row>
    <row r="198" spans="1:15">
      <c r="A198" s="71">
        <v>2023</v>
      </c>
      <c r="B198" s="403" t="s">
        <v>327</v>
      </c>
      <c r="C198" s="62" t="s">
        <v>378</v>
      </c>
      <c r="D198" s="76" t="s">
        <v>329</v>
      </c>
      <c r="E198" s="48" t="s">
        <v>380</v>
      </c>
      <c r="F198" s="51">
        <v>20</v>
      </c>
      <c r="G198" s="42" t="s">
        <v>331</v>
      </c>
      <c r="H198" s="44">
        <v>6480</v>
      </c>
      <c r="I198" s="44">
        <f t="shared" si="12"/>
        <v>129600</v>
      </c>
      <c r="J198" s="529">
        <v>6420</v>
      </c>
      <c r="K198" s="529">
        <f t="shared" si="13"/>
        <v>60</v>
      </c>
      <c r="L198" s="530">
        <f t="shared" si="14"/>
        <v>1200</v>
      </c>
      <c r="M198" s="536">
        <f t="shared" si="15"/>
        <v>9.2592592592592587E-3</v>
      </c>
      <c r="N198" s="64" t="s">
        <v>22</v>
      </c>
      <c r="O198" s="47" t="s">
        <v>39</v>
      </c>
    </row>
    <row r="199" spans="1:15">
      <c r="A199" s="71">
        <v>2023</v>
      </c>
      <c r="B199" s="59" t="s">
        <v>327</v>
      </c>
      <c r="C199" s="63" t="s">
        <v>381</v>
      </c>
      <c r="D199" s="56" t="s">
        <v>17</v>
      </c>
      <c r="E199" s="57" t="s">
        <v>382</v>
      </c>
      <c r="F199" s="58">
        <v>12</v>
      </c>
      <c r="G199" s="42" t="s">
        <v>19</v>
      </c>
      <c r="H199" s="60">
        <v>69</v>
      </c>
      <c r="I199" s="49">
        <f t="shared" si="12"/>
        <v>828</v>
      </c>
      <c r="J199" s="532">
        <v>64</v>
      </c>
      <c r="K199" s="532">
        <f t="shared" si="13"/>
        <v>5</v>
      </c>
      <c r="L199" s="533">
        <f t="shared" si="14"/>
        <v>60</v>
      </c>
      <c r="M199" s="537">
        <f t="shared" si="15"/>
        <v>7.2463768115942032E-2</v>
      </c>
      <c r="N199" s="64" t="s">
        <v>22</v>
      </c>
      <c r="O199" s="47" t="s">
        <v>21</v>
      </c>
    </row>
    <row r="200" spans="1:15">
      <c r="A200" s="71">
        <v>2023</v>
      </c>
      <c r="B200" s="59" t="s">
        <v>327</v>
      </c>
      <c r="C200" s="63" t="s">
        <v>383</v>
      </c>
      <c r="D200" s="56" t="s">
        <v>96</v>
      </c>
      <c r="E200" s="57" t="s">
        <v>384</v>
      </c>
      <c r="F200" s="58">
        <v>4</v>
      </c>
      <c r="G200" s="59" t="s">
        <v>98</v>
      </c>
      <c r="H200" s="60">
        <v>440</v>
      </c>
      <c r="I200" s="49">
        <f t="shared" si="12"/>
        <v>1760</v>
      </c>
      <c r="J200" s="532">
        <v>375</v>
      </c>
      <c r="K200" s="532">
        <f t="shared" si="13"/>
        <v>65</v>
      </c>
      <c r="L200" s="533">
        <f t="shared" si="14"/>
        <v>260</v>
      </c>
      <c r="M200" s="537">
        <f t="shared" si="15"/>
        <v>0.14772727272727273</v>
      </c>
      <c r="N200" s="64" t="s">
        <v>20</v>
      </c>
      <c r="O200" s="47" t="s">
        <v>21</v>
      </c>
    </row>
    <row r="201" spans="1:15">
      <c r="A201" s="71">
        <v>2023</v>
      </c>
      <c r="B201" s="59" t="s">
        <v>327</v>
      </c>
      <c r="C201" s="63" t="s">
        <v>385</v>
      </c>
      <c r="D201" s="56" t="s">
        <v>248</v>
      </c>
      <c r="E201" s="57" t="s">
        <v>386</v>
      </c>
      <c r="F201" s="58">
        <v>1</v>
      </c>
      <c r="G201" s="59" t="s">
        <v>19</v>
      </c>
      <c r="H201" s="60">
        <v>11750</v>
      </c>
      <c r="I201" s="49">
        <f t="shared" si="12"/>
        <v>11750</v>
      </c>
      <c r="J201" s="532">
        <v>9500</v>
      </c>
      <c r="K201" s="532">
        <f t="shared" si="13"/>
        <v>2250</v>
      </c>
      <c r="L201" s="533">
        <f t="shared" si="14"/>
        <v>2250</v>
      </c>
      <c r="M201" s="537">
        <f t="shared" si="15"/>
        <v>0.19148936170212766</v>
      </c>
      <c r="N201" s="64" t="s">
        <v>22</v>
      </c>
      <c r="O201" s="47" t="s">
        <v>21</v>
      </c>
    </row>
    <row r="202" spans="1:15">
      <c r="A202" s="71">
        <v>2023</v>
      </c>
      <c r="B202" s="59" t="s">
        <v>327</v>
      </c>
      <c r="C202" s="63" t="s">
        <v>387</v>
      </c>
      <c r="D202" s="56" t="s">
        <v>118</v>
      </c>
      <c r="E202" s="57" t="s">
        <v>388</v>
      </c>
      <c r="F202" s="58">
        <v>1</v>
      </c>
      <c r="G202" s="42" t="s">
        <v>19</v>
      </c>
      <c r="H202" s="60">
        <v>18500</v>
      </c>
      <c r="I202" s="49">
        <f t="shared" si="12"/>
        <v>18500</v>
      </c>
      <c r="J202" s="532">
        <v>15500</v>
      </c>
      <c r="K202" s="532">
        <f t="shared" si="13"/>
        <v>3000</v>
      </c>
      <c r="L202" s="533">
        <f t="shared" si="14"/>
        <v>3000</v>
      </c>
      <c r="M202" s="537">
        <f t="shared" si="15"/>
        <v>0.16216216216216217</v>
      </c>
      <c r="N202" s="64" t="s">
        <v>22</v>
      </c>
      <c r="O202" s="47" t="s">
        <v>21</v>
      </c>
    </row>
    <row r="203" spans="1:15">
      <c r="A203" s="71">
        <v>2023</v>
      </c>
      <c r="B203" s="59" t="s">
        <v>327</v>
      </c>
      <c r="C203" s="63" t="s">
        <v>389</v>
      </c>
      <c r="D203" s="56" t="s">
        <v>17</v>
      </c>
      <c r="E203" s="57" t="s">
        <v>390</v>
      </c>
      <c r="F203" s="58">
        <v>8</v>
      </c>
      <c r="G203" s="42" t="s">
        <v>19</v>
      </c>
      <c r="H203" s="60">
        <v>3925</v>
      </c>
      <c r="I203" s="49">
        <f t="shared" si="12"/>
        <v>31400</v>
      </c>
      <c r="J203" s="532">
        <v>3300</v>
      </c>
      <c r="K203" s="532">
        <f t="shared" si="13"/>
        <v>625</v>
      </c>
      <c r="L203" s="533">
        <f t="shared" si="14"/>
        <v>5000</v>
      </c>
      <c r="M203" s="537">
        <f t="shared" si="15"/>
        <v>0.15923566878980891</v>
      </c>
      <c r="N203" s="64" t="s">
        <v>22</v>
      </c>
      <c r="O203" s="47" t="s">
        <v>21</v>
      </c>
    </row>
    <row r="204" spans="1:15">
      <c r="A204" s="71">
        <v>2023</v>
      </c>
      <c r="B204" s="59" t="s">
        <v>327</v>
      </c>
      <c r="C204" s="63" t="s">
        <v>391</v>
      </c>
      <c r="D204" s="56" t="s">
        <v>253</v>
      </c>
      <c r="E204" s="57" t="s">
        <v>392</v>
      </c>
      <c r="F204" s="58">
        <v>1</v>
      </c>
      <c r="G204" s="59" t="s">
        <v>19</v>
      </c>
      <c r="H204" s="60">
        <v>7990</v>
      </c>
      <c r="I204" s="49">
        <f t="shared" si="12"/>
        <v>7990</v>
      </c>
      <c r="J204" s="532">
        <v>7700</v>
      </c>
      <c r="K204" s="532">
        <f t="shared" si="13"/>
        <v>290</v>
      </c>
      <c r="L204" s="533">
        <f t="shared" si="14"/>
        <v>290</v>
      </c>
      <c r="M204" s="537">
        <f t="shared" si="15"/>
        <v>3.629536921151439E-2</v>
      </c>
      <c r="N204" s="64" t="s">
        <v>22</v>
      </c>
      <c r="O204" s="47" t="s">
        <v>21</v>
      </c>
    </row>
    <row r="205" spans="1:15">
      <c r="A205" s="71">
        <v>2023</v>
      </c>
      <c r="B205" s="59" t="s">
        <v>327</v>
      </c>
      <c r="C205" s="63" t="s">
        <v>393</v>
      </c>
      <c r="D205" s="56" t="s">
        <v>394</v>
      </c>
      <c r="E205" s="57" t="s">
        <v>395</v>
      </c>
      <c r="F205" s="58">
        <v>140</v>
      </c>
      <c r="G205" s="59" t="s">
        <v>19</v>
      </c>
      <c r="H205" s="60">
        <v>350</v>
      </c>
      <c r="I205" s="49">
        <f t="shared" si="12"/>
        <v>49000</v>
      </c>
      <c r="J205" s="532">
        <v>280</v>
      </c>
      <c r="K205" s="532">
        <f t="shared" si="13"/>
        <v>70</v>
      </c>
      <c r="L205" s="533">
        <f t="shared" si="14"/>
        <v>9800</v>
      </c>
      <c r="M205" s="537">
        <f t="shared" si="15"/>
        <v>0.2</v>
      </c>
      <c r="N205" s="64" t="s">
        <v>38</v>
      </c>
      <c r="O205" s="47" t="s">
        <v>21</v>
      </c>
    </row>
    <row r="206" spans="1:15">
      <c r="A206" s="71">
        <v>2023</v>
      </c>
      <c r="B206" s="59" t="s">
        <v>327</v>
      </c>
      <c r="C206" s="63" t="s">
        <v>396</v>
      </c>
      <c r="D206" s="56" t="s">
        <v>236</v>
      </c>
      <c r="E206" s="57" t="s">
        <v>240</v>
      </c>
      <c r="F206" s="58">
        <v>2</v>
      </c>
      <c r="G206" s="59" t="s">
        <v>19</v>
      </c>
      <c r="H206" s="60">
        <v>2800</v>
      </c>
      <c r="I206" s="49">
        <f t="shared" si="12"/>
        <v>5600</v>
      </c>
      <c r="J206" s="532">
        <v>1567.5</v>
      </c>
      <c r="K206" s="532">
        <f t="shared" si="13"/>
        <v>1232.5</v>
      </c>
      <c r="L206" s="533">
        <f t="shared" si="14"/>
        <v>2465</v>
      </c>
      <c r="M206" s="537">
        <f t="shared" si="15"/>
        <v>0.44017857142857142</v>
      </c>
      <c r="N206" s="64" t="s">
        <v>22</v>
      </c>
      <c r="O206" s="47" t="s">
        <v>21</v>
      </c>
    </row>
    <row r="207" spans="1:15">
      <c r="A207" s="71">
        <v>2023</v>
      </c>
      <c r="B207" s="59" t="s">
        <v>327</v>
      </c>
      <c r="C207" s="63" t="s">
        <v>397</v>
      </c>
      <c r="D207" s="56" t="s">
        <v>398</v>
      </c>
      <c r="E207" s="57" t="s">
        <v>399</v>
      </c>
      <c r="F207" s="58">
        <v>1</v>
      </c>
      <c r="G207" s="59" t="s">
        <v>285</v>
      </c>
      <c r="H207" s="60">
        <v>118000</v>
      </c>
      <c r="I207" s="49">
        <f t="shared" si="12"/>
        <v>118000</v>
      </c>
      <c r="J207" s="532">
        <v>99000</v>
      </c>
      <c r="K207" s="532">
        <f t="shared" si="13"/>
        <v>19000</v>
      </c>
      <c r="L207" s="533">
        <f t="shared" si="14"/>
        <v>19000</v>
      </c>
      <c r="M207" s="537">
        <f t="shared" si="15"/>
        <v>0.16101694915254236</v>
      </c>
      <c r="N207" s="64" t="s">
        <v>38</v>
      </c>
      <c r="O207" s="47" t="s">
        <v>21</v>
      </c>
    </row>
    <row r="208" spans="1:15">
      <c r="A208" s="71">
        <v>2023</v>
      </c>
      <c r="B208" s="59" t="s">
        <v>327</v>
      </c>
      <c r="C208" s="63" t="s">
        <v>400</v>
      </c>
      <c r="D208" s="56" t="s">
        <v>192</v>
      </c>
      <c r="E208" s="447" t="s">
        <v>401</v>
      </c>
      <c r="F208" s="473">
        <v>6</v>
      </c>
      <c r="G208" s="59" t="s">
        <v>238</v>
      </c>
      <c r="H208" s="503">
        <v>6290</v>
      </c>
      <c r="I208" s="49">
        <f t="shared" si="12"/>
        <v>37740</v>
      </c>
      <c r="J208" s="558">
        <v>6105</v>
      </c>
      <c r="K208" s="532">
        <f t="shared" si="13"/>
        <v>185</v>
      </c>
      <c r="L208" s="533">
        <f t="shared" si="14"/>
        <v>1110</v>
      </c>
      <c r="M208" s="537">
        <f t="shared" si="15"/>
        <v>2.9411764705882353E-2</v>
      </c>
      <c r="N208" s="64" t="s">
        <v>22</v>
      </c>
      <c r="O208" s="47" t="s">
        <v>39</v>
      </c>
    </row>
    <row r="209" spans="1:15">
      <c r="A209" s="71">
        <v>2023</v>
      </c>
      <c r="B209" s="59" t="s">
        <v>327</v>
      </c>
      <c r="C209" s="63" t="s">
        <v>400</v>
      </c>
      <c r="D209" s="56" t="s">
        <v>192</v>
      </c>
      <c r="E209" s="447" t="s">
        <v>402</v>
      </c>
      <c r="F209" s="473">
        <v>6</v>
      </c>
      <c r="G209" s="59" t="s">
        <v>238</v>
      </c>
      <c r="H209" s="503">
        <v>14950</v>
      </c>
      <c r="I209" s="49">
        <f t="shared" si="12"/>
        <v>89700</v>
      </c>
      <c r="J209" s="558">
        <v>14500</v>
      </c>
      <c r="K209" s="532">
        <f t="shared" si="13"/>
        <v>450</v>
      </c>
      <c r="L209" s="533">
        <f t="shared" si="14"/>
        <v>2700</v>
      </c>
      <c r="M209" s="537">
        <f t="shared" si="15"/>
        <v>3.0100334448160536E-2</v>
      </c>
      <c r="N209" s="64" t="s">
        <v>22</v>
      </c>
      <c r="O209" s="47" t="s">
        <v>39</v>
      </c>
    </row>
    <row r="210" spans="1:15">
      <c r="A210" s="71">
        <v>2023</v>
      </c>
      <c r="B210" s="59" t="s">
        <v>327</v>
      </c>
      <c r="C210" s="63" t="s">
        <v>400</v>
      </c>
      <c r="D210" s="56" t="s">
        <v>192</v>
      </c>
      <c r="E210" s="447" t="s">
        <v>194</v>
      </c>
      <c r="F210" s="473">
        <v>18</v>
      </c>
      <c r="G210" s="59" t="s">
        <v>238</v>
      </c>
      <c r="H210" s="503">
        <v>13920</v>
      </c>
      <c r="I210" s="49">
        <f t="shared" si="12"/>
        <v>250560</v>
      </c>
      <c r="J210" s="558">
        <v>13500</v>
      </c>
      <c r="K210" s="532">
        <f t="shared" si="13"/>
        <v>420</v>
      </c>
      <c r="L210" s="533">
        <f t="shared" si="14"/>
        <v>7560</v>
      </c>
      <c r="M210" s="537">
        <f t="shared" si="15"/>
        <v>3.017241379310345E-2</v>
      </c>
      <c r="N210" s="64" t="s">
        <v>22</v>
      </c>
      <c r="O210" s="47" t="s">
        <v>39</v>
      </c>
    </row>
    <row r="211" spans="1:15">
      <c r="A211" s="71">
        <v>2023</v>
      </c>
      <c r="B211" s="59" t="s">
        <v>327</v>
      </c>
      <c r="C211" s="63" t="s">
        <v>400</v>
      </c>
      <c r="D211" s="56" t="s">
        <v>192</v>
      </c>
      <c r="E211" s="447" t="s">
        <v>403</v>
      </c>
      <c r="F211" s="473">
        <v>8</v>
      </c>
      <c r="G211" s="59" t="s">
        <v>238</v>
      </c>
      <c r="H211" s="503">
        <v>12420</v>
      </c>
      <c r="I211" s="49">
        <f t="shared" si="12"/>
        <v>99360</v>
      </c>
      <c r="J211" s="558">
        <v>12050</v>
      </c>
      <c r="K211" s="532">
        <f t="shared" si="13"/>
        <v>370</v>
      </c>
      <c r="L211" s="533">
        <f t="shared" si="14"/>
        <v>2960</v>
      </c>
      <c r="M211" s="537">
        <f t="shared" si="15"/>
        <v>2.9790660225442835E-2</v>
      </c>
      <c r="N211" s="64" t="s">
        <v>22</v>
      </c>
      <c r="O211" s="47" t="s">
        <v>39</v>
      </c>
    </row>
    <row r="212" spans="1:15">
      <c r="A212" s="71">
        <v>2023</v>
      </c>
      <c r="B212" s="59" t="s">
        <v>327</v>
      </c>
      <c r="C212" s="63" t="s">
        <v>400</v>
      </c>
      <c r="D212" s="56" t="s">
        <v>192</v>
      </c>
      <c r="E212" s="447" t="s">
        <v>404</v>
      </c>
      <c r="F212" s="473">
        <v>4</v>
      </c>
      <c r="G212" s="59" t="s">
        <v>238</v>
      </c>
      <c r="H212" s="503">
        <v>12995</v>
      </c>
      <c r="I212" s="49">
        <f t="shared" si="12"/>
        <v>51980</v>
      </c>
      <c r="J212" s="558">
        <v>12605</v>
      </c>
      <c r="K212" s="532">
        <f t="shared" si="13"/>
        <v>390</v>
      </c>
      <c r="L212" s="533">
        <f t="shared" si="14"/>
        <v>1560</v>
      </c>
      <c r="M212" s="537">
        <f t="shared" si="15"/>
        <v>3.0011542901115813E-2</v>
      </c>
      <c r="N212" s="64" t="s">
        <v>22</v>
      </c>
      <c r="O212" s="47" t="s">
        <v>39</v>
      </c>
    </row>
    <row r="213" spans="1:15">
      <c r="A213" s="71">
        <v>2023</v>
      </c>
      <c r="B213" s="59" t="s">
        <v>327</v>
      </c>
      <c r="C213" s="63" t="s">
        <v>400</v>
      </c>
      <c r="D213" s="56" t="s">
        <v>192</v>
      </c>
      <c r="E213" s="447" t="s">
        <v>405</v>
      </c>
      <c r="F213" s="473">
        <v>24</v>
      </c>
      <c r="G213" s="59" t="s">
        <v>238</v>
      </c>
      <c r="H213" s="503">
        <v>8990</v>
      </c>
      <c r="I213" s="49">
        <f t="shared" si="12"/>
        <v>215760</v>
      </c>
      <c r="J213" s="558">
        <v>8720</v>
      </c>
      <c r="K213" s="532">
        <f t="shared" si="13"/>
        <v>270</v>
      </c>
      <c r="L213" s="533">
        <f t="shared" si="14"/>
        <v>6480</v>
      </c>
      <c r="M213" s="537">
        <f t="shared" si="15"/>
        <v>3.0033370411568408E-2</v>
      </c>
      <c r="N213" s="64" t="s">
        <v>22</v>
      </c>
      <c r="O213" s="47" t="s">
        <v>39</v>
      </c>
    </row>
    <row r="214" spans="1:15">
      <c r="A214" s="71">
        <v>2023</v>
      </c>
      <c r="B214" s="59" t="s">
        <v>327</v>
      </c>
      <c r="C214" s="63" t="s">
        <v>400</v>
      </c>
      <c r="D214" s="56" t="s">
        <v>192</v>
      </c>
      <c r="E214" s="447" t="s">
        <v>406</v>
      </c>
      <c r="F214" s="473">
        <v>16</v>
      </c>
      <c r="G214" s="59" t="s">
        <v>238</v>
      </c>
      <c r="H214" s="503">
        <v>4640</v>
      </c>
      <c r="I214" s="49">
        <f t="shared" si="12"/>
        <v>74240</v>
      </c>
      <c r="J214" s="558">
        <v>4500</v>
      </c>
      <c r="K214" s="532">
        <f t="shared" si="13"/>
        <v>140</v>
      </c>
      <c r="L214" s="533">
        <f t="shared" si="14"/>
        <v>2240</v>
      </c>
      <c r="M214" s="537">
        <f t="shared" si="15"/>
        <v>3.017241379310345E-2</v>
      </c>
      <c r="N214" s="64" t="s">
        <v>22</v>
      </c>
      <c r="O214" s="47" t="s">
        <v>39</v>
      </c>
    </row>
    <row r="215" spans="1:15">
      <c r="A215" s="71">
        <v>2023</v>
      </c>
      <c r="B215" s="59" t="s">
        <v>327</v>
      </c>
      <c r="C215" s="63" t="s">
        <v>407</v>
      </c>
      <c r="D215" s="56" t="s">
        <v>78</v>
      </c>
      <c r="E215" s="57" t="s">
        <v>408</v>
      </c>
      <c r="F215" s="58">
        <v>5</v>
      </c>
      <c r="G215" s="59" t="s">
        <v>19</v>
      </c>
      <c r="H215" s="60">
        <v>200</v>
      </c>
      <c r="I215" s="49">
        <f t="shared" si="12"/>
        <v>1000</v>
      </c>
      <c r="J215" s="532">
        <v>180</v>
      </c>
      <c r="K215" s="532">
        <f t="shared" si="13"/>
        <v>20</v>
      </c>
      <c r="L215" s="533">
        <f t="shared" si="14"/>
        <v>100</v>
      </c>
      <c r="M215" s="537">
        <f t="shared" si="15"/>
        <v>0.1</v>
      </c>
      <c r="N215" s="64" t="s">
        <v>38</v>
      </c>
      <c r="O215" s="47" t="s">
        <v>21</v>
      </c>
    </row>
    <row r="216" spans="1:15">
      <c r="A216" s="71">
        <v>2023</v>
      </c>
      <c r="B216" s="59" t="s">
        <v>327</v>
      </c>
      <c r="C216" s="63" t="s">
        <v>409</v>
      </c>
      <c r="D216" s="56" t="s">
        <v>410</v>
      </c>
      <c r="E216" s="57" t="s">
        <v>411</v>
      </c>
      <c r="F216" s="58">
        <v>1400</v>
      </c>
      <c r="G216" s="59" t="s">
        <v>19</v>
      </c>
      <c r="H216" s="60">
        <v>11</v>
      </c>
      <c r="I216" s="49">
        <f t="shared" si="12"/>
        <v>15400</v>
      </c>
      <c r="J216" s="532">
        <v>10.5</v>
      </c>
      <c r="K216" s="532">
        <f t="shared" si="13"/>
        <v>0.5</v>
      </c>
      <c r="L216" s="533">
        <f t="shared" si="14"/>
        <v>700</v>
      </c>
      <c r="M216" s="537">
        <f t="shared" si="15"/>
        <v>4.5454545454545456E-2</v>
      </c>
      <c r="N216" s="64" t="s">
        <v>38</v>
      </c>
      <c r="O216" s="47" t="s">
        <v>21</v>
      </c>
    </row>
    <row r="217" spans="1:15">
      <c r="A217" s="71">
        <v>2023</v>
      </c>
      <c r="B217" s="59" t="s">
        <v>327</v>
      </c>
      <c r="C217" s="63" t="s">
        <v>412</v>
      </c>
      <c r="D217" s="56" t="s">
        <v>236</v>
      </c>
      <c r="E217" s="57" t="s">
        <v>413</v>
      </c>
      <c r="F217" s="58">
        <v>4</v>
      </c>
      <c r="G217" s="59" t="s">
        <v>19</v>
      </c>
      <c r="H217" s="60">
        <v>48450</v>
      </c>
      <c r="I217" s="49">
        <f t="shared" si="12"/>
        <v>193800</v>
      </c>
      <c r="J217" s="532">
        <v>34000</v>
      </c>
      <c r="K217" s="532">
        <f t="shared" si="13"/>
        <v>14450</v>
      </c>
      <c r="L217" s="533">
        <f t="shared" si="14"/>
        <v>57800</v>
      </c>
      <c r="M217" s="537">
        <f t="shared" si="15"/>
        <v>0.2982456140350877</v>
      </c>
      <c r="N217" s="64" t="s">
        <v>22</v>
      </c>
      <c r="O217" s="47" t="s">
        <v>21</v>
      </c>
    </row>
    <row r="218" spans="1:15">
      <c r="A218" s="71">
        <v>2023</v>
      </c>
      <c r="B218" s="59" t="s">
        <v>327</v>
      </c>
      <c r="C218" s="63" t="s">
        <v>414</v>
      </c>
      <c r="D218" s="56" t="s">
        <v>17</v>
      </c>
      <c r="E218" s="57" t="s">
        <v>415</v>
      </c>
      <c r="F218" s="58">
        <v>3</v>
      </c>
      <c r="G218" s="59" t="s">
        <v>19</v>
      </c>
      <c r="H218" s="44">
        <v>4880</v>
      </c>
      <c r="I218" s="49">
        <f t="shared" si="12"/>
        <v>14640</v>
      </c>
      <c r="J218" s="532">
        <v>4500</v>
      </c>
      <c r="K218" s="532">
        <f t="shared" si="13"/>
        <v>380</v>
      </c>
      <c r="L218" s="533">
        <f t="shared" si="14"/>
        <v>1140</v>
      </c>
      <c r="M218" s="537">
        <f t="shared" si="15"/>
        <v>7.7868852459016397E-2</v>
      </c>
      <c r="N218" s="64" t="s">
        <v>22</v>
      </c>
      <c r="O218" s="47" t="s">
        <v>21</v>
      </c>
    </row>
    <row r="219" spans="1:15">
      <c r="A219" s="71">
        <v>2023</v>
      </c>
      <c r="B219" s="59" t="s">
        <v>327</v>
      </c>
      <c r="C219" s="63" t="s">
        <v>416</v>
      </c>
      <c r="D219" s="56" t="s">
        <v>57</v>
      </c>
      <c r="E219" s="57" t="s">
        <v>417</v>
      </c>
      <c r="F219" s="58">
        <v>1</v>
      </c>
      <c r="G219" s="59" t="s">
        <v>59</v>
      </c>
      <c r="H219" s="60">
        <v>520000</v>
      </c>
      <c r="I219" s="49">
        <f t="shared" si="12"/>
        <v>520000</v>
      </c>
      <c r="J219" s="532">
        <v>480000</v>
      </c>
      <c r="K219" s="532">
        <f t="shared" si="13"/>
        <v>40000</v>
      </c>
      <c r="L219" s="533">
        <f t="shared" si="14"/>
        <v>40000</v>
      </c>
      <c r="M219" s="537">
        <f t="shared" si="15"/>
        <v>7.6923076923076927E-2</v>
      </c>
      <c r="N219" s="64" t="s">
        <v>22</v>
      </c>
      <c r="O219" s="81" t="s">
        <v>21</v>
      </c>
    </row>
    <row r="220" spans="1:15">
      <c r="A220" s="71">
        <v>2023</v>
      </c>
      <c r="B220" s="59" t="s">
        <v>327</v>
      </c>
      <c r="C220" s="63" t="s">
        <v>418</v>
      </c>
      <c r="D220" s="56" t="s">
        <v>96</v>
      </c>
      <c r="E220" s="57" t="s">
        <v>97</v>
      </c>
      <c r="F220" s="58">
        <v>30</v>
      </c>
      <c r="G220" s="59" t="s">
        <v>19</v>
      </c>
      <c r="H220" s="60">
        <v>217</v>
      </c>
      <c r="I220" s="49">
        <f t="shared" si="12"/>
        <v>6510</v>
      </c>
      <c r="J220" s="532">
        <v>140</v>
      </c>
      <c r="K220" s="532">
        <f t="shared" si="13"/>
        <v>77</v>
      </c>
      <c r="L220" s="533">
        <f t="shared" si="14"/>
        <v>2310</v>
      </c>
      <c r="M220" s="537">
        <f t="shared" si="15"/>
        <v>0.35483870967741937</v>
      </c>
      <c r="N220" s="64" t="s">
        <v>22</v>
      </c>
      <c r="O220" s="81" t="s">
        <v>21</v>
      </c>
    </row>
    <row r="221" spans="1:15">
      <c r="A221" s="71">
        <v>2023</v>
      </c>
      <c r="B221" s="59" t="s">
        <v>327</v>
      </c>
      <c r="C221" s="63" t="s">
        <v>418</v>
      </c>
      <c r="D221" s="56" t="s">
        <v>96</v>
      </c>
      <c r="E221" s="57" t="s">
        <v>99</v>
      </c>
      <c r="F221" s="58">
        <v>30</v>
      </c>
      <c r="G221" s="59" t="s">
        <v>19</v>
      </c>
      <c r="H221" s="60">
        <v>679</v>
      </c>
      <c r="I221" s="49">
        <f t="shared" si="12"/>
        <v>20370</v>
      </c>
      <c r="J221" s="532">
        <v>432</v>
      </c>
      <c r="K221" s="532">
        <f t="shared" si="13"/>
        <v>247</v>
      </c>
      <c r="L221" s="533">
        <f t="shared" si="14"/>
        <v>7410</v>
      </c>
      <c r="M221" s="537">
        <f t="shared" si="15"/>
        <v>0.3637702503681885</v>
      </c>
      <c r="N221" s="64" t="s">
        <v>22</v>
      </c>
      <c r="O221" s="81" t="s">
        <v>21</v>
      </c>
    </row>
    <row r="222" spans="1:15">
      <c r="A222" s="71">
        <v>2023</v>
      </c>
      <c r="B222" s="59" t="s">
        <v>327</v>
      </c>
      <c r="C222" s="63" t="s">
        <v>418</v>
      </c>
      <c r="D222" s="56" t="s">
        <v>96</v>
      </c>
      <c r="E222" s="57" t="s">
        <v>419</v>
      </c>
      <c r="F222" s="58">
        <v>3</v>
      </c>
      <c r="G222" s="59" t="s">
        <v>19</v>
      </c>
      <c r="H222" s="60">
        <v>9320</v>
      </c>
      <c r="I222" s="49">
        <f t="shared" si="12"/>
        <v>27960</v>
      </c>
      <c r="J222" s="532">
        <v>8400</v>
      </c>
      <c r="K222" s="532">
        <f t="shared" si="13"/>
        <v>920</v>
      </c>
      <c r="L222" s="533">
        <f t="shared" si="14"/>
        <v>2760</v>
      </c>
      <c r="M222" s="537">
        <f t="shared" si="15"/>
        <v>9.8712446351931327E-2</v>
      </c>
      <c r="N222" s="64" t="s">
        <v>22</v>
      </c>
      <c r="O222" s="81" t="s">
        <v>21</v>
      </c>
    </row>
    <row r="223" spans="1:15">
      <c r="A223" s="71">
        <v>2023</v>
      </c>
      <c r="B223" s="59" t="s">
        <v>327</v>
      </c>
      <c r="C223" s="63" t="s">
        <v>420</v>
      </c>
      <c r="D223" s="56" t="s">
        <v>61</v>
      </c>
      <c r="E223" s="57" t="s">
        <v>421</v>
      </c>
      <c r="F223" s="58">
        <v>4</v>
      </c>
      <c r="G223" s="59" t="s">
        <v>19</v>
      </c>
      <c r="H223" s="60">
        <v>4800</v>
      </c>
      <c r="I223" s="49">
        <f t="shared" si="12"/>
        <v>19200</v>
      </c>
      <c r="J223" s="532">
        <v>3800</v>
      </c>
      <c r="K223" s="532">
        <f t="shared" si="13"/>
        <v>1000</v>
      </c>
      <c r="L223" s="533">
        <f t="shared" si="14"/>
        <v>4000</v>
      </c>
      <c r="M223" s="537">
        <f t="shared" si="15"/>
        <v>0.20833333333333334</v>
      </c>
      <c r="N223" s="64" t="s">
        <v>22</v>
      </c>
      <c r="O223" s="81" t="s">
        <v>21</v>
      </c>
    </row>
    <row r="224" spans="1:15">
      <c r="A224" s="71">
        <v>2023</v>
      </c>
      <c r="B224" s="59" t="s">
        <v>327</v>
      </c>
      <c r="C224" s="63" t="s">
        <v>422</v>
      </c>
      <c r="D224" s="56" t="s">
        <v>423</v>
      </c>
      <c r="E224" s="57" t="s">
        <v>424</v>
      </c>
      <c r="F224" s="58">
        <v>2</v>
      </c>
      <c r="G224" s="59" t="s">
        <v>19</v>
      </c>
      <c r="H224" s="60">
        <v>3800</v>
      </c>
      <c r="I224" s="49">
        <f t="shared" si="12"/>
        <v>7600</v>
      </c>
      <c r="J224" s="532">
        <v>3500</v>
      </c>
      <c r="K224" s="532">
        <f t="shared" si="13"/>
        <v>300</v>
      </c>
      <c r="L224" s="533">
        <f t="shared" si="14"/>
        <v>600</v>
      </c>
      <c r="M224" s="537">
        <f t="shared" si="15"/>
        <v>7.8947368421052627E-2</v>
      </c>
      <c r="N224" s="64" t="s">
        <v>38</v>
      </c>
      <c r="O224" s="81" t="s">
        <v>21</v>
      </c>
    </row>
    <row r="225" spans="1:15">
      <c r="A225" s="71">
        <v>2023</v>
      </c>
      <c r="B225" s="59" t="s">
        <v>327</v>
      </c>
      <c r="C225" s="63" t="s">
        <v>235</v>
      </c>
      <c r="D225" s="56" t="s">
        <v>236</v>
      </c>
      <c r="E225" s="57" t="s">
        <v>425</v>
      </c>
      <c r="F225" s="58">
        <v>4</v>
      </c>
      <c r="G225" s="59" t="s">
        <v>19</v>
      </c>
      <c r="H225" s="60">
        <v>2725</v>
      </c>
      <c r="I225" s="49">
        <f t="shared" si="12"/>
        <v>10900</v>
      </c>
      <c r="J225" s="532">
        <v>1118.1500000000001</v>
      </c>
      <c r="K225" s="532">
        <f t="shared" si="13"/>
        <v>1606.85</v>
      </c>
      <c r="L225" s="533">
        <f t="shared" si="14"/>
        <v>6427.4</v>
      </c>
      <c r="M225" s="537">
        <f t="shared" si="15"/>
        <v>0.58966972477064217</v>
      </c>
      <c r="N225" s="64" t="s">
        <v>22</v>
      </c>
      <c r="O225" s="81" t="s">
        <v>21</v>
      </c>
    </row>
    <row r="226" spans="1:15">
      <c r="A226" s="71">
        <v>2023</v>
      </c>
      <c r="B226" s="59" t="s">
        <v>327</v>
      </c>
      <c r="C226" s="63" t="s">
        <v>426</v>
      </c>
      <c r="D226" s="56" t="s">
        <v>236</v>
      </c>
      <c r="E226" s="39" t="s">
        <v>425</v>
      </c>
      <c r="F226" s="9">
        <v>4</v>
      </c>
      <c r="G226" s="59" t="s">
        <v>19</v>
      </c>
      <c r="H226" s="60">
        <v>2725</v>
      </c>
      <c r="I226" s="49">
        <f t="shared" si="12"/>
        <v>10900</v>
      </c>
      <c r="J226" s="532">
        <v>1118.1500000000001</v>
      </c>
      <c r="K226" s="532">
        <f t="shared" si="13"/>
        <v>1606.85</v>
      </c>
      <c r="L226" s="533">
        <f t="shared" si="14"/>
        <v>6427.4</v>
      </c>
      <c r="M226" s="537">
        <f t="shared" si="15"/>
        <v>0.58966972477064217</v>
      </c>
      <c r="N226" s="64" t="s">
        <v>22</v>
      </c>
      <c r="O226" s="81" t="s">
        <v>21</v>
      </c>
    </row>
    <row r="227" spans="1:15">
      <c r="A227" s="71">
        <v>2023</v>
      </c>
      <c r="B227" s="59" t="s">
        <v>327</v>
      </c>
      <c r="C227" s="63" t="s">
        <v>427</v>
      </c>
      <c r="D227" s="56" t="s">
        <v>345</v>
      </c>
      <c r="E227" s="57" t="s">
        <v>428</v>
      </c>
      <c r="F227" s="58">
        <v>1</v>
      </c>
      <c r="G227" s="59" t="s">
        <v>59</v>
      </c>
      <c r="H227" s="60">
        <v>124000</v>
      </c>
      <c r="I227" s="49">
        <f t="shared" si="12"/>
        <v>124000</v>
      </c>
      <c r="J227" s="532">
        <v>119000</v>
      </c>
      <c r="K227" s="532">
        <f t="shared" si="13"/>
        <v>5000</v>
      </c>
      <c r="L227" s="533">
        <f t="shared" si="14"/>
        <v>5000</v>
      </c>
      <c r="M227" s="537">
        <f t="shared" si="15"/>
        <v>4.0322580645161289E-2</v>
      </c>
      <c r="N227" s="64" t="s">
        <v>22</v>
      </c>
      <c r="O227" s="81" t="s">
        <v>21</v>
      </c>
    </row>
    <row r="228" spans="1:15">
      <c r="A228" s="71">
        <v>2023</v>
      </c>
      <c r="B228" s="59" t="s">
        <v>327</v>
      </c>
      <c r="C228" s="63" t="s">
        <v>429</v>
      </c>
      <c r="D228" s="57" t="s">
        <v>430</v>
      </c>
      <c r="E228" s="57" t="s">
        <v>431</v>
      </c>
      <c r="F228" s="58">
        <v>20</v>
      </c>
      <c r="G228" s="59" t="s">
        <v>19</v>
      </c>
      <c r="H228" s="60">
        <v>95</v>
      </c>
      <c r="I228" s="49">
        <f t="shared" si="12"/>
        <v>1900</v>
      </c>
      <c r="J228" s="532">
        <v>80</v>
      </c>
      <c r="K228" s="532">
        <f t="shared" si="13"/>
        <v>15</v>
      </c>
      <c r="L228" s="533">
        <f t="shared" si="14"/>
        <v>300</v>
      </c>
      <c r="M228" s="537">
        <f t="shared" si="15"/>
        <v>0.15789473684210525</v>
      </c>
      <c r="N228" s="64" t="s">
        <v>22</v>
      </c>
      <c r="O228" s="81" t="s">
        <v>21</v>
      </c>
    </row>
    <row r="229" spans="1:15">
      <c r="A229" s="71">
        <v>2023</v>
      </c>
      <c r="B229" s="59" t="s">
        <v>327</v>
      </c>
      <c r="C229" s="63" t="s">
        <v>432</v>
      </c>
      <c r="D229" s="56" t="s">
        <v>110</v>
      </c>
      <c r="E229" s="57" t="s">
        <v>433</v>
      </c>
      <c r="F229" s="58">
        <v>1</v>
      </c>
      <c r="G229" s="59" t="s">
        <v>19</v>
      </c>
      <c r="H229" s="60">
        <v>4990</v>
      </c>
      <c r="I229" s="49">
        <f t="shared" si="12"/>
        <v>4990</v>
      </c>
      <c r="J229" s="532">
        <v>4490</v>
      </c>
      <c r="K229" s="532">
        <f t="shared" si="13"/>
        <v>500</v>
      </c>
      <c r="L229" s="533">
        <f t="shared" si="14"/>
        <v>500</v>
      </c>
      <c r="M229" s="537">
        <f t="shared" si="15"/>
        <v>0.10020040080160321</v>
      </c>
      <c r="N229" s="64" t="s">
        <v>22</v>
      </c>
      <c r="O229" s="81" t="s">
        <v>21</v>
      </c>
    </row>
    <row r="230" spans="1:15">
      <c r="A230" s="71">
        <v>2023</v>
      </c>
      <c r="B230" s="59" t="s">
        <v>327</v>
      </c>
      <c r="C230" s="63" t="s">
        <v>434</v>
      </c>
      <c r="D230" s="56" t="s">
        <v>349</v>
      </c>
      <c r="E230" s="57" t="s">
        <v>435</v>
      </c>
      <c r="F230" s="58">
        <v>1</v>
      </c>
      <c r="G230" s="59" t="s">
        <v>59</v>
      </c>
      <c r="H230" s="60">
        <v>13700</v>
      </c>
      <c r="I230" s="49">
        <f t="shared" si="12"/>
        <v>13700</v>
      </c>
      <c r="J230" s="532">
        <v>10000</v>
      </c>
      <c r="K230" s="532">
        <f t="shared" si="13"/>
        <v>3700</v>
      </c>
      <c r="L230" s="533">
        <f t="shared" si="14"/>
        <v>3700</v>
      </c>
      <c r="M230" s="537">
        <f t="shared" si="15"/>
        <v>0.27007299270072993</v>
      </c>
      <c r="N230" s="64" t="s">
        <v>38</v>
      </c>
      <c r="O230" s="81" t="s">
        <v>21</v>
      </c>
    </row>
    <row r="231" spans="1:15">
      <c r="A231" s="71">
        <v>2023</v>
      </c>
      <c r="B231" s="59" t="s">
        <v>327</v>
      </c>
      <c r="C231" s="63" t="s">
        <v>436</v>
      </c>
      <c r="D231" s="56" t="s">
        <v>35</v>
      </c>
      <c r="E231" s="57" t="s">
        <v>437</v>
      </c>
      <c r="F231" s="58">
        <v>752.4</v>
      </c>
      <c r="G231" s="59" t="s">
        <v>37</v>
      </c>
      <c r="H231" s="60">
        <v>377</v>
      </c>
      <c r="I231" s="49">
        <f t="shared" si="12"/>
        <v>283654.8</v>
      </c>
      <c r="J231" s="532">
        <v>362</v>
      </c>
      <c r="K231" s="532">
        <f t="shared" si="13"/>
        <v>15</v>
      </c>
      <c r="L231" s="533">
        <f t="shared" si="14"/>
        <v>11286</v>
      </c>
      <c r="M231" s="537">
        <f t="shared" si="15"/>
        <v>3.9787798408488062E-2</v>
      </c>
      <c r="N231" s="64" t="s">
        <v>20</v>
      </c>
      <c r="O231" s="81" t="s">
        <v>105</v>
      </c>
    </row>
    <row r="232" spans="1:15">
      <c r="A232" s="71">
        <v>2023</v>
      </c>
      <c r="B232" s="59" t="s">
        <v>327</v>
      </c>
      <c r="C232" s="63" t="s">
        <v>436</v>
      </c>
      <c r="D232" s="56" t="s">
        <v>35</v>
      </c>
      <c r="E232" s="57" t="s">
        <v>438</v>
      </c>
      <c r="F232" s="58">
        <v>1260</v>
      </c>
      <c r="G232" s="59" t="s">
        <v>37</v>
      </c>
      <c r="H232" s="60">
        <v>377</v>
      </c>
      <c r="I232" s="49">
        <f t="shared" si="12"/>
        <v>475020</v>
      </c>
      <c r="J232" s="532">
        <v>362</v>
      </c>
      <c r="K232" s="532">
        <f t="shared" si="13"/>
        <v>15</v>
      </c>
      <c r="L232" s="533">
        <f t="shared" si="14"/>
        <v>18900</v>
      </c>
      <c r="M232" s="537">
        <f t="shared" si="15"/>
        <v>3.9787798408488062E-2</v>
      </c>
      <c r="N232" s="64" t="s">
        <v>20</v>
      </c>
      <c r="O232" s="81" t="s">
        <v>105</v>
      </c>
    </row>
    <row r="233" spans="1:15">
      <c r="A233" s="71">
        <v>2023</v>
      </c>
      <c r="B233" s="59" t="s">
        <v>327</v>
      </c>
      <c r="C233" s="63" t="s">
        <v>436</v>
      </c>
      <c r="D233" s="56" t="s">
        <v>35</v>
      </c>
      <c r="E233" s="57" t="s">
        <v>438</v>
      </c>
      <c r="F233" s="58">
        <v>1260</v>
      </c>
      <c r="G233" s="59" t="s">
        <v>37</v>
      </c>
      <c r="H233" s="60">
        <v>377</v>
      </c>
      <c r="I233" s="49">
        <f t="shared" si="12"/>
        <v>475020</v>
      </c>
      <c r="J233" s="532">
        <v>362</v>
      </c>
      <c r="K233" s="532">
        <f t="shared" si="13"/>
        <v>15</v>
      </c>
      <c r="L233" s="533">
        <f t="shared" si="14"/>
        <v>18900</v>
      </c>
      <c r="M233" s="537">
        <f t="shared" si="15"/>
        <v>3.9787798408488062E-2</v>
      </c>
      <c r="N233" s="64" t="s">
        <v>20</v>
      </c>
      <c r="O233" s="81" t="s">
        <v>105</v>
      </c>
    </row>
    <row r="234" spans="1:15">
      <c r="A234" s="71">
        <v>2023</v>
      </c>
      <c r="B234" s="59" t="s">
        <v>327</v>
      </c>
      <c r="C234" s="63" t="s">
        <v>439</v>
      </c>
      <c r="D234" s="56" t="s">
        <v>35</v>
      </c>
      <c r="E234" s="57" t="s">
        <v>440</v>
      </c>
      <c r="F234" s="58">
        <v>2693.6</v>
      </c>
      <c r="G234" s="59" t="s">
        <v>37</v>
      </c>
      <c r="H234" s="60">
        <v>377</v>
      </c>
      <c r="I234" s="49">
        <f t="shared" si="12"/>
        <v>1015487.2</v>
      </c>
      <c r="J234" s="532">
        <v>366</v>
      </c>
      <c r="K234" s="532">
        <f t="shared" si="13"/>
        <v>11</v>
      </c>
      <c r="L234" s="533">
        <f t="shared" si="14"/>
        <v>29629.599999999999</v>
      </c>
      <c r="M234" s="537">
        <f t="shared" si="15"/>
        <v>2.9177718832891247E-2</v>
      </c>
      <c r="N234" s="64" t="s">
        <v>20</v>
      </c>
      <c r="O234" s="81" t="s">
        <v>105</v>
      </c>
    </row>
    <row r="235" spans="1:15">
      <c r="A235" s="71">
        <v>2023</v>
      </c>
      <c r="B235" s="59" t="s">
        <v>327</v>
      </c>
      <c r="C235" s="63" t="s">
        <v>439</v>
      </c>
      <c r="D235" s="56" t="s">
        <v>35</v>
      </c>
      <c r="E235" s="57" t="s">
        <v>441</v>
      </c>
      <c r="F235" s="58">
        <v>439</v>
      </c>
      <c r="G235" s="59" t="s">
        <v>37</v>
      </c>
      <c r="H235" s="60">
        <v>377</v>
      </c>
      <c r="I235" s="49">
        <f t="shared" si="12"/>
        <v>165503</v>
      </c>
      <c r="J235" s="532">
        <v>366</v>
      </c>
      <c r="K235" s="532">
        <f t="shared" si="13"/>
        <v>11</v>
      </c>
      <c r="L235" s="533">
        <f t="shared" si="14"/>
        <v>4829</v>
      </c>
      <c r="M235" s="537">
        <f t="shared" si="15"/>
        <v>2.9177718832891247E-2</v>
      </c>
      <c r="N235" s="64" t="s">
        <v>20</v>
      </c>
      <c r="O235" s="81" t="s">
        <v>105</v>
      </c>
    </row>
    <row r="236" spans="1:15">
      <c r="A236" s="71">
        <v>2023</v>
      </c>
      <c r="B236" s="59" t="s">
        <v>327</v>
      </c>
      <c r="C236" s="63" t="s">
        <v>439</v>
      </c>
      <c r="D236" s="56" t="s">
        <v>35</v>
      </c>
      <c r="E236" s="57" t="s">
        <v>442</v>
      </c>
      <c r="F236" s="58">
        <v>723.8</v>
      </c>
      <c r="G236" s="59" t="s">
        <v>37</v>
      </c>
      <c r="H236" s="60">
        <v>377</v>
      </c>
      <c r="I236" s="49">
        <f t="shared" si="12"/>
        <v>272872.59999999998</v>
      </c>
      <c r="J236" s="532">
        <v>366</v>
      </c>
      <c r="K236" s="532">
        <f t="shared" si="13"/>
        <v>11</v>
      </c>
      <c r="L236" s="533">
        <f t="shared" si="14"/>
        <v>7961.7999999999993</v>
      </c>
      <c r="M236" s="537">
        <f t="shared" si="15"/>
        <v>2.9177718832891247E-2</v>
      </c>
      <c r="N236" s="64" t="s">
        <v>20</v>
      </c>
      <c r="O236" s="81" t="s">
        <v>105</v>
      </c>
    </row>
    <row r="237" spans="1:15">
      <c r="A237" s="71">
        <v>2023</v>
      </c>
      <c r="B237" s="59" t="s">
        <v>327</v>
      </c>
      <c r="C237" s="63" t="s">
        <v>439</v>
      </c>
      <c r="D237" s="56" t="s">
        <v>35</v>
      </c>
      <c r="E237" s="57" t="s">
        <v>438</v>
      </c>
      <c r="F237" s="58">
        <v>1885.9</v>
      </c>
      <c r="G237" s="59" t="s">
        <v>37</v>
      </c>
      <c r="H237" s="60">
        <v>377</v>
      </c>
      <c r="I237" s="49">
        <f t="shared" si="12"/>
        <v>710984.3</v>
      </c>
      <c r="J237" s="532">
        <v>366</v>
      </c>
      <c r="K237" s="532">
        <f t="shared" si="13"/>
        <v>11</v>
      </c>
      <c r="L237" s="533">
        <f t="shared" si="14"/>
        <v>20744.900000000001</v>
      </c>
      <c r="M237" s="537">
        <f t="shared" si="15"/>
        <v>2.9177718832891247E-2</v>
      </c>
      <c r="N237" s="64" t="s">
        <v>20</v>
      </c>
      <c r="O237" s="81" t="s">
        <v>105</v>
      </c>
    </row>
    <row r="238" spans="1:15">
      <c r="A238" s="71">
        <v>2023</v>
      </c>
      <c r="B238" s="59" t="s">
        <v>327</v>
      </c>
      <c r="C238" s="63" t="s">
        <v>439</v>
      </c>
      <c r="D238" s="56" t="s">
        <v>35</v>
      </c>
      <c r="E238" s="57" t="s">
        <v>443</v>
      </c>
      <c r="F238" s="58">
        <v>459.8</v>
      </c>
      <c r="G238" s="59" t="s">
        <v>37</v>
      </c>
      <c r="H238" s="60">
        <v>377</v>
      </c>
      <c r="I238" s="49">
        <f t="shared" si="12"/>
        <v>173344.6</v>
      </c>
      <c r="J238" s="532">
        <v>366</v>
      </c>
      <c r="K238" s="532">
        <f t="shared" si="13"/>
        <v>11</v>
      </c>
      <c r="L238" s="533">
        <f t="shared" si="14"/>
        <v>5057.8</v>
      </c>
      <c r="M238" s="537">
        <f t="shared" si="15"/>
        <v>2.9177718832891247E-2</v>
      </c>
      <c r="N238" s="64" t="s">
        <v>20</v>
      </c>
      <c r="O238" s="81" t="s">
        <v>105</v>
      </c>
    </row>
    <row r="239" spans="1:15">
      <c r="A239" s="71">
        <v>2023</v>
      </c>
      <c r="B239" s="59" t="s">
        <v>327</v>
      </c>
      <c r="C239" s="63" t="s">
        <v>444</v>
      </c>
      <c r="D239" s="56" t="s">
        <v>304</v>
      </c>
      <c r="E239" s="57" t="s">
        <v>445</v>
      </c>
      <c r="F239" s="58">
        <v>2</v>
      </c>
      <c r="G239" s="59" t="s">
        <v>19</v>
      </c>
      <c r="H239" s="60">
        <v>23950</v>
      </c>
      <c r="I239" s="49">
        <f t="shared" si="12"/>
        <v>47900</v>
      </c>
      <c r="J239" s="532">
        <v>11000</v>
      </c>
      <c r="K239" s="532">
        <f t="shared" si="13"/>
        <v>12950</v>
      </c>
      <c r="L239" s="533">
        <f t="shared" si="14"/>
        <v>25900</v>
      </c>
      <c r="M239" s="537">
        <f t="shared" si="15"/>
        <v>0.54070981210855951</v>
      </c>
      <c r="N239" s="64" t="s">
        <v>22</v>
      </c>
      <c r="O239" s="81" t="s">
        <v>105</v>
      </c>
    </row>
    <row r="240" spans="1:15">
      <c r="A240" s="71">
        <v>2023</v>
      </c>
      <c r="B240" s="59" t="s">
        <v>327</v>
      </c>
      <c r="C240" s="63" t="s">
        <v>446</v>
      </c>
      <c r="D240" s="56" t="s">
        <v>35</v>
      </c>
      <c r="E240" s="57" t="s">
        <v>220</v>
      </c>
      <c r="F240" s="58">
        <v>972</v>
      </c>
      <c r="G240" s="59" t="s">
        <v>37</v>
      </c>
      <c r="H240" s="60">
        <v>377</v>
      </c>
      <c r="I240" s="49">
        <f t="shared" si="12"/>
        <v>366444</v>
      </c>
      <c r="J240" s="532">
        <v>376.5</v>
      </c>
      <c r="K240" s="532">
        <f t="shared" si="13"/>
        <v>0.5</v>
      </c>
      <c r="L240" s="533">
        <f t="shared" si="14"/>
        <v>486</v>
      </c>
      <c r="M240" s="537">
        <f t="shared" si="15"/>
        <v>1.3262599469496021E-3</v>
      </c>
      <c r="N240" s="64" t="s">
        <v>38</v>
      </c>
      <c r="O240" s="81" t="s">
        <v>105</v>
      </c>
    </row>
    <row r="241" spans="1:15">
      <c r="A241" s="71">
        <v>2023</v>
      </c>
      <c r="B241" s="59" t="s">
        <v>327</v>
      </c>
      <c r="C241" s="63" t="s">
        <v>447</v>
      </c>
      <c r="D241" s="56" t="s">
        <v>448</v>
      </c>
      <c r="E241" s="57" t="s">
        <v>449</v>
      </c>
      <c r="F241" s="58">
        <v>5</v>
      </c>
      <c r="G241" s="59" t="s">
        <v>302</v>
      </c>
      <c r="H241" s="60">
        <v>2270</v>
      </c>
      <c r="I241" s="49">
        <f t="shared" si="12"/>
        <v>11350</v>
      </c>
      <c r="J241" s="532">
        <v>1200</v>
      </c>
      <c r="K241" s="532">
        <f t="shared" si="13"/>
        <v>1070</v>
      </c>
      <c r="L241" s="533">
        <f t="shared" si="14"/>
        <v>5350</v>
      </c>
      <c r="M241" s="537">
        <f t="shared" si="15"/>
        <v>0.47136563876651982</v>
      </c>
      <c r="N241" s="64" t="s">
        <v>22</v>
      </c>
      <c r="O241" s="81" t="s">
        <v>105</v>
      </c>
    </row>
    <row r="242" spans="1:15">
      <c r="A242" s="71">
        <v>2023</v>
      </c>
      <c r="B242" s="59" t="s">
        <v>327</v>
      </c>
      <c r="C242" s="63" t="s">
        <v>450</v>
      </c>
      <c r="D242" s="56" t="s">
        <v>35</v>
      </c>
      <c r="E242" s="57" t="s">
        <v>451</v>
      </c>
      <c r="F242" s="58">
        <v>94.1</v>
      </c>
      <c r="G242" s="59" t="s">
        <v>37</v>
      </c>
      <c r="H242" s="60">
        <v>377</v>
      </c>
      <c r="I242" s="49">
        <f t="shared" si="12"/>
        <v>35475.699999999997</v>
      </c>
      <c r="J242" s="532">
        <v>376.5</v>
      </c>
      <c r="K242" s="532">
        <f t="shared" si="13"/>
        <v>0.5</v>
      </c>
      <c r="L242" s="533">
        <f t="shared" si="14"/>
        <v>47.05</v>
      </c>
      <c r="M242" s="537">
        <f t="shared" si="15"/>
        <v>1.3262599469496021E-3</v>
      </c>
      <c r="N242" s="64" t="s">
        <v>38</v>
      </c>
      <c r="O242" s="81" t="s">
        <v>105</v>
      </c>
    </row>
    <row r="243" spans="1:15">
      <c r="A243" s="71">
        <v>2023</v>
      </c>
      <c r="B243" s="59" t="s">
        <v>327</v>
      </c>
      <c r="C243" s="63" t="s">
        <v>452</v>
      </c>
      <c r="D243" s="56" t="s">
        <v>35</v>
      </c>
      <c r="E243" s="57" t="s">
        <v>42</v>
      </c>
      <c r="F243" s="58">
        <v>268.60000000000002</v>
      </c>
      <c r="G243" s="59" t="s">
        <v>37</v>
      </c>
      <c r="H243" s="60">
        <v>377</v>
      </c>
      <c r="I243" s="49">
        <f t="shared" si="12"/>
        <v>101262.20000000001</v>
      </c>
      <c r="J243" s="532">
        <v>376.5</v>
      </c>
      <c r="K243" s="532">
        <f t="shared" si="13"/>
        <v>0.5</v>
      </c>
      <c r="L243" s="533">
        <f t="shared" si="14"/>
        <v>134.30000000000001</v>
      </c>
      <c r="M243" s="537">
        <f t="shared" si="15"/>
        <v>1.3262599469496021E-3</v>
      </c>
      <c r="N243" s="64" t="s">
        <v>38</v>
      </c>
      <c r="O243" s="81" t="s">
        <v>105</v>
      </c>
    </row>
    <row r="244" spans="1:15">
      <c r="A244" s="71">
        <v>2023</v>
      </c>
      <c r="B244" s="59" t="s">
        <v>327</v>
      </c>
      <c r="C244" s="63" t="s">
        <v>452</v>
      </c>
      <c r="D244" s="56" t="s">
        <v>35</v>
      </c>
      <c r="E244" s="57" t="s">
        <v>297</v>
      </c>
      <c r="F244" s="58">
        <v>196.2</v>
      </c>
      <c r="G244" s="59" t="s">
        <v>37</v>
      </c>
      <c r="H244" s="60">
        <v>377</v>
      </c>
      <c r="I244" s="49">
        <f t="shared" si="12"/>
        <v>73967.399999999994</v>
      </c>
      <c r="J244" s="532">
        <v>376.5</v>
      </c>
      <c r="K244" s="532">
        <f t="shared" si="13"/>
        <v>0.5</v>
      </c>
      <c r="L244" s="533">
        <f t="shared" si="14"/>
        <v>98.1</v>
      </c>
      <c r="M244" s="537">
        <f t="shared" si="15"/>
        <v>1.3262599469496021E-3</v>
      </c>
      <c r="N244" s="64" t="s">
        <v>38</v>
      </c>
      <c r="O244" s="81" t="s">
        <v>105</v>
      </c>
    </row>
    <row r="245" spans="1:15">
      <c r="A245" s="71">
        <v>2023</v>
      </c>
      <c r="B245" s="59" t="s">
        <v>327</v>
      </c>
      <c r="C245" s="63" t="s">
        <v>452</v>
      </c>
      <c r="D245" s="56" t="s">
        <v>35</v>
      </c>
      <c r="E245" s="57" t="s">
        <v>217</v>
      </c>
      <c r="F245" s="58">
        <v>291.8</v>
      </c>
      <c r="G245" s="59" t="s">
        <v>37</v>
      </c>
      <c r="H245" s="60">
        <v>377</v>
      </c>
      <c r="I245" s="49">
        <f t="shared" si="12"/>
        <v>110008.6</v>
      </c>
      <c r="J245" s="532">
        <v>376.5</v>
      </c>
      <c r="K245" s="532">
        <f t="shared" si="13"/>
        <v>0.5</v>
      </c>
      <c r="L245" s="533">
        <f t="shared" si="14"/>
        <v>145.9</v>
      </c>
      <c r="M245" s="537">
        <f t="shared" si="15"/>
        <v>1.3262599469496021E-3</v>
      </c>
      <c r="N245" s="64" t="s">
        <v>38</v>
      </c>
      <c r="O245" s="81" t="s">
        <v>105</v>
      </c>
    </row>
    <row r="246" spans="1:15">
      <c r="A246" s="71">
        <v>2023</v>
      </c>
      <c r="B246" s="59" t="s">
        <v>327</v>
      </c>
      <c r="C246" s="63" t="s">
        <v>453</v>
      </c>
      <c r="D246" s="56" t="s">
        <v>35</v>
      </c>
      <c r="E246" s="57" t="s">
        <v>454</v>
      </c>
      <c r="F246" s="58">
        <v>697</v>
      </c>
      <c r="G246" s="59" t="s">
        <v>37</v>
      </c>
      <c r="H246" s="60">
        <v>377</v>
      </c>
      <c r="I246" s="49">
        <f t="shared" si="12"/>
        <v>262769</v>
      </c>
      <c r="J246" s="532">
        <v>376.5</v>
      </c>
      <c r="K246" s="532">
        <f t="shared" si="13"/>
        <v>0.5</v>
      </c>
      <c r="L246" s="533">
        <f t="shared" si="14"/>
        <v>348.5</v>
      </c>
      <c r="M246" s="537">
        <f t="shared" si="15"/>
        <v>1.3262599469496021E-3</v>
      </c>
      <c r="N246" s="64" t="s">
        <v>38</v>
      </c>
      <c r="O246" s="81" t="s">
        <v>105</v>
      </c>
    </row>
    <row r="247" spans="1:15">
      <c r="A247" s="71">
        <v>2023</v>
      </c>
      <c r="B247" s="59" t="s">
        <v>327</v>
      </c>
      <c r="C247" s="63" t="s">
        <v>455</v>
      </c>
      <c r="D247" s="56" t="s">
        <v>27</v>
      </c>
      <c r="E247" s="57" t="s">
        <v>456</v>
      </c>
      <c r="F247" s="58">
        <v>300</v>
      </c>
      <c r="G247" s="59" t="s">
        <v>19</v>
      </c>
      <c r="H247" s="60">
        <v>2.7</v>
      </c>
      <c r="I247" s="49">
        <f t="shared" si="12"/>
        <v>810</v>
      </c>
      <c r="J247" s="532">
        <v>2.4</v>
      </c>
      <c r="K247" s="532">
        <f t="shared" si="13"/>
        <v>0.30000000000000027</v>
      </c>
      <c r="L247" s="533">
        <f t="shared" si="14"/>
        <v>90.000000000000085</v>
      </c>
      <c r="M247" s="537">
        <f t="shared" si="15"/>
        <v>0.1111111111111112</v>
      </c>
      <c r="N247" s="64" t="s">
        <v>22</v>
      </c>
      <c r="O247" s="81" t="s">
        <v>105</v>
      </c>
    </row>
    <row r="248" spans="1:15">
      <c r="A248" s="71">
        <v>2023</v>
      </c>
      <c r="B248" s="59" t="s">
        <v>327</v>
      </c>
      <c r="C248" s="63" t="s">
        <v>455</v>
      </c>
      <c r="D248" s="56" t="s">
        <v>27</v>
      </c>
      <c r="E248" s="57" t="s">
        <v>457</v>
      </c>
      <c r="F248" s="58">
        <v>100</v>
      </c>
      <c r="G248" s="59" t="s">
        <v>19</v>
      </c>
      <c r="H248" s="60">
        <v>5.28</v>
      </c>
      <c r="I248" s="49">
        <f t="shared" si="12"/>
        <v>528</v>
      </c>
      <c r="J248" s="532">
        <v>5.0999999999999996</v>
      </c>
      <c r="K248" s="532">
        <f t="shared" si="13"/>
        <v>0.1800000000000006</v>
      </c>
      <c r="L248" s="533">
        <f t="shared" si="14"/>
        <v>18.00000000000006</v>
      </c>
      <c r="M248" s="537">
        <f t="shared" si="15"/>
        <v>3.4090909090909206E-2</v>
      </c>
      <c r="N248" s="64" t="s">
        <v>22</v>
      </c>
      <c r="O248" s="81" t="s">
        <v>105</v>
      </c>
    </row>
    <row r="249" spans="1:15">
      <c r="A249" s="71">
        <v>2023</v>
      </c>
      <c r="B249" s="59" t="s">
        <v>327</v>
      </c>
      <c r="C249" s="63" t="s">
        <v>455</v>
      </c>
      <c r="D249" s="56" t="s">
        <v>27</v>
      </c>
      <c r="E249" s="57" t="s">
        <v>458</v>
      </c>
      <c r="F249" s="58">
        <v>100</v>
      </c>
      <c r="G249" s="59" t="s">
        <v>19</v>
      </c>
      <c r="H249" s="60">
        <v>9.68</v>
      </c>
      <c r="I249" s="49">
        <f t="shared" si="12"/>
        <v>968</v>
      </c>
      <c r="J249" s="532">
        <v>9.5</v>
      </c>
      <c r="K249" s="532">
        <f t="shared" si="13"/>
        <v>0.17999999999999972</v>
      </c>
      <c r="L249" s="533">
        <f t="shared" si="14"/>
        <v>17.999999999999972</v>
      </c>
      <c r="M249" s="537">
        <f t="shared" si="15"/>
        <v>1.8595041322314022E-2</v>
      </c>
      <c r="N249" s="64" t="s">
        <v>22</v>
      </c>
      <c r="O249" s="81" t="s">
        <v>105</v>
      </c>
    </row>
    <row r="250" spans="1:15">
      <c r="A250" s="71">
        <v>2023</v>
      </c>
      <c r="B250" s="59" t="s">
        <v>327</v>
      </c>
      <c r="C250" s="63" t="s">
        <v>459</v>
      </c>
      <c r="D250" s="56" t="s">
        <v>229</v>
      </c>
      <c r="E250" s="57" t="s">
        <v>275</v>
      </c>
      <c r="F250" s="58">
        <v>3000</v>
      </c>
      <c r="G250" s="59" t="s">
        <v>37</v>
      </c>
      <c r="H250" s="60">
        <v>35</v>
      </c>
      <c r="I250" s="49">
        <f t="shared" si="12"/>
        <v>105000</v>
      </c>
      <c r="J250" s="532">
        <v>34.700000000000003</v>
      </c>
      <c r="K250" s="532">
        <f t="shared" si="13"/>
        <v>0.29999999999999716</v>
      </c>
      <c r="L250" s="533">
        <f t="shared" si="14"/>
        <v>899.99999999999147</v>
      </c>
      <c r="M250" s="537">
        <f t="shared" si="15"/>
        <v>8.5714285714284903E-3</v>
      </c>
      <c r="N250" s="64" t="s">
        <v>22</v>
      </c>
      <c r="O250" s="81" t="s">
        <v>39</v>
      </c>
    </row>
    <row r="251" spans="1:15">
      <c r="A251" s="71">
        <v>2023</v>
      </c>
      <c r="B251" s="59" t="s">
        <v>327</v>
      </c>
      <c r="C251" s="63" t="s">
        <v>460</v>
      </c>
      <c r="D251" s="56" t="s">
        <v>229</v>
      </c>
      <c r="E251" s="57" t="s">
        <v>233</v>
      </c>
      <c r="F251" s="58">
        <v>3000</v>
      </c>
      <c r="G251" s="59" t="s">
        <v>37</v>
      </c>
      <c r="H251" s="60">
        <v>35</v>
      </c>
      <c r="I251" s="49">
        <f t="shared" si="12"/>
        <v>105000</v>
      </c>
      <c r="J251" s="532">
        <v>34.700000000000003</v>
      </c>
      <c r="K251" s="532">
        <f t="shared" si="13"/>
        <v>0.29999999999999716</v>
      </c>
      <c r="L251" s="533">
        <f t="shared" si="14"/>
        <v>899.99999999999147</v>
      </c>
      <c r="M251" s="537">
        <f t="shared" si="15"/>
        <v>8.5714285714284903E-3</v>
      </c>
      <c r="N251" s="64" t="s">
        <v>22</v>
      </c>
      <c r="O251" s="81" t="s">
        <v>39</v>
      </c>
    </row>
    <row r="252" spans="1:15">
      <c r="A252" s="71">
        <v>2023</v>
      </c>
      <c r="B252" s="59" t="s">
        <v>327</v>
      </c>
      <c r="C252" s="63" t="s">
        <v>460</v>
      </c>
      <c r="D252" s="56" t="s">
        <v>229</v>
      </c>
      <c r="E252" s="57" t="s">
        <v>230</v>
      </c>
      <c r="F252" s="58">
        <v>3000</v>
      </c>
      <c r="G252" s="59" t="s">
        <v>37</v>
      </c>
      <c r="H252" s="60">
        <v>35</v>
      </c>
      <c r="I252" s="49">
        <f t="shared" si="12"/>
        <v>105000</v>
      </c>
      <c r="J252" s="532">
        <v>34.700000000000003</v>
      </c>
      <c r="K252" s="532">
        <f t="shared" si="13"/>
        <v>0.29999999999999716</v>
      </c>
      <c r="L252" s="533">
        <f t="shared" si="14"/>
        <v>899.99999999999147</v>
      </c>
      <c r="M252" s="537">
        <f t="shared" si="15"/>
        <v>8.5714285714284903E-3</v>
      </c>
      <c r="N252" s="64" t="s">
        <v>22</v>
      </c>
      <c r="O252" s="81" t="s">
        <v>39</v>
      </c>
    </row>
    <row r="253" spans="1:15">
      <c r="A253" s="71">
        <v>2023</v>
      </c>
      <c r="B253" s="59" t="s">
        <v>327</v>
      </c>
      <c r="C253" s="63" t="s">
        <v>461</v>
      </c>
      <c r="D253" s="56" t="s">
        <v>68</v>
      </c>
      <c r="E253" s="57" t="s">
        <v>73</v>
      </c>
      <c r="F253" s="58">
        <v>303.10000000000002</v>
      </c>
      <c r="G253" s="59" t="s">
        <v>37</v>
      </c>
      <c r="H253" s="60">
        <v>355</v>
      </c>
      <c r="I253" s="49">
        <f t="shared" si="12"/>
        <v>107600.50000000001</v>
      </c>
      <c r="J253" s="532">
        <v>353</v>
      </c>
      <c r="K253" s="532">
        <f t="shared" si="13"/>
        <v>2</v>
      </c>
      <c r="L253" s="533">
        <f t="shared" si="14"/>
        <v>606.20000000000005</v>
      </c>
      <c r="M253" s="537">
        <f t="shared" si="15"/>
        <v>5.6338028169014088E-3</v>
      </c>
      <c r="N253" s="64" t="s">
        <v>22</v>
      </c>
      <c r="O253" s="81" t="s">
        <v>39</v>
      </c>
    </row>
    <row r="254" spans="1:15">
      <c r="A254" s="71">
        <v>2023</v>
      </c>
      <c r="B254" s="59" t="s">
        <v>327</v>
      </c>
      <c r="C254" s="63" t="s">
        <v>461</v>
      </c>
      <c r="D254" s="56" t="s">
        <v>68</v>
      </c>
      <c r="E254" s="57" t="s">
        <v>271</v>
      </c>
      <c r="F254" s="58">
        <v>162.5</v>
      </c>
      <c r="G254" s="59" t="s">
        <v>37</v>
      </c>
      <c r="H254" s="60">
        <v>355</v>
      </c>
      <c r="I254" s="49">
        <f t="shared" si="12"/>
        <v>57687.5</v>
      </c>
      <c r="J254" s="538">
        <v>353</v>
      </c>
      <c r="K254" s="532">
        <f t="shared" si="13"/>
        <v>2</v>
      </c>
      <c r="L254" s="533">
        <f t="shared" si="14"/>
        <v>325</v>
      </c>
      <c r="M254" s="537">
        <f t="shared" si="15"/>
        <v>5.6338028169014088E-3</v>
      </c>
      <c r="N254" s="64" t="s">
        <v>22</v>
      </c>
      <c r="O254" s="81" t="s">
        <v>39</v>
      </c>
    </row>
    <row r="255" spans="1:15">
      <c r="A255" s="71">
        <v>2023</v>
      </c>
      <c r="B255" s="59" t="s">
        <v>327</v>
      </c>
      <c r="C255" s="63" t="s">
        <v>461</v>
      </c>
      <c r="D255" s="56" t="s">
        <v>68</v>
      </c>
      <c r="E255" s="57" t="s">
        <v>462</v>
      </c>
      <c r="F255" s="58">
        <v>7.3</v>
      </c>
      <c r="G255" s="59" t="s">
        <v>37</v>
      </c>
      <c r="H255" s="60">
        <v>355</v>
      </c>
      <c r="I255" s="49">
        <f t="shared" si="12"/>
        <v>2591.5</v>
      </c>
      <c r="J255" s="538">
        <v>353</v>
      </c>
      <c r="K255" s="532">
        <f t="shared" si="13"/>
        <v>2</v>
      </c>
      <c r="L255" s="533">
        <f t="shared" si="14"/>
        <v>14.6</v>
      </c>
      <c r="M255" s="537">
        <f t="shared" si="15"/>
        <v>5.6338028169014088E-3</v>
      </c>
      <c r="N255" s="64" t="s">
        <v>22</v>
      </c>
      <c r="O255" s="81" t="s">
        <v>39</v>
      </c>
    </row>
    <row r="256" spans="1:15">
      <c r="A256" s="71">
        <v>2023</v>
      </c>
      <c r="B256" s="59" t="s">
        <v>327</v>
      </c>
      <c r="C256" s="63" t="s">
        <v>463</v>
      </c>
      <c r="D256" s="82" t="s">
        <v>68</v>
      </c>
      <c r="E256" s="57" t="s">
        <v>73</v>
      </c>
      <c r="F256" s="58">
        <v>519.6</v>
      </c>
      <c r="G256" s="59" t="s">
        <v>37</v>
      </c>
      <c r="H256" s="8">
        <v>355</v>
      </c>
      <c r="I256" s="49">
        <f t="shared" si="12"/>
        <v>184458</v>
      </c>
      <c r="J256" s="538">
        <v>353</v>
      </c>
      <c r="K256" s="532">
        <f t="shared" si="13"/>
        <v>2</v>
      </c>
      <c r="L256" s="533">
        <f t="shared" si="14"/>
        <v>1039.2</v>
      </c>
      <c r="M256" s="537">
        <f t="shared" si="15"/>
        <v>5.6338028169014088E-3</v>
      </c>
      <c r="N256" s="64" t="s">
        <v>22</v>
      </c>
      <c r="O256" s="81" t="s">
        <v>39</v>
      </c>
    </row>
    <row r="257" spans="1:15">
      <c r="A257" s="71">
        <v>2023</v>
      </c>
      <c r="B257" s="59" t="s">
        <v>327</v>
      </c>
      <c r="C257" s="63" t="s">
        <v>463</v>
      </c>
      <c r="D257" s="82" t="s">
        <v>68</v>
      </c>
      <c r="E257" s="57" t="s">
        <v>462</v>
      </c>
      <c r="F257" s="58">
        <v>14.6</v>
      </c>
      <c r="G257" s="59" t="s">
        <v>37</v>
      </c>
      <c r="H257" s="8">
        <v>355</v>
      </c>
      <c r="I257" s="49">
        <f t="shared" si="12"/>
        <v>5183</v>
      </c>
      <c r="J257" s="538">
        <v>353</v>
      </c>
      <c r="K257" s="532">
        <f t="shared" si="13"/>
        <v>2</v>
      </c>
      <c r="L257" s="533">
        <f t="shared" si="14"/>
        <v>29.2</v>
      </c>
      <c r="M257" s="537">
        <f t="shared" si="15"/>
        <v>5.6338028169014088E-3</v>
      </c>
      <c r="N257" s="64" t="s">
        <v>22</v>
      </c>
      <c r="O257" s="81" t="s">
        <v>39</v>
      </c>
    </row>
    <row r="258" spans="1:15">
      <c r="A258" s="71">
        <v>2023</v>
      </c>
      <c r="B258" s="59" t="s">
        <v>464</v>
      </c>
      <c r="C258" s="63" t="s">
        <v>465</v>
      </c>
      <c r="D258" s="82" t="s">
        <v>466</v>
      </c>
      <c r="E258" s="56" t="s">
        <v>467</v>
      </c>
      <c r="F258" s="58">
        <v>4</v>
      </c>
      <c r="G258" s="59" t="s">
        <v>63</v>
      </c>
      <c r="H258" s="8">
        <v>39000</v>
      </c>
      <c r="I258" s="49">
        <f t="shared" si="12"/>
        <v>156000</v>
      </c>
      <c r="J258" s="538">
        <v>37050</v>
      </c>
      <c r="K258" s="532">
        <f t="shared" si="13"/>
        <v>1950</v>
      </c>
      <c r="L258" s="533">
        <f t="shared" si="14"/>
        <v>7800</v>
      </c>
      <c r="M258" s="537">
        <f t="shared" si="15"/>
        <v>0.05</v>
      </c>
      <c r="N258" s="64" t="s">
        <v>38</v>
      </c>
      <c r="O258" s="81" t="s">
        <v>39</v>
      </c>
    </row>
    <row r="259" spans="1:15">
      <c r="A259" s="71">
        <v>2023</v>
      </c>
      <c r="B259" s="59" t="s">
        <v>464</v>
      </c>
      <c r="C259" s="63" t="s">
        <v>465</v>
      </c>
      <c r="D259" s="82" t="s">
        <v>466</v>
      </c>
      <c r="E259" s="56" t="s">
        <v>468</v>
      </c>
      <c r="F259" s="58">
        <v>7</v>
      </c>
      <c r="G259" s="59" t="s">
        <v>469</v>
      </c>
      <c r="H259" s="8">
        <v>4200</v>
      </c>
      <c r="I259" s="49">
        <f t="shared" ref="I259:I322" si="16">H259*F259</f>
        <v>29400</v>
      </c>
      <c r="J259" s="538">
        <v>3990</v>
      </c>
      <c r="K259" s="532">
        <f t="shared" ref="K259:K322" si="17">H259-J259</f>
        <v>210</v>
      </c>
      <c r="L259" s="533">
        <f t="shared" ref="L259:L322" si="18">K259*F259</f>
        <v>1470</v>
      </c>
      <c r="M259" s="537">
        <f t="shared" ref="M259:M322" si="19">K259/H259</f>
        <v>0.05</v>
      </c>
      <c r="N259" s="64" t="s">
        <v>38</v>
      </c>
      <c r="O259" s="81" t="s">
        <v>39</v>
      </c>
    </row>
    <row r="260" spans="1:15">
      <c r="A260" s="71">
        <v>2023</v>
      </c>
      <c r="B260" s="59" t="s">
        <v>464</v>
      </c>
      <c r="C260" s="63" t="s">
        <v>465</v>
      </c>
      <c r="D260" s="82" t="s">
        <v>466</v>
      </c>
      <c r="E260" s="57" t="s">
        <v>470</v>
      </c>
      <c r="F260" s="58">
        <v>7</v>
      </c>
      <c r="G260" s="59" t="s">
        <v>469</v>
      </c>
      <c r="H260" s="60">
        <v>5500</v>
      </c>
      <c r="I260" s="49">
        <f t="shared" si="16"/>
        <v>38500</v>
      </c>
      <c r="J260" s="538">
        <v>5225</v>
      </c>
      <c r="K260" s="532">
        <f t="shared" si="17"/>
        <v>275</v>
      </c>
      <c r="L260" s="533">
        <f t="shared" si="18"/>
        <v>1925</v>
      </c>
      <c r="M260" s="537">
        <f t="shared" si="19"/>
        <v>0.05</v>
      </c>
      <c r="N260" s="64" t="s">
        <v>38</v>
      </c>
      <c r="O260" s="81" t="s">
        <v>39</v>
      </c>
    </row>
    <row r="261" spans="1:15">
      <c r="A261" s="71">
        <v>2023</v>
      </c>
      <c r="B261" s="59" t="s">
        <v>464</v>
      </c>
      <c r="C261" s="63" t="s">
        <v>471</v>
      </c>
      <c r="D261" s="82" t="s">
        <v>35</v>
      </c>
      <c r="E261" s="57" t="s">
        <v>472</v>
      </c>
      <c r="F261" s="58">
        <v>400</v>
      </c>
      <c r="G261" s="59" t="s">
        <v>37</v>
      </c>
      <c r="H261" s="60">
        <v>374</v>
      </c>
      <c r="I261" s="49">
        <f t="shared" si="16"/>
        <v>149600</v>
      </c>
      <c r="J261" s="538">
        <v>368</v>
      </c>
      <c r="K261" s="532">
        <f t="shared" si="17"/>
        <v>6</v>
      </c>
      <c r="L261" s="533">
        <f t="shared" si="18"/>
        <v>2400</v>
      </c>
      <c r="M261" s="537">
        <f t="shared" si="19"/>
        <v>1.6042780748663103E-2</v>
      </c>
      <c r="N261" s="64" t="s">
        <v>20</v>
      </c>
      <c r="O261" s="81" t="s">
        <v>39</v>
      </c>
    </row>
    <row r="262" spans="1:15">
      <c r="A262" s="71">
        <v>2023</v>
      </c>
      <c r="B262" s="59" t="s">
        <v>464</v>
      </c>
      <c r="C262" s="63" t="s">
        <v>471</v>
      </c>
      <c r="D262" s="82" t="s">
        <v>35</v>
      </c>
      <c r="E262" s="57" t="s">
        <v>473</v>
      </c>
      <c r="F262" s="58">
        <v>270</v>
      </c>
      <c r="G262" s="59" t="s">
        <v>37</v>
      </c>
      <c r="H262" s="60">
        <v>374</v>
      </c>
      <c r="I262" s="49">
        <f t="shared" si="16"/>
        <v>100980</v>
      </c>
      <c r="J262" s="538">
        <v>368</v>
      </c>
      <c r="K262" s="532">
        <f t="shared" si="17"/>
        <v>6</v>
      </c>
      <c r="L262" s="533">
        <f t="shared" si="18"/>
        <v>1620</v>
      </c>
      <c r="M262" s="537">
        <f t="shared" si="19"/>
        <v>1.6042780748663103E-2</v>
      </c>
      <c r="N262" s="64" t="s">
        <v>20</v>
      </c>
      <c r="O262" s="81" t="s">
        <v>39</v>
      </c>
    </row>
    <row r="263" spans="1:15">
      <c r="A263" s="71">
        <v>2023</v>
      </c>
      <c r="B263" s="59" t="s">
        <v>464</v>
      </c>
      <c r="C263" s="63" t="s">
        <v>471</v>
      </c>
      <c r="D263" s="82" t="s">
        <v>35</v>
      </c>
      <c r="E263" s="57" t="s">
        <v>36</v>
      </c>
      <c r="F263" s="58">
        <v>690</v>
      </c>
      <c r="G263" s="59" t="s">
        <v>37</v>
      </c>
      <c r="H263" s="60">
        <v>374</v>
      </c>
      <c r="I263" s="49">
        <f t="shared" si="16"/>
        <v>258060</v>
      </c>
      <c r="J263" s="538">
        <v>368</v>
      </c>
      <c r="K263" s="532">
        <f t="shared" si="17"/>
        <v>6</v>
      </c>
      <c r="L263" s="533">
        <f t="shared" si="18"/>
        <v>4140</v>
      </c>
      <c r="M263" s="534">
        <f t="shared" si="19"/>
        <v>1.6042780748663103E-2</v>
      </c>
      <c r="N263" s="64" t="s">
        <v>20</v>
      </c>
      <c r="O263" s="81" t="s">
        <v>39</v>
      </c>
    </row>
    <row r="264" spans="1:15">
      <c r="A264" s="71">
        <v>2023</v>
      </c>
      <c r="B264" s="59" t="s">
        <v>464</v>
      </c>
      <c r="C264" s="63" t="s">
        <v>471</v>
      </c>
      <c r="D264" s="82" t="s">
        <v>35</v>
      </c>
      <c r="E264" s="57" t="s">
        <v>42</v>
      </c>
      <c r="F264" s="58">
        <v>8505</v>
      </c>
      <c r="G264" s="59" t="s">
        <v>37</v>
      </c>
      <c r="H264" s="60">
        <v>374</v>
      </c>
      <c r="I264" s="49">
        <f t="shared" si="16"/>
        <v>3180870</v>
      </c>
      <c r="J264" s="538">
        <v>368</v>
      </c>
      <c r="K264" s="532">
        <f t="shared" si="17"/>
        <v>6</v>
      </c>
      <c r="L264" s="533">
        <f t="shared" si="18"/>
        <v>51030</v>
      </c>
      <c r="M264" s="534">
        <f t="shared" si="19"/>
        <v>1.6042780748663103E-2</v>
      </c>
      <c r="N264" s="64" t="s">
        <v>20</v>
      </c>
      <c r="O264" s="81" t="s">
        <v>39</v>
      </c>
    </row>
    <row r="265" spans="1:15">
      <c r="A265" s="71">
        <v>2023</v>
      </c>
      <c r="B265" s="59" t="s">
        <v>464</v>
      </c>
      <c r="C265" s="63" t="s">
        <v>471</v>
      </c>
      <c r="D265" s="82" t="s">
        <v>35</v>
      </c>
      <c r="E265" s="57" t="s">
        <v>474</v>
      </c>
      <c r="F265" s="58">
        <v>530</v>
      </c>
      <c r="G265" s="59" t="s">
        <v>37</v>
      </c>
      <c r="H265" s="60">
        <v>374</v>
      </c>
      <c r="I265" s="49">
        <f t="shared" si="16"/>
        <v>198220</v>
      </c>
      <c r="J265" s="538">
        <v>368</v>
      </c>
      <c r="K265" s="532">
        <f t="shared" si="17"/>
        <v>6</v>
      </c>
      <c r="L265" s="533">
        <f t="shared" si="18"/>
        <v>3180</v>
      </c>
      <c r="M265" s="537">
        <f t="shared" si="19"/>
        <v>1.6042780748663103E-2</v>
      </c>
      <c r="N265" s="64" t="s">
        <v>20</v>
      </c>
      <c r="O265" s="81" t="s">
        <v>39</v>
      </c>
    </row>
    <row r="266" spans="1:15">
      <c r="A266" s="71">
        <v>2023</v>
      </c>
      <c r="B266" s="59" t="s">
        <v>464</v>
      </c>
      <c r="C266" s="63" t="s">
        <v>471</v>
      </c>
      <c r="D266" s="82" t="s">
        <v>35</v>
      </c>
      <c r="E266" s="57" t="s">
        <v>475</v>
      </c>
      <c r="F266" s="58">
        <v>1674</v>
      </c>
      <c r="G266" s="59" t="s">
        <v>37</v>
      </c>
      <c r="H266" s="60">
        <v>374</v>
      </c>
      <c r="I266" s="49">
        <f t="shared" si="16"/>
        <v>626076</v>
      </c>
      <c r="J266" s="538">
        <v>368</v>
      </c>
      <c r="K266" s="532">
        <f t="shared" si="17"/>
        <v>6</v>
      </c>
      <c r="L266" s="533">
        <f t="shared" si="18"/>
        <v>10044</v>
      </c>
      <c r="M266" s="537">
        <f t="shared" si="19"/>
        <v>1.6042780748663103E-2</v>
      </c>
      <c r="N266" s="64" t="s">
        <v>20</v>
      </c>
      <c r="O266" s="81" t="s">
        <v>39</v>
      </c>
    </row>
    <row r="267" spans="1:15">
      <c r="A267" s="71">
        <v>2023</v>
      </c>
      <c r="B267" s="59" t="s">
        <v>464</v>
      </c>
      <c r="C267" s="63" t="s">
        <v>471</v>
      </c>
      <c r="D267" s="82" t="s">
        <v>35</v>
      </c>
      <c r="E267" s="57" t="s">
        <v>476</v>
      </c>
      <c r="F267" s="58">
        <v>481</v>
      </c>
      <c r="G267" s="59" t="s">
        <v>37</v>
      </c>
      <c r="H267" s="60">
        <v>374</v>
      </c>
      <c r="I267" s="49">
        <f t="shared" si="16"/>
        <v>179894</v>
      </c>
      <c r="J267" s="538">
        <v>368</v>
      </c>
      <c r="K267" s="532">
        <f t="shared" si="17"/>
        <v>6</v>
      </c>
      <c r="L267" s="533">
        <f t="shared" si="18"/>
        <v>2886</v>
      </c>
      <c r="M267" s="534">
        <f t="shared" si="19"/>
        <v>1.6042780748663103E-2</v>
      </c>
      <c r="N267" s="64" t="s">
        <v>20</v>
      </c>
      <c r="O267" s="81" t="s">
        <v>39</v>
      </c>
    </row>
    <row r="268" spans="1:15">
      <c r="A268" s="71">
        <v>2023</v>
      </c>
      <c r="B268" s="59" t="s">
        <v>464</v>
      </c>
      <c r="C268" s="63" t="s">
        <v>471</v>
      </c>
      <c r="D268" s="82" t="s">
        <v>35</v>
      </c>
      <c r="E268" s="57" t="s">
        <v>477</v>
      </c>
      <c r="F268" s="58">
        <v>1234</v>
      </c>
      <c r="G268" s="59" t="s">
        <v>37</v>
      </c>
      <c r="H268" s="60">
        <v>374</v>
      </c>
      <c r="I268" s="49">
        <f t="shared" si="16"/>
        <v>461516</v>
      </c>
      <c r="J268" s="538">
        <v>368</v>
      </c>
      <c r="K268" s="532">
        <f t="shared" si="17"/>
        <v>6</v>
      </c>
      <c r="L268" s="533">
        <f t="shared" si="18"/>
        <v>7404</v>
      </c>
      <c r="M268" s="537">
        <f t="shared" si="19"/>
        <v>1.6042780748663103E-2</v>
      </c>
      <c r="N268" s="64" t="s">
        <v>20</v>
      </c>
      <c r="O268" s="81" t="s">
        <v>39</v>
      </c>
    </row>
    <row r="269" spans="1:15">
      <c r="A269" s="71">
        <v>2023</v>
      </c>
      <c r="B269" s="59" t="s">
        <v>464</v>
      </c>
      <c r="C269" s="63" t="s">
        <v>471</v>
      </c>
      <c r="D269" s="82" t="s">
        <v>35</v>
      </c>
      <c r="E269" s="57" t="s">
        <v>478</v>
      </c>
      <c r="F269" s="58">
        <v>223</v>
      </c>
      <c r="G269" s="59" t="s">
        <v>37</v>
      </c>
      <c r="H269" s="60">
        <v>374</v>
      </c>
      <c r="I269" s="49">
        <f t="shared" si="16"/>
        <v>83402</v>
      </c>
      <c r="J269" s="538">
        <v>368</v>
      </c>
      <c r="K269" s="532">
        <f t="shared" si="17"/>
        <v>6</v>
      </c>
      <c r="L269" s="533">
        <f t="shared" si="18"/>
        <v>1338</v>
      </c>
      <c r="M269" s="534">
        <f t="shared" si="19"/>
        <v>1.6042780748663103E-2</v>
      </c>
      <c r="N269" s="64" t="s">
        <v>20</v>
      </c>
      <c r="O269" s="81" t="s">
        <v>39</v>
      </c>
    </row>
    <row r="270" spans="1:15">
      <c r="A270" s="71">
        <v>2023</v>
      </c>
      <c r="B270" s="59" t="s">
        <v>464</v>
      </c>
      <c r="C270" s="63" t="s">
        <v>471</v>
      </c>
      <c r="D270" s="82" t="s">
        <v>35</v>
      </c>
      <c r="E270" s="57" t="s">
        <v>479</v>
      </c>
      <c r="F270" s="58">
        <v>1696</v>
      </c>
      <c r="G270" s="59" t="s">
        <v>37</v>
      </c>
      <c r="H270" s="60">
        <v>374</v>
      </c>
      <c r="I270" s="49">
        <f t="shared" si="16"/>
        <v>634304</v>
      </c>
      <c r="J270" s="538">
        <v>368</v>
      </c>
      <c r="K270" s="532">
        <f t="shared" si="17"/>
        <v>6</v>
      </c>
      <c r="L270" s="533">
        <f t="shared" si="18"/>
        <v>10176</v>
      </c>
      <c r="M270" s="534">
        <f t="shared" si="19"/>
        <v>1.6042780748663103E-2</v>
      </c>
      <c r="N270" s="64" t="s">
        <v>20</v>
      </c>
      <c r="O270" s="81" t="s">
        <v>39</v>
      </c>
    </row>
    <row r="271" spans="1:15">
      <c r="A271" s="71">
        <v>2023</v>
      </c>
      <c r="B271" s="59" t="s">
        <v>464</v>
      </c>
      <c r="C271" s="63" t="s">
        <v>471</v>
      </c>
      <c r="D271" s="82" t="s">
        <v>35</v>
      </c>
      <c r="E271" s="57" t="s">
        <v>480</v>
      </c>
      <c r="F271" s="58">
        <v>980</v>
      </c>
      <c r="G271" s="59" t="s">
        <v>37</v>
      </c>
      <c r="H271" s="60">
        <v>374</v>
      </c>
      <c r="I271" s="49">
        <f t="shared" si="16"/>
        <v>366520</v>
      </c>
      <c r="J271" s="538">
        <v>368</v>
      </c>
      <c r="K271" s="532">
        <f t="shared" si="17"/>
        <v>6</v>
      </c>
      <c r="L271" s="533">
        <f t="shared" si="18"/>
        <v>5880</v>
      </c>
      <c r="M271" s="537">
        <f t="shared" si="19"/>
        <v>1.6042780748663103E-2</v>
      </c>
      <c r="N271" s="64" t="s">
        <v>20</v>
      </c>
      <c r="O271" s="81" t="s">
        <v>39</v>
      </c>
    </row>
    <row r="272" spans="1:15">
      <c r="A272" s="71">
        <v>2023</v>
      </c>
      <c r="B272" s="59" t="s">
        <v>464</v>
      </c>
      <c r="C272" s="63" t="s">
        <v>471</v>
      </c>
      <c r="D272" s="82" t="s">
        <v>35</v>
      </c>
      <c r="E272" s="57" t="s">
        <v>481</v>
      </c>
      <c r="F272" s="58">
        <v>1100</v>
      </c>
      <c r="G272" s="59" t="s">
        <v>37</v>
      </c>
      <c r="H272" s="60">
        <v>374</v>
      </c>
      <c r="I272" s="49">
        <f t="shared" si="16"/>
        <v>411400</v>
      </c>
      <c r="J272" s="538">
        <v>368</v>
      </c>
      <c r="K272" s="532">
        <f t="shared" si="17"/>
        <v>6</v>
      </c>
      <c r="L272" s="533">
        <f t="shared" si="18"/>
        <v>6600</v>
      </c>
      <c r="M272" s="537">
        <f t="shared" si="19"/>
        <v>1.6042780748663103E-2</v>
      </c>
      <c r="N272" s="64" t="s">
        <v>20</v>
      </c>
      <c r="O272" s="81" t="s">
        <v>39</v>
      </c>
    </row>
    <row r="273" spans="1:15">
      <c r="A273" s="71">
        <v>2023</v>
      </c>
      <c r="B273" s="59" t="s">
        <v>464</v>
      </c>
      <c r="C273" s="63" t="s">
        <v>471</v>
      </c>
      <c r="D273" s="82" t="s">
        <v>35</v>
      </c>
      <c r="E273" s="57" t="s">
        <v>482</v>
      </c>
      <c r="F273" s="58">
        <v>174</v>
      </c>
      <c r="G273" s="59" t="s">
        <v>37</v>
      </c>
      <c r="H273" s="60">
        <v>374</v>
      </c>
      <c r="I273" s="49">
        <f t="shared" si="16"/>
        <v>65076</v>
      </c>
      <c r="J273" s="538">
        <v>368</v>
      </c>
      <c r="K273" s="532">
        <f t="shared" si="17"/>
        <v>6</v>
      </c>
      <c r="L273" s="533">
        <f t="shared" si="18"/>
        <v>1044</v>
      </c>
      <c r="M273" s="537">
        <f t="shared" si="19"/>
        <v>1.6042780748663103E-2</v>
      </c>
      <c r="N273" s="64" t="s">
        <v>20</v>
      </c>
      <c r="O273" s="81" t="s">
        <v>39</v>
      </c>
    </row>
    <row r="274" spans="1:15">
      <c r="A274" s="71">
        <v>2023</v>
      </c>
      <c r="B274" s="59" t="s">
        <v>464</v>
      </c>
      <c r="C274" s="63" t="s">
        <v>471</v>
      </c>
      <c r="D274" s="82" t="s">
        <v>35</v>
      </c>
      <c r="E274" s="48" t="s">
        <v>483</v>
      </c>
      <c r="F274" s="58">
        <v>880</v>
      </c>
      <c r="G274" s="59" t="s">
        <v>37</v>
      </c>
      <c r="H274" s="60">
        <v>374</v>
      </c>
      <c r="I274" s="49">
        <f t="shared" si="16"/>
        <v>329120</v>
      </c>
      <c r="J274" s="532">
        <v>368</v>
      </c>
      <c r="K274" s="532">
        <f t="shared" si="17"/>
        <v>6</v>
      </c>
      <c r="L274" s="533">
        <f t="shared" si="18"/>
        <v>5280</v>
      </c>
      <c r="M274" s="534">
        <f t="shared" si="19"/>
        <v>1.6042780748663103E-2</v>
      </c>
      <c r="N274" s="64" t="s">
        <v>20</v>
      </c>
      <c r="O274" s="81" t="s">
        <v>39</v>
      </c>
    </row>
    <row r="275" spans="1:15">
      <c r="A275" s="71">
        <v>2023</v>
      </c>
      <c r="B275" s="59" t="s">
        <v>464</v>
      </c>
      <c r="C275" s="63" t="s">
        <v>484</v>
      </c>
      <c r="D275" s="82" t="s">
        <v>35</v>
      </c>
      <c r="E275" s="48" t="s">
        <v>485</v>
      </c>
      <c r="F275" s="58">
        <v>249</v>
      </c>
      <c r="G275" s="59" t="s">
        <v>37</v>
      </c>
      <c r="H275" s="60">
        <v>374</v>
      </c>
      <c r="I275" s="49">
        <f t="shared" si="16"/>
        <v>93126</v>
      </c>
      <c r="J275" s="532">
        <v>368</v>
      </c>
      <c r="K275" s="532">
        <f t="shared" si="17"/>
        <v>6</v>
      </c>
      <c r="L275" s="533">
        <f t="shared" si="18"/>
        <v>1494</v>
      </c>
      <c r="M275" s="534">
        <f t="shared" si="19"/>
        <v>1.6042780748663103E-2</v>
      </c>
      <c r="N275" s="64" t="s">
        <v>38</v>
      </c>
      <c r="O275" s="81" t="s">
        <v>105</v>
      </c>
    </row>
    <row r="276" spans="1:15">
      <c r="A276" s="71">
        <v>2023</v>
      </c>
      <c r="B276" s="59" t="s">
        <v>464</v>
      </c>
      <c r="C276" s="63" t="s">
        <v>484</v>
      </c>
      <c r="D276" s="82" t="s">
        <v>35</v>
      </c>
      <c r="E276" s="48" t="s">
        <v>486</v>
      </c>
      <c r="F276" s="58">
        <v>341</v>
      </c>
      <c r="G276" s="59" t="s">
        <v>37</v>
      </c>
      <c r="H276" s="60">
        <v>374</v>
      </c>
      <c r="I276" s="49">
        <f t="shared" si="16"/>
        <v>127534</v>
      </c>
      <c r="J276" s="532">
        <v>368</v>
      </c>
      <c r="K276" s="532">
        <f t="shared" si="17"/>
        <v>6</v>
      </c>
      <c r="L276" s="533">
        <f t="shared" si="18"/>
        <v>2046</v>
      </c>
      <c r="M276" s="534">
        <f t="shared" si="19"/>
        <v>1.6042780748663103E-2</v>
      </c>
      <c r="N276" s="64" t="s">
        <v>38</v>
      </c>
      <c r="O276" s="81" t="s">
        <v>105</v>
      </c>
    </row>
    <row r="277" spans="1:15">
      <c r="A277" s="71">
        <v>2023</v>
      </c>
      <c r="B277" s="59" t="s">
        <v>464</v>
      </c>
      <c r="C277" s="63" t="s">
        <v>484</v>
      </c>
      <c r="D277" s="82" t="s">
        <v>35</v>
      </c>
      <c r="E277" s="48" t="s">
        <v>487</v>
      </c>
      <c r="F277" s="58">
        <v>600</v>
      </c>
      <c r="G277" s="59" t="s">
        <v>37</v>
      </c>
      <c r="H277" s="60">
        <v>374</v>
      </c>
      <c r="I277" s="49">
        <f t="shared" si="16"/>
        <v>224400</v>
      </c>
      <c r="J277" s="532">
        <v>368</v>
      </c>
      <c r="K277" s="532">
        <f t="shared" si="17"/>
        <v>6</v>
      </c>
      <c r="L277" s="533">
        <f t="shared" si="18"/>
        <v>3600</v>
      </c>
      <c r="M277" s="534">
        <f t="shared" si="19"/>
        <v>1.6042780748663103E-2</v>
      </c>
      <c r="N277" s="64" t="s">
        <v>38</v>
      </c>
      <c r="O277" s="81" t="s">
        <v>105</v>
      </c>
    </row>
    <row r="278" spans="1:15">
      <c r="A278" s="71">
        <v>2023</v>
      </c>
      <c r="B278" s="59" t="s">
        <v>464</v>
      </c>
      <c r="C278" s="63" t="s">
        <v>488</v>
      </c>
      <c r="D278" s="82" t="s">
        <v>118</v>
      </c>
      <c r="E278" s="48" t="s">
        <v>489</v>
      </c>
      <c r="F278" s="58">
        <v>1</v>
      </c>
      <c r="G278" s="59" t="s">
        <v>469</v>
      </c>
      <c r="H278" s="60">
        <v>5000</v>
      </c>
      <c r="I278" s="49">
        <f t="shared" si="16"/>
        <v>5000</v>
      </c>
      <c r="J278" s="532">
        <v>4017.02</v>
      </c>
      <c r="K278" s="532">
        <f t="shared" si="17"/>
        <v>982.98</v>
      </c>
      <c r="L278" s="533">
        <f t="shared" si="18"/>
        <v>982.98</v>
      </c>
      <c r="M278" s="534">
        <f t="shared" si="19"/>
        <v>0.19659599999999999</v>
      </c>
      <c r="N278" s="64" t="s">
        <v>22</v>
      </c>
      <c r="O278" s="81" t="s">
        <v>21</v>
      </c>
    </row>
    <row r="279" spans="1:15">
      <c r="A279" s="71">
        <v>2023</v>
      </c>
      <c r="B279" s="59" t="s">
        <v>464</v>
      </c>
      <c r="C279" s="63" t="s">
        <v>490</v>
      </c>
      <c r="D279" s="82" t="s">
        <v>96</v>
      </c>
      <c r="E279" s="48" t="s">
        <v>491</v>
      </c>
      <c r="F279" s="58">
        <v>10</v>
      </c>
      <c r="G279" s="59" t="s">
        <v>469</v>
      </c>
      <c r="H279" s="60">
        <v>2560</v>
      </c>
      <c r="I279" s="49">
        <f t="shared" si="16"/>
        <v>25600</v>
      </c>
      <c r="J279" s="532">
        <v>2400</v>
      </c>
      <c r="K279" s="532">
        <f t="shared" si="17"/>
        <v>160</v>
      </c>
      <c r="L279" s="533">
        <f t="shared" si="18"/>
        <v>1600</v>
      </c>
      <c r="M279" s="534">
        <f t="shared" si="19"/>
        <v>6.25E-2</v>
      </c>
      <c r="N279" s="64" t="s">
        <v>22</v>
      </c>
      <c r="O279" s="81" t="s">
        <v>21</v>
      </c>
    </row>
    <row r="280" spans="1:15">
      <c r="A280" s="71">
        <v>2023</v>
      </c>
      <c r="B280" s="59" t="s">
        <v>464</v>
      </c>
      <c r="C280" s="63" t="s">
        <v>490</v>
      </c>
      <c r="D280" s="82" t="s">
        <v>96</v>
      </c>
      <c r="E280" s="48" t="s">
        <v>492</v>
      </c>
      <c r="F280" s="58">
        <v>1</v>
      </c>
      <c r="G280" s="59" t="s">
        <v>469</v>
      </c>
      <c r="H280" s="60">
        <v>240</v>
      </c>
      <c r="I280" s="49">
        <f t="shared" si="16"/>
        <v>240</v>
      </c>
      <c r="J280" s="532">
        <v>168</v>
      </c>
      <c r="K280" s="532">
        <f t="shared" si="17"/>
        <v>72</v>
      </c>
      <c r="L280" s="533">
        <f t="shared" si="18"/>
        <v>72</v>
      </c>
      <c r="M280" s="534">
        <f t="shared" si="19"/>
        <v>0.3</v>
      </c>
      <c r="N280" s="64" t="s">
        <v>22</v>
      </c>
      <c r="O280" s="81" t="s">
        <v>21</v>
      </c>
    </row>
    <row r="281" spans="1:15">
      <c r="A281" s="71">
        <v>2023</v>
      </c>
      <c r="B281" s="59" t="s">
        <v>464</v>
      </c>
      <c r="C281" s="63" t="s">
        <v>493</v>
      </c>
      <c r="D281" s="440" t="s">
        <v>494</v>
      </c>
      <c r="E281" s="48" t="s">
        <v>495</v>
      </c>
      <c r="F281" s="58">
        <v>1</v>
      </c>
      <c r="G281" s="59" t="s">
        <v>469</v>
      </c>
      <c r="H281" s="60">
        <v>31600</v>
      </c>
      <c r="I281" s="49">
        <f t="shared" si="16"/>
        <v>31600</v>
      </c>
      <c r="J281" s="532">
        <v>26890</v>
      </c>
      <c r="K281" s="532">
        <f t="shared" si="17"/>
        <v>4710</v>
      </c>
      <c r="L281" s="533">
        <f t="shared" si="18"/>
        <v>4710</v>
      </c>
      <c r="M281" s="534">
        <f t="shared" si="19"/>
        <v>0.14905063291139239</v>
      </c>
      <c r="N281" s="64" t="s">
        <v>22</v>
      </c>
      <c r="O281" s="81" t="s">
        <v>21</v>
      </c>
    </row>
    <row r="282" spans="1:15">
      <c r="A282" s="71">
        <v>2023</v>
      </c>
      <c r="B282" s="59" t="s">
        <v>464</v>
      </c>
      <c r="C282" s="63" t="s">
        <v>496</v>
      </c>
      <c r="D282" s="134" t="s">
        <v>497</v>
      </c>
      <c r="E282" s="48" t="s">
        <v>498</v>
      </c>
      <c r="F282" s="58">
        <v>40000</v>
      </c>
      <c r="G282" s="59" t="s">
        <v>499</v>
      </c>
      <c r="H282" s="60">
        <v>112.75</v>
      </c>
      <c r="I282" s="49">
        <f t="shared" si="16"/>
        <v>4510000</v>
      </c>
      <c r="J282" s="532">
        <v>110.7</v>
      </c>
      <c r="K282" s="532">
        <f t="shared" si="17"/>
        <v>2.0499999999999972</v>
      </c>
      <c r="L282" s="533">
        <f t="shared" si="18"/>
        <v>81999.999999999884</v>
      </c>
      <c r="M282" s="534">
        <f t="shared" si="19"/>
        <v>1.8181818181818157E-2</v>
      </c>
      <c r="N282" s="64" t="s">
        <v>22</v>
      </c>
      <c r="O282" s="81" t="s">
        <v>39</v>
      </c>
    </row>
    <row r="283" spans="1:15">
      <c r="A283" s="71">
        <v>2023</v>
      </c>
      <c r="B283" s="59" t="s">
        <v>464</v>
      </c>
      <c r="C283" s="63" t="s">
        <v>500</v>
      </c>
      <c r="D283" s="440" t="s">
        <v>501</v>
      </c>
      <c r="E283" s="48" t="s">
        <v>502</v>
      </c>
      <c r="F283" s="58">
        <v>120000</v>
      </c>
      <c r="G283" s="59" t="s">
        <v>499</v>
      </c>
      <c r="H283" s="60">
        <v>101.4</v>
      </c>
      <c r="I283" s="49">
        <f t="shared" si="16"/>
        <v>12168000</v>
      </c>
      <c r="J283" s="532">
        <v>100.5</v>
      </c>
      <c r="K283" s="532">
        <f t="shared" si="17"/>
        <v>0.90000000000000568</v>
      </c>
      <c r="L283" s="533">
        <f t="shared" si="18"/>
        <v>108000.00000000068</v>
      </c>
      <c r="M283" s="534">
        <f t="shared" si="19"/>
        <v>8.8757396449704699E-3</v>
      </c>
      <c r="N283" s="64" t="s">
        <v>22</v>
      </c>
      <c r="O283" s="81" t="s">
        <v>39</v>
      </c>
    </row>
    <row r="284" spans="1:15">
      <c r="A284" s="71">
        <v>2023</v>
      </c>
      <c r="B284" s="59" t="s">
        <v>464</v>
      </c>
      <c r="C284" s="63" t="s">
        <v>500</v>
      </c>
      <c r="D284" s="440" t="s">
        <v>501</v>
      </c>
      <c r="E284" s="48" t="s">
        <v>503</v>
      </c>
      <c r="F284" s="58">
        <v>80000</v>
      </c>
      <c r="G284" s="59" t="s">
        <v>499</v>
      </c>
      <c r="H284" s="60">
        <v>141.4</v>
      </c>
      <c r="I284" s="49">
        <f t="shared" si="16"/>
        <v>11312000</v>
      </c>
      <c r="J284" s="532">
        <v>128.4</v>
      </c>
      <c r="K284" s="532">
        <f t="shared" si="17"/>
        <v>13</v>
      </c>
      <c r="L284" s="533">
        <f t="shared" si="18"/>
        <v>1040000</v>
      </c>
      <c r="M284" s="534">
        <f t="shared" si="19"/>
        <v>9.1937765205091934E-2</v>
      </c>
      <c r="N284" s="64" t="s">
        <v>22</v>
      </c>
      <c r="O284" s="81" t="s">
        <v>39</v>
      </c>
    </row>
    <row r="285" spans="1:15">
      <c r="A285" s="71">
        <v>2023</v>
      </c>
      <c r="B285" s="59" t="s">
        <v>464</v>
      </c>
      <c r="C285" s="63" t="s">
        <v>504</v>
      </c>
      <c r="D285" s="82" t="s">
        <v>505</v>
      </c>
      <c r="E285" s="48" t="s">
        <v>506</v>
      </c>
      <c r="F285" s="58">
        <v>10</v>
      </c>
      <c r="G285" s="59" t="s">
        <v>469</v>
      </c>
      <c r="H285" s="60">
        <v>1590</v>
      </c>
      <c r="I285" s="49">
        <f t="shared" si="16"/>
        <v>15900</v>
      </c>
      <c r="J285" s="532">
        <v>1290</v>
      </c>
      <c r="K285" s="532">
        <f t="shared" si="17"/>
        <v>300</v>
      </c>
      <c r="L285" s="533">
        <f t="shared" si="18"/>
        <v>3000</v>
      </c>
      <c r="M285" s="534">
        <f t="shared" si="19"/>
        <v>0.18867924528301888</v>
      </c>
      <c r="N285" s="64" t="s">
        <v>22</v>
      </c>
      <c r="O285" s="81" t="s">
        <v>21</v>
      </c>
    </row>
    <row r="286" spans="1:15">
      <c r="A286" s="71">
        <v>2023</v>
      </c>
      <c r="B286" s="59" t="s">
        <v>464</v>
      </c>
      <c r="C286" s="63" t="s">
        <v>504</v>
      </c>
      <c r="D286" s="82" t="s">
        <v>505</v>
      </c>
      <c r="E286" s="48" t="s">
        <v>507</v>
      </c>
      <c r="F286" s="58">
        <v>10</v>
      </c>
      <c r="G286" s="59" t="s">
        <v>469</v>
      </c>
      <c r="H286" s="60">
        <v>750</v>
      </c>
      <c r="I286" s="49">
        <f t="shared" si="16"/>
        <v>7500</v>
      </c>
      <c r="J286" s="532">
        <v>450</v>
      </c>
      <c r="K286" s="532">
        <f t="shared" si="17"/>
        <v>300</v>
      </c>
      <c r="L286" s="533">
        <f t="shared" si="18"/>
        <v>3000</v>
      </c>
      <c r="M286" s="534">
        <f t="shared" si="19"/>
        <v>0.4</v>
      </c>
      <c r="N286" s="64" t="s">
        <v>22</v>
      </c>
      <c r="O286" s="81" t="s">
        <v>21</v>
      </c>
    </row>
    <row r="287" spans="1:15">
      <c r="A287" s="71">
        <v>2023</v>
      </c>
      <c r="B287" s="59" t="s">
        <v>464</v>
      </c>
      <c r="C287" s="63" t="s">
        <v>508</v>
      </c>
      <c r="D287" s="440" t="s">
        <v>398</v>
      </c>
      <c r="E287" s="48" t="s">
        <v>509</v>
      </c>
      <c r="F287" s="58">
        <v>18</v>
      </c>
      <c r="G287" s="59" t="s">
        <v>469</v>
      </c>
      <c r="H287" s="60">
        <v>1000</v>
      </c>
      <c r="I287" s="49">
        <f t="shared" si="16"/>
        <v>18000</v>
      </c>
      <c r="J287" s="532">
        <v>830</v>
      </c>
      <c r="K287" s="532">
        <f t="shared" si="17"/>
        <v>170</v>
      </c>
      <c r="L287" s="533">
        <f t="shared" si="18"/>
        <v>3060</v>
      </c>
      <c r="M287" s="534">
        <f t="shared" si="19"/>
        <v>0.17</v>
      </c>
      <c r="N287" s="64" t="s">
        <v>38</v>
      </c>
      <c r="O287" s="81" t="s">
        <v>21</v>
      </c>
    </row>
    <row r="288" spans="1:15">
      <c r="A288" s="71">
        <v>2023</v>
      </c>
      <c r="B288" s="59" t="s">
        <v>464</v>
      </c>
      <c r="C288" s="63" t="s">
        <v>510</v>
      </c>
      <c r="D288" s="82" t="s">
        <v>511</v>
      </c>
      <c r="E288" s="48" t="s">
        <v>512</v>
      </c>
      <c r="F288" s="58">
        <v>1</v>
      </c>
      <c r="G288" s="59" t="s">
        <v>469</v>
      </c>
      <c r="H288" s="60">
        <v>30000</v>
      </c>
      <c r="I288" s="49">
        <f t="shared" si="16"/>
        <v>30000</v>
      </c>
      <c r="J288" s="532">
        <v>28500</v>
      </c>
      <c r="K288" s="532">
        <f t="shared" si="17"/>
        <v>1500</v>
      </c>
      <c r="L288" s="533">
        <f t="shared" si="18"/>
        <v>1500</v>
      </c>
      <c r="M288" s="534">
        <f t="shared" si="19"/>
        <v>0.05</v>
      </c>
      <c r="N288" s="64" t="s">
        <v>38</v>
      </c>
      <c r="O288" s="81" t="s">
        <v>21</v>
      </c>
    </row>
    <row r="289" spans="1:15">
      <c r="A289" s="71">
        <v>2023</v>
      </c>
      <c r="B289" s="59" t="s">
        <v>464</v>
      </c>
      <c r="C289" s="63" t="s">
        <v>513</v>
      </c>
      <c r="D289" s="82" t="s">
        <v>514</v>
      </c>
      <c r="E289" s="48" t="s">
        <v>515</v>
      </c>
      <c r="F289" s="58">
        <v>600</v>
      </c>
      <c r="G289" s="59" t="s">
        <v>499</v>
      </c>
      <c r="H289" s="60">
        <v>64</v>
      </c>
      <c r="I289" s="49">
        <f t="shared" si="16"/>
        <v>38400</v>
      </c>
      <c r="J289" s="532">
        <v>55</v>
      </c>
      <c r="K289" s="532">
        <f t="shared" si="17"/>
        <v>9</v>
      </c>
      <c r="L289" s="533">
        <f t="shared" si="18"/>
        <v>5400</v>
      </c>
      <c r="M289" s="534">
        <f t="shared" si="19"/>
        <v>0.140625</v>
      </c>
      <c r="N289" s="64" t="s">
        <v>22</v>
      </c>
      <c r="O289" s="81" t="s">
        <v>21</v>
      </c>
    </row>
    <row r="290" spans="1:15">
      <c r="A290" s="71">
        <v>2023</v>
      </c>
      <c r="B290" s="59" t="s">
        <v>464</v>
      </c>
      <c r="C290" s="63" t="s">
        <v>516</v>
      </c>
      <c r="D290" s="82" t="s">
        <v>17</v>
      </c>
      <c r="E290" s="48" t="s">
        <v>268</v>
      </c>
      <c r="F290" s="58">
        <v>12</v>
      </c>
      <c r="G290" s="59" t="s">
        <v>469</v>
      </c>
      <c r="H290" s="60">
        <v>49</v>
      </c>
      <c r="I290" s="49">
        <f t="shared" si="16"/>
        <v>588</v>
      </c>
      <c r="J290" s="532">
        <v>38.5</v>
      </c>
      <c r="K290" s="532">
        <f t="shared" si="17"/>
        <v>10.5</v>
      </c>
      <c r="L290" s="533">
        <f t="shared" si="18"/>
        <v>126</v>
      </c>
      <c r="M290" s="534">
        <f t="shared" si="19"/>
        <v>0.21428571428571427</v>
      </c>
      <c r="N290" s="64" t="s">
        <v>22</v>
      </c>
      <c r="O290" s="81" t="s">
        <v>21</v>
      </c>
    </row>
    <row r="291" spans="1:15">
      <c r="A291" s="71">
        <v>2023</v>
      </c>
      <c r="B291" s="59" t="s">
        <v>464</v>
      </c>
      <c r="C291" s="63" t="s">
        <v>517</v>
      </c>
      <c r="D291" s="440" t="s">
        <v>518</v>
      </c>
      <c r="E291" s="48" t="s">
        <v>519</v>
      </c>
      <c r="F291" s="58">
        <v>1</v>
      </c>
      <c r="G291" s="59" t="s">
        <v>469</v>
      </c>
      <c r="H291" s="60">
        <v>88500</v>
      </c>
      <c r="I291" s="49">
        <f t="shared" si="16"/>
        <v>88500</v>
      </c>
      <c r="J291" s="532">
        <v>70800</v>
      </c>
      <c r="K291" s="532">
        <f t="shared" si="17"/>
        <v>17700</v>
      </c>
      <c r="L291" s="533">
        <f t="shared" si="18"/>
        <v>17700</v>
      </c>
      <c r="M291" s="534">
        <f t="shared" si="19"/>
        <v>0.2</v>
      </c>
      <c r="N291" s="64" t="s">
        <v>22</v>
      </c>
      <c r="O291" s="81" t="s">
        <v>21</v>
      </c>
    </row>
    <row r="292" spans="1:15">
      <c r="A292" s="71">
        <v>2023</v>
      </c>
      <c r="B292" s="59" t="s">
        <v>464</v>
      </c>
      <c r="C292" s="63" t="s">
        <v>517</v>
      </c>
      <c r="D292" s="82" t="s">
        <v>518</v>
      </c>
      <c r="E292" s="48" t="s">
        <v>520</v>
      </c>
      <c r="F292" s="58">
        <v>1</v>
      </c>
      <c r="G292" s="59" t="s">
        <v>469</v>
      </c>
      <c r="H292" s="60">
        <v>85000</v>
      </c>
      <c r="I292" s="49">
        <f t="shared" si="16"/>
        <v>85000</v>
      </c>
      <c r="J292" s="532">
        <v>65200</v>
      </c>
      <c r="K292" s="532">
        <f t="shared" si="17"/>
        <v>19800</v>
      </c>
      <c r="L292" s="533">
        <f t="shared" si="18"/>
        <v>19800</v>
      </c>
      <c r="M292" s="534">
        <f t="shared" si="19"/>
        <v>0.23294117647058823</v>
      </c>
      <c r="N292" s="64" t="s">
        <v>22</v>
      </c>
      <c r="O292" s="81" t="s">
        <v>21</v>
      </c>
    </row>
    <row r="293" spans="1:15">
      <c r="A293" s="71">
        <v>2023</v>
      </c>
      <c r="B293" s="59" t="s">
        <v>464</v>
      </c>
      <c r="C293" s="63" t="s">
        <v>521</v>
      </c>
      <c r="D293" s="440" t="s">
        <v>522</v>
      </c>
      <c r="E293" s="48" t="s">
        <v>523</v>
      </c>
      <c r="F293" s="58">
        <v>1</v>
      </c>
      <c r="G293" s="59" t="s">
        <v>59</v>
      </c>
      <c r="H293" s="60">
        <v>358601.6</v>
      </c>
      <c r="I293" s="49">
        <f t="shared" si="16"/>
        <v>358601.6</v>
      </c>
      <c r="J293" s="532">
        <v>340000</v>
      </c>
      <c r="K293" s="532">
        <f t="shared" si="17"/>
        <v>18601.599999999977</v>
      </c>
      <c r="L293" s="533">
        <f t="shared" si="18"/>
        <v>18601.599999999977</v>
      </c>
      <c r="M293" s="534">
        <f t="shared" si="19"/>
        <v>5.1872607372638546E-2</v>
      </c>
      <c r="N293" s="64" t="s">
        <v>38</v>
      </c>
      <c r="O293" s="81" t="s">
        <v>21</v>
      </c>
    </row>
    <row r="294" spans="1:15">
      <c r="A294" s="71">
        <v>2023</v>
      </c>
      <c r="B294" s="59" t="s">
        <v>464</v>
      </c>
      <c r="C294" s="63" t="s">
        <v>524</v>
      </c>
      <c r="D294" s="82" t="s">
        <v>398</v>
      </c>
      <c r="E294" s="48" t="s">
        <v>525</v>
      </c>
      <c r="F294" s="58">
        <v>1</v>
      </c>
      <c r="G294" s="59" t="s">
        <v>59</v>
      </c>
      <c r="H294" s="60">
        <v>234300</v>
      </c>
      <c r="I294" s="49">
        <f t="shared" si="16"/>
        <v>234300</v>
      </c>
      <c r="J294" s="532">
        <v>225000</v>
      </c>
      <c r="K294" s="532">
        <f t="shared" si="17"/>
        <v>9300</v>
      </c>
      <c r="L294" s="533">
        <f t="shared" si="18"/>
        <v>9300</v>
      </c>
      <c r="M294" s="534">
        <f t="shared" si="19"/>
        <v>3.9692701664532648E-2</v>
      </c>
      <c r="N294" s="64" t="s">
        <v>38</v>
      </c>
      <c r="O294" s="81" t="s">
        <v>21</v>
      </c>
    </row>
    <row r="295" spans="1:15">
      <c r="A295" s="71">
        <v>2023</v>
      </c>
      <c r="B295" s="59" t="s">
        <v>464</v>
      </c>
      <c r="C295" s="63" t="s">
        <v>526</v>
      </c>
      <c r="D295" s="82" t="s">
        <v>527</v>
      </c>
      <c r="E295" s="48" t="s">
        <v>528</v>
      </c>
      <c r="F295" s="58">
        <v>1</v>
      </c>
      <c r="G295" s="59" t="s">
        <v>59</v>
      </c>
      <c r="H295" s="60">
        <v>810000</v>
      </c>
      <c r="I295" s="49">
        <f t="shared" si="16"/>
        <v>810000</v>
      </c>
      <c r="J295" s="532">
        <v>620000</v>
      </c>
      <c r="K295" s="532">
        <f t="shared" si="17"/>
        <v>190000</v>
      </c>
      <c r="L295" s="533">
        <f t="shared" si="18"/>
        <v>190000</v>
      </c>
      <c r="M295" s="534">
        <f t="shared" si="19"/>
        <v>0.23456790123456789</v>
      </c>
      <c r="N295" s="64" t="s">
        <v>38</v>
      </c>
      <c r="O295" s="81" t="s">
        <v>21</v>
      </c>
    </row>
    <row r="296" spans="1:15">
      <c r="A296" s="71">
        <v>2023</v>
      </c>
      <c r="B296" s="59" t="s">
        <v>464</v>
      </c>
      <c r="C296" s="63" t="s">
        <v>529</v>
      </c>
      <c r="D296" s="82" t="s">
        <v>530</v>
      </c>
      <c r="E296" s="48" t="s">
        <v>531</v>
      </c>
      <c r="F296" s="58">
        <v>1</v>
      </c>
      <c r="G296" s="59" t="s">
        <v>59</v>
      </c>
      <c r="H296" s="60">
        <v>17800</v>
      </c>
      <c r="I296" s="49">
        <f t="shared" si="16"/>
        <v>17800</v>
      </c>
      <c r="J296" s="532">
        <v>17300</v>
      </c>
      <c r="K296" s="532">
        <f t="shared" si="17"/>
        <v>500</v>
      </c>
      <c r="L296" s="533">
        <f t="shared" si="18"/>
        <v>500</v>
      </c>
      <c r="M296" s="534">
        <f t="shared" si="19"/>
        <v>2.8089887640449437E-2</v>
      </c>
      <c r="N296" s="64" t="s">
        <v>38</v>
      </c>
      <c r="O296" s="81" t="s">
        <v>21</v>
      </c>
    </row>
    <row r="297" spans="1:15">
      <c r="A297" s="71">
        <v>2023</v>
      </c>
      <c r="B297" s="59" t="s">
        <v>464</v>
      </c>
      <c r="C297" s="63" t="s">
        <v>532</v>
      </c>
      <c r="D297" s="440" t="s">
        <v>314</v>
      </c>
      <c r="E297" s="48" t="s">
        <v>533</v>
      </c>
      <c r="F297" s="58">
        <v>1</v>
      </c>
      <c r="G297" s="59" t="s">
        <v>59</v>
      </c>
      <c r="H297" s="60">
        <v>133000</v>
      </c>
      <c r="I297" s="49">
        <f t="shared" si="16"/>
        <v>133000</v>
      </c>
      <c r="J297" s="532">
        <v>126000</v>
      </c>
      <c r="K297" s="532">
        <f t="shared" si="17"/>
        <v>7000</v>
      </c>
      <c r="L297" s="533">
        <f t="shared" si="18"/>
        <v>7000</v>
      </c>
      <c r="M297" s="534">
        <f t="shared" si="19"/>
        <v>5.2631578947368418E-2</v>
      </c>
      <c r="N297" s="64" t="s">
        <v>38</v>
      </c>
      <c r="O297" s="81" t="s">
        <v>21</v>
      </c>
    </row>
    <row r="298" spans="1:15">
      <c r="A298" s="71">
        <v>2023</v>
      </c>
      <c r="B298" s="59" t="s">
        <v>464</v>
      </c>
      <c r="C298" s="63" t="s">
        <v>534</v>
      </c>
      <c r="D298" s="82" t="s">
        <v>35</v>
      </c>
      <c r="E298" s="48" t="s">
        <v>535</v>
      </c>
      <c r="F298" s="58">
        <v>300</v>
      </c>
      <c r="G298" s="59" t="s">
        <v>536</v>
      </c>
      <c r="H298" s="60">
        <v>374</v>
      </c>
      <c r="I298" s="49">
        <f t="shared" si="16"/>
        <v>112200</v>
      </c>
      <c r="J298" s="532">
        <v>372.5</v>
      </c>
      <c r="K298" s="532">
        <f t="shared" si="17"/>
        <v>1.5</v>
      </c>
      <c r="L298" s="533">
        <f t="shared" si="18"/>
        <v>450</v>
      </c>
      <c r="M298" s="534">
        <f t="shared" si="19"/>
        <v>4.0106951871657758E-3</v>
      </c>
      <c r="N298" s="64" t="s">
        <v>38</v>
      </c>
      <c r="O298" s="81" t="s">
        <v>105</v>
      </c>
    </row>
    <row r="299" spans="1:15">
      <c r="A299" s="71">
        <v>2023</v>
      </c>
      <c r="B299" s="59" t="s">
        <v>464</v>
      </c>
      <c r="C299" s="63" t="s">
        <v>534</v>
      </c>
      <c r="D299" s="82" t="s">
        <v>35</v>
      </c>
      <c r="E299" s="48" t="s">
        <v>537</v>
      </c>
      <c r="F299" s="58">
        <v>491</v>
      </c>
      <c r="G299" s="59" t="s">
        <v>37</v>
      </c>
      <c r="H299" s="60">
        <v>374</v>
      </c>
      <c r="I299" s="49">
        <f t="shared" si="16"/>
        <v>183634</v>
      </c>
      <c r="J299" s="532">
        <v>372.5</v>
      </c>
      <c r="K299" s="532">
        <f t="shared" si="17"/>
        <v>1.5</v>
      </c>
      <c r="L299" s="533">
        <f t="shared" si="18"/>
        <v>736.5</v>
      </c>
      <c r="M299" s="534">
        <f t="shared" si="19"/>
        <v>4.0106951871657758E-3</v>
      </c>
      <c r="N299" s="64" t="s">
        <v>38</v>
      </c>
      <c r="O299" s="81" t="s">
        <v>105</v>
      </c>
    </row>
    <row r="300" spans="1:15">
      <c r="A300" s="71">
        <v>2023</v>
      </c>
      <c r="B300" s="59" t="s">
        <v>464</v>
      </c>
      <c r="C300" s="63" t="s">
        <v>538</v>
      </c>
      <c r="D300" s="82" t="s">
        <v>501</v>
      </c>
      <c r="E300" s="48" t="s">
        <v>503</v>
      </c>
      <c r="F300" s="58">
        <v>50000</v>
      </c>
      <c r="G300" s="59" t="s">
        <v>37</v>
      </c>
      <c r="H300" s="60">
        <v>141.4</v>
      </c>
      <c r="I300" s="49">
        <f t="shared" si="16"/>
        <v>7070000</v>
      </c>
      <c r="J300" s="532">
        <v>128.4</v>
      </c>
      <c r="K300" s="532">
        <f t="shared" si="17"/>
        <v>13</v>
      </c>
      <c r="L300" s="533">
        <f t="shared" si="18"/>
        <v>650000</v>
      </c>
      <c r="M300" s="534">
        <f t="shared" si="19"/>
        <v>9.1937765205091934E-2</v>
      </c>
      <c r="N300" s="64" t="s">
        <v>22</v>
      </c>
      <c r="O300" s="81" t="s">
        <v>39</v>
      </c>
    </row>
    <row r="301" spans="1:15">
      <c r="A301" s="71">
        <v>2023</v>
      </c>
      <c r="B301" s="59" t="s">
        <v>464</v>
      </c>
      <c r="C301" s="63" t="s">
        <v>539</v>
      </c>
      <c r="D301" s="440" t="s">
        <v>35</v>
      </c>
      <c r="E301" s="48" t="s">
        <v>540</v>
      </c>
      <c r="F301" s="58">
        <v>672.5</v>
      </c>
      <c r="G301" s="59" t="s">
        <v>37</v>
      </c>
      <c r="H301" s="60">
        <v>374</v>
      </c>
      <c r="I301" s="49">
        <f t="shared" si="16"/>
        <v>251515</v>
      </c>
      <c r="J301" s="532">
        <v>372.5</v>
      </c>
      <c r="K301" s="532">
        <f t="shared" si="17"/>
        <v>1.5</v>
      </c>
      <c r="L301" s="533">
        <f t="shared" si="18"/>
        <v>1008.75</v>
      </c>
      <c r="M301" s="534">
        <f t="shared" si="19"/>
        <v>4.0106951871657758E-3</v>
      </c>
      <c r="N301" s="64" t="s">
        <v>38</v>
      </c>
      <c r="O301" s="81" t="s">
        <v>105</v>
      </c>
    </row>
    <row r="302" spans="1:15">
      <c r="A302" s="71">
        <v>2023</v>
      </c>
      <c r="B302" s="59" t="s">
        <v>464</v>
      </c>
      <c r="C302" s="63" t="s">
        <v>539</v>
      </c>
      <c r="D302" s="440" t="s">
        <v>35</v>
      </c>
      <c r="E302" s="48" t="s">
        <v>541</v>
      </c>
      <c r="F302" s="58">
        <v>656.5</v>
      </c>
      <c r="G302" s="59" t="s">
        <v>37</v>
      </c>
      <c r="H302" s="60">
        <v>374</v>
      </c>
      <c r="I302" s="49">
        <f t="shared" si="16"/>
        <v>245531</v>
      </c>
      <c r="J302" s="532">
        <v>372.5</v>
      </c>
      <c r="K302" s="532">
        <f t="shared" si="17"/>
        <v>1.5</v>
      </c>
      <c r="L302" s="533">
        <f t="shared" si="18"/>
        <v>984.75</v>
      </c>
      <c r="M302" s="534">
        <f t="shared" si="19"/>
        <v>4.0106951871657758E-3</v>
      </c>
      <c r="N302" s="64" t="s">
        <v>38</v>
      </c>
      <c r="O302" s="81" t="s">
        <v>105</v>
      </c>
    </row>
    <row r="303" spans="1:15">
      <c r="A303" s="71">
        <v>2023</v>
      </c>
      <c r="B303" s="59" t="s">
        <v>464</v>
      </c>
      <c r="C303" s="63" t="s">
        <v>539</v>
      </c>
      <c r="D303" s="440" t="s">
        <v>35</v>
      </c>
      <c r="E303" s="48" t="s">
        <v>542</v>
      </c>
      <c r="F303" s="58">
        <v>577.1</v>
      </c>
      <c r="G303" s="59" t="s">
        <v>37</v>
      </c>
      <c r="H303" s="60">
        <v>374</v>
      </c>
      <c r="I303" s="49">
        <f t="shared" si="16"/>
        <v>215835.4</v>
      </c>
      <c r="J303" s="532">
        <v>372.5</v>
      </c>
      <c r="K303" s="532">
        <f t="shared" si="17"/>
        <v>1.5</v>
      </c>
      <c r="L303" s="533">
        <f t="shared" si="18"/>
        <v>865.65000000000009</v>
      </c>
      <c r="M303" s="534">
        <f t="shared" si="19"/>
        <v>4.0106951871657758E-3</v>
      </c>
      <c r="N303" s="64" t="s">
        <v>38</v>
      </c>
      <c r="O303" s="81" t="s">
        <v>105</v>
      </c>
    </row>
    <row r="304" spans="1:15">
      <c r="A304" s="71">
        <v>2023</v>
      </c>
      <c r="B304" s="59" t="s">
        <v>464</v>
      </c>
      <c r="C304" s="63" t="s">
        <v>539</v>
      </c>
      <c r="D304" s="440" t="s">
        <v>35</v>
      </c>
      <c r="E304" s="48" t="s">
        <v>277</v>
      </c>
      <c r="F304" s="58">
        <v>325.10000000000002</v>
      </c>
      <c r="G304" s="59" t="s">
        <v>37</v>
      </c>
      <c r="H304" s="60">
        <v>374</v>
      </c>
      <c r="I304" s="49">
        <f t="shared" si="16"/>
        <v>121587.40000000001</v>
      </c>
      <c r="J304" s="532">
        <v>372.5</v>
      </c>
      <c r="K304" s="532">
        <f t="shared" si="17"/>
        <v>1.5</v>
      </c>
      <c r="L304" s="533">
        <f t="shared" si="18"/>
        <v>487.65000000000003</v>
      </c>
      <c r="M304" s="534">
        <f t="shared" si="19"/>
        <v>4.0106951871657758E-3</v>
      </c>
      <c r="N304" s="64" t="s">
        <v>38</v>
      </c>
      <c r="O304" s="81" t="s">
        <v>105</v>
      </c>
    </row>
    <row r="305" spans="1:15">
      <c r="A305" s="71">
        <v>2023</v>
      </c>
      <c r="B305" s="59" t="s">
        <v>464</v>
      </c>
      <c r="C305" s="63" t="s">
        <v>539</v>
      </c>
      <c r="D305" s="440" t="s">
        <v>35</v>
      </c>
      <c r="E305" s="48" t="s">
        <v>543</v>
      </c>
      <c r="F305" s="58">
        <v>875</v>
      </c>
      <c r="G305" s="59" t="s">
        <v>37</v>
      </c>
      <c r="H305" s="60">
        <v>374</v>
      </c>
      <c r="I305" s="49">
        <f t="shared" si="16"/>
        <v>327250</v>
      </c>
      <c r="J305" s="532">
        <v>372.5</v>
      </c>
      <c r="K305" s="532">
        <f t="shared" si="17"/>
        <v>1.5</v>
      </c>
      <c r="L305" s="533">
        <f t="shared" si="18"/>
        <v>1312.5</v>
      </c>
      <c r="M305" s="534">
        <f t="shared" si="19"/>
        <v>4.0106951871657758E-3</v>
      </c>
      <c r="N305" s="64" t="s">
        <v>38</v>
      </c>
      <c r="O305" s="81" t="s">
        <v>105</v>
      </c>
    </row>
    <row r="306" spans="1:15">
      <c r="A306" s="71">
        <v>2023</v>
      </c>
      <c r="B306" s="59" t="s">
        <v>464</v>
      </c>
      <c r="C306" s="63" t="s">
        <v>539</v>
      </c>
      <c r="D306" s="440" t="s">
        <v>35</v>
      </c>
      <c r="E306" s="48" t="s">
        <v>544</v>
      </c>
      <c r="F306" s="58">
        <v>1215</v>
      </c>
      <c r="G306" s="59" t="s">
        <v>37</v>
      </c>
      <c r="H306" s="60">
        <v>374</v>
      </c>
      <c r="I306" s="49">
        <f t="shared" si="16"/>
        <v>454410</v>
      </c>
      <c r="J306" s="532">
        <v>372.5</v>
      </c>
      <c r="K306" s="532">
        <f t="shared" si="17"/>
        <v>1.5</v>
      </c>
      <c r="L306" s="533">
        <f t="shared" si="18"/>
        <v>1822.5</v>
      </c>
      <c r="M306" s="534">
        <f t="shared" si="19"/>
        <v>4.0106951871657758E-3</v>
      </c>
      <c r="N306" s="64" t="s">
        <v>38</v>
      </c>
      <c r="O306" s="81" t="s">
        <v>105</v>
      </c>
    </row>
    <row r="307" spans="1:15">
      <c r="A307" s="71">
        <v>2023</v>
      </c>
      <c r="B307" s="59" t="s">
        <v>464</v>
      </c>
      <c r="C307" s="63" t="s">
        <v>545</v>
      </c>
      <c r="D307" s="440" t="s">
        <v>27</v>
      </c>
      <c r="E307" s="48" t="s">
        <v>546</v>
      </c>
      <c r="F307" s="58">
        <v>100</v>
      </c>
      <c r="G307" s="59" t="s">
        <v>19</v>
      </c>
      <c r="H307" s="60">
        <v>187</v>
      </c>
      <c r="I307" s="49">
        <f t="shared" si="16"/>
        <v>18700</v>
      </c>
      <c r="J307" s="532">
        <v>183</v>
      </c>
      <c r="K307" s="532">
        <f t="shared" si="17"/>
        <v>4</v>
      </c>
      <c r="L307" s="533">
        <f t="shared" si="18"/>
        <v>400</v>
      </c>
      <c r="M307" s="534">
        <f t="shared" si="19"/>
        <v>2.1390374331550801E-2</v>
      </c>
      <c r="N307" s="64" t="s">
        <v>22</v>
      </c>
      <c r="O307" s="81" t="s">
        <v>105</v>
      </c>
    </row>
    <row r="308" spans="1:15">
      <c r="A308" s="71">
        <v>2023</v>
      </c>
      <c r="B308" s="59" t="s">
        <v>464</v>
      </c>
      <c r="C308" s="63" t="s">
        <v>545</v>
      </c>
      <c r="D308" s="440" t="s">
        <v>27</v>
      </c>
      <c r="E308" s="48" t="s">
        <v>456</v>
      </c>
      <c r="F308" s="58">
        <v>300</v>
      </c>
      <c r="G308" s="59" t="s">
        <v>19</v>
      </c>
      <c r="H308" s="60">
        <v>2.7</v>
      </c>
      <c r="I308" s="49">
        <f t="shared" si="16"/>
        <v>810</v>
      </c>
      <c r="J308" s="532">
        <v>2.4</v>
      </c>
      <c r="K308" s="532">
        <f t="shared" si="17"/>
        <v>0.30000000000000027</v>
      </c>
      <c r="L308" s="533">
        <f t="shared" si="18"/>
        <v>90.000000000000085</v>
      </c>
      <c r="M308" s="534">
        <f t="shared" si="19"/>
        <v>0.1111111111111112</v>
      </c>
      <c r="N308" s="64" t="s">
        <v>22</v>
      </c>
      <c r="O308" s="81" t="s">
        <v>105</v>
      </c>
    </row>
    <row r="309" spans="1:15">
      <c r="A309" s="71">
        <v>2023</v>
      </c>
      <c r="B309" s="59" t="s">
        <v>464</v>
      </c>
      <c r="C309" s="63" t="s">
        <v>547</v>
      </c>
      <c r="D309" s="440" t="s">
        <v>174</v>
      </c>
      <c r="E309" s="48" t="s">
        <v>548</v>
      </c>
      <c r="F309" s="58">
        <v>50</v>
      </c>
      <c r="G309" s="59" t="s">
        <v>19</v>
      </c>
      <c r="H309" s="60">
        <v>450</v>
      </c>
      <c r="I309" s="49">
        <f t="shared" si="16"/>
        <v>22500</v>
      </c>
      <c r="J309" s="532">
        <v>350</v>
      </c>
      <c r="K309" s="532">
        <f t="shared" si="17"/>
        <v>100</v>
      </c>
      <c r="L309" s="533">
        <f t="shared" si="18"/>
        <v>5000</v>
      </c>
      <c r="M309" s="534">
        <f t="shared" si="19"/>
        <v>0.22222222222222221</v>
      </c>
      <c r="N309" s="64" t="s">
        <v>22</v>
      </c>
      <c r="O309" s="81" t="s">
        <v>105</v>
      </c>
    </row>
    <row r="310" spans="1:15">
      <c r="A310" s="71">
        <v>2023</v>
      </c>
      <c r="B310" s="59" t="s">
        <v>464</v>
      </c>
      <c r="C310" s="63" t="s">
        <v>549</v>
      </c>
      <c r="D310" s="440" t="s">
        <v>94</v>
      </c>
      <c r="E310" s="48" t="s">
        <v>550</v>
      </c>
      <c r="F310" s="58">
        <v>200</v>
      </c>
      <c r="G310" s="59" t="s">
        <v>19</v>
      </c>
      <c r="H310" s="60">
        <v>48</v>
      </c>
      <c r="I310" s="49">
        <f t="shared" si="16"/>
        <v>9600</v>
      </c>
      <c r="J310" s="532">
        <v>47.56</v>
      </c>
      <c r="K310" s="532">
        <f t="shared" si="17"/>
        <v>0.43999999999999773</v>
      </c>
      <c r="L310" s="533">
        <f t="shared" si="18"/>
        <v>87.999999999999545</v>
      </c>
      <c r="M310" s="534">
        <f t="shared" si="19"/>
        <v>9.1666666666666199E-3</v>
      </c>
      <c r="N310" s="64" t="s">
        <v>22</v>
      </c>
      <c r="O310" s="81" t="s">
        <v>105</v>
      </c>
    </row>
    <row r="311" spans="1:15">
      <c r="A311" s="71">
        <v>2023</v>
      </c>
      <c r="B311" s="59" t="s">
        <v>464</v>
      </c>
      <c r="C311" s="63" t="s">
        <v>551</v>
      </c>
      <c r="D311" s="440" t="s">
        <v>307</v>
      </c>
      <c r="E311" s="48" t="s">
        <v>308</v>
      </c>
      <c r="F311" s="58">
        <v>10000</v>
      </c>
      <c r="G311" s="59" t="s">
        <v>552</v>
      </c>
      <c r="H311" s="60">
        <v>205</v>
      </c>
      <c r="I311" s="49">
        <f t="shared" si="16"/>
        <v>2050000</v>
      </c>
      <c r="J311" s="532">
        <v>204.5</v>
      </c>
      <c r="K311" s="532">
        <f t="shared" si="17"/>
        <v>0.5</v>
      </c>
      <c r="L311" s="533">
        <f t="shared" si="18"/>
        <v>5000</v>
      </c>
      <c r="M311" s="534">
        <f t="shared" si="19"/>
        <v>2.4390243902439024E-3</v>
      </c>
      <c r="N311" s="64" t="s">
        <v>38</v>
      </c>
      <c r="O311" s="81" t="s">
        <v>105</v>
      </c>
    </row>
    <row r="312" spans="1:15">
      <c r="A312" s="71">
        <v>2023</v>
      </c>
      <c r="B312" s="59" t="s">
        <v>464</v>
      </c>
      <c r="C312" s="63" t="s">
        <v>553</v>
      </c>
      <c r="D312" s="440" t="s">
        <v>68</v>
      </c>
      <c r="E312" s="48" t="s">
        <v>72</v>
      </c>
      <c r="F312" s="58">
        <v>271</v>
      </c>
      <c r="G312" s="59" t="s">
        <v>37</v>
      </c>
      <c r="H312" s="60">
        <v>355</v>
      </c>
      <c r="I312" s="49">
        <f t="shared" si="16"/>
        <v>96205</v>
      </c>
      <c r="J312" s="532">
        <v>354</v>
      </c>
      <c r="K312" s="532">
        <f t="shared" si="17"/>
        <v>1</v>
      </c>
      <c r="L312" s="533">
        <f t="shared" si="18"/>
        <v>271</v>
      </c>
      <c r="M312" s="534">
        <f t="shared" si="19"/>
        <v>2.8169014084507044E-3</v>
      </c>
      <c r="N312" s="64" t="s">
        <v>22</v>
      </c>
      <c r="O312" s="81" t="s">
        <v>105</v>
      </c>
    </row>
    <row r="313" spans="1:15">
      <c r="A313" s="71">
        <v>2023</v>
      </c>
      <c r="B313" s="59" t="s">
        <v>464</v>
      </c>
      <c r="C313" s="63" t="s">
        <v>553</v>
      </c>
      <c r="D313" s="440" t="s">
        <v>68</v>
      </c>
      <c r="E313" s="48" t="s">
        <v>71</v>
      </c>
      <c r="F313" s="58">
        <v>181</v>
      </c>
      <c r="G313" s="59" t="s">
        <v>37</v>
      </c>
      <c r="H313" s="60">
        <v>355</v>
      </c>
      <c r="I313" s="49">
        <f t="shared" si="16"/>
        <v>64255</v>
      </c>
      <c r="J313" s="532">
        <v>354</v>
      </c>
      <c r="K313" s="532">
        <f t="shared" si="17"/>
        <v>1</v>
      </c>
      <c r="L313" s="533">
        <f t="shared" si="18"/>
        <v>181</v>
      </c>
      <c r="M313" s="534">
        <f t="shared" si="19"/>
        <v>2.8169014084507044E-3</v>
      </c>
      <c r="N313" s="64" t="s">
        <v>22</v>
      </c>
      <c r="O313" s="81" t="s">
        <v>105</v>
      </c>
    </row>
    <row r="314" spans="1:15">
      <c r="A314" s="71">
        <v>2023</v>
      </c>
      <c r="B314" s="59" t="s">
        <v>464</v>
      </c>
      <c r="C314" s="63" t="s">
        <v>554</v>
      </c>
      <c r="D314" s="440" t="s">
        <v>35</v>
      </c>
      <c r="E314" s="48" t="s">
        <v>555</v>
      </c>
      <c r="F314" s="58">
        <v>375</v>
      </c>
      <c r="G314" s="59" t="s">
        <v>37</v>
      </c>
      <c r="H314" s="60">
        <v>374</v>
      </c>
      <c r="I314" s="49">
        <f t="shared" si="16"/>
        <v>140250</v>
      </c>
      <c r="J314" s="532">
        <v>373</v>
      </c>
      <c r="K314" s="532">
        <f t="shared" si="17"/>
        <v>1</v>
      </c>
      <c r="L314" s="533">
        <f t="shared" si="18"/>
        <v>375</v>
      </c>
      <c r="M314" s="534">
        <f t="shared" si="19"/>
        <v>2.6737967914438501E-3</v>
      </c>
      <c r="N314" s="64" t="s">
        <v>38</v>
      </c>
      <c r="O314" s="81" t="s">
        <v>105</v>
      </c>
    </row>
    <row r="315" spans="1:15">
      <c r="A315" s="71">
        <v>2023</v>
      </c>
      <c r="B315" s="59" t="s">
        <v>464</v>
      </c>
      <c r="C315" s="63" t="s">
        <v>556</v>
      </c>
      <c r="D315" s="440" t="s">
        <v>35</v>
      </c>
      <c r="E315" s="48" t="s">
        <v>557</v>
      </c>
      <c r="F315" s="58">
        <v>50</v>
      </c>
      <c r="G315" s="59" t="s">
        <v>37</v>
      </c>
      <c r="H315" s="60">
        <v>374</v>
      </c>
      <c r="I315" s="49">
        <f t="shared" si="16"/>
        <v>18700</v>
      </c>
      <c r="J315" s="532">
        <v>373</v>
      </c>
      <c r="K315" s="532">
        <f t="shared" si="17"/>
        <v>1</v>
      </c>
      <c r="L315" s="533">
        <f t="shared" si="18"/>
        <v>50</v>
      </c>
      <c r="M315" s="534">
        <f t="shared" si="19"/>
        <v>2.6737967914438501E-3</v>
      </c>
      <c r="N315" s="64" t="s">
        <v>38</v>
      </c>
      <c r="O315" s="81" t="s">
        <v>105</v>
      </c>
    </row>
    <row r="316" spans="1:15">
      <c r="A316" s="71">
        <v>2023</v>
      </c>
      <c r="B316" s="59" t="s">
        <v>464</v>
      </c>
      <c r="C316" s="63" t="s">
        <v>558</v>
      </c>
      <c r="D316" s="440" t="s">
        <v>35</v>
      </c>
      <c r="E316" s="48" t="s">
        <v>215</v>
      </c>
      <c r="F316" s="58">
        <v>110</v>
      </c>
      <c r="G316" s="59" t="s">
        <v>37</v>
      </c>
      <c r="H316" s="60">
        <v>374</v>
      </c>
      <c r="I316" s="49">
        <f t="shared" si="16"/>
        <v>41140</v>
      </c>
      <c r="J316" s="532">
        <v>373</v>
      </c>
      <c r="K316" s="532">
        <f t="shared" si="17"/>
        <v>1</v>
      </c>
      <c r="L316" s="533">
        <f t="shared" si="18"/>
        <v>110</v>
      </c>
      <c r="M316" s="534">
        <f t="shared" si="19"/>
        <v>2.6737967914438501E-3</v>
      </c>
      <c r="N316" s="64" t="s">
        <v>38</v>
      </c>
      <c r="O316" s="81" t="s">
        <v>105</v>
      </c>
    </row>
    <row r="317" spans="1:15">
      <c r="A317" s="71">
        <v>2023</v>
      </c>
      <c r="B317" s="59" t="s">
        <v>464</v>
      </c>
      <c r="C317" s="63" t="s">
        <v>558</v>
      </c>
      <c r="D317" s="440" t="s">
        <v>35</v>
      </c>
      <c r="E317" s="48" t="s">
        <v>559</v>
      </c>
      <c r="F317" s="58">
        <v>100</v>
      </c>
      <c r="G317" s="59" t="s">
        <v>37</v>
      </c>
      <c r="H317" s="60">
        <v>374</v>
      </c>
      <c r="I317" s="49">
        <f t="shared" si="16"/>
        <v>37400</v>
      </c>
      <c r="J317" s="532">
        <v>373</v>
      </c>
      <c r="K317" s="532">
        <f t="shared" si="17"/>
        <v>1</v>
      </c>
      <c r="L317" s="533">
        <f t="shared" si="18"/>
        <v>100</v>
      </c>
      <c r="M317" s="534">
        <f t="shared" si="19"/>
        <v>2.6737967914438501E-3</v>
      </c>
      <c r="N317" s="64" t="s">
        <v>38</v>
      </c>
      <c r="O317" s="81" t="s">
        <v>105</v>
      </c>
    </row>
    <row r="318" spans="1:15">
      <c r="A318" s="71">
        <v>2023</v>
      </c>
      <c r="B318" s="59" t="s">
        <v>464</v>
      </c>
      <c r="C318" s="63" t="s">
        <v>560</v>
      </c>
      <c r="D318" s="440" t="s">
        <v>192</v>
      </c>
      <c r="E318" s="48" t="s">
        <v>561</v>
      </c>
      <c r="F318" s="58">
        <v>7</v>
      </c>
      <c r="G318" s="59" t="s">
        <v>19</v>
      </c>
      <c r="H318" s="60">
        <v>16960</v>
      </c>
      <c r="I318" s="49">
        <f t="shared" si="16"/>
        <v>118720</v>
      </c>
      <c r="J318" s="532">
        <v>16115</v>
      </c>
      <c r="K318" s="532">
        <f t="shared" si="17"/>
        <v>845</v>
      </c>
      <c r="L318" s="533">
        <f t="shared" si="18"/>
        <v>5915</v>
      </c>
      <c r="M318" s="534">
        <f t="shared" si="19"/>
        <v>4.9823113207547169E-2</v>
      </c>
      <c r="N318" s="64" t="s">
        <v>38</v>
      </c>
      <c r="O318" s="81" t="s">
        <v>105</v>
      </c>
    </row>
    <row r="319" spans="1:15">
      <c r="A319" s="71">
        <v>2023</v>
      </c>
      <c r="B319" s="59" t="s">
        <v>562</v>
      </c>
      <c r="C319" s="63" t="s">
        <v>563</v>
      </c>
      <c r="D319" s="82" t="s">
        <v>107</v>
      </c>
      <c r="E319" s="47" t="s">
        <v>564</v>
      </c>
      <c r="F319" s="58">
        <v>80</v>
      </c>
      <c r="G319" s="59" t="s">
        <v>469</v>
      </c>
      <c r="H319" s="60">
        <v>900</v>
      </c>
      <c r="I319" s="49">
        <f t="shared" si="16"/>
        <v>72000</v>
      </c>
      <c r="J319" s="532">
        <v>840</v>
      </c>
      <c r="K319" s="532">
        <f t="shared" si="17"/>
        <v>60</v>
      </c>
      <c r="L319" s="533">
        <f t="shared" si="18"/>
        <v>4800</v>
      </c>
      <c r="M319" s="534">
        <f t="shared" si="19"/>
        <v>6.6666666666666666E-2</v>
      </c>
      <c r="N319" s="64" t="s">
        <v>22</v>
      </c>
      <c r="O319" s="81" t="s">
        <v>39</v>
      </c>
    </row>
    <row r="320" spans="1:15">
      <c r="A320" s="71">
        <v>2023</v>
      </c>
      <c r="B320" s="59" t="s">
        <v>562</v>
      </c>
      <c r="C320" s="63" t="s">
        <v>565</v>
      </c>
      <c r="D320" s="82" t="s">
        <v>200</v>
      </c>
      <c r="E320" s="47" t="s">
        <v>566</v>
      </c>
      <c r="F320" s="58">
        <v>1</v>
      </c>
      <c r="G320" s="59" t="s">
        <v>469</v>
      </c>
      <c r="H320" s="60">
        <v>22500</v>
      </c>
      <c r="I320" s="49">
        <f t="shared" si="16"/>
        <v>22500</v>
      </c>
      <c r="J320" s="532">
        <v>22000</v>
      </c>
      <c r="K320" s="532">
        <f t="shared" si="17"/>
        <v>500</v>
      </c>
      <c r="L320" s="533">
        <f t="shared" si="18"/>
        <v>500</v>
      </c>
      <c r="M320" s="534">
        <f t="shared" si="19"/>
        <v>2.2222222222222223E-2</v>
      </c>
      <c r="N320" s="64" t="s">
        <v>38</v>
      </c>
      <c r="O320" s="81" t="s">
        <v>39</v>
      </c>
    </row>
    <row r="321" spans="1:15">
      <c r="A321" s="71">
        <v>2023</v>
      </c>
      <c r="B321" s="59" t="s">
        <v>562</v>
      </c>
      <c r="C321" s="63" t="s">
        <v>567</v>
      </c>
      <c r="D321" s="82" t="s">
        <v>527</v>
      </c>
      <c r="E321" s="47" t="s">
        <v>568</v>
      </c>
      <c r="F321" s="58">
        <v>1</v>
      </c>
      <c r="G321" s="59" t="s">
        <v>569</v>
      </c>
      <c r="H321" s="60">
        <v>95600</v>
      </c>
      <c r="I321" s="49">
        <f t="shared" si="16"/>
        <v>95600</v>
      </c>
      <c r="J321" s="518">
        <v>55000</v>
      </c>
      <c r="K321" s="532">
        <f t="shared" si="17"/>
        <v>40600</v>
      </c>
      <c r="L321" s="533">
        <f t="shared" si="18"/>
        <v>40600</v>
      </c>
      <c r="M321" s="534">
        <f t="shared" si="19"/>
        <v>0.42468619246861927</v>
      </c>
      <c r="N321" s="47" t="s">
        <v>22</v>
      </c>
      <c r="O321" s="81" t="s">
        <v>21</v>
      </c>
    </row>
    <row r="322" spans="1:15">
      <c r="A322" s="71">
        <v>2023</v>
      </c>
      <c r="B322" s="59" t="s">
        <v>562</v>
      </c>
      <c r="C322" s="63" t="s">
        <v>570</v>
      </c>
      <c r="D322" s="82" t="s">
        <v>182</v>
      </c>
      <c r="E322" s="47" t="s">
        <v>571</v>
      </c>
      <c r="F322" s="58">
        <v>1</v>
      </c>
      <c r="G322" s="59" t="s">
        <v>469</v>
      </c>
      <c r="H322" s="60">
        <v>1650</v>
      </c>
      <c r="I322" s="49">
        <f t="shared" si="16"/>
        <v>1650</v>
      </c>
      <c r="J322" s="518">
        <v>1320</v>
      </c>
      <c r="K322" s="532">
        <f t="shared" si="17"/>
        <v>330</v>
      </c>
      <c r="L322" s="533">
        <f t="shared" si="18"/>
        <v>330</v>
      </c>
      <c r="M322" s="534">
        <f t="shared" si="19"/>
        <v>0.2</v>
      </c>
      <c r="N322" s="47" t="s">
        <v>22</v>
      </c>
      <c r="O322" s="81" t="s">
        <v>21</v>
      </c>
    </row>
    <row r="323" spans="1:15">
      <c r="A323" s="71">
        <v>2023</v>
      </c>
      <c r="B323" s="59" t="s">
        <v>562</v>
      </c>
      <c r="C323" s="63" t="s">
        <v>572</v>
      </c>
      <c r="D323" s="82" t="s">
        <v>17</v>
      </c>
      <c r="E323" s="47" t="s">
        <v>268</v>
      </c>
      <c r="F323" s="58">
        <v>24</v>
      </c>
      <c r="G323" s="59" t="s">
        <v>469</v>
      </c>
      <c r="H323" s="60">
        <v>49</v>
      </c>
      <c r="I323" s="49">
        <f t="shared" ref="I323:I386" si="20">H323*F323</f>
        <v>1176</v>
      </c>
      <c r="J323" s="518">
        <v>38.5</v>
      </c>
      <c r="K323" s="532">
        <f t="shared" ref="K323:K386" si="21">H323-J323</f>
        <v>10.5</v>
      </c>
      <c r="L323" s="533">
        <f t="shared" ref="L323:L386" si="22">K323*F323</f>
        <v>252</v>
      </c>
      <c r="M323" s="534">
        <f t="shared" ref="M323:M386" si="23">K323/H323</f>
        <v>0.21428571428571427</v>
      </c>
      <c r="N323" s="47" t="s">
        <v>22</v>
      </c>
      <c r="O323" s="81" t="s">
        <v>21</v>
      </c>
    </row>
    <row r="324" spans="1:15">
      <c r="A324" s="71">
        <v>2023</v>
      </c>
      <c r="B324" s="59" t="s">
        <v>562</v>
      </c>
      <c r="C324" s="63" t="s">
        <v>573</v>
      </c>
      <c r="D324" s="82" t="s">
        <v>574</v>
      </c>
      <c r="E324" s="47" t="s">
        <v>575</v>
      </c>
      <c r="F324" s="58">
        <v>1</v>
      </c>
      <c r="G324" s="59" t="s">
        <v>576</v>
      </c>
      <c r="H324" s="60">
        <v>753000</v>
      </c>
      <c r="I324" s="49">
        <f t="shared" si="20"/>
        <v>753000</v>
      </c>
      <c r="J324" s="518">
        <v>733000</v>
      </c>
      <c r="K324" s="532">
        <f t="shared" si="21"/>
        <v>20000</v>
      </c>
      <c r="L324" s="533">
        <f t="shared" si="22"/>
        <v>20000</v>
      </c>
      <c r="M324" s="534">
        <f t="shared" si="23"/>
        <v>2.6560424966799469E-2</v>
      </c>
      <c r="N324" s="47" t="s">
        <v>22</v>
      </c>
      <c r="O324" s="81" t="s">
        <v>21</v>
      </c>
    </row>
    <row r="325" spans="1:15">
      <c r="A325" s="71">
        <v>2023</v>
      </c>
      <c r="B325" s="59" t="s">
        <v>562</v>
      </c>
      <c r="C325" s="63" t="s">
        <v>577</v>
      </c>
      <c r="D325" s="82" t="s">
        <v>578</v>
      </c>
      <c r="E325" s="47" t="s">
        <v>579</v>
      </c>
      <c r="F325" s="58">
        <v>1</v>
      </c>
      <c r="G325" s="59" t="s">
        <v>569</v>
      </c>
      <c r="H325" s="60">
        <v>90000</v>
      </c>
      <c r="I325" s="49">
        <f t="shared" si="20"/>
        <v>90000</v>
      </c>
      <c r="J325" s="518">
        <v>85000</v>
      </c>
      <c r="K325" s="532">
        <f t="shared" si="21"/>
        <v>5000</v>
      </c>
      <c r="L325" s="533">
        <f t="shared" si="22"/>
        <v>5000</v>
      </c>
      <c r="M325" s="534">
        <f t="shared" si="23"/>
        <v>5.5555555555555552E-2</v>
      </c>
      <c r="N325" s="47" t="s">
        <v>38</v>
      </c>
      <c r="O325" s="81" t="s">
        <v>21</v>
      </c>
    </row>
    <row r="326" spans="1:15">
      <c r="A326" s="71">
        <v>2023</v>
      </c>
      <c r="B326" s="59" t="s">
        <v>562</v>
      </c>
      <c r="C326" s="63" t="s">
        <v>580</v>
      </c>
      <c r="D326" s="82" t="s">
        <v>522</v>
      </c>
      <c r="E326" s="47" t="s">
        <v>581</v>
      </c>
      <c r="F326" s="58">
        <v>1</v>
      </c>
      <c r="G326" s="59" t="s">
        <v>569</v>
      </c>
      <c r="H326" s="60">
        <v>172260</v>
      </c>
      <c r="I326" s="49">
        <f t="shared" si="20"/>
        <v>172260</v>
      </c>
      <c r="J326" s="518">
        <v>165000</v>
      </c>
      <c r="K326" s="532">
        <f t="shared" si="21"/>
        <v>7260</v>
      </c>
      <c r="L326" s="533">
        <f t="shared" si="22"/>
        <v>7260</v>
      </c>
      <c r="M326" s="534">
        <f t="shared" si="23"/>
        <v>4.2145593869731802E-2</v>
      </c>
      <c r="N326" s="47" t="s">
        <v>38</v>
      </c>
      <c r="O326" s="81" t="s">
        <v>21</v>
      </c>
    </row>
    <row r="327" spans="1:15">
      <c r="A327" s="71">
        <v>2023</v>
      </c>
      <c r="B327" s="59" t="s">
        <v>562</v>
      </c>
      <c r="C327" s="63" t="s">
        <v>582</v>
      </c>
      <c r="D327" s="82" t="s">
        <v>57</v>
      </c>
      <c r="E327" s="47" t="s">
        <v>583</v>
      </c>
      <c r="F327" s="58">
        <v>1</v>
      </c>
      <c r="G327" s="59" t="s">
        <v>59</v>
      </c>
      <c r="H327" s="60">
        <v>202825</v>
      </c>
      <c r="I327" s="49">
        <f t="shared" si="20"/>
        <v>202825</v>
      </c>
      <c r="J327" s="518">
        <v>200000</v>
      </c>
      <c r="K327" s="532">
        <f t="shared" si="21"/>
        <v>2825</v>
      </c>
      <c r="L327" s="533">
        <f t="shared" si="22"/>
        <v>2825</v>
      </c>
      <c r="M327" s="534">
        <f t="shared" si="23"/>
        <v>1.3928263281153704E-2</v>
      </c>
      <c r="N327" s="47" t="s">
        <v>22</v>
      </c>
      <c r="O327" s="81" t="s">
        <v>21</v>
      </c>
    </row>
    <row r="328" spans="1:15">
      <c r="A328" s="71">
        <v>2023</v>
      </c>
      <c r="B328" s="59" t="s">
        <v>562</v>
      </c>
      <c r="C328" s="63" t="s">
        <v>584</v>
      </c>
      <c r="D328" s="82" t="s">
        <v>17</v>
      </c>
      <c r="E328" s="47" t="s">
        <v>585</v>
      </c>
      <c r="F328" s="58">
        <v>4</v>
      </c>
      <c r="G328" s="59" t="s">
        <v>469</v>
      </c>
      <c r="H328" s="60">
        <v>4990</v>
      </c>
      <c r="I328" s="49">
        <f t="shared" si="20"/>
        <v>19960</v>
      </c>
      <c r="J328" s="518">
        <v>4500</v>
      </c>
      <c r="K328" s="532">
        <f t="shared" si="21"/>
        <v>490</v>
      </c>
      <c r="L328" s="533">
        <f t="shared" si="22"/>
        <v>1960</v>
      </c>
      <c r="M328" s="534">
        <f t="shared" si="23"/>
        <v>9.8196392785571143E-2</v>
      </c>
      <c r="N328" s="47" t="s">
        <v>22</v>
      </c>
      <c r="O328" s="81" t="s">
        <v>21</v>
      </c>
    </row>
    <row r="329" spans="1:15">
      <c r="A329" s="71">
        <v>2023</v>
      </c>
      <c r="B329" s="59" t="s">
        <v>562</v>
      </c>
      <c r="C329" s="63" t="s">
        <v>582</v>
      </c>
      <c r="D329" s="82" t="s">
        <v>586</v>
      </c>
      <c r="E329" s="47" t="s">
        <v>587</v>
      </c>
      <c r="F329" s="58">
        <v>30</v>
      </c>
      <c r="G329" s="59" t="s">
        <v>588</v>
      </c>
      <c r="H329" s="60">
        <v>870</v>
      </c>
      <c r="I329" s="49">
        <f t="shared" si="20"/>
        <v>26100</v>
      </c>
      <c r="J329" s="518">
        <v>855</v>
      </c>
      <c r="K329" s="532">
        <f t="shared" si="21"/>
        <v>15</v>
      </c>
      <c r="L329" s="533">
        <f t="shared" si="22"/>
        <v>450</v>
      </c>
      <c r="M329" s="534">
        <f t="shared" si="23"/>
        <v>1.7241379310344827E-2</v>
      </c>
      <c r="N329" s="47" t="s">
        <v>38</v>
      </c>
      <c r="O329" s="81" t="s">
        <v>21</v>
      </c>
    </row>
    <row r="330" spans="1:15">
      <c r="A330" s="71">
        <v>2023</v>
      </c>
      <c r="B330" s="59" t="s">
        <v>562</v>
      </c>
      <c r="C330" s="63" t="s">
        <v>589</v>
      </c>
      <c r="D330" s="82" t="s">
        <v>590</v>
      </c>
      <c r="E330" s="47" t="s">
        <v>591</v>
      </c>
      <c r="F330" s="58">
        <v>15</v>
      </c>
      <c r="G330" s="59" t="s">
        <v>63</v>
      </c>
      <c r="H330" s="60">
        <v>40000</v>
      </c>
      <c r="I330" s="49">
        <f t="shared" si="20"/>
        <v>600000</v>
      </c>
      <c r="J330" s="518">
        <v>38400</v>
      </c>
      <c r="K330" s="532">
        <f t="shared" si="21"/>
        <v>1600</v>
      </c>
      <c r="L330" s="533">
        <f t="shared" si="22"/>
        <v>24000</v>
      </c>
      <c r="M330" s="534">
        <f t="shared" si="23"/>
        <v>0.04</v>
      </c>
      <c r="N330" s="47" t="s">
        <v>38</v>
      </c>
      <c r="O330" s="81" t="s">
        <v>39</v>
      </c>
    </row>
    <row r="331" spans="1:15">
      <c r="A331" s="71">
        <v>2023</v>
      </c>
      <c r="B331" s="59" t="s">
        <v>562</v>
      </c>
      <c r="C331" s="63" t="s">
        <v>592</v>
      </c>
      <c r="D331" s="82" t="s">
        <v>593</v>
      </c>
      <c r="E331" s="47" t="s">
        <v>594</v>
      </c>
      <c r="F331" s="58">
        <v>135</v>
      </c>
      <c r="G331" s="59" t="s">
        <v>63</v>
      </c>
      <c r="H331" s="60">
        <v>4200</v>
      </c>
      <c r="I331" s="49">
        <f t="shared" si="20"/>
        <v>567000</v>
      </c>
      <c r="J331" s="518">
        <v>3800</v>
      </c>
      <c r="K331" s="532">
        <f t="shared" si="21"/>
        <v>400</v>
      </c>
      <c r="L331" s="533">
        <f t="shared" si="22"/>
        <v>54000</v>
      </c>
      <c r="M331" s="534">
        <f t="shared" si="23"/>
        <v>9.5238095238095233E-2</v>
      </c>
      <c r="N331" s="47" t="s">
        <v>38</v>
      </c>
      <c r="O331" s="81" t="s">
        <v>39</v>
      </c>
    </row>
    <row r="332" spans="1:15">
      <c r="A332" s="71">
        <v>2023</v>
      </c>
      <c r="B332" s="59" t="s">
        <v>562</v>
      </c>
      <c r="C332" s="63" t="s">
        <v>595</v>
      </c>
      <c r="D332" s="82" t="s">
        <v>304</v>
      </c>
      <c r="E332" s="47" t="s">
        <v>596</v>
      </c>
      <c r="F332" s="58">
        <v>264</v>
      </c>
      <c r="G332" s="59" t="s">
        <v>469</v>
      </c>
      <c r="H332" s="60">
        <v>5500</v>
      </c>
      <c r="I332" s="49">
        <f t="shared" si="20"/>
        <v>1452000</v>
      </c>
      <c r="J332" s="518">
        <v>5000</v>
      </c>
      <c r="K332" s="532">
        <f t="shared" si="21"/>
        <v>500</v>
      </c>
      <c r="L332" s="533">
        <f t="shared" si="22"/>
        <v>132000</v>
      </c>
      <c r="M332" s="534">
        <f t="shared" si="23"/>
        <v>9.0909090909090912E-2</v>
      </c>
      <c r="N332" s="47" t="s">
        <v>38</v>
      </c>
      <c r="O332" s="81" t="s">
        <v>39</v>
      </c>
    </row>
    <row r="333" spans="1:15">
      <c r="A333" s="71">
        <v>2023</v>
      </c>
      <c r="B333" s="59" t="s">
        <v>562</v>
      </c>
      <c r="C333" s="63" t="s">
        <v>595</v>
      </c>
      <c r="D333" s="82" t="s">
        <v>304</v>
      </c>
      <c r="E333" s="47" t="s">
        <v>597</v>
      </c>
      <c r="F333" s="58">
        <v>141</v>
      </c>
      <c r="G333" s="59" t="s">
        <v>469</v>
      </c>
      <c r="H333" s="60">
        <v>5500</v>
      </c>
      <c r="I333" s="49">
        <f t="shared" si="20"/>
        <v>775500</v>
      </c>
      <c r="J333" s="518">
        <v>4800</v>
      </c>
      <c r="K333" s="532">
        <f t="shared" si="21"/>
        <v>700</v>
      </c>
      <c r="L333" s="533">
        <f t="shared" si="22"/>
        <v>98700</v>
      </c>
      <c r="M333" s="534">
        <f t="shared" si="23"/>
        <v>0.12727272727272726</v>
      </c>
      <c r="N333" s="47" t="s">
        <v>38</v>
      </c>
      <c r="O333" s="81" t="s">
        <v>39</v>
      </c>
    </row>
    <row r="334" spans="1:15">
      <c r="A334" s="71">
        <v>2023</v>
      </c>
      <c r="B334" s="59" t="s">
        <v>562</v>
      </c>
      <c r="C334" s="63" t="s">
        <v>598</v>
      </c>
      <c r="D334" s="82" t="s">
        <v>599</v>
      </c>
      <c r="E334" s="47" t="s">
        <v>600</v>
      </c>
      <c r="F334" s="58">
        <v>405</v>
      </c>
      <c r="G334" s="59" t="s">
        <v>469</v>
      </c>
      <c r="H334" s="60">
        <v>265</v>
      </c>
      <c r="I334" s="49">
        <f t="shared" si="20"/>
        <v>107325</v>
      </c>
      <c r="J334" s="518">
        <v>261</v>
      </c>
      <c r="K334" s="532">
        <f t="shared" si="21"/>
        <v>4</v>
      </c>
      <c r="L334" s="533">
        <f t="shared" si="22"/>
        <v>1620</v>
      </c>
      <c r="M334" s="534">
        <f t="shared" si="23"/>
        <v>1.509433962264151E-2</v>
      </c>
      <c r="N334" s="47" t="s">
        <v>38</v>
      </c>
      <c r="O334" s="81" t="s">
        <v>39</v>
      </c>
    </row>
    <row r="335" spans="1:15">
      <c r="A335" s="71">
        <v>2023</v>
      </c>
      <c r="B335" s="59" t="s">
        <v>562</v>
      </c>
      <c r="C335" s="63" t="s">
        <v>601</v>
      </c>
      <c r="D335" s="82" t="s">
        <v>304</v>
      </c>
      <c r="E335" s="47" t="s">
        <v>602</v>
      </c>
      <c r="F335" s="58">
        <v>405</v>
      </c>
      <c r="G335" s="59" t="s">
        <v>469</v>
      </c>
      <c r="H335" s="60">
        <v>1600</v>
      </c>
      <c r="I335" s="49">
        <f t="shared" si="20"/>
        <v>648000</v>
      </c>
      <c r="J335" s="518">
        <v>1200</v>
      </c>
      <c r="K335" s="532">
        <f t="shared" si="21"/>
        <v>400</v>
      </c>
      <c r="L335" s="533">
        <f t="shared" si="22"/>
        <v>162000</v>
      </c>
      <c r="M335" s="534">
        <f t="shared" si="23"/>
        <v>0.25</v>
      </c>
      <c r="N335" s="47" t="s">
        <v>38</v>
      </c>
      <c r="O335" s="81" t="s">
        <v>39</v>
      </c>
    </row>
    <row r="336" spans="1:15">
      <c r="A336" s="71">
        <v>2023</v>
      </c>
      <c r="B336" s="59" t="s">
        <v>562</v>
      </c>
      <c r="C336" s="63" t="s">
        <v>603</v>
      </c>
      <c r="D336" s="82" t="s">
        <v>200</v>
      </c>
      <c r="E336" s="47" t="s">
        <v>604</v>
      </c>
      <c r="F336" s="58">
        <v>2</v>
      </c>
      <c r="G336" s="59" t="s">
        <v>63</v>
      </c>
      <c r="H336" s="60">
        <v>51500</v>
      </c>
      <c r="I336" s="49">
        <f t="shared" si="20"/>
        <v>103000</v>
      </c>
      <c r="J336" s="518">
        <v>48500</v>
      </c>
      <c r="K336" s="532">
        <f t="shared" si="21"/>
        <v>3000</v>
      </c>
      <c r="L336" s="533">
        <f t="shared" si="22"/>
        <v>6000</v>
      </c>
      <c r="M336" s="534">
        <f t="shared" si="23"/>
        <v>5.8252427184466021E-2</v>
      </c>
      <c r="N336" s="47" t="s">
        <v>38</v>
      </c>
      <c r="O336" s="81" t="s">
        <v>39</v>
      </c>
    </row>
    <row r="337" spans="1:15">
      <c r="A337" s="71">
        <v>2023</v>
      </c>
      <c r="B337" s="59" t="s">
        <v>562</v>
      </c>
      <c r="C337" s="63" t="s">
        <v>605</v>
      </c>
      <c r="D337" s="82" t="s">
        <v>68</v>
      </c>
      <c r="E337" s="47" t="s">
        <v>70</v>
      </c>
      <c r="F337" s="58">
        <v>108</v>
      </c>
      <c r="G337" s="59" t="s">
        <v>499</v>
      </c>
      <c r="H337" s="60">
        <v>345</v>
      </c>
      <c r="I337" s="49">
        <f t="shared" si="20"/>
        <v>37260</v>
      </c>
      <c r="J337" s="518">
        <v>340</v>
      </c>
      <c r="K337" s="532">
        <f t="shared" si="21"/>
        <v>5</v>
      </c>
      <c r="L337" s="533">
        <f t="shared" si="22"/>
        <v>540</v>
      </c>
      <c r="M337" s="534">
        <f t="shared" si="23"/>
        <v>1.4492753623188406E-2</v>
      </c>
      <c r="N337" s="47" t="s">
        <v>22</v>
      </c>
      <c r="O337" s="81" t="s">
        <v>39</v>
      </c>
    </row>
    <row r="338" spans="1:15">
      <c r="A338" s="71">
        <v>2023</v>
      </c>
      <c r="B338" s="59" t="s">
        <v>562</v>
      </c>
      <c r="C338" s="63" t="s">
        <v>605</v>
      </c>
      <c r="D338" s="82" t="s">
        <v>68</v>
      </c>
      <c r="E338" s="47" t="s">
        <v>271</v>
      </c>
      <c r="F338" s="58">
        <v>97.5</v>
      </c>
      <c r="G338" s="59" t="s">
        <v>499</v>
      </c>
      <c r="H338" s="60">
        <v>345</v>
      </c>
      <c r="I338" s="49">
        <f t="shared" si="20"/>
        <v>33637.5</v>
      </c>
      <c r="J338" s="518">
        <v>340</v>
      </c>
      <c r="K338" s="532">
        <f t="shared" si="21"/>
        <v>5</v>
      </c>
      <c r="L338" s="533">
        <f t="shared" si="22"/>
        <v>487.5</v>
      </c>
      <c r="M338" s="534">
        <f t="shared" si="23"/>
        <v>1.4492753623188406E-2</v>
      </c>
      <c r="N338" s="47" t="s">
        <v>22</v>
      </c>
      <c r="O338" s="81" t="s">
        <v>39</v>
      </c>
    </row>
    <row r="339" spans="1:15">
      <c r="A339" s="71">
        <v>2023</v>
      </c>
      <c r="B339" s="59" t="s">
        <v>562</v>
      </c>
      <c r="C339" s="63" t="s">
        <v>605</v>
      </c>
      <c r="D339" s="82" t="s">
        <v>68</v>
      </c>
      <c r="E339" s="47" t="s">
        <v>606</v>
      </c>
      <c r="F339" s="58">
        <v>216.3</v>
      </c>
      <c r="G339" s="59" t="s">
        <v>499</v>
      </c>
      <c r="H339" s="60">
        <v>345</v>
      </c>
      <c r="I339" s="49">
        <f t="shared" si="20"/>
        <v>74623.5</v>
      </c>
      <c r="J339" s="518">
        <v>340</v>
      </c>
      <c r="K339" s="532">
        <f t="shared" si="21"/>
        <v>5</v>
      </c>
      <c r="L339" s="533">
        <f t="shared" si="22"/>
        <v>1081.5</v>
      </c>
      <c r="M339" s="534">
        <f t="shared" si="23"/>
        <v>1.4492753623188406E-2</v>
      </c>
      <c r="N339" s="47" t="s">
        <v>22</v>
      </c>
      <c r="O339" s="81" t="s">
        <v>39</v>
      </c>
    </row>
    <row r="340" spans="1:15">
      <c r="A340" s="71">
        <v>2023</v>
      </c>
      <c r="B340" s="59" t="s">
        <v>562</v>
      </c>
      <c r="C340" s="63" t="s">
        <v>607</v>
      </c>
      <c r="D340" s="82" t="s">
        <v>501</v>
      </c>
      <c r="E340" s="47" t="s">
        <v>503</v>
      </c>
      <c r="F340" s="58">
        <v>80000</v>
      </c>
      <c r="G340" s="59" t="s">
        <v>499</v>
      </c>
      <c r="H340" s="60">
        <v>129</v>
      </c>
      <c r="I340" s="49">
        <f t="shared" si="20"/>
        <v>10320000</v>
      </c>
      <c r="J340" s="518">
        <v>124.55</v>
      </c>
      <c r="K340" s="532">
        <f t="shared" si="21"/>
        <v>4.4500000000000028</v>
      </c>
      <c r="L340" s="533">
        <f t="shared" si="22"/>
        <v>356000.00000000023</v>
      </c>
      <c r="M340" s="534">
        <f t="shared" si="23"/>
        <v>3.4496124031007776E-2</v>
      </c>
      <c r="N340" s="47" t="s">
        <v>22</v>
      </c>
      <c r="O340" s="81" t="s">
        <v>39</v>
      </c>
    </row>
    <row r="341" spans="1:15">
      <c r="A341" s="71">
        <v>2023</v>
      </c>
      <c r="B341" s="59" t="s">
        <v>562</v>
      </c>
      <c r="C341" s="63" t="s">
        <v>608</v>
      </c>
      <c r="D341" s="82" t="s">
        <v>35</v>
      </c>
      <c r="E341" s="47" t="s">
        <v>609</v>
      </c>
      <c r="F341" s="58">
        <v>49300</v>
      </c>
      <c r="G341" s="59" t="s">
        <v>499</v>
      </c>
      <c r="H341" s="60">
        <v>356</v>
      </c>
      <c r="I341" s="49">
        <f t="shared" si="20"/>
        <v>17550800</v>
      </c>
      <c r="J341" s="518">
        <v>350</v>
      </c>
      <c r="K341" s="532">
        <f t="shared" si="21"/>
        <v>6</v>
      </c>
      <c r="L341" s="533">
        <f t="shared" si="22"/>
        <v>295800</v>
      </c>
      <c r="M341" s="534">
        <f t="shared" si="23"/>
        <v>1.6853932584269662E-2</v>
      </c>
      <c r="N341" s="47" t="s">
        <v>38</v>
      </c>
      <c r="O341" s="81" t="s">
        <v>39</v>
      </c>
    </row>
    <row r="342" spans="1:15">
      <c r="A342" s="71">
        <v>2023</v>
      </c>
      <c r="B342" s="59" t="s">
        <v>562</v>
      </c>
      <c r="C342" s="63" t="s">
        <v>610</v>
      </c>
      <c r="D342" s="82" t="s">
        <v>200</v>
      </c>
      <c r="E342" s="47" t="s">
        <v>611</v>
      </c>
      <c r="F342" s="58">
        <v>7</v>
      </c>
      <c r="G342" s="59" t="s">
        <v>63</v>
      </c>
      <c r="H342" s="60">
        <v>18500</v>
      </c>
      <c r="I342" s="49">
        <f t="shared" si="20"/>
        <v>129500</v>
      </c>
      <c r="J342" s="518">
        <v>17000</v>
      </c>
      <c r="K342" s="532">
        <f t="shared" si="21"/>
        <v>1500</v>
      </c>
      <c r="L342" s="533">
        <f t="shared" si="22"/>
        <v>10500</v>
      </c>
      <c r="M342" s="534">
        <f t="shared" si="23"/>
        <v>8.1081081081081086E-2</v>
      </c>
      <c r="N342" s="47" t="s">
        <v>38</v>
      </c>
      <c r="O342" s="81" t="s">
        <v>39</v>
      </c>
    </row>
    <row r="343" spans="1:15">
      <c r="A343" s="71">
        <v>2023</v>
      </c>
      <c r="B343" s="59" t="s">
        <v>562</v>
      </c>
      <c r="C343" s="63" t="s">
        <v>612</v>
      </c>
      <c r="D343" s="82" t="s">
        <v>94</v>
      </c>
      <c r="E343" s="47" t="s">
        <v>613</v>
      </c>
      <c r="F343" s="58">
        <v>100</v>
      </c>
      <c r="G343" s="59" t="s">
        <v>19</v>
      </c>
      <c r="H343" s="60">
        <v>25.5</v>
      </c>
      <c r="I343" s="49">
        <f t="shared" si="20"/>
        <v>2550</v>
      </c>
      <c r="J343" s="518">
        <v>24.6</v>
      </c>
      <c r="K343" s="532">
        <f t="shared" si="21"/>
        <v>0.89999999999999858</v>
      </c>
      <c r="L343" s="533">
        <f t="shared" si="22"/>
        <v>89.999999999999858</v>
      </c>
      <c r="M343" s="534">
        <f t="shared" si="23"/>
        <v>3.5294117647058768E-2</v>
      </c>
      <c r="N343" s="47" t="s">
        <v>22</v>
      </c>
      <c r="O343" s="81" t="s">
        <v>105</v>
      </c>
    </row>
    <row r="344" spans="1:15">
      <c r="A344" s="71">
        <v>2023</v>
      </c>
      <c r="B344" s="59" t="s">
        <v>562</v>
      </c>
      <c r="C344" s="63" t="s">
        <v>612</v>
      </c>
      <c r="D344" s="82" t="s">
        <v>94</v>
      </c>
      <c r="E344" s="47" t="s">
        <v>614</v>
      </c>
      <c r="F344" s="58">
        <v>100</v>
      </c>
      <c r="G344" s="59" t="s">
        <v>615</v>
      </c>
      <c r="H344" s="60">
        <v>175</v>
      </c>
      <c r="I344" s="49">
        <f t="shared" si="20"/>
        <v>17500</v>
      </c>
      <c r="J344" s="518">
        <v>159.29</v>
      </c>
      <c r="K344" s="532">
        <f t="shared" si="21"/>
        <v>15.710000000000008</v>
      </c>
      <c r="L344" s="533">
        <f t="shared" si="22"/>
        <v>1571.0000000000009</v>
      </c>
      <c r="M344" s="534">
        <f t="shared" si="23"/>
        <v>8.9771428571428613E-2</v>
      </c>
      <c r="N344" s="47" t="s">
        <v>22</v>
      </c>
      <c r="O344" s="81" t="s">
        <v>105</v>
      </c>
    </row>
    <row r="345" spans="1:15">
      <c r="A345" s="71">
        <v>2023</v>
      </c>
      <c r="B345" s="59" t="s">
        <v>562</v>
      </c>
      <c r="C345" s="63" t="s">
        <v>612</v>
      </c>
      <c r="D345" s="82" t="s">
        <v>94</v>
      </c>
      <c r="E345" s="47" t="s">
        <v>550</v>
      </c>
      <c r="F345" s="58">
        <v>200</v>
      </c>
      <c r="G345" s="59" t="s">
        <v>19</v>
      </c>
      <c r="H345" s="60">
        <v>48</v>
      </c>
      <c r="I345" s="49">
        <f t="shared" si="20"/>
        <v>9600</v>
      </c>
      <c r="J345" s="518">
        <v>47.56</v>
      </c>
      <c r="K345" s="532">
        <f t="shared" si="21"/>
        <v>0.43999999999999773</v>
      </c>
      <c r="L345" s="533">
        <f t="shared" si="22"/>
        <v>87.999999999999545</v>
      </c>
      <c r="M345" s="534">
        <f t="shared" si="23"/>
        <v>9.1666666666666199E-3</v>
      </c>
      <c r="N345" s="47" t="s">
        <v>22</v>
      </c>
      <c r="O345" s="81" t="s">
        <v>105</v>
      </c>
    </row>
    <row r="346" spans="1:15">
      <c r="A346" s="71">
        <v>2023</v>
      </c>
      <c r="B346" s="59" t="s">
        <v>562</v>
      </c>
      <c r="C346" s="63" t="s">
        <v>616</v>
      </c>
      <c r="D346" s="82" t="s">
        <v>617</v>
      </c>
      <c r="E346" s="47" t="s">
        <v>333</v>
      </c>
      <c r="F346" s="58">
        <v>3000</v>
      </c>
      <c r="G346" s="59" t="s">
        <v>37</v>
      </c>
      <c r="H346" s="60">
        <v>35</v>
      </c>
      <c r="I346" s="49">
        <f t="shared" si="20"/>
        <v>105000</v>
      </c>
      <c r="J346" s="518">
        <v>34.5</v>
      </c>
      <c r="K346" s="532">
        <f t="shared" si="21"/>
        <v>0.5</v>
      </c>
      <c r="L346" s="533">
        <f t="shared" si="22"/>
        <v>1500</v>
      </c>
      <c r="M346" s="534">
        <f t="shared" si="23"/>
        <v>1.4285714285714285E-2</v>
      </c>
      <c r="N346" s="47" t="s">
        <v>38</v>
      </c>
      <c r="O346" s="81" t="s">
        <v>39</v>
      </c>
    </row>
    <row r="347" spans="1:15">
      <c r="A347" s="71">
        <v>2023</v>
      </c>
      <c r="B347" s="59" t="s">
        <v>562</v>
      </c>
      <c r="C347" s="63" t="s">
        <v>618</v>
      </c>
      <c r="D347" s="82" t="s">
        <v>290</v>
      </c>
      <c r="E347" s="47" t="s">
        <v>619</v>
      </c>
      <c r="F347" s="58">
        <v>1</v>
      </c>
      <c r="G347" s="59" t="s">
        <v>285</v>
      </c>
      <c r="H347" s="60">
        <v>26000</v>
      </c>
      <c r="I347" s="49">
        <f t="shared" si="20"/>
        <v>26000</v>
      </c>
      <c r="J347" s="518">
        <v>25000</v>
      </c>
      <c r="K347" s="532">
        <f t="shared" si="21"/>
        <v>1000</v>
      </c>
      <c r="L347" s="533">
        <f t="shared" si="22"/>
        <v>1000</v>
      </c>
      <c r="M347" s="534">
        <f t="shared" si="23"/>
        <v>3.8461538461538464E-2</v>
      </c>
      <c r="N347" s="47" t="s">
        <v>38</v>
      </c>
      <c r="O347" s="81" t="s">
        <v>105</v>
      </c>
    </row>
    <row r="348" spans="1:15">
      <c r="A348" s="71">
        <v>2023</v>
      </c>
      <c r="B348" s="59" t="s">
        <v>562</v>
      </c>
      <c r="C348" s="63" t="s">
        <v>620</v>
      </c>
      <c r="D348" s="82" t="s">
        <v>94</v>
      </c>
      <c r="E348" s="47" t="s">
        <v>621</v>
      </c>
      <c r="F348" s="58">
        <v>100</v>
      </c>
      <c r="G348" s="59" t="s">
        <v>615</v>
      </c>
      <c r="H348" s="60">
        <v>400</v>
      </c>
      <c r="I348" s="49">
        <f t="shared" si="20"/>
        <v>40000</v>
      </c>
      <c r="J348" s="518">
        <v>394.68</v>
      </c>
      <c r="K348" s="532">
        <f t="shared" si="21"/>
        <v>5.3199999999999932</v>
      </c>
      <c r="L348" s="533">
        <f t="shared" si="22"/>
        <v>531.99999999999932</v>
      </c>
      <c r="M348" s="534">
        <f t="shared" si="23"/>
        <v>1.3299999999999984E-2</v>
      </c>
      <c r="N348" s="47" t="s">
        <v>22</v>
      </c>
      <c r="O348" s="81" t="s">
        <v>105</v>
      </c>
    </row>
    <row r="349" spans="1:15">
      <c r="A349" s="71">
        <v>2023</v>
      </c>
      <c r="B349" s="59" t="s">
        <v>562</v>
      </c>
      <c r="C349" s="63" t="s">
        <v>620</v>
      </c>
      <c r="D349" s="82" t="s">
        <v>94</v>
      </c>
      <c r="E349" s="47" t="s">
        <v>622</v>
      </c>
      <c r="F349" s="58">
        <v>100</v>
      </c>
      <c r="G349" s="59" t="s">
        <v>615</v>
      </c>
      <c r="H349" s="60">
        <v>807</v>
      </c>
      <c r="I349" s="49">
        <f t="shared" si="20"/>
        <v>80700</v>
      </c>
      <c r="J349" s="518">
        <v>795.57</v>
      </c>
      <c r="K349" s="532">
        <f t="shared" si="21"/>
        <v>11.42999999999995</v>
      </c>
      <c r="L349" s="533">
        <f t="shared" si="22"/>
        <v>1142.999999999995</v>
      </c>
      <c r="M349" s="534">
        <f t="shared" si="23"/>
        <v>1.416356877323414E-2</v>
      </c>
      <c r="N349" s="47" t="s">
        <v>22</v>
      </c>
      <c r="O349" s="81" t="s">
        <v>105</v>
      </c>
    </row>
    <row r="350" spans="1:15">
      <c r="A350" s="71">
        <v>2023</v>
      </c>
      <c r="B350" s="59" t="s">
        <v>562</v>
      </c>
      <c r="C350" s="63" t="s">
        <v>623</v>
      </c>
      <c r="D350" s="82" t="s">
        <v>27</v>
      </c>
      <c r="E350" s="47" t="s">
        <v>456</v>
      </c>
      <c r="F350" s="58">
        <v>300</v>
      </c>
      <c r="G350" s="59" t="s">
        <v>19</v>
      </c>
      <c r="H350" s="60">
        <v>2.5499999999999998</v>
      </c>
      <c r="I350" s="49">
        <f t="shared" si="20"/>
        <v>765</v>
      </c>
      <c r="J350" s="518">
        <v>2.4</v>
      </c>
      <c r="K350" s="532">
        <f t="shared" si="21"/>
        <v>0.14999999999999991</v>
      </c>
      <c r="L350" s="533">
        <f t="shared" si="22"/>
        <v>44.999999999999972</v>
      </c>
      <c r="M350" s="534">
        <f t="shared" si="23"/>
        <v>5.8823529411764677E-2</v>
      </c>
      <c r="N350" s="47" t="s">
        <v>22</v>
      </c>
      <c r="O350" s="81" t="s">
        <v>105</v>
      </c>
    </row>
    <row r="351" spans="1:15">
      <c r="A351" s="71">
        <v>2023</v>
      </c>
      <c r="B351" s="59" t="s">
        <v>562</v>
      </c>
      <c r="C351" s="63" t="s">
        <v>624</v>
      </c>
      <c r="D351" s="82" t="s">
        <v>27</v>
      </c>
      <c r="E351" s="47" t="s">
        <v>625</v>
      </c>
      <c r="F351" s="58">
        <v>7</v>
      </c>
      <c r="G351" s="59" t="s">
        <v>19</v>
      </c>
      <c r="H351" s="60">
        <v>1000</v>
      </c>
      <c r="I351" s="49">
        <f t="shared" si="20"/>
        <v>7000</v>
      </c>
      <c r="J351" s="518">
        <v>950</v>
      </c>
      <c r="K351" s="532">
        <f t="shared" si="21"/>
        <v>50</v>
      </c>
      <c r="L351" s="533">
        <f t="shared" si="22"/>
        <v>350</v>
      </c>
      <c r="M351" s="534">
        <f t="shared" si="23"/>
        <v>0.05</v>
      </c>
      <c r="N351" s="47" t="s">
        <v>22</v>
      </c>
      <c r="O351" s="81" t="s">
        <v>105</v>
      </c>
    </row>
    <row r="352" spans="1:15">
      <c r="A352" s="71">
        <v>2023</v>
      </c>
      <c r="B352" s="59" t="s">
        <v>562</v>
      </c>
      <c r="C352" s="63" t="s">
        <v>626</v>
      </c>
      <c r="D352" s="82" t="s">
        <v>68</v>
      </c>
      <c r="E352" s="47" t="s">
        <v>71</v>
      </c>
      <c r="F352" s="58">
        <v>54.3</v>
      </c>
      <c r="G352" s="59" t="s">
        <v>37</v>
      </c>
      <c r="H352" s="60">
        <v>349</v>
      </c>
      <c r="I352" s="49">
        <f t="shared" si="20"/>
        <v>18950.7</v>
      </c>
      <c r="J352" s="518">
        <v>343</v>
      </c>
      <c r="K352" s="532">
        <f t="shared" si="21"/>
        <v>6</v>
      </c>
      <c r="L352" s="533">
        <f t="shared" si="22"/>
        <v>325.79999999999995</v>
      </c>
      <c r="M352" s="534">
        <f t="shared" si="23"/>
        <v>1.7191977077363897E-2</v>
      </c>
      <c r="N352" s="47" t="s">
        <v>22</v>
      </c>
      <c r="O352" s="81" t="s">
        <v>105</v>
      </c>
    </row>
    <row r="353" spans="1:15">
      <c r="A353" s="71">
        <v>2023</v>
      </c>
      <c r="B353" s="59" t="s">
        <v>562</v>
      </c>
      <c r="C353" s="63" t="s">
        <v>626</v>
      </c>
      <c r="D353" s="82" t="s">
        <v>68</v>
      </c>
      <c r="E353" s="47" t="s">
        <v>73</v>
      </c>
      <c r="F353" s="58">
        <v>649.5</v>
      </c>
      <c r="G353" s="59" t="s">
        <v>37</v>
      </c>
      <c r="H353" s="380">
        <v>349</v>
      </c>
      <c r="I353" s="49">
        <f t="shared" si="20"/>
        <v>226675.5</v>
      </c>
      <c r="J353" s="518">
        <v>343</v>
      </c>
      <c r="K353" s="532">
        <f t="shared" si="21"/>
        <v>6</v>
      </c>
      <c r="L353" s="533">
        <f t="shared" si="22"/>
        <v>3897</v>
      </c>
      <c r="M353" s="534">
        <f t="shared" si="23"/>
        <v>1.7191977077363897E-2</v>
      </c>
      <c r="N353" s="47" t="s">
        <v>22</v>
      </c>
      <c r="O353" s="81" t="s">
        <v>105</v>
      </c>
    </row>
    <row r="354" spans="1:15">
      <c r="A354" s="71">
        <v>2023</v>
      </c>
      <c r="B354" s="59" t="s">
        <v>562</v>
      </c>
      <c r="C354" s="63" t="s">
        <v>626</v>
      </c>
      <c r="D354" s="82" t="s">
        <v>68</v>
      </c>
      <c r="E354" s="47" t="s">
        <v>73</v>
      </c>
      <c r="F354" s="58">
        <v>649.5</v>
      </c>
      <c r="G354" s="400" t="s">
        <v>37</v>
      </c>
      <c r="H354" s="8">
        <v>349</v>
      </c>
      <c r="I354" s="49">
        <f t="shared" si="20"/>
        <v>226675.5</v>
      </c>
      <c r="J354" s="518">
        <v>343</v>
      </c>
      <c r="K354" s="532">
        <f t="shared" si="21"/>
        <v>6</v>
      </c>
      <c r="L354" s="533">
        <f t="shared" si="22"/>
        <v>3897</v>
      </c>
      <c r="M354" s="534">
        <f t="shared" si="23"/>
        <v>1.7191977077363897E-2</v>
      </c>
      <c r="N354" s="47" t="s">
        <v>22</v>
      </c>
      <c r="O354" s="81" t="s">
        <v>105</v>
      </c>
    </row>
    <row r="355" spans="1:15">
      <c r="A355" s="71">
        <v>2023</v>
      </c>
      <c r="B355" s="59" t="s">
        <v>562</v>
      </c>
      <c r="C355" s="63" t="s">
        <v>626</v>
      </c>
      <c r="D355" s="82" t="s">
        <v>68</v>
      </c>
      <c r="E355" s="47" t="s">
        <v>74</v>
      </c>
      <c r="F355" s="58">
        <v>43.5</v>
      </c>
      <c r="G355" s="400" t="s">
        <v>37</v>
      </c>
      <c r="H355" s="8">
        <v>349</v>
      </c>
      <c r="I355" s="49">
        <f t="shared" si="20"/>
        <v>15181.5</v>
      </c>
      <c r="J355" s="518">
        <v>343</v>
      </c>
      <c r="K355" s="532">
        <f t="shared" si="21"/>
        <v>6</v>
      </c>
      <c r="L355" s="533">
        <f t="shared" si="22"/>
        <v>261</v>
      </c>
      <c r="M355" s="534">
        <f t="shared" si="23"/>
        <v>1.7191977077363897E-2</v>
      </c>
      <c r="N355" s="47" t="s">
        <v>22</v>
      </c>
      <c r="O355" s="81" t="s">
        <v>105</v>
      </c>
    </row>
    <row r="356" spans="1:15">
      <c r="A356" s="71">
        <v>2023</v>
      </c>
      <c r="B356" s="59" t="s">
        <v>562</v>
      </c>
      <c r="C356" s="63" t="s">
        <v>627</v>
      </c>
      <c r="D356" s="82" t="s">
        <v>628</v>
      </c>
      <c r="E356" s="47" t="s">
        <v>281</v>
      </c>
      <c r="F356" s="58">
        <v>300</v>
      </c>
      <c r="G356" s="59" t="s">
        <v>19</v>
      </c>
      <c r="H356" s="60">
        <v>29.25</v>
      </c>
      <c r="I356" s="49">
        <f t="shared" si="20"/>
        <v>8775</v>
      </c>
      <c r="J356" s="518">
        <v>21</v>
      </c>
      <c r="K356" s="532">
        <f t="shared" si="21"/>
        <v>8.25</v>
      </c>
      <c r="L356" s="533">
        <f t="shared" si="22"/>
        <v>2475</v>
      </c>
      <c r="M356" s="534">
        <f t="shared" si="23"/>
        <v>0.28205128205128205</v>
      </c>
      <c r="N356" s="47" t="s">
        <v>22</v>
      </c>
      <c r="O356" s="81" t="s">
        <v>105</v>
      </c>
    </row>
    <row r="357" spans="1:15">
      <c r="A357" s="71">
        <v>2023</v>
      </c>
      <c r="B357" s="59" t="s">
        <v>562</v>
      </c>
      <c r="C357" s="63" t="s">
        <v>627</v>
      </c>
      <c r="D357" s="82" t="s">
        <v>628</v>
      </c>
      <c r="E357" s="47" t="s">
        <v>629</v>
      </c>
      <c r="F357" s="58">
        <v>3</v>
      </c>
      <c r="G357" s="59" t="s">
        <v>63</v>
      </c>
      <c r="H357" s="60">
        <v>83.44</v>
      </c>
      <c r="I357" s="49">
        <f t="shared" si="20"/>
        <v>250.32</v>
      </c>
      <c r="J357" s="518">
        <v>55</v>
      </c>
      <c r="K357" s="532">
        <f t="shared" si="21"/>
        <v>28.439999999999998</v>
      </c>
      <c r="L357" s="533">
        <f t="shared" si="22"/>
        <v>85.32</v>
      </c>
      <c r="M357" s="534">
        <f t="shared" si="23"/>
        <v>0.34084372003835089</v>
      </c>
      <c r="N357" s="47" t="s">
        <v>22</v>
      </c>
      <c r="O357" s="81" t="s">
        <v>105</v>
      </c>
    </row>
    <row r="358" spans="1:15">
      <c r="A358" s="71">
        <v>2023</v>
      </c>
      <c r="B358" s="59" t="s">
        <v>562</v>
      </c>
      <c r="C358" s="63" t="s">
        <v>630</v>
      </c>
      <c r="D358" s="82" t="s">
        <v>35</v>
      </c>
      <c r="E358" s="47" t="s">
        <v>437</v>
      </c>
      <c r="F358" s="58">
        <v>192.5</v>
      </c>
      <c r="G358" s="59" t="s">
        <v>37</v>
      </c>
      <c r="H358" s="60">
        <v>369</v>
      </c>
      <c r="I358" s="49">
        <f t="shared" si="20"/>
        <v>71032.5</v>
      </c>
      <c r="J358" s="518">
        <v>368.5</v>
      </c>
      <c r="K358" s="532">
        <f t="shared" si="21"/>
        <v>0.5</v>
      </c>
      <c r="L358" s="533">
        <f t="shared" si="22"/>
        <v>96.25</v>
      </c>
      <c r="M358" s="534">
        <f t="shared" si="23"/>
        <v>1.3550135501355014E-3</v>
      </c>
      <c r="N358" s="47" t="s">
        <v>38</v>
      </c>
      <c r="O358" s="81" t="s">
        <v>105</v>
      </c>
    </row>
    <row r="359" spans="1:15">
      <c r="A359" s="71">
        <v>2023</v>
      </c>
      <c r="B359" s="59" t="s">
        <v>562</v>
      </c>
      <c r="C359" s="63" t="s">
        <v>630</v>
      </c>
      <c r="D359" s="82" t="s">
        <v>35</v>
      </c>
      <c r="E359" s="47" t="s">
        <v>631</v>
      </c>
      <c r="F359" s="58">
        <v>66.5</v>
      </c>
      <c r="G359" s="59" t="s">
        <v>37</v>
      </c>
      <c r="H359" s="60">
        <v>369</v>
      </c>
      <c r="I359" s="49">
        <f t="shared" si="20"/>
        <v>24538.5</v>
      </c>
      <c r="J359" s="518">
        <v>368.5</v>
      </c>
      <c r="K359" s="532">
        <f t="shared" si="21"/>
        <v>0.5</v>
      </c>
      <c r="L359" s="533">
        <f t="shared" si="22"/>
        <v>33.25</v>
      </c>
      <c r="M359" s="534">
        <f t="shared" si="23"/>
        <v>1.3550135501355014E-3</v>
      </c>
      <c r="N359" s="47" t="s">
        <v>38</v>
      </c>
      <c r="O359" s="81" t="s">
        <v>105</v>
      </c>
    </row>
    <row r="360" spans="1:15">
      <c r="A360" s="71">
        <v>2023</v>
      </c>
      <c r="B360" s="59" t="s">
        <v>562</v>
      </c>
      <c r="C360" s="63" t="s">
        <v>632</v>
      </c>
      <c r="D360" s="82" t="s">
        <v>633</v>
      </c>
      <c r="E360" s="47" t="s">
        <v>634</v>
      </c>
      <c r="F360" s="58">
        <v>27</v>
      </c>
      <c r="G360" s="59" t="s">
        <v>19</v>
      </c>
      <c r="H360" s="60">
        <v>7050</v>
      </c>
      <c r="I360" s="49">
        <f t="shared" si="20"/>
        <v>190350</v>
      </c>
      <c r="J360" s="518">
        <v>2700</v>
      </c>
      <c r="K360" s="532">
        <f t="shared" si="21"/>
        <v>4350</v>
      </c>
      <c r="L360" s="533">
        <f t="shared" si="22"/>
        <v>117450</v>
      </c>
      <c r="M360" s="534">
        <f t="shared" si="23"/>
        <v>0.61702127659574468</v>
      </c>
      <c r="N360" s="47" t="s">
        <v>22</v>
      </c>
      <c r="O360" s="81" t="s">
        <v>105</v>
      </c>
    </row>
    <row r="361" spans="1:15">
      <c r="A361" s="71">
        <v>2023</v>
      </c>
      <c r="B361" s="59" t="s">
        <v>562</v>
      </c>
      <c r="C361" s="63" t="s">
        <v>632</v>
      </c>
      <c r="D361" s="82" t="s">
        <v>633</v>
      </c>
      <c r="E361" s="47" t="s">
        <v>635</v>
      </c>
      <c r="F361" s="58">
        <v>6</v>
      </c>
      <c r="G361" s="59" t="s">
        <v>19</v>
      </c>
      <c r="H361" s="60">
        <v>4400</v>
      </c>
      <c r="I361" s="49">
        <f t="shared" si="20"/>
        <v>26400</v>
      </c>
      <c r="J361" s="518">
        <v>2300</v>
      </c>
      <c r="K361" s="532">
        <f t="shared" si="21"/>
        <v>2100</v>
      </c>
      <c r="L361" s="533">
        <f t="shared" si="22"/>
        <v>12600</v>
      </c>
      <c r="M361" s="534">
        <f t="shared" si="23"/>
        <v>0.47727272727272729</v>
      </c>
      <c r="N361" s="47" t="s">
        <v>22</v>
      </c>
      <c r="O361" s="81" t="s">
        <v>105</v>
      </c>
    </row>
    <row r="362" spans="1:15">
      <c r="A362" s="71">
        <v>2023</v>
      </c>
      <c r="B362" s="59" t="s">
        <v>562</v>
      </c>
      <c r="C362" s="63" t="s">
        <v>632</v>
      </c>
      <c r="D362" s="82" t="s">
        <v>633</v>
      </c>
      <c r="E362" s="47" t="s">
        <v>636</v>
      </c>
      <c r="F362" s="58">
        <v>21</v>
      </c>
      <c r="G362" s="59" t="s">
        <v>19</v>
      </c>
      <c r="H362" s="60">
        <v>3340</v>
      </c>
      <c r="I362" s="49">
        <f t="shared" si="20"/>
        <v>70140</v>
      </c>
      <c r="J362" s="518">
        <v>2100</v>
      </c>
      <c r="K362" s="532">
        <f t="shared" si="21"/>
        <v>1240</v>
      </c>
      <c r="L362" s="533">
        <f t="shared" si="22"/>
        <v>26040</v>
      </c>
      <c r="M362" s="534">
        <f t="shared" si="23"/>
        <v>0.3712574850299401</v>
      </c>
      <c r="N362" s="47" t="s">
        <v>22</v>
      </c>
      <c r="O362" s="81" t="s">
        <v>105</v>
      </c>
    </row>
    <row r="363" spans="1:15">
      <c r="A363" s="71">
        <v>2023</v>
      </c>
      <c r="B363" s="59" t="s">
        <v>562</v>
      </c>
      <c r="C363" s="63" t="s">
        <v>637</v>
      </c>
      <c r="D363" s="82" t="s">
        <v>94</v>
      </c>
      <c r="E363" s="47" t="s">
        <v>638</v>
      </c>
      <c r="F363" s="58">
        <v>200</v>
      </c>
      <c r="G363" s="59" t="s">
        <v>19</v>
      </c>
      <c r="H363" s="60">
        <v>6.5</v>
      </c>
      <c r="I363" s="49">
        <f t="shared" si="20"/>
        <v>1300</v>
      </c>
      <c r="J363" s="518">
        <v>5.0999999999999996</v>
      </c>
      <c r="K363" s="532">
        <f t="shared" si="21"/>
        <v>1.4000000000000004</v>
      </c>
      <c r="L363" s="533">
        <f t="shared" si="22"/>
        <v>280.00000000000006</v>
      </c>
      <c r="M363" s="534">
        <f t="shared" si="23"/>
        <v>0.21538461538461545</v>
      </c>
      <c r="N363" s="47" t="s">
        <v>22</v>
      </c>
      <c r="O363" s="81" t="s">
        <v>105</v>
      </c>
    </row>
    <row r="364" spans="1:15">
      <c r="A364" s="71">
        <v>2023</v>
      </c>
      <c r="B364" s="59" t="s">
        <v>562</v>
      </c>
      <c r="C364" s="63" t="s">
        <v>639</v>
      </c>
      <c r="D364" s="82" t="s">
        <v>68</v>
      </c>
      <c r="E364" s="47" t="s">
        <v>640</v>
      </c>
      <c r="F364" s="58">
        <v>216.2</v>
      </c>
      <c r="G364" s="59" t="s">
        <v>37</v>
      </c>
      <c r="H364" s="60">
        <v>360</v>
      </c>
      <c r="I364" s="49">
        <f t="shared" si="20"/>
        <v>77832</v>
      </c>
      <c r="J364" s="518">
        <v>355</v>
      </c>
      <c r="K364" s="532">
        <f t="shared" si="21"/>
        <v>5</v>
      </c>
      <c r="L364" s="533">
        <f t="shared" si="22"/>
        <v>1081</v>
      </c>
      <c r="M364" s="534">
        <f t="shared" si="23"/>
        <v>1.3888888888888888E-2</v>
      </c>
      <c r="N364" s="47" t="s">
        <v>38</v>
      </c>
      <c r="O364" s="81" t="s">
        <v>105</v>
      </c>
    </row>
    <row r="365" spans="1:15">
      <c r="A365" s="71">
        <v>2023</v>
      </c>
      <c r="B365" s="59" t="s">
        <v>562</v>
      </c>
      <c r="C365" s="63" t="s">
        <v>641</v>
      </c>
      <c r="D365" s="82" t="s">
        <v>103</v>
      </c>
      <c r="E365" s="47" t="s">
        <v>642</v>
      </c>
      <c r="F365" s="58">
        <v>1</v>
      </c>
      <c r="G365" s="59" t="s">
        <v>285</v>
      </c>
      <c r="H365" s="60">
        <v>43000</v>
      </c>
      <c r="I365" s="49">
        <f t="shared" si="20"/>
        <v>43000</v>
      </c>
      <c r="J365" s="518">
        <v>39000</v>
      </c>
      <c r="K365" s="532">
        <f t="shared" si="21"/>
        <v>4000</v>
      </c>
      <c r="L365" s="533">
        <f t="shared" si="22"/>
        <v>4000</v>
      </c>
      <c r="M365" s="534">
        <f t="shared" si="23"/>
        <v>9.3023255813953487E-2</v>
      </c>
      <c r="N365" s="47" t="s">
        <v>22</v>
      </c>
      <c r="O365" s="81" t="s">
        <v>105</v>
      </c>
    </row>
    <row r="366" spans="1:15">
      <c r="A366" s="71">
        <v>2023</v>
      </c>
      <c r="B366" s="59" t="s">
        <v>562</v>
      </c>
      <c r="C366" s="63" t="s">
        <v>643</v>
      </c>
      <c r="D366" s="82" t="s">
        <v>35</v>
      </c>
      <c r="E366" s="47" t="s">
        <v>644</v>
      </c>
      <c r="F366" s="58">
        <v>691</v>
      </c>
      <c r="G366" s="59" t="s">
        <v>37</v>
      </c>
      <c r="H366" s="60">
        <v>369</v>
      </c>
      <c r="I366" s="49">
        <f t="shared" si="20"/>
        <v>254979</v>
      </c>
      <c r="J366" s="518">
        <v>367.5</v>
      </c>
      <c r="K366" s="532">
        <f t="shared" si="21"/>
        <v>1.5</v>
      </c>
      <c r="L366" s="533">
        <f t="shared" si="22"/>
        <v>1036.5</v>
      </c>
      <c r="M366" s="534">
        <f t="shared" si="23"/>
        <v>4.0650406504065045E-3</v>
      </c>
      <c r="N366" s="47" t="s">
        <v>38</v>
      </c>
      <c r="O366" s="81" t="s">
        <v>105</v>
      </c>
    </row>
    <row r="367" spans="1:15">
      <c r="A367" s="71">
        <v>2023</v>
      </c>
      <c r="B367" s="59" t="s">
        <v>562</v>
      </c>
      <c r="C367" s="63" t="s">
        <v>643</v>
      </c>
      <c r="D367" s="82" t="s">
        <v>35</v>
      </c>
      <c r="E367" s="47" t="s">
        <v>645</v>
      </c>
      <c r="F367" s="58">
        <v>357.5</v>
      </c>
      <c r="G367" s="59" t="s">
        <v>37</v>
      </c>
      <c r="H367" s="60">
        <v>369</v>
      </c>
      <c r="I367" s="49">
        <f t="shared" si="20"/>
        <v>131917.5</v>
      </c>
      <c r="J367" s="518">
        <v>367.5</v>
      </c>
      <c r="K367" s="532">
        <f t="shared" si="21"/>
        <v>1.5</v>
      </c>
      <c r="L367" s="533">
        <f t="shared" si="22"/>
        <v>536.25</v>
      </c>
      <c r="M367" s="534">
        <f t="shared" si="23"/>
        <v>4.0650406504065045E-3</v>
      </c>
      <c r="N367" s="47" t="s">
        <v>38</v>
      </c>
      <c r="O367" s="81" t="s">
        <v>105</v>
      </c>
    </row>
    <row r="368" spans="1:15">
      <c r="A368" s="71">
        <v>2023</v>
      </c>
      <c r="B368" s="59" t="s">
        <v>562</v>
      </c>
      <c r="C368" s="63" t="s">
        <v>643</v>
      </c>
      <c r="D368" s="82" t="s">
        <v>35</v>
      </c>
      <c r="E368" s="47" t="s">
        <v>646</v>
      </c>
      <c r="F368" s="58">
        <v>1929</v>
      </c>
      <c r="G368" s="59" t="s">
        <v>37</v>
      </c>
      <c r="H368" s="60">
        <v>369</v>
      </c>
      <c r="I368" s="49">
        <f t="shared" si="20"/>
        <v>711801</v>
      </c>
      <c r="J368" s="518">
        <v>367.5</v>
      </c>
      <c r="K368" s="532">
        <f t="shared" si="21"/>
        <v>1.5</v>
      </c>
      <c r="L368" s="533">
        <f t="shared" si="22"/>
        <v>2893.5</v>
      </c>
      <c r="M368" s="534">
        <f t="shared" si="23"/>
        <v>4.0650406504065045E-3</v>
      </c>
      <c r="N368" s="47" t="s">
        <v>38</v>
      </c>
      <c r="O368" s="81" t="s">
        <v>105</v>
      </c>
    </row>
    <row r="369" spans="1:15">
      <c r="A369" s="71">
        <v>2023</v>
      </c>
      <c r="B369" s="59" t="s">
        <v>562</v>
      </c>
      <c r="C369" s="63" t="s">
        <v>643</v>
      </c>
      <c r="D369" s="82" t="s">
        <v>35</v>
      </c>
      <c r="E369" s="47" t="s">
        <v>277</v>
      </c>
      <c r="F369" s="58">
        <v>1428.9</v>
      </c>
      <c r="G369" s="59" t="s">
        <v>37</v>
      </c>
      <c r="H369" s="60">
        <v>369</v>
      </c>
      <c r="I369" s="49">
        <f t="shared" si="20"/>
        <v>527264.1</v>
      </c>
      <c r="J369" s="518">
        <v>367.5</v>
      </c>
      <c r="K369" s="532">
        <f t="shared" si="21"/>
        <v>1.5</v>
      </c>
      <c r="L369" s="533">
        <f t="shared" si="22"/>
        <v>2143.3500000000004</v>
      </c>
      <c r="M369" s="534">
        <f t="shared" si="23"/>
        <v>4.0650406504065045E-3</v>
      </c>
      <c r="N369" s="47" t="s">
        <v>38</v>
      </c>
      <c r="O369" s="81" t="s">
        <v>105</v>
      </c>
    </row>
    <row r="370" spans="1:15">
      <c r="A370" s="71">
        <v>2023</v>
      </c>
      <c r="B370" s="59" t="s">
        <v>562</v>
      </c>
      <c r="C370" s="63" t="s">
        <v>643</v>
      </c>
      <c r="D370" s="82" t="s">
        <v>35</v>
      </c>
      <c r="E370" s="47" t="s">
        <v>483</v>
      </c>
      <c r="F370" s="58">
        <v>876</v>
      </c>
      <c r="G370" s="59" t="s">
        <v>37</v>
      </c>
      <c r="H370" s="60">
        <v>369</v>
      </c>
      <c r="I370" s="49">
        <f t="shared" si="20"/>
        <v>323244</v>
      </c>
      <c r="J370" s="518">
        <v>367.5</v>
      </c>
      <c r="K370" s="532">
        <f t="shared" si="21"/>
        <v>1.5</v>
      </c>
      <c r="L370" s="533">
        <f t="shared" si="22"/>
        <v>1314</v>
      </c>
      <c r="M370" s="534">
        <f t="shared" si="23"/>
        <v>4.0650406504065045E-3</v>
      </c>
      <c r="N370" s="47" t="s">
        <v>38</v>
      </c>
      <c r="O370" s="81" t="s">
        <v>105</v>
      </c>
    </row>
    <row r="371" spans="1:15">
      <c r="A371" s="71">
        <v>2023</v>
      </c>
      <c r="B371" s="59" t="s">
        <v>562</v>
      </c>
      <c r="C371" s="63" t="s">
        <v>643</v>
      </c>
      <c r="D371" s="82" t="s">
        <v>35</v>
      </c>
      <c r="E371" s="47" t="s">
        <v>485</v>
      </c>
      <c r="F371" s="58">
        <v>486</v>
      </c>
      <c r="G371" s="59" t="s">
        <v>37</v>
      </c>
      <c r="H371" s="60">
        <v>369</v>
      </c>
      <c r="I371" s="49">
        <f t="shared" si="20"/>
        <v>179334</v>
      </c>
      <c r="J371" s="518">
        <v>367.5</v>
      </c>
      <c r="K371" s="532">
        <f t="shared" si="21"/>
        <v>1.5</v>
      </c>
      <c r="L371" s="533">
        <f t="shared" si="22"/>
        <v>729</v>
      </c>
      <c r="M371" s="534">
        <f t="shared" si="23"/>
        <v>4.0650406504065045E-3</v>
      </c>
      <c r="N371" s="47" t="s">
        <v>38</v>
      </c>
      <c r="O371" s="81" t="s">
        <v>105</v>
      </c>
    </row>
    <row r="372" spans="1:15">
      <c r="A372" s="71">
        <v>2023</v>
      </c>
      <c r="B372" s="59" t="s">
        <v>562</v>
      </c>
      <c r="C372" s="63" t="s">
        <v>643</v>
      </c>
      <c r="D372" s="82" t="s">
        <v>35</v>
      </c>
      <c r="E372" s="47" t="s">
        <v>647</v>
      </c>
      <c r="F372" s="58">
        <v>443</v>
      </c>
      <c r="G372" s="59" t="s">
        <v>37</v>
      </c>
      <c r="H372" s="60">
        <v>369</v>
      </c>
      <c r="I372" s="49">
        <f t="shared" si="20"/>
        <v>163467</v>
      </c>
      <c r="J372" s="518">
        <v>367.5</v>
      </c>
      <c r="K372" s="532">
        <f t="shared" si="21"/>
        <v>1.5</v>
      </c>
      <c r="L372" s="533">
        <f t="shared" si="22"/>
        <v>664.5</v>
      </c>
      <c r="M372" s="534">
        <f t="shared" si="23"/>
        <v>4.0650406504065045E-3</v>
      </c>
      <c r="N372" s="47" t="s">
        <v>38</v>
      </c>
      <c r="O372" s="81" t="s">
        <v>105</v>
      </c>
    </row>
    <row r="373" spans="1:15">
      <c r="A373" s="71">
        <v>2023</v>
      </c>
      <c r="B373" s="59" t="s">
        <v>562</v>
      </c>
      <c r="C373" s="63" t="s">
        <v>643</v>
      </c>
      <c r="D373" s="82" t="s">
        <v>35</v>
      </c>
      <c r="E373" s="47" t="s">
        <v>648</v>
      </c>
      <c r="F373" s="58">
        <v>780</v>
      </c>
      <c r="G373" s="59" t="s">
        <v>37</v>
      </c>
      <c r="H373" s="60">
        <v>369</v>
      </c>
      <c r="I373" s="49">
        <f t="shared" si="20"/>
        <v>287820</v>
      </c>
      <c r="J373" s="518">
        <v>367.5</v>
      </c>
      <c r="K373" s="532">
        <f t="shared" si="21"/>
        <v>1.5</v>
      </c>
      <c r="L373" s="533">
        <f t="shared" si="22"/>
        <v>1170</v>
      </c>
      <c r="M373" s="534">
        <f t="shared" si="23"/>
        <v>4.0650406504065045E-3</v>
      </c>
      <c r="N373" s="47" t="s">
        <v>38</v>
      </c>
      <c r="O373" s="81" t="s">
        <v>105</v>
      </c>
    </row>
    <row r="374" spans="1:15">
      <c r="A374" s="71">
        <v>2023</v>
      </c>
      <c r="B374" s="59" t="s">
        <v>562</v>
      </c>
      <c r="C374" s="63" t="s">
        <v>643</v>
      </c>
      <c r="D374" s="82" t="s">
        <v>35</v>
      </c>
      <c r="E374" s="47" t="s">
        <v>649</v>
      </c>
      <c r="F374" s="58">
        <v>486.3</v>
      </c>
      <c r="G374" s="59" t="s">
        <v>37</v>
      </c>
      <c r="H374" s="60">
        <v>369</v>
      </c>
      <c r="I374" s="49">
        <f t="shared" si="20"/>
        <v>179444.7</v>
      </c>
      <c r="J374" s="518">
        <v>367.5</v>
      </c>
      <c r="K374" s="532">
        <f t="shared" si="21"/>
        <v>1.5</v>
      </c>
      <c r="L374" s="533">
        <f t="shared" si="22"/>
        <v>729.45</v>
      </c>
      <c r="M374" s="534">
        <f t="shared" si="23"/>
        <v>4.0650406504065045E-3</v>
      </c>
      <c r="N374" s="47" t="s">
        <v>38</v>
      </c>
      <c r="O374" s="81" t="s">
        <v>105</v>
      </c>
    </row>
    <row r="375" spans="1:15">
      <c r="A375" s="71">
        <v>2023</v>
      </c>
      <c r="B375" s="59" t="s">
        <v>562</v>
      </c>
      <c r="C375" s="63" t="s">
        <v>650</v>
      </c>
      <c r="D375" s="82" t="s">
        <v>279</v>
      </c>
      <c r="E375" s="47" t="s">
        <v>280</v>
      </c>
      <c r="F375" s="58">
        <v>100</v>
      </c>
      <c r="G375" s="59" t="s">
        <v>19</v>
      </c>
      <c r="H375" s="60">
        <v>62</v>
      </c>
      <c r="I375" s="49">
        <f t="shared" si="20"/>
        <v>6200</v>
      </c>
      <c r="J375" s="518">
        <v>53.21</v>
      </c>
      <c r="K375" s="532">
        <f t="shared" si="21"/>
        <v>8.7899999999999991</v>
      </c>
      <c r="L375" s="533">
        <f t="shared" si="22"/>
        <v>878.99999999999989</v>
      </c>
      <c r="M375" s="534">
        <f t="shared" si="23"/>
        <v>0.14177419354838708</v>
      </c>
      <c r="N375" s="47" t="s">
        <v>22</v>
      </c>
      <c r="O375" s="81" t="s">
        <v>105</v>
      </c>
    </row>
    <row r="376" spans="1:15">
      <c r="A376" s="71">
        <v>2023</v>
      </c>
      <c r="B376" s="59" t="s">
        <v>562</v>
      </c>
      <c r="C376" s="63" t="s">
        <v>650</v>
      </c>
      <c r="D376" s="82" t="s">
        <v>279</v>
      </c>
      <c r="E376" s="47" t="s">
        <v>651</v>
      </c>
      <c r="F376" s="58">
        <v>100</v>
      </c>
      <c r="G376" s="59" t="s">
        <v>19</v>
      </c>
      <c r="H376" s="60">
        <v>14</v>
      </c>
      <c r="I376" s="49">
        <f t="shared" si="20"/>
        <v>1400</v>
      </c>
      <c r="J376" s="518">
        <v>8.4600000000000009</v>
      </c>
      <c r="K376" s="532">
        <f t="shared" si="21"/>
        <v>5.5399999999999991</v>
      </c>
      <c r="L376" s="533">
        <f t="shared" si="22"/>
        <v>553.99999999999989</v>
      </c>
      <c r="M376" s="534">
        <f t="shared" si="23"/>
        <v>0.39571428571428563</v>
      </c>
      <c r="N376" s="47" t="s">
        <v>22</v>
      </c>
      <c r="O376" s="81" t="s">
        <v>105</v>
      </c>
    </row>
    <row r="377" spans="1:15">
      <c r="A377" s="71">
        <v>2023</v>
      </c>
      <c r="B377" s="59" t="s">
        <v>562</v>
      </c>
      <c r="C377" s="63" t="s">
        <v>652</v>
      </c>
      <c r="D377" s="82" t="s">
        <v>35</v>
      </c>
      <c r="E377" s="47" t="s">
        <v>653</v>
      </c>
      <c r="F377" s="58">
        <v>2268</v>
      </c>
      <c r="G377" s="59" t="s">
        <v>37</v>
      </c>
      <c r="H377" s="60">
        <v>369</v>
      </c>
      <c r="I377" s="49">
        <f t="shared" si="20"/>
        <v>836892</v>
      </c>
      <c r="J377" s="518">
        <v>367.5</v>
      </c>
      <c r="K377" s="532">
        <f t="shared" si="21"/>
        <v>1.5</v>
      </c>
      <c r="L377" s="533">
        <f t="shared" si="22"/>
        <v>3402</v>
      </c>
      <c r="M377" s="534">
        <f t="shared" si="23"/>
        <v>4.0650406504065045E-3</v>
      </c>
      <c r="N377" s="47" t="s">
        <v>38</v>
      </c>
      <c r="O377" s="81" t="s">
        <v>105</v>
      </c>
    </row>
    <row r="378" spans="1:15">
      <c r="A378" s="71">
        <v>2023</v>
      </c>
      <c r="B378" s="59" t="s">
        <v>562</v>
      </c>
      <c r="C378" s="63" t="s">
        <v>654</v>
      </c>
      <c r="D378" s="82" t="s">
        <v>35</v>
      </c>
      <c r="E378" s="47" t="s">
        <v>559</v>
      </c>
      <c r="F378" s="58">
        <v>75.5</v>
      </c>
      <c r="G378" s="59" t="s">
        <v>37</v>
      </c>
      <c r="H378" s="60">
        <v>369</v>
      </c>
      <c r="I378" s="49">
        <f t="shared" si="20"/>
        <v>27859.5</v>
      </c>
      <c r="J378" s="518">
        <v>368.5</v>
      </c>
      <c r="K378" s="532">
        <f t="shared" si="21"/>
        <v>0.5</v>
      </c>
      <c r="L378" s="533">
        <f t="shared" si="22"/>
        <v>37.75</v>
      </c>
      <c r="M378" s="534">
        <f t="shared" si="23"/>
        <v>1.3550135501355014E-3</v>
      </c>
      <c r="N378" s="47" t="s">
        <v>38</v>
      </c>
      <c r="O378" s="81" t="s">
        <v>105</v>
      </c>
    </row>
    <row r="379" spans="1:15">
      <c r="A379" s="71">
        <v>2023</v>
      </c>
      <c r="B379" s="59" t="s">
        <v>562</v>
      </c>
      <c r="C379" s="63" t="s">
        <v>654</v>
      </c>
      <c r="D379" s="82" t="s">
        <v>35</v>
      </c>
      <c r="E379" s="47" t="s">
        <v>655</v>
      </c>
      <c r="F379" s="58">
        <v>490</v>
      </c>
      <c r="G379" s="59" t="s">
        <v>37</v>
      </c>
      <c r="H379" s="60">
        <v>369</v>
      </c>
      <c r="I379" s="49">
        <f t="shared" si="20"/>
        <v>180810</v>
      </c>
      <c r="J379" s="518">
        <v>356</v>
      </c>
      <c r="K379" s="532">
        <f t="shared" si="21"/>
        <v>13</v>
      </c>
      <c r="L379" s="533">
        <f t="shared" si="22"/>
        <v>6370</v>
      </c>
      <c r="M379" s="534">
        <f t="shared" si="23"/>
        <v>3.5230352303523033E-2</v>
      </c>
      <c r="N379" s="47" t="s">
        <v>38</v>
      </c>
      <c r="O379" s="81" t="s">
        <v>105</v>
      </c>
    </row>
    <row r="380" spans="1:15">
      <c r="A380" s="71">
        <v>2023</v>
      </c>
      <c r="B380" s="59" t="s">
        <v>562</v>
      </c>
      <c r="C380" s="63" t="s">
        <v>656</v>
      </c>
      <c r="D380" s="82" t="s">
        <v>279</v>
      </c>
      <c r="E380" s="47" t="s">
        <v>629</v>
      </c>
      <c r="F380" s="58">
        <v>30</v>
      </c>
      <c r="G380" s="59" t="s">
        <v>302</v>
      </c>
      <c r="H380" s="60">
        <v>55</v>
      </c>
      <c r="I380" s="49">
        <f t="shared" si="20"/>
        <v>1650</v>
      </c>
      <c r="J380" s="518">
        <v>48.82</v>
      </c>
      <c r="K380" s="532">
        <f t="shared" si="21"/>
        <v>6.18</v>
      </c>
      <c r="L380" s="533">
        <f t="shared" si="22"/>
        <v>185.39999999999998</v>
      </c>
      <c r="M380" s="534">
        <f t="shared" si="23"/>
        <v>0.11236363636363636</v>
      </c>
      <c r="N380" s="47" t="s">
        <v>22</v>
      </c>
      <c r="O380" s="81" t="s">
        <v>105</v>
      </c>
    </row>
    <row r="381" spans="1:15">
      <c r="A381" s="71">
        <v>2023</v>
      </c>
      <c r="B381" s="59" t="s">
        <v>562</v>
      </c>
      <c r="C381" s="63" t="s">
        <v>657</v>
      </c>
      <c r="D381" s="82" t="s">
        <v>633</v>
      </c>
      <c r="E381" s="47" t="s">
        <v>564</v>
      </c>
      <c r="F381" s="58">
        <v>20</v>
      </c>
      <c r="G381" s="59" t="s">
        <v>19</v>
      </c>
      <c r="H381" s="60">
        <v>980</v>
      </c>
      <c r="I381" s="49">
        <f t="shared" si="20"/>
        <v>19600</v>
      </c>
      <c r="J381" s="518">
        <v>900</v>
      </c>
      <c r="K381" s="532">
        <f t="shared" si="21"/>
        <v>80</v>
      </c>
      <c r="L381" s="533">
        <f t="shared" si="22"/>
        <v>1600</v>
      </c>
      <c r="M381" s="534">
        <f t="shared" si="23"/>
        <v>8.1632653061224483E-2</v>
      </c>
      <c r="N381" s="47" t="s">
        <v>22</v>
      </c>
      <c r="O381" s="81" t="s">
        <v>105</v>
      </c>
    </row>
    <row r="382" spans="1:15">
      <c r="A382" s="71">
        <v>2023</v>
      </c>
      <c r="B382" s="59" t="s">
        <v>562</v>
      </c>
      <c r="C382" s="63" t="s">
        <v>658</v>
      </c>
      <c r="D382" s="82" t="s">
        <v>166</v>
      </c>
      <c r="E382" s="47" t="s">
        <v>659</v>
      </c>
      <c r="F382" s="58">
        <v>12560</v>
      </c>
      <c r="G382" s="59" t="s">
        <v>37</v>
      </c>
      <c r="H382" s="60">
        <v>33.81</v>
      </c>
      <c r="I382" s="49">
        <f t="shared" si="20"/>
        <v>424653.60000000003</v>
      </c>
      <c r="J382" s="518">
        <v>31.39</v>
      </c>
      <c r="K382" s="532">
        <f t="shared" si="21"/>
        <v>2.4200000000000017</v>
      </c>
      <c r="L382" s="533">
        <f t="shared" si="22"/>
        <v>30395.200000000023</v>
      </c>
      <c r="M382" s="534">
        <f t="shared" si="23"/>
        <v>7.1576456669624422E-2</v>
      </c>
      <c r="N382" s="47" t="s">
        <v>38</v>
      </c>
      <c r="O382" s="81" t="s">
        <v>39</v>
      </c>
    </row>
    <row r="383" spans="1:15">
      <c r="A383" s="71">
        <v>2023</v>
      </c>
      <c r="B383" s="59" t="s">
        <v>562</v>
      </c>
      <c r="C383" s="63" t="s">
        <v>658</v>
      </c>
      <c r="D383" s="82" t="s">
        <v>166</v>
      </c>
      <c r="E383" s="47" t="s">
        <v>660</v>
      </c>
      <c r="F383" s="58">
        <v>19600</v>
      </c>
      <c r="G383" s="59" t="s">
        <v>37</v>
      </c>
      <c r="H383" s="60">
        <v>33.81</v>
      </c>
      <c r="I383" s="49">
        <f t="shared" si="20"/>
        <v>662676</v>
      </c>
      <c r="J383" s="518">
        <v>31.39</v>
      </c>
      <c r="K383" s="532">
        <f t="shared" si="21"/>
        <v>2.4200000000000017</v>
      </c>
      <c r="L383" s="533">
        <f t="shared" si="22"/>
        <v>47432.000000000036</v>
      </c>
      <c r="M383" s="534">
        <f t="shared" si="23"/>
        <v>7.1576456669624422E-2</v>
      </c>
      <c r="N383" s="47" t="s">
        <v>38</v>
      </c>
      <c r="O383" s="81" t="s">
        <v>39</v>
      </c>
    </row>
    <row r="384" spans="1:15">
      <c r="A384" s="71">
        <v>2023</v>
      </c>
      <c r="B384" s="59" t="s">
        <v>562</v>
      </c>
      <c r="C384" s="63" t="s">
        <v>658</v>
      </c>
      <c r="D384" s="82" t="s">
        <v>166</v>
      </c>
      <c r="E384" s="47" t="s">
        <v>660</v>
      </c>
      <c r="F384" s="58">
        <v>21560</v>
      </c>
      <c r="G384" s="59" t="s">
        <v>37</v>
      </c>
      <c r="H384" s="60">
        <v>33.81</v>
      </c>
      <c r="I384" s="49">
        <f t="shared" si="20"/>
        <v>728943.60000000009</v>
      </c>
      <c r="J384" s="518">
        <v>31.39</v>
      </c>
      <c r="K384" s="532">
        <f t="shared" si="21"/>
        <v>2.4200000000000017</v>
      </c>
      <c r="L384" s="533">
        <f t="shared" si="22"/>
        <v>52175.200000000033</v>
      </c>
      <c r="M384" s="534">
        <f t="shared" si="23"/>
        <v>7.1576456669624422E-2</v>
      </c>
      <c r="N384" s="47" t="s">
        <v>38</v>
      </c>
      <c r="O384" s="81" t="s">
        <v>39</v>
      </c>
    </row>
    <row r="385" spans="1:15">
      <c r="A385" s="71">
        <v>2023</v>
      </c>
      <c r="B385" s="59" t="s">
        <v>562</v>
      </c>
      <c r="C385" s="63" t="s">
        <v>661</v>
      </c>
      <c r="D385" s="82" t="s">
        <v>192</v>
      </c>
      <c r="E385" s="47" t="s">
        <v>662</v>
      </c>
      <c r="F385" s="58">
        <v>100</v>
      </c>
      <c r="G385" s="59" t="s">
        <v>615</v>
      </c>
      <c r="H385" s="60">
        <v>185</v>
      </c>
      <c r="I385" s="49">
        <f t="shared" si="20"/>
        <v>18500</v>
      </c>
      <c r="J385" s="518">
        <v>178</v>
      </c>
      <c r="K385" s="532">
        <f t="shared" si="21"/>
        <v>7</v>
      </c>
      <c r="L385" s="533">
        <f t="shared" si="22"/>
        <v>700</v>
      </c>
      <c r="M385" s="534">
        <f t="shared" si="23"/>
        <v>3.783783783783784E-2</v>
      </c>
      <c r="N385" s="47" t="s">
        <v>22</v>
      </c>
      <c r="O385" s="81" t="s">
        <v>105</v>
      </c>
    </row>
    <row r="386" spans="1:15">
      <c r="A386" s="71">
        <v>2023</v>
      </c>
      <c r="B386" s="59" t="s">
        <v>562</v>
      </c>
      <c r="C386" s="63" t="s">
        <v>663</v>
      </c>
      <c r="D386" s="82" t="s">
        <v>304</v>
      </c>
      <c r="E386" s="47" t="s">
        <v>664</v>
      </c>
      <c r="F386" s="58">
        <v>54</v>
      </c>
      <c r="G386" s="59" t="s">
        <v>19</v>
      </c>
      <c r="H386" s="60">
        <v>12000</v>
      </c>
      <c r="I386" s="49">
        <f t="shared" si="20"/>
        <v>648000</v>
      </c>
      <c r="J386" s="518">
        <v>11500</v>
      </c>
      <c r="K386" s="532">
        <f t="shared" si="21"/>
        <v>500</v>
      </c>
      <c r="L386" s="533">
        <f t="shared" si="22"/>
        <v>27000</v>
      </c>
      <c r="M386" s="534">
        <f t="shared" si="23"/>
        <v>4.1666666666666664E-2</v>
      </c>
      <c r="N386" s="47" t="s">
        <v>38</v>
      </c>
      <c r="O386" s="81" t="s">
        <v>105</v>
      </c>
    </row>
    <row r="387" spans="1:15">
      <c r="A387" s="71">
        <v>2023</v>
      </c>
      <c r="B387" s="59" t="s">
        <v>562</v>
      </c>
      <c r="C387" s="63" t="s">
        <v>665</v>
      </c>
      <c r="D387" s="82" t="s">
        <v>304</v>
      </c>
      <c r="E387" s="47" t="s">
        <v>664</v>
      </c>
      <c r="F387" s="58">
        <v>30</v>
      </c>
      <c r="G387" s="59" t="s">
        <v>19</v>
      </c>
      <c r="H387" s="60">
        <v>12000</v>
      </c>
      <c r="I387" s="49">
        <f t="shared" ref="I387:I450" si="24">H387*F387</f>
        <v>360000</v>
      </c>
      <c r="J387" s="518">
        <v>11500</v>
      </c>
      <c r="K387" s="532">
        <f t="shared" ref="K387:K450" si="25">H387-J387</f>
        <v>500</v>
      </c>
      <c r="L387" s="533">
        <f t="shared" ref="L387:L450" si="26">K387*F387</f>
        <v>15000</v>
      </c>
      <c r="M387" s="534">
        <f t="shared" ref="M387:M450" si="27">K387/H387</f>
        <v>4.1666666666666664E-2</v>
      </c>
      <c r="N387" s="47" t="s">
        <v>38</v>
      </c>
      <c r="O387" s="81" t="s">
        <v>105</v>
      </c>
    </row>
    <row r="388" spans="1:15">
      <c r="A388" s="71">
        <v>2023</v>
      </c>
      <c r="B388" s="59" t="s">
        <v>562</v>
      </c>
      <c r="C388" s="63" t="s">
        <v>666</v>
      </c>
      <c r="D388" s="82" t="s">
        <v>17</v>
      </c>
      <c r="E388" s="47" t="s">
        <v>268</v>
      </c>
      <c r="F388" s="58">
        <v>24</v>
      </c>
      <c r="G388" s="59" t="s">
        <v>469</v>
      </c>
      <c r="H388" s="60">
        <v>49</v>
      </c>
      <c r="I388" s="49">
        <f t="shared" si="24"/>
        <v>1176</v>
      </c>
      <c r="J388" s="518">
        <v>38.5</v>
      </c>
      <c r="K388" s="532">
        <f t="shared" si="25"/>
        <v>10.5</v>
      </c>
      <c r="L388" s="533">
        <f t="shared" si="26"/>
        <v>252</v>
      </c>
      <c r="M388" s="534">
        <f t="shared" si="27"/>
        <v>0.21428571428571427</v>
      </c>
      <c r="N388" s="47" t="s">
        <v>22</v>
      </c>
      <c r="O388" s="81" t="s">
        <v>21</v>
      </c>
    </row>
    <row r="389" spans="1:15">
      <c r="A389" s="71">
        <v>2023</v>
      </c>
      <c r="B389" s="59" t="s">
        <v>562</v>
      </c>
      <c r="C389" s="63" t="s">
        <v>667</v>
      </c>
      <c r="D389" s="82" t="s">
        <v>113</v>
      </c>
      <c r="E389" s="47" t="s">
        <v>668</v>
      </c>
      <c r="F389" s="58">
        <v>1</v>
      </c>
      <c r="G389" s="59" t="s">
        <v>469</v>
      </c>
      <c r="H389" s="60">
        <v>6990</v>
      </c>
      <c r="I389" s="49">
        <f t="shared" si="24"/>
        <v>6990</v>
      </c>
      <c r="J389" s="518">
        <v>6500</v>
      </c>
      <c r="K389" s="532">
        <f t="shared" si="25"/>
        <v>490</v>
      </c>
      <c r="L389" s="533">
        <f t="shared" si="26"/>
        <v>490</v>
      </c>
      <c r="M389" s="534">
        <f t="shared" si="27"/>
        <v>7.0100143061516448E-2</v>
      </c>
      <c r="N389" s="47" t="s">
        <v>22</v>
      </c>
      <c r="O389" s="81" t="s">
        <v>21</v>
      </c>
    </row>
    <row r="390" spans="1:15">
      <c r="A390" s="71">
        <v>2023</v>
      </c>
      <c r="B390" s="59" t="s">
        <v>562</v>
      </c>
      <c r="C390" s="63" t="s">
        <v>669</v>
      </c>
      <c r="D390" s="82" t="s">
        <v>670</v>
      </c>
      <c r="E390" s="47" t="s">
        <v>671</v>
      </c>
      <c r="F390" s="58">
        <v>1</v>
      </c>
      <c r="G390" s="59" t="s">
        <v>569</v>
      </c>
      <c r="H390" s="60">
        <v>123000</v>
      </c>
      <c r="I390" s="49">
        <f t="shared" si="24"/>
        <v>123000</v>
      </c>
      <c r="J390" s="518">
        <v>122000</v>
      </c>
      <c r="K390" s="532">
        <f t="shared" si="25"/>
        <v>1000</v>
      </c>
      <c r="L390" s="533">
        <f t="shared" si="26"/>
        <v>1000</v>
      </c>
      <c r="M390" s="534">
        <f t="shared" si="27"/>
        <v>8.130081300813009E-3</v>
      </c>
      <c r="N390" s="47" t="s">
        <v>38</v>
      </c>
      <c r="O390" s="81" t="s">
        <v>21</v>
      </c>
    </row>
    <row r="391" spans="1:15">
      <c r="A391" s="71">
        <v>2023</v>
      </c>
      <c r="B391" s="59" t="s">
        <v>562</v>
      </c>
      <c r="C391" s="63" t="s">
        <v>672</v>
      </c>
      <c r="D391" s="82" t="s">
        <v>673</v>
      </c>
      <c r="E391" s="47" t="s">
        <v>674</v>
      </c>
      <c r="F391" s="58">
        <v>10</v>
      </c>
      <c r="G391" s="59" t="s">
        <v>469</v>
      </c>
      <c r="H391" s="60">
        <v>750</v>
      </c>
      <c r="I391" s="49">
        <f t="shared" si="24"/>
        <v>7500</v>
      </c>
      <c r="J391" s="518">
        <v>700</v>
      </c>
      <c r="K391" s="532">
        <f t="shared" si="25"/>
        <v>50</v>
      </c>
      <c r="L391" s="533">
        <f t="shared" si="26"/>
        <v>500</v>
      </c>
      <c r="M391" s="534">
        <f t="shared" si="27"/>
        <v>6.6666666666666666E-2</v>
      </c>
      <c r="N391" s="47" t="s">
        <v>38</v>
      </c>
      <c r="O391" s="81" t="s">
        <v>21</v>
      </c>
    </row>
    <row r="392" spans="1:15" s="416" customFormat="1">
      <c r="A392" s="71">
        <v>2023</v>
      </c>
      <c r="B392" s="59" t="s">
        <v>562</v>
      </c>
      <c r="C392" s="63" t="s">
        <v>675</v>
      </c>
      <c r="D392" s="82" t="s">
        <v>17</v>
      </c>
      <c r="E392" s="47" t="s">
        <v>676</v>
      </c>
      <c r="F392" s="58">
        <v>8</v>
      </c>
      <c r="G392" s="59" t="s">
        <v>469</v>
      </c>
      <c r="H392" s="60">
        <v>12500</v>
      </c>
      <c r="I392" s="49">
        <f t="shared" si="24"/>
        <v>100000</v>
      </c>
      <c r="J392" s="518">
        <v>12300</v>
      </c>
      <c r="K392" s="532">
        <f t="shared" si="25"/>
        <v>200</v>
      </c>
      <c r="L392" s="533">
        <f t="shared" si="26"/>
        <v>1600</v>
      </c>
      <c r="M392" s="534">
        <f t="shared" si="27"/>
        <v>1.6E-2</v>
      </c>
      <c r="N392" s="47" t="s">
        <v>22</v>
      </c>
      <c r="O392" s="81" t="s">
        <v>21</v>
      </c>
    </row>
    <row r="393" spans="1:15" s="416" customFormat="1">
      <c r="A393" s="71">
        <v>2023</v>
      </c>
      <c r="B393" s="59" t="s">
        <v>562</v>
      </c>
      <c r="C393" s="63" t="s">
        <v>677</v>
      </c>
      <c r="D393" s="82" t="s">
        <v>678</v>
      </c>
      <c r="E393" s="47" t="s">
        <v>679</v>
      </c>
      <c r="F393" s="58">
        <v>1</v>
      </c>
      <c r="G393" s="59" t="s">
        <v>469</v>
      </c>
      <c r="H393" s="60">
        <v>125000</v>
      </c>
      <c r="I393" s="49">
        <f t="shared" si="24"/>
        <v>125000</v>
      </c>
      <c r="J393" s="518">
        <v>123000</v>
      </c>
      <c r="K393" s="532">
        <f t="shared" si="25"/>
        <v>2000</v>
      </c>
      <c r="L393" s="533">
        <f t="shared" si="26"/>
        <v>2000</v>
      </c>
      <c r="M393" s="534">
        <f t="shared" si="27"/>
        <v>1.6E-2</v>
      </c>
      <c r="N393" s="47" t="s">
        <v>38</v>
      </c>
      <c r="O393" s="81" t="s">
        <v>21</v>
      </c>
    </row>
    <row r="394" spans="1:15" s="416" customFormat="1">
      <c r="A394" s="71">
        <v>2023</v>
      </c>
      <c r="B394" s="59" t="s">
        <v>562</v>
      </c>
      <c r="C394" s="63" t="s">
        <v>680</v>
      </c>
      <c r="D394" s="82" t="s">
        <v>96</v>
      </c>
      <c r="E394" s="47" t="s">
        <v>419</v>
      </c>
      <c r="F394" s="58">
        <v>6</v>
      </c>
      <c r="G394" s="59" t="s">
        <v>98</v>
      </c>
      <c r="H394" s="60">
        <v>9320</v>
      </c>
      <c r="I394" s="49">
        <f t="shared" si="24"/>
        <v>55920</v>
      </c>
      <c r="J394" s="518">
        <v>8400</v>
      </c>
      <c r="K394" s="532">
        <f t="shared" si="25"/>
        <v>920</v>
      </c>
      <c r="L394" s="533">
        <f t="shared" si="26"/>
        <v>5520</v>
      </c>
      <c r="M394" s="534">
        <f t="shared" si="27"/>
        <v>9.8712446351931327E-2</v>
      </c>
      <c r="N394" s="47" t="s">
        <v>22</v>
      </c>
      <c r="O394" s="81" t="s">
        <v>21</v>
      </c>
    </row>
    <row r="395" spans="1:15" s="416" customFormat="1">
      <c r="A395" s="71">
        <v>2023</v>
      </c>
      <c r="B395" s="59" t="s">
        <v>562</v>
      </c>
      <c r="C395" s="63" t="s">
        <v>681</v>
      </c>
      <c r="D395" s="82" t="s">
        <v>448</v>
      </c>
      <c r="E395" s="47" t="s">
        <v>682</v>
      </c>
      <c r="F395" s="58">
        <v>600</v>
      </c>
      <c r="G395" s="59" t="s">
        <v>469</v>
      </c>
      <c r="H395" s="60">
        <v>45</v>
      </c>
      <c r="I395" s="49">
        <f t="shared" si="24"/>
        <v>27000</v>
      </c>
      <c r="J395" s="518">
        <v>15.5</v>
      </c>
      <c r="K395" s="532">
        <f t="shared" si="25"/>
        <v>29.5</v>
      </c>
      <c r="L395" s="533">
        <f t="shared" si="26"/>
        <v>17700</v>
      </c>
      <c r="M395" s="534">
        <f t="shared" si="27"/>
        <v>0.65555555555555556</v>
      </c>
      <c r="N395" s="47" t="s">
        <v>22</v>
      </c>
      <c r="O395" s="81" t="s">
        <v>21</v>
      </c>
    </row>
    <row r="396" spans="1:15" s="416" customFormat="1">
      <c r="A396" s="71">
        <v>2023</v>
      </c>
      <c r="B396" s="59" t="s">
        <v>562</v>
      </c>
      <c r="C396" s="63" t="s">
        <v>683</v>
      </c>
      <c r="D396" s="82" t="s">
        <v>118</v>
      </c>
      <c r="E396" s="47" t="s">
        <v>684</v>
      </c>
      <c r="F396" s="58">
        <v>2</v>
      </c>
      <c r="G396" s="59" t="s">
        <v>469</v>
      </c>
      <c r="H396" s="60">
        <v>845</v>
      </c>
      <c r="I396" s="49">
        <f t="shared" si="24"/>
        <v>1690</v>
      </c>
      <c r="J396" s="518">
        <v>633.75</v>
      </c>
      <c r="K396" s="532">
        <f t="shared" si="25"/>
        <v>211.25</v>
      </c>
      <c r="L396" s="533">
        <f t="shared" si="26"/>
        <v>422.5</v>
      </c>
      <c r="M396" s="534">
        <f t="shared" si="27"/>
        <v>0.25</v>
      </c>
      <c r="N396" s="47" t="s">
        <v>22</v>
      </c>
      <c r="O396" s="81" t="s">
        <v>21</v>
      </c>
    </row>
    <row r="397" spans="1:15" s="416" customFormat="1">
      <c r="A397" s="71">
        <v>2023</v>
      </c>
      <c r="B397" s="59" t="s">
        <v>562</v>
      </c>
      <c r="C397" s="63" t="s">
        <v>685</v>
      </c>
      <c r="D397" s="82" t="s">
        <v>94</v>
      </c>
      <c r="E397" s="47" t="s">
        <v>101</v>
      </c>
      <c r="F397" s="58">
        <v>60</v>
      </c>
      <c r="G397" s="59" t="s">
        <v>29</v>
      </c>
      <c r="H397" s="60">
        <v>700</v>
      </c>
      <c r="I397" s="49">
        <f t="shared" si="24"/>
        <v>42000</v>
      </c>
      <c r="J397" s="518">
        <v>600</v>
      </c>
      <c r="K397" s="532">
        <f t="shared" si="25"/>
        <v>100</v>
      </c>
      <c r="L397" s="533">
        <f t="shared" si="26"/>
        <v>6000</v>
      </c>
      <c r="M397" s="534">
        <f t="shared" si="27"/>
        <v>0.14285714285714285</v>
      </c>
      <c r="N397" s="47" t="s">
        <v>22</v>
      </c>
      <c r="O397" s="81" t="s">
        <v>21</v>
      </c>
    </row>
    <row r="398" spans="1:15" s="416" customFormat="1">
      <c r="A398" s="71">
        <v>2023</v>
      </c>
      <c r="B398" s="59" t="s">
        <v>562</v>
      </c>
      <c r="C398" s="63" t="s">
        <v>686</v>
      </c>
      <c r="D398" s="82" t="s">
        <v>160</v>
      </c>
      <c r="E398" s="47" t="s">
        <v>687</v>
      </c>
      <c r="F398" s="58">
        <v>1</v>
      </c>
      <c r="G398" s="59" t="s">
        <v>469</v>
      </c>
      <c r="H398" s="60">
        <v>16100</v>
      </c>
      <c r="I398" s="49">
        <f t="shared" si="24"/>
        <v>16100</v>
      </c>
      <c r="J398" s="518">
        <v>14900</v>
      </c>
      <c r="K398" s="532">
        <f t="shared" si="25"/>
        <v>1200</v>
      </c>
      <c r="L398" s="533">
        <f t="shared" si="26"/>
        <v>1200</v>
      </c>
      <c r="M398" s="534">
        <f t="shared" si="27"/>
        <v>7.4534161490683232E-2</v>
      </c>
      <c r="N398" s="47" t="s">
        <v>38</v>
      </c>
      <c r="O398" s="81" t="s">
        <v>21</v>
      </c>
    </row>
    <row r="399" spans="1:15" s="416" customFormat="1">
      <c r="A399" s="71">
        <v>2023</v>
      </c>
      <c r="B399" s="59" t="s">
        <v>562</v>
      </c>
      <c r="C399" s="63" t="s">
        <v>688</v>
      </c>
      <c r="D399" s="82" t="s">
        <v>57</v>
      </c>
      <c r="E399" s="47" t="s">
        <v>689</v>
      </c>
      <c r="F399" s="58">
        <v>1</v>
      </c>
      <c r="G399" s="59" t="s">
        <v>569</v>
      </c>
      <c r="H399" s="60">
        <v>62550</v>
      </c>
      <c r="I399" s="49">
        <f t="shared" si="24"/>
        <v>62550</v>
      </c>
      <c r="J399" s="518">
        <v>61000</v>
      </c>
      <c r="K399" s="532">
        <f t="shared" si="25"/>
        <v>1550</v>
      </c>
      <c r="L399" s="533">
        <f t="shared" si="26"/>
        <v>1550</v>
      </c>
      <c r="M399" s="534">
        <f t="shared" si="27"/>
        <v>2.478017585931255E-2</v>
      </c>
      <c r="N399" s="47" t="s">
        <v>22</v>
      </c>
      <c r="O399" s="81" t="s">
        <v>21</v>
      </c>
    </row>
    <row r="400" spans="1:15" s="416" customFormat="1">
      <c r="A400" s="71">
        <v>2023</v>
      </c>
      <c r="B400" s="59" t="s">
        <v>562</v>
      </c>
      <c r="C400" s="63" t="s">
        <v>690</v>
      </c>
      <c r="D400" s="82" t="s">
        <v>349</v>
      </c>
      <c r="E400" s="47" t="s">
        <v>691</v>
      </c>
      <c r="F400" s="58">
        <v>1</v>
      </c>
      <c r="G400" s="59" t="s">
        <v>569</v>
      </c>
      <c r="H400" s="60">
        <v>29222.5</v>
      </c>
      <c r="I400" s="49">
        <f t="shared" si="24"/>
        <v>29222.5</v>
      </c>
      <c r="J400" s="518">
        <v>25000</v>
      </c>
      <c r="K400" s="532">
        <f t="shared" si="25"/>
        <v>4222.5</v>
      </c>
      <c r="L400" s="533">
        <f t="shared" si="26"/>
        <v>4222.5</v>
      </c>
      <c r="M400" s="534">
        <f t="shared" si="27"/>
        <v>0.14449482419368637</v>
      </c>
      <c r="N400" s="47" t="s">
        <v>22</v>
      </c>
      <c r="O400" s="81" t="s">
        <v>21</v>
      </c>
    </row>
    <row r="401" spans="1:15" s="416" customFormat="1">
      <c r="A401" s="71">
        <v>2023</v>
      </c>
      <c r="B401" s="59" t="s">
        <v>562</v>
      </c>
      <c r="C401" s="63" t="s">
        <v>692</v>
      </c>
      <c r="D401" s="82" t="s">
        <v>96</v>
      </c>
      <c r="E401" s="47" t="s">
        <v>97</v>
      </c>
      <c r="F401" s="58">
        <v>50</v>
      </c>
      <c r="G401" s="59" t="s">
        <v>98</v>
      </c>
      <c r="H401" s="60">
        <v>250</v>
      </c>
      <c r="I401" s="49">
        <f t="shared" si="24"/>
        <v>12500</v>
      </c>
      <c r="J401" s="518">
        <v>140</v>
      </c>
      <c r="K401" s="532">
        <f t="shared" si="25"/>
        <v>110</v>
      </c>
      <c r="L401" s="533">
        <f t="shared" si="26"/>
        <v>5500</v>
      </c>
      <c r="M401" s="534">
        <f t="shared" si="27"/>
        <v>0.44</v>
      </c>
      <c r="N401" s="47" t="s">
        <v>22</v>
      </c>
      <c r="O401" s="81" t="s">
        <v>21</v>
      </c>
    </row>
    <row r="402" spans="1:15" s="416" customFormat="1">
      <c r="A402" s="71">
        <v>2023</v>
      </c>
      <c r="B402" s="59" t="s">
        <v>562</v>
      </c>
      <c r="C402" s="63" t="s">
        <v>692</v>
      </c>
      <c r="D402" s="82" t="s">
        <v>96</v>
      </c>
      <c r="E402" s="47" t="s">
        <v>99</v>
      </c>
      <c r="F402" s="58">
        <v>50</v>
      </c>
      <c r="G402" s="59" t="s">
        <v>98</v>
      </c>
      <c r="H402" s="60">
        <v>781</v>
      </c>
      <c r="I402" s="49">
        <f t="shared" si="24"/>
        <v>39050</v>
      </c>
      <c r="J402" s="518">
        <v>432</v>
      </c>
      <c r="K402" s="532">
        <f t="shared" si="25"/>
        <v>349</v>
      </c>
      <c r="L402" s="533">
        <f t="shared" si="26"/>
        <v>17450</v>
      </c>
      <c r="M402" s="534">
        <f t="shared" si="27"/>
        <v>0.44686299615877079</v>
      </c>
      <c r="N402" s="47" t="s">
        <v>22</v>
      </c>
      <c r="O402" s="81" t="s">
        <v>21</v>
      </c>
    </row>
    <row r="403" spans="1:15" s="416" customFormat="1">
      <c r="A403" s="71">
        <v>2023</v>
      </c>
      <c r="B403" s="59" t="s">
        <v>562</v>
      </c>
      <c r="C403" s="63" t="s">
        <v>693</v>
      </c>
      <c r="D403" s="82" t="s">
        <v>192</v>
      </c>
      <c r="E403" s="47" t="s">
        <v>694</v>
      </c>
      <c r="F403" s="58">
        <v>28</v>
      </c>
      <c r="G403" s="59" t="s">
        <v>469</v>
      </c>
      <c r="H403" s="60">
        <v>6140</v>
      </c>
      <c r="I403" s="49">
        <f t="shared" si="24"/>
        <v>171920</v>
      </c>
      <c r="J403" s="518">
        <v>5955</v>
      </c>
      <c r="K403" s="532">
        <f t="shared" si="25"/>
        <v>185</v>
      </c>
      <c r="L403" s="533">
        <f t="shared" si="26"/>
        <v>5180</v>
      </c>
      <c r="M403" s="534">
        <f t="shared" si="27"/>
        <v>3.013029315960912E-2</v>
      </c>
      <c r="N403" s="47" t="s">
        <v>38</v>
      </c>
      <c r="O403" s="81" t="s">
        <v>39</v>
      </c>
    </row>
    <row r="404" spans="1:15" s="416" customFormat="1">
      <c r="A404" s="71">
        <v>2023</v>
      </c>
      <c r="B404" s="59" t="s">
        <v>562</v>
      </c>
      <c r="C404" s="63" t="s">
        <v>693</v>
      </c>
      <c r="D404" s="82" t="s">
        <v>192</v>
      </c>
      <c r="E404" s="47" t="s">
        <v>695</v>
      </c>
      <c r="F404" s="58">
        <v>20</v>
      </c>
      <c r="G404" s="59" t="s">
        <v>469</v>
      </c>
      <c r="H404" s="60">
        <v>3450</v>
      </c>
      <c r="I404" s="49">
        <f t="shared" si="24"/>
        <v>69000</v>
      </c>
      <c r="J404" s="518">
        <v>3345</v>
      </c>
      <c r="K404" s="532">
        <f t="shared" si="25"/>
        <v>105</v>
      </c>
      <c r="L404" s="533">
        <f t="shared" si="26"/>
        <v>2100</v>
      </c>
      <c r="M404" s="534">
        <f t="shared" si="27"/>
        <v>3.0434782608695653E-2</v>
      </c>
      <c r="N404" s="47" t="s">
        <v>38</v>
      </c>
      <c r="O404" s="81" t="s">
        <v>39</v>
      </c>
    </row>
    <row r="405" spans="1:15" s="416" customFormat="1">
      <c r="A405" s="71">
        <v>2023</v>
      </c>
      <c r="B405" s="59" t="s">
        <v>696</v>
      </c>
      <c r="C405" s="63" t="s">
        <v>697</v>
      </c>
      <c r="D405" s="82" t="s">
        <v>698</v>
      </c>
      <c r="E405" s="47" t="s">
        <v>699</v>
      </c>
      <c r="F405" s="58">
        <v>1</v>
      </c>
      <c r="G405" s="59" t="s">
        <v>59</v>
      </c>
      <c r="H405" s="60">
        <v>1937212</v>
      </c>
      <c r="I405" s="49">
        <f t="shared" si="24"/>
        <v>1937212</v>
      </c>
      <c r="J405" s="532">
        <v>1788012</v>
      </c>
      <c r="K405" s="532">
        <f t="shared" si="25"/>
        <v>149200</v>
      </c>
      <c r="L405" s="533">
        <f t="shared" si="26"/>
        <v>149200</v>
      </c>
      <c r="M405" s="534">
        <f t="shared" si="27"/>
        <v>7.7017899951063687E-2</v>
      </c>
      <c r="N405" s="64" t="s">
        <v>22</v>
      </c>
      <c r="O405" s="81" t="s">
        <v>39</v>
      </c>
    </row>
    <row r="406" spans="1:15" s="416" customFormat="1">
      <c r="A406" s="71">
        <v>2023</v>
      </c>
      <c r="B406" s="59" t="s">
        <v>696</v>
      </c>
      <c r="C406" s="63" t="s">
        <v>700</v>
      </c>
      <c r="D406" s="82" t="s">
        <v>329</v>
      </c>
      <c r="E406" s="47" t="s">
        <v>379</v>
      </c>
      <c r="F406" s="58">
        <v>21</v>
      </c>
      <c r="G406" s="59" t="s">
        <v>701</v>
      </c>
      <c r="H406" s="60">
        <v>5610</v>
      </c>
      <c r="I406" s="49">
        <f t="shared" si="24"/>
        <v>117810</v>
      </c>
      <c r="J406" s="532">
        <v>5435</v>
      </c>
      <c r="K406" s="532">
        <f t="shared" si="25"/>
        <v>175</v>
      </c>
      <c r="L406" s="533">
        <f t="shared" si="26"/>
        <v>3675</v>
      </c>
      <c r="M406" s="534">
        <f t="shared" si="27"/>
        <v>3.1194295900178252E-2</v>
      </c>
      <c r="N406" s="64" t="s">
        <v>22</v>
      </c>
      <c r="O406" s="81" t="s">
        <v>39</v>
      </c>
    </row>
    <row r="407" spans="1:15" s="416" customFormat="1">
      <c r="A407" s="71">
        <v>2023</v>
      </c>
      <c r="B407" s="59" t="s">
        <v>696</v>
      </c>
      <c r="C407" s="63" t="s">
        <v>700</v>
      </c>
      <c r="D407" s="82" t="s">
        <v>329</v>
      </c>
      <c r="E407" s="47" t="s">
        <v>702</v>
      </c>
      <c r="F407" s="58">
        <v>1</v>
      </c>
      <c r="G407" s="59" t="s">
        <v>701</v>
      </c>
      <c r="H407" s="60">
        <v>3860</v>
      </c>
      <c r="I407" s="49">
        <f t="shared" si="24"/>
        <v>3860</v>
      </c>
      <c r="J407" s="518">
        <v>3620</v>
      </c>
      <c r="K407" s="532">
        <f t="shared" si="25"/>
        <v>240</v>
      </c>
      <c r="L407" s="533">
        <f t="shared" si="26"/>
        <v>240</v>
      </c>
      <c r="M407" s="534">
        <f t="shared" si="27"/>
        <v>6.2176165803108807E-2</v>
      </c>
      <c r="N407" s="64" t="s">
        <v>22</v>
      </c>
      <c r="O407" s="81" t="s">
        <v>39</v>
      </c>
    </row>
    <row r="408" spans="1:15" s="416" customFormat="1">
      <c r="A408" s="71">
        <v>2023</v>
      </c>
      <c r="B408" s="59" t="s">
        <v>696</v>
      </c>
      <c r="C408" s="63" t="s">
        <v>700</v>
      </c>
      <c r="D408" s="82" t="s">
        <v>329</v>
      </c>
      <c r="E408" s="47" t="s">
        <v>380</v>
      </c>
      <c r="F408" s="58">
        <v>5</v>
      </c>
      <c r="G408" s="59" t="s">
        <v>701</v>
      </c>
      <c r="H408" s="60">
        <v>5800</v>
      </c>
      <c r="I408" s="49">
        <f t="shared" si="24"/>
        <v>29000</v>
      </c>
      <c r="J408" s="518">
        <v>5665</v>
      </c>
      <c r="K408" s="532">
        <f t="shared" si="25"/>
        <v>135</v>
      </c>
      <c r="L408" s="533">
        <f t="shared" si="26"/>
        <v>675</v>
      </c>
      <c r="M408" s="534">
        <f t="shared" si="27"/>
        <v>2.3275862068965519E-2</v>
      </c>
      <c r="N408" s="64" t="s">
        <v>22</v>
      </c>
      <c r="O408" s="81" t="s">
        <v>39</v>
      </c>
    </row>
    <row r="409" spans="1:15" s="416" customFormat="1">
      <c r="A409" s="71">
        <v>2023</v>
      </c>
      <c r="B409" s="59" t="s">
        <v>696</v>
      </c>
      <c r="C409" s="63" t="s">
        <v>703</v>
      </c>
      <c r="D409" s="82" t="s">
        <v>329</v>
      </c>
      <c r="E409" s="47" t="s">
        <v>379</v>
      </c>
      <c r="F409" s="58">
        <v>19</v>
      </c>
      <c r="G409" s="59" t="s">
        <v>701</v>
      </c>
      <c r="H409" s="60">
        <v>5610</v>
      </c>
      <c r="I409" s="49">
        <f t="shared" si="24"/>
        <v>106590</v>
      </c>
      <c r="J409" s="532">
        <v>5435</v>
      </c>
      <c r="K409" s="532">
        <f t="shared" si="25"/>
        <v>175</v>
      </c>
      <c r="L409" s="533">
        <f t="shared" si="26"/>
        <v>3325</v>
      </c>
      <c r="M409" s="534">
        <f t="shared" si="27"/>
        <v>3.1194295900178252E-2</v>
      </c>
      <c r="N409" s="64" t="s">
        <v>22</v>
      </c>
      <c r="O409" s="81" t="s">
        <v>39</v>
      </c>
    </row>
    <row r="410" spans="1:15" s="416" customFormat="1">
      <c r="A410" s="71">
        <v>2023</v>
      </c>
      <c r="B410" s="59" t="s">
        <v>696</v>
      </c>
      <c r="C410" s="63" t="s">
        <v>703</v>
      </c>
      <c r="D410" s="82" t="s">
        <v>329</v>
      </c>
      <c r="E410" s="47" t="s">
        <v>702</v>
      </c>
      <c r="F410" s="58">
        <v>29</v>
      </c>
      <c r="G410" s="59" t="s">
        <v>701</v>
      </c>
      <c r="H410" s="60">
        <v>3860</v>
      </c>
      <c r="I410" s="49">
        <f t="shared" si="24"/>
        <v>111940</v>
      </c>
      <c r="J410" s="518">
        <v>3620</v>
      </c>
      <c r="K410" s="532">
        <f t="shared" si="25"/>
        <v>240</v>
      </c>
      <c r="L410" s="533">
        <f t="shared" si="26"/>
        <v>6960</v>
      </c>
      <c r="M410" s="534">
        <f t="shared" si="27"/>
        <v>6.2176165803108807E-2</v>
      </c>
      <c r="N410" s="64" t="s">
        <v>22</v>
      </c>
      <c r="O410" s="81" t="s">
        <v>39</v>
      </c>
    </row>
    <row r="411" spans="1:15" s="416" customFormat="1">
      <c r="A411" s="71">
        <v>2023</v>
      </c>
      <c r="B411" s="59" t="s">
        <v>696</v>
      </c>
      <c r="C411" s="63" t="s">
        <v>703</v>
      </c>
      <c r="D411" s="82" t="s">
        <v>329</v>
      </c>
      <c r="E411" s="47" t="s">
        <v>380</v>
      </c>
      <c r="F411" s="58">
        <v>10</v>
      </c>
      <c r="G411" s="59" t="s">
        <v>701</v>
      </c>
      <c r="H411" s="60">
        <v>5800</v>
      </c>
      <c r="I411" s="49">
        <f t="shared" si="24"/>
        <v>58000</v>
      </c>
      <c r="J411" s="518">
        <v>5665</v>
      </c>
      <c r="K411" s="532">
        <f t="shared" si="25"/>
        <v>135</v>
      </c>
      <c r="L411" s="533">
        <f t="shared" si="26"/>
        <v>1350</v>
      </c>
      <c r="M411" s="534">
        <f t="shared" si="27"/>
        <v>2.3275862068965519E-2</v>
      </c>
      <c r="N411" s="64" t="s">
        <v>22</v>
      </c>
      <c r="O411" s="81" t="s">
        <v>39</v>
      </c>
    </row>
    <row r="412" spans="1:15">
      <c r="A412" s="71">
        <v>2023</v>
      </c>
      <c r="B412" s="16" t="s">
        <v>696</v>
      </c>
      <c r="C412" s="71" t="s">
        <v>704</v>
      </c>
      <c r="D412" s="2" t="s">
        <v>94</v>
      </c>
      <c r="E412" s="2" t="s">
        <v>705</v>
      </c>
      <c r="F412" s="9">
        <v>1</v>
      </c>
      <c r="G412" s="1" t="s">
        <v>706</v>
      </c>
      <c r="H412" s="8">
        <v>69980</v>
      </c>
      <c r="I412" s="8">
        <f t="shared" si="24"/>
        <v>69980</v>
      </c>
      <c r="J412" s="539">
        <v>67783</v>
      </c>
      <c r="K412" s="521">
        <f t="shared" si="25"/>
        <v>2197</v>
      </c>
      <c r="L412" s="522">
        <f t="shared" si="26"/>
        <v>2197</v>
      </c>
      <c r="M412" s="523">
        <f t="shared" si="27"/>
        <v>3.1394684195484426E-2</v>
      </c>
      <c r="N412" s="30" t="s">
        <v>22</v>
      </c>
      <c r="O412" s="2" t="s">
        <v>105</v>
      </c>
    </row>
    <row r="413" spans="1:15">
      <c r="A413" s="71">
        <v>2023</v>
      </c>
      <c r="B413" s="16" t="s">
        <v>696</v>
      </c>
      <c r="C413" s="71" t="s">
        <v>707</v>
      </c>
      <c r="D413" s="2" t="s">
        <v>708</v>
      </c>
      <c r="E413" s="2" t="s">
        <v>709</v>
      </c>
      <c r="F413" s="9">
        <v>2100</v>
      </c>
      <c r="G413" s="1" t="s">
        <v>37</v>
      </c>
      <c r="H413" s="8">
        <v>332.4</v>
      </c>
      <c r="I413" s="8">
        <f t="shared" si="24"/>
        <v>698040</v>
      </c>
      <c r="J413" s="539">
        <v>330.3</v>
      </c>
      <c r="K413" s="521">
        <f t="shared" si="25"/>
        <v>2.0999999999999659</v>
      </c>
      <c r="L413" s="522">
        <f t="shared" si="26"/>
        <v>4409.9999999999281</v>
      </c>
      <c r="M413" s="523">
        <f t="shared" si="27"/>
        <v>6.3176895306858187E-3</v>
      </c>
      <c r="N413" s="30" t="s">
        <v>38</v>
      </c>
      <c r="O413" s="2" t="s">
        <v>105</v>
      </c>
    </row>
    <row r="414" spans="1:15">
      <c r="A414" s="71">
        <v>2023</v>
      </c>
      <c r="B414" s="16" t="s">
        <v>696</v>
      </c>
      <c r="C414" s="71" t="s">
        <v>710</v>
      </c>
      <c r="D414" s="2" t="s">
        <v>35</v>
      </c>
      <c r="E414" s="2" t="s">
        <v>711</v>
      </c>
      <c r="F414" s="9">
        <v>6054</v>
      </c>
      <c r="G414" s="1" t="s">
        <v>37</v>
      </c>
      <c r="H414" s="8">
        <v>351</v>
      </c>
      <c r="I414" s="8">
        <f t="shared" si="24"/>
        <v>2124954</v>
      </c>
      <c r="J414" s="539">
        <v>347</v>
      </c>
      <c r="K414" s="521">
        <f t="shared" si="25"/>
        <v>4</v>
      </c>
      <c r="L414" s="522">
        <f t="shared" si="26"/>
        <v>24216</v>
      </c>
      <c r="M414" s="523">
        <f t="shared" si="27"/>
        <v>1.1396011396011397E-2</v>
      </c>
      <c r="N414" s="30" t="s">
        <v>38</v>
      </c>
      <c r="O414" s="2" t="s">
        <v>105</v>
      </c>
    </row>
    <row r="415" spans="1:15">
      <c r="A415" s="71">
        <v>2023</v>
      </c>
      <c r="B415" s="16" t="s">
        <v>696</v>
      </c>
      <c r="C415" s="71" t="s">
        <v>712</v>
      </c>
      <c r="D415" s="2" t="s">
        <v>633</v>
      </c>
      <c r="E415" s="2" t="s">
        <v>564</v>
      </c>
      <c r="F415" s="9">
        <v>20</v>
      </c>
      <c r="G415" s="1" t="s">
        <v>19</v>
      </c>
      <c r="H415" s="8">
        <v>920</v>
      </c>
      <c r="I415" s="8">
        <f t="shared" si="24"/>
        <v>18400</v>
      </c>
      <c r="J415" s="539">
        <v>900</v>
      </c>
      <c r="K415" s="521">
        <f t="shared" si="25"/>
        <v>20</v>
      </c>
      <c r="L415" s="522">
        <f t="shared" si="26"/>
        <v>400</v>
      </c>
      <c r="M415" s="523">
        <f t="shared" si="27"/>
        <v>2.1739130434782608E-2</v>
      </c>
      <c r="N415" s="30" t="s">
        <v>22</v>
      </c>
      <c r="O415" s="2" t="s">
        <v>105</v>
      </c>
    </row>
    <row r="416" spans="1:15">
      <c r="A416" s="71">
        <v>2023</v>
      </c>
      <c r="B416" s="16" t="s">
        <v>696</v>
      </c>
      <c r="C416" s="71" t="s">
        <v>713</v>
      </c>
      <c r="D416" s="2" t="s">
        <v>35</v>
      </c>
      <c r="E416" s="2" t="s">
        <v>655</v>
      </c>
      <c r="F416" s="9">
        <v>19600</v>
      </c>
      <c r="G416" s="1" t="s">
        <v>37</v>
      </c>
      <c r="H416" s="8">
        <v>347</v>
      </c>
      <c r="I416" s="8">
        <f t="shared" si="24"/>
        <v>6801200</v>
      </c>
      <c r="J416" s="539">
        <v>343</v>
      </c>
      <c r="K416" s="521">
        <f t="shared" si="25"/>
        <v>4</v>
      </c>
      <c r="L416" s="522">
        <f t="shared" si="26"/>
        <v>78400</v>
      </c>
      <c r="M416" s="523">
        <f t="shared" si="27"/>
        <v>1.1527377521613832E-2</v>
      </c>
      <c r="N416" s="30" t="s">
        <v>38</v>
      </c>
      <c r="O416" s="2" t="s">
        <v>105</v>
      </c>
    </row>
    <row r="417" spans="1:15">
      <c r="A417" s="71">
        <v>2023</v>
      </c>
      <c r="B417" s="16" t="s">
        <v>696</v>
      </c>
      <c r="C417" s="71" t="s">
        <v>714</v>
      </c>
      <c r="D417" s="2" t="s">
        <v>35</v>
      </c>
      <c r="E417" s="2" t="s">
        <v>711</v>
      </c>
      <c r="F417" s="9">
        <v>7179</v>
      </c>
      <c r="G417" s="1" t="s">
        <v>37</v>
      </c>
      <c r="H417" s="8">
        <v>351</v>
      </c>
      <c r="I417" s="8">
        <f t="shared" si="24"/>
        <v>2519829</v>
      </c>
      <c r="J417" s="539">
        <v>349</v>
      </c>
      <c r="K417" s="521">
        <f t="shared" si="25"/>
        <v>2</v>
      </c>
      <c r="L417" s="522">
        <f t="shared" si="26"/>
        <v>14358</v>
      </c>
      <c r="M417" s="523">
        <f t="shared" si="27"/>
        <v>5.6980056980056983E-3</v>
      </c>
      <c r="N417" s="30" t="s">
        <v>38</v>
      </c>
      <c r="O417" s="2" t="s">
        <v>105</v>
      </c>
    </row>
    <row r="418" spans="1:15">
      <c r="A418" s="71">
        <v>2023</v>
      </c>
      <c r="B418" s="16" t="s">
        <v>696</v>
      </c>
      <c r="C418" s="71" t="s">
        <v>715</v>
      </c>
      <c r="D418" s="2" t="s">
        <v>17</v>
      </c>
      <c r="E418" s="2" t="s">
        <v>716</v>
      </c>
      <c r="F418" s="9">
        <v>12</v>
      </c>
      <c r="G418" s="1" t="s">
        <v>19</v>
      </c>
      <c r="H418" s="8">
        <v>75</v>
      </c>
      <c r="I418" s="8">
        <f t="shared" si="24"/>
        <v>900</v>
      </c>
      <c r="J418" s="539">
        <v>60</v>
      </c>
      <c r="K418" s="521">
        <f t="shared" si="25"/>
        <v>15</v>
      </c>
      <c r="L418" s="522">
        <f t="shared" si="26"/>
        <v>180</v>
      </c>
      <c r="M418" s="523">
        <f t="shared" si="27"/>
        <v>0.2</v>
      </c>
      <c r="N418" s="30" t="s">
        <v>22</v>
      </c>
      <c r="O418" s="2" t="s">
        <v>21</v>
      </c>
    </row>
    <row r="419" spans="1:15">
      <c r="A419" s="71">
        <v>2023</v>
      </c>
      <c r="B419" s="16" t="s">
        <v>696</v>
      </c>
      <c r="C419" s="71" t="s">
        <v>715</v>
      </c>
      <c r="D419" s="2" t="s">
        <v>17</v>
      </c>
      <c r="E419" s="2" t="s">
        <v>268</v>
      </c>
      <c r="F419" s="9">
        <v>24</v>
      </c>
      <c r="G419" s="1" t="s">
        <v>19</v>
      </c>
      <c r="H419" s="8">
        <v>44.5</v>
      </c>
      <c r="I419" s="8">
        <f t="shared" si="24"/>
        <v>1068</v>
      </c>
      <c r="J419" s="539">
        <v>38.5</v>
      </c>
      <c r="K419" s="521">
        <f t="shared" si="25"/>
        <v>6</v>
      </c>
      <c r="L419" s="522">
        <f t="shared" si="26"/>
        <v>144</v>
      </c>
      <c r="M419" s="523">
        <f t="shared" si="27"/>
        <v>0.1348314606741573</v>
      </c>
      <c r="N419" s="30" t="s">
        <v>22</v>
      </c>
      <c r="O419" s="2" t="s">
        <v>21</v>
      </c>
    </row>
    <row r="420" spans="1:15">
      <c r="A420" s="71">
        <v>2023</v>
      </c>
      <c r="B420" s="16" t="s">
        <v>696</v>
      </c>
      <c r="C420" s="71" t="s">
        <v>715</v>
      </c>
      <c r="D420" s="2" t="s">
        <v>17</v>
      </c>
      <c r="E420" s="2" t="s">
        <v>717</v>
      </c>
      <c r="F420" s="9">
        <v>12</v>
      </c>
      <c r="G420" s="1" t="s">
        <v>19</v>
      </c>
      <c r="H420" s="8">
        <v>65</v>
      </c>
      <c r="I420" s="8">
        <f t="shared" si="24"/>
        <v>780</v>
      </c>
      <c r="J420" s="539">
        <v>64</v>
      </c>
      <c r="K420" s="521">
        <f t="shared" si="25"/>
        <v>1</v>
      </c>
      <c r="L420" s="522">
        <f t="shared" si="26"/>
        <v>12</v>
      </c>
      <c r="M420" s="523">
        <f t="shared" si="27"/>
        <v>1.5384615384615385E-2</v>
      </c>
      <c r="N420" s="30" t="s">
        <v>22</v>
      </c>
      <c r="O420" s="2" t="s">
        <v>21</v>
      </c>
    </row>
    <row r="421" spans="1:15">
      <c r="A421" s="71">
        <v>2023</v>
      </c>
      <c r="B421" s="16" t="s">
        <v>696</v>
      </c>
      <c r="C421" s="71" t="s">
        <v>715</v>
      </c>
      <c r="D421" s="2" t="s">
        <v>17</v>
      </c>
      <c r="E421" s="2" t="s">
        <v>25</v>
      </c>
      <c r="F421" s="9">
        <v>48</v>
      </c>
      <c r="G421" s="1" t="s">
        <v>19</v>
      </c>
      <c r="H421" s="8">
        <v>44.5</v>
      </c>
      <c r="I421" s="8">
        <f t="shared" si="24"/>
        <v>2136</v>
      </c>
      <c r="J421" s="539">
        <v>38.5</v>
      </c>
      <c r="K421" s="521">
        <f t="shared" si="25"/>
        <v>6</v>
      </c>
      <c r="L421" s="522">
        <f t="shared" si="26"/>
        <v>288</v>
      </c>
      <c r="M421" s="523">
        <f t="shared" si="27"/>
        <v>0.1348314606741573</v>
      </c>
      <c r="N421" s="30" t="s">
        <v>22</v>
      </c>
      <c r="O421" s="2" t="s">
        <v>21</v>
      </c>
    </row>
    <row r="422" spans="1:15">
      <c r="A422" s="71">
        <v>2023</v>
      </c>
      <c r="B422" s="16" t="s">
        <v>696</v>
      </c>
      <c r="C422" s="71" t="s">
        <v>718</v>
      </c>
      <c r="D422" s="2" t="s">
        <v>719</v>
      </c>
      <c r="E422" s="2" t="s">
        <v>720</v>
      </c>
      <c r="F422" s="9">
        <v>1</v>
      </c>
      <c r="G422" s="1" t="s">
        <v>59</v>
      </c>
      <c r="H422" s="8">
        <v>1846019</v>
      </c>
      <c r="I422" s="8">
        <f t="shared" si="24"/>
        <v>1846019</v>
      </c>
      <c r="J422" s="539">
        <v>1800000</v>
      </c>
      <c r="K422" s="521">
        <f t="shared" si="25"/>
        <v>46019</v>
      </c>
      <c r="L422" s="522">
        <f t="shared" si="26"/>
        <v>46019</v>
      </c>
      <c r="M422" s="523">
        <f t="shared" si="27"/>
        <v>2.4928779172912089E-2</v>
      </c>
      <c r="N422" s="30" t="s">
        <v>38</v>
      </c>
      <c r="O422" s="2" t="s">
        <v>21</v>
      </c>
    </row>
    <row r="423" spans="1:15">
      <c r="A423" s="71">
        <v>2023</v>
      </c>
      <c r="B423" s="16" t="s">
        <v>696</v>
      </c>
      <c r="C423" s="71" t="s">
        <v>721</v>
      </c>
      <c r="D423" s="2" t="s">
        <v>505</v>
      </c>
      <c r="E423" s="2" t="s">
        <v>722</v>
      </c>
      <c r="F423" s="9">
        <v>6</v>
      </c>
      <c r="G423" s="1" t="s">
        <v>19</v>
      </c>
      <c r="H423" s="8">
        <v>935</v>
      </c>
      <c r="I423" s="8">
        <f t="shared" si="24"/>
        <v>5610</v>
      </c>
      <c r="J423" s="539">
        <v>450</v>
      </c>
      <c r="K423" s="521">
        <f t="shared" si="25"/>
        <v>485</v>
      </c>
      <c r="L423" s="522">
        <f t="shared" si="26"/>
        <v>2910</v>
      </c>
      <c r="M423" s="523">
        <f t="shared" si="27"/>
        <v>0.51871657754010692</v>
      </c>
      <c r="N423" s="30" t="s">
        <v>22</v>
      </c>
      <c r="O423" s="2" t="s">
        <v>21</v>
      </c>
    </row>
    <row r="424" spans="1:15">
      <c r="A424" s="71">
        <v>2023</v>
      </c>
      <c r="B424" s="16" t="s">
        <v>696</v>
      </c>
      <c r="C424" s="71" t="s">
        <v>723</v>
      </c>
      <c r="D424" s="2" t="s">
        <v>394</v>
      </c>
      <c r="E424" s="2" t="s">
        <v>724</v>
      </c>
      <c r="F424" s="9">
        <v>4</v>
      </c>
      <c r="G424" s="1" t="s">
        <v>19</v>
      </c>
      <c r="H424" s="8">
        <v>5800</v>
      </c>
      <c r="I424" s="8">
        <f t="shared" si="24"/>
        <v>23200</v>
      </c>
      <c r="J424" s="539">
        <v>5700</v>
      </c>
      <c r="K424" s="521">
        <f t="shared" si="25"/>
        <v>100</v>
      </c>
      <c r="L424" s="522">
        <f t="shared" si="26"/>
        <v>400</v>
      </c>
      <c r="M424" s="523">
        <f t="shared" si="27"/>
        <v>1.7241379310344827E-2</v>
      </c>
      <c r="N424" s="30" t="s">
        <v>38</v>
      </c>
      <c r="O424" s="2" t="s">
        <v>21</v>
      </c>
    </row>
    <row r="425" spans="1:15">
      <c r="A425" s="71">
        <v>2023</v>
      </c>
      <c r="B425" s="16" t="s">
        <v>696</v>
      </c>
      <c r="C425" s="71" t="s">
        <v>725</v>
      </c>
      <c r="D425" s="2" t="s">
        <v>118</v>
      </c>
      <c r="E425" s="2" t="s">
        <v>726</v>
      </c>
      <c r="F425" s="9">
        <v>2</v>
      </c>
      <c r="G425" s="1" t="s">
        <v>19</v>
      </c>
      <c r="H425" s="8">
        <v>1250</v>
      </c>
      <c r="I425" s="8">
        <f t="shared" si="24"/>
        <v>2500</v>
      </c>
      <c r="J425" s="539">
        <v>998</v>
      </c>
      <c r="K425" s="521">
        <f t="shared" si="25"/>
        <v>252</v>
      </c>
      <c r="L425" s="522">
        <f t="shared" si="26"/>
        <v>504</v>
      </c>
      <c r="M425" s="523">
        <f t="shared" si="27"/>
        <v>0.2016</v>
      </c>
      <c r="N425" s="30" t="s">
        <v>22</v>
      </c>
      <c r="O425" s="2" t="s">
        <v>21</v>
      </c>
    </row>
    <row r="426" spans="1:15">
      <c r="A426" s="71">
        <v>2023</v>
      </c>
      <c r="B426" s="16" t="s">
        <v>696</v>
      </c>
      <c r="C426" s="71" t="s">
        <v>727</v>
      </c>
      <c r="D426" s="2" t="s">
        <v>17</v>
      </c>
      <c r="E426" s="2" t="s">
        <v>728</v>
      </c>
      <c r="F426" s="9">
        <v>500</v>
      </c>
      <c r="G426" s="1" t="s">
        <v>19</v>
      </c>
      <c r="H426" s="8">
        <v>4.5</v>
      </c>
      <c r="I426" s="8">
        <f t="shared" si="24"/>
        <v>2250</v>
      </c>
      <c r="J426" s="539">
        <v>1.9</v>
      </c>
      <c r="K426" s="521">
        <f t="shared" si="25"/>
        <v>2.6</v>
      </c>
      <c r="L426" s="522">
        <f t="shared" si="26"/>
        <v>1300</v>
      </c>
      <c r="M426" s="523">
        <f t="shared" si="27"/>
        <v>0.57777777777777783</v>
      </c>
      <c r="N426" s="30" t="s">
        <v>22</v>
      </c>
      <c r="O426" s="2" t="s">
        <v>21</v>
      </c>
    </row>
    <row r="427" spans="1:15">
      <c r="A427" s="71">
        <v>2023</v>
      </c>
      <c r="B427" s="16" t="s">
        <v>696</v>
      </c>
      <c r="C427" s="71" t="s">
        <v>727</v>
      </c>
      <c r="D427" s="2" t="s">
        <v>17</v>
      </c>
      <c r="E427" s="2" t="s">
        <v>729</v>
      </c>
      <c r="F427" s="9">
        <v>500</v>
      </c>
      <c r="G427" s="1" t="s">
        <v>19</v>
      </c>
      <c r="H427" s="8">
        <v>7.5</v>
      </c>
      <c r="I427" s="8">
        <f t="shared" si="24"/>
        <v>3750</v>
      </c>
      <c r="J427" s="539">
        <v>2.7</v>
      </c>
      <c r="K427" s="521">
        <f t="shared" si="25"/>
        <v>4.8</v>
      </c>
      <c r="L427" s="522">
        <f t="shared" si="26"/>
        <v>2400</v>
      </c>
      <c r="M427" s="523">
        <f t="shared" si="27"/>
        <v>0.64</v>
      </c>
      <c r="N427" s="30" t="s">
        <v>22</v>
      </c>
      <c r="O427" s="2" t="s">
        <v>21</v>
      </c>
    </row>
    <row r="428" spans="1:15">
      <c r="A428" s="71">
        <v>2023</v>
      </c>
      <c r="B428" s="16" t="s">
        <v>696</v>
      </c>
      <c r="C428" s="71" t="s">
        <v>730</v>
      </c>
      <c r="D428" s="2" t="s">
        <v>182</v>
      </c>
      <c r="E428" s="2" t="s">
        <v>731</v>
      </c>
      <c r="F428" s="9">
        <v>1</v>
      </c>
      <c r="G428" s="1" t="s">
        <v>19</v>
      </c>
      <c r="H428" s="8">
        <v>6600</v>
      </c>
      <c r="I428" s="8">
        <f t="shared" si="24"/>
        <v>6600</v>
      </c>
      <c r="J428" s="539">
        <v>6270</v>
      </c>
      <c r="K428" s="521">
        <f t="shared" si="25"/>
        <v>330</v>
      </c>
      <c r="L428" s="522">
        <f t="shared" si="26"/>
        <v>330</v>
      </c>
      <c r="M428" s="523">
        <f t="shared" si="27"/>
        <v>0.05</v>
      </c>
      <c r="N428" s="30" t="s">
        <v>22</v>
      </c>
      <c r="O428" s="2" t="s">
        <v>21</v>
      </c>
    </row>
    <row r="429" spans="1:15">
      <c r="A429" s="71">
        <v>2023</v>
      </c>
      <c r="B429" s="16" t="s">
        <v>696</v>
      </c>
      <c r="C429" s="71" t="s">
        <v>732</v>
      </c>
      <c r="D429" s="2" t="s">
        <v>505</v>
      </c>
      <c r="E429" s="2" t="s">
        <v>733</v>
      </c>
      <c r="F429" s="9">
        <v>10</v>
      </c>
      <c r="G429" s="1" t="s">
        <v>19</v>
      </c>
      <c r="H429" s="8">
        <v>690</v>
      </c>
      <c r="I429" s="8">
        <f t="shared" si="24"/>
        <v>6900</v>
      </c>
      <c r="J429" s="539">
        <v>450</v>
      </c>
      <c r="K429" s="521">
        <f t="shared" si="25"/>
        <v>240</v>
      </c>
      <c r="L429" s="522">
        <f t="shared" si="26"/>
        <v>2400</v>
      </c>
      <c r="M429" s="523">
        <f t="shared" si="27"/>
        <v>0.34782608695652173</v>
      </c>
      <c r="N429" s="30" t="s">
        <v>22</v>
      </c>
      <c r="O429" s="2" t="s">
        <v>21</v>
      </c>
    </row>
    <row r="430" spans="1:15">
      <c r="A430" s="71">
        <v>2023</v>
      </c>
      <c r="B430" s="16" t="s">
        <v>696</v>
      </c>
      <c r="C430" s="71" t="s">
        <v>734</v>
      </c>
      <c r="D430" s="2" t="s">
        <v>17</v>
      </c>
      <c r="E430" s="2" t="s">
        <v>735</v>
      </c>
      <c r="F430" s="9">
        <v>3</v>
      </c>
      <c r="G430" s="1" t="s">
        <v>19</v>
      </c>
      <c r="H430" s="8">
        <v>4500</v>
      </c>
      <c r="I430" s="8">
        <f t="shared" si="24"/>
        <v>13500</v>
      </c>
      <c r="J430" s="539">
        <v>4300</v>
      </c>
      <c r="K430" s="521">
        <f t="shared" si="25"/>
        <v>200</v>
      </c>
      <c r="L430" s="522">
        <f t="shared" si="26"/>
        <v>600</v>
      </c>
      <c r="M430" s="523">
        <f t="shared" si="27"/>
        <v>4.4444444444444446E-2</v>
      </c>
      <c r="N430" s="30" t="s">
        <v>22</v>
      </c>
      <c r="O430" s="2" t="s">
        <v>21</v>
      </c>
    </row>
    <row r="431" spans="1:15">
      <c r="A431" s="71">
        <v>2023</v>
      </c>
      <c r="B431" s="16" t="s">
        <v>696</v>
      </c>
      <c r="C431" s="71" t="s">
        <v>736</v>
      </c>
      <c r="D431" s="2" t="s">
        <v>323</v>
      </c>
      <c r="E431" s="2" t="s">
        <v>737</v>
      </c>
      <c r="F431" s="9">
        <v>30</v>
      </c>
      <c r="G431" s="1" t="s">
        <v>29</v>
      </c>
      <c r="H431" s="8">
        <v>1970</v>
      </c>
      <c r="I431" s="8">
        <f t="shared" si="24"/>
        <v>59100</v>
      </c>
      <c r="J431" s="539">
        <v>1890</v>
      </c>
      <c r="K431" s="521">
        <f t="shared" si="25"/>
        <v>80</v>
      </c>
      <c r="L431" s="522">
        <f t="shared" si="26"/>
        <v>2400</v>
      </c>
      <c r="M431" s="523">
        <f t="shared" si="27"/>
        <v>4.060913705583756E-2</v>
      </c>
      <c r="N431" s="30" t="s">
        <v>20</v>
      </c>
      <c r="O431" s="2" t="s">
        <v>21</v>
      </c>
    </row>
    <row r="432" spans="1:15">
      <c r="A432" s="71">
        <v>2023</v>
      </c>
      <c r="B432" s="16" t="s">
        <v>696</v>
      </c>
      <c r="C432" s="71" t="s">
        <v>738</v>
      </c>
      <c r="D432" s="2" t="s">
        <v>17</v>
      </c>
      <c r="E432" s="2" t="s">
        <v>739</v>
      </c>
      <c r="F432" s="9">
        <v>100</v>
      </c>
      <c r="G432" s="1" t="s">
        <v>19</v>
      </c>
      <c r="H432" s="8">
        <v>18</v>
      </c>
      <c r="I432" s="8">
        <f t="shared" si="24"/>
        <v>1800</v>
      </c>
      <c r="J432" s="539">
        <v>7.5</v>
      </c>
      <c r="K432" s="521">
        <f t="shared" si="25"/>
        <v>10.5</v>
      </c>
      <c r="L432" s="522">
        <f t="shared" si="26"/>
        <v>1050</v>
      </c>
      <c r="M432" s="523">
        <f t="shared" si="27"/>
        <v>0.58333333333333337</v>
      </c>
      <c r="N432" s="30" t="s">
        <v>22</v>
      </c>
      <c r="O432" s="2" t="s">
        <v>21</v>
      </c>
    </row>
    <row r="433" spans="1:15">
      <c r="A433" s="71">
        <v>2023</v>
      </c>
      <c r="B433" s="16" t="s">
        <v>696</v>
      </c>
      <c r="C433" s="71" t="s">
        <v>738</v>
      </c>
      <c r="D433" s="2" t="s">
        <v>17</v>
      </c>
      <c r="E433" s="2" t="s">
        <v>740</v>
      </c>
      <c r="F433" s="9">
        <v>12</v>
      </c>
      <c r="G433" s="1" t="s">
        <v>19</v>
      </c>
      <c r="H433" s="8">
        <v>75</v>
      </c>
      <c r="I433" s="8">
        <f t="shared" si="24"/>
        <v>900</v>
      </c>
      <c r="J433" s="539">
        <v>60</v>
      </c>
      <c r="K433" s="521">
        <f t="shared" si="25"/>
        <v>15</v>
      </c>
      <c r="L433" s="522">
        <f t="shared" si="26"/>
        <v>180</v>
      </c>
      <c r="M433" s="523">
        <f t="shared" si="27"/>
        <v>0.2</v>
      </c>
      <c r="N433" s="30" t="s">
        <v>22</v>
      </c>
      <c r="O433" s="2" t="s">
        <v>21</v>
      </c>
    </row>
    <row r="434" spans="1:15">
      <c r="A434" s="71">
        <v>2023</v>
      </c>
      <c r="B434" s="16" t="s">
        <v>696</v>
      </c>
      <c r="C434" s="71" t="s">
        <v>741</v>
      </c>
      <c r="D434" s="2" t="s">
        <v>518</v>
      </c>
      <c r="E434" s="2" t="s">
        <v>742</v>
      </c>
      <c r="F434" s="9">
        <v>1</v>
      </c>
      <c r="G434" s="1" t="s">
        <v>19</v>
      </c>
      <c r="H434" s="8">
        <v>48750</v>
      </c>
      <c r="I434" s="8">
        <f t="shared" si="24"/>
        <v>48750</v>
      </c>
      <c r="J434" s="540">
        <v>39000</v>
      </c>
      <c r="K434" s="521">
        <f t="shared" si="25"/>
        <v>9750</v>
      </c>
      <c r="L434" s="522">
        <f t="shared" si="26"/>
        <v>9750</v>
      </c>
      <c r="M434" s="523">
        <f t="shared" si="27"/>
        <v>0.2</v>
      </c>
      <c r="N434" s="30" t="s">
        <v>22</v>
      </c>
      <c r="O434" s="2" t="s">
        <v>21</v>
      </c>
    </row>
    <row r="435" spans="1:15">
      <c r="A435" s="71">
        <v>2023</v>
      </c>
      <c r="B435" s="16" t="s">
        <v>696</v>
      </c>
      <c r="C435" s="71" t="s">
        <v>743</v>
      </c>
      <c r="D435" s="2" t="s">
        <v>527</v>
      </c>
      <c r="E435" s="2" t="s">
        <v>744</v>
      </c>
      <c r="F435" s="9">
        <v>1</v>
      </c>
      <c r="G435" s="1" t="s">
        <v>59</v>
      </c>
      <c r="H435" s="8">
        <v>124440</v>
      </c>
      <c r="I435" s="8">
        <f t="shared" si="24"/>
        <v>124440</v>
      </c>
      <c r="J435" s="540">
        <v>98000</v>
      </c>
      <c r="K435" s="521">
        <f t="shared" si="25"/>
        <v>26440</v>
      </c>
      <c r="L435" s="522">
        <f t="shared" si="26"/>
        <v>26440</v>
      </c>
      <c r="M435" s="523">
        <f t="shared" si="27"/>
        <v>0.21247187399549983</v>
      </c>
      <c r="N435" s="30" t="s">
        <v>22</v>
      </c>
      <c r="O435" s="2" t="s">
        <v>21</v>
      </c>
    </row>
    <row r="436" spans="1:15">
      <c r="A436" s="71">
        <v>2023</v>
      </c>
      <c r="B436" s="16" t="s">
        <v>696</v>
      </c>
      <c r="C436" s="71" t="s">
        <v>745</v>
      </c>
      <c r="D436" s="2" t="s">
        <v>118</v>
      </c>
      <c r="E436" s="2" t="s">
        <v>746</v>
      </c>
      <c r="F436" s="9">
        <v>1</v>
      </c>
      <c r="G436" s="1" t="s">
        <v>19</v>
      </c>
      <c r="H436" s="8">
        <v>2690</v>
      </c>
      <c r="I436" s="8">
        <f t="shared" si="24"/>
        <v>2690</v>
      </c>
      <c r="J436" s="540">
        <v>2500</v>
      </c>
      <c r="K436" s="521">
        <f t="shared" si="25"/>
        <v>190</v>
      </c>
      <c r="L436" s="522">
        <f t="shared" si="26"/>
        <v>190</v>
      </c>
      <c r="M436" s="523">
        <f t="shared" si="27"/>
        <v>7.0631970260223054E-2</v>
      </c>
      <c r="N436" s="30" t="s">
        <v>22</v>
      </c>
      <c r="O436" s="2" t="s">
        <v>21</v>
      </c>
    </row>
    <row r="437" spans="1:15">
      <c r="A437" s="71">
        <v>2023</v>
      </c>
      <c r="B437" s="16" t="s">
        <v>696</v>
      </c>
      <c r="C437" s="71" t="s">
        <v>747</v>
      </c>
      <c r="D437" s="2" t="s">
        <v>57</v>
      </c>
      <c r="E437" s="2" t="s">
        <v>748</v>
      </c>
      <c r="F437" s="9">
        <v>1</v>
      </c>
      <c r="G437" s="1" t="s">
        <v>59</v>
      </c>
      <c r="H437" s="8">
        <v>47500</v>
      </c>
      <c r="I437" s="8">
        <f t="shared" si="24"/>
        <v>47500</v>
      </c>
      <c r="J437" s="540">
        <v>46000</v>
      </c>
      <c r="K437" s="521">
        <f t="shared" si="25"/>
        <v>1500</v>
      </c>
      <c r="L437" s="522">
        <f t="shared" si="26"/>
        <v>1500</v>
      </c>
      <c r="M437" s="523">
        <f t="shared" si="27"/>
        <v>3.1578947368421054E-2</v>
      </c>
      <c r="N437" s="30" t="s">
        <v>38</v>
      </c>
      <c r="O437" s="2" t="s">
        <v>21</v>
      </c>
    </row>
    <row r="438" spans="1:15">
      <c r="A438" s="71">
        <v>2023</v>
      </c>
      <c r="B438" s="16" t="s">
        <v>696</v>
      </c>
      <c r="C438" s="71" t="s">
        <v>749</v>
      </c>
      <c r="D438" s="2" t="s">
        <v>750</v>
      </c>
      <c r="E438" s="2" t="s">
        <v>751</v>
      </c>
      <c r="F438" s="9">
        <v>24</v>
      </c>
      <c r="G438" s="1" t="s">
        <v>19</v>
      </c>
      <c r="H438" s="8">
        <v>560</v>
      </c>
      <c r="I438" s="8">
        <f t="shared" si="24"/>
        <v>13440</v>
      </c>
      <c r="J438" s="540">
        <v>490</v>
      </c>
      <c r="K438" s="521">
        <f t="shared" si="25"/>
        <v>70</v>
      </c>
      <c r="L438" s="522">
        <f t="shared" si="26"/>
        <v>1680</v>
      </c>
      <c r="M438" s="523">
        <f t="shared" si="27"/>
        <v>0.125</v>
      </c>
      <c r="N438" s="30" t="s">
        <v>38</v>
      </c>
      <c r="O438" s="2" t="s">
        <v>21</v>
      </c>
    </row>
    <row r="439" spans="1:15">
      <c r="A439" s="71">
        <v>2023</v>
      </c>
      <c r="B439" s="16" t="s">
        <v>696</v>
      </c>
      <c r="C439" s="71" t="s">
        <v>752</v>
      </c>
      <c r="D439" s="2" t="s">
        <v>501</v>
      </c>
      <c r="E439" s="2" t="s">
        <v>502</v>
      </c>
      <c r="F439" s="9">
        <v>220000</v>
      </c>
      <c r="G439" s="1" t="s">
        <v>499</v>
      </c>
      <c r="H439" s="8">
        <v>85.5</v>
      </c>
      <c r="I439" s="8">
        <f t="shared" si="24"/>
        <v>18810000</v>
      </c>
      <c r="J439" s="539">
        <v>85</v>
      </c>
      <c r="K439" s="521">
        <f t="shared" si="25"/>
        <v>0.5</v>
      </c>
      <c r="L439" s="522">
        <f t="shared" si="26"/>
        <v>110000</v>
      </c>
      <c r="M439" s="523">
        <f t="shared" si="27"/>
        <v>5.8479532163742687E-3</v>
      </c>
      <c r="N439" s="30" t="s">
        <v>22</v>
      </c>
      <c r="O439" s="2" t="s">
        <v>39</v>
      </c>
    </row>
    <row r="440" spans="1:15">
      <c r="A440" s="71">
        <v>2023</v>
      </c>
      <c r="B440" s="16" t="s">
        <v>696</v>
      </c>
      <c r="C440" s="71" t="s">
        <v>753</v>
      </c>
      <c r="D440" s="2" t="s">
        <v>617</v>
      </c>
      <c r="E440" s="2" t="s">
        <v>274</v>
      </c>
      <c r="F440" s="9">
        <v>12000</v>
      </c>
      <c r="G440" s="1" t="s">
        <v>499</v>
      </c>
      <c r="H440" s="8">
        <v>34</v>
      </c>
      <c r="I440" s="8">
        <f t="shared" si="24"/>
        <v>408000</v>
      </c>
      <c r="J440" s="539">
        <v>33.5</v>
      </c>
      <c r="K440" s="521">
        <f t="shared" si="25"/>
        <v>0.5</v>
      </c>
      <c r="L440" s="522">
        <f t="shared" si="26"/>
        <v>6000</v>
      </c>
      <c r="M440" s="523">
        <f t="shared" si="27"/>
        <v>1.4705882352941176E-2</v>
      </c>
      <c r="N440" s="30" t="s">
        <v>38</v>
      </c>
      <c r="O440" s="2" t="s">
        <v>39</v>
      </c>
    </row>
    <row r="441" spans="1:15">
      <c r="A441" s="71">
        <v>2023</v>
      </c>
      <c r="B441" s="16" t="s">
        <v>696</v>
      </c>
      <c r="C441" s="71" t="s">
        <v>754</v>
      </c>
      <c r="D441" s="2" t="s">
        <v>270</v>
      </c>
      <c r="E441" s="2" t="s">
        <v>755</v>
      </c>
      <c r="F441" s="9">
        <v>6542</v>
      </c>
      <c r="G441" s="1" t="s">
        <v>499</v>
      </c>
      <c r="H441" s="8">
        <v>335</v>
      </c>
      <c r="I441" s="8">
        <f t="shared" si="24"/>
        <v>2191570</v>
      </c>
      <c r="J441" s="539">
        <v>332</v>
      </c>
      <c r="K441" s="521">
        <f t="shared" si="25"/>
        <v>3</v>
      </c>
      <c r="L441" s="522">
        <f t="shared" si="26"/>
        <v>19626</v>
      </c>
      <c r="M441" s="523">
        <f t="shared" si="27"/>
        <v>8.9552238805970154E-3</v>
      </c>
      <c r="N441" s="30" t="s">
        <v>22</v>
      </c>
      <c r="O441" s="2" t="s">
        <v>39</v>
      </c>
    </row>
    <row r="442" spans="1:15">
      <c r="A442" s="71">
        <v>2023</v>
      </c>
      <c r="B442" s="16" t="s">
        <v>696</v>
      </c>
      <c r="C442" s="71" t="s">
        <v>756</v>
      </c>
      <c r="D442" s="2" t="s">
        <v>314</v>
      </c>
      <c r="E442" s="2" t="s">
        <v>757</v>
      </c>
      <c r="F442" s="9">
        <v>1</v>
      </c>
      <c r="G442" s="1" t="s">
        <v>59</v>
      </c>
      <c r="H442" s="8">
        <v>49500</v>
      </c>
      <c r="I442" s="8">
        <f t="shared" si="24"/>
        <v>49500</v>
      </c>
      <c r="J442" s="539">
        <v>47500</v>
      </c>
      <c r="K442" s="521">
        <f t="shared" si="25"/>
        <v>2000</v>
      </c>
      <c r="L442" s="522">
        <f t="shared" si="26"/>
        <v>2000</v>
      </c>
      <c r="M442" s="523">
        <f t="shared" si="27"/>
        <v>4.0404040404040407E-2</v>
      </c>
      <c r="N442" s="30" t="s">
        <v>38</v>
      </c>
      <c r="O442" s="2" t="s">
        <v>21</v>
      </c>
    </row>
    <row r="443" spans="1:15">
      <c r="A443" s="71">
        <v>2023</v>
      </c>
      <c r="B443" s="16" t="s">
        <v>696</v>
      </c>
      <c r="C443" s="71" t="s">
        <v>758</v>
      </c>
      <c r="D443" s="2" t="s">
        <v>17</v>
      </c>
      <c r="E443" s="2" t="s">
        <v>759</v>
      </c>
      <c r="F443" s="9">
        <v>10</v>
      </c>
      <c r="G443" s="1" t="s">
        <v>19</v>
      </c>
      <c r="H443" s="8">
        <v>750</v>
      </c>
      <c r="I443" s="8">
        <f t="shared" si="24"/>
        <v>7500</v>
      </c>
      <c r="J443" s="540">
        <v>730</v>
      </c>
      <c r="K443" s="521">
        <f t="shared" si="25"/>
        <v>20</v>
      </c>
      <c r="L443" s="522">
        <f t="shared" si="26"/>
        <v>200</v>
      </c>
      <c r="M443" s="523">
        <f t="shared" si="27"/>
        <v>2.6666666666666668E-2</v>
      </c>
      <c r="N443" s="30" t="s">
        <v>22</v>
      </c>
      <c r="O443" s="2" t="s">
        <v>21</v>
      </c>
    </row>
    <row r="444" spans="1:15">
      <c r="A444" s="71">
        <v>2023</v>
      </c>
      <c r="B444" s="16" t="s">
        <v>696</v>
      </c>
      <c r="C444" s="71" t="s">
        <v>760</v>
      </c>
      <c r="D444" s="2" t="s">
        <v>673</v>
      </c>
      <c r="E444" s="2" t="s">
        <v>761</v>
      </c>
      <c r="F444" s="9">
        <v>2</v>
      </c>
      <c r="G444" s="1" t="s">
        <v>19</v>
      </c>
      <c r="H444" s="8">
        <v>3875</v>
      </c>
      <c r="I444" s="8">
        <f t="shared" si="24"/>
        <v>7750</v>
      </c>
      <c r="J444" s="540">
        <v>3850</v>
      </c>
      <c r="K444" s="521">
        <f t="shared" si="25"/>
        <v>25</v>
      </c>
      <c r="L444" s="522">
        <f t="shared" si="26"/>
        <v>50</v>
      </c>
      <c r="M444" s="523">
        <f t="shared" si="27"/>
        <v>6.4516129032258064E-3</v>
      </c>
      <c r="N444" s="30" t="s">
        <v>22</v>
      </c>
      <c r="O444" s="2" t="s">
        <v>21</v>
      </c>
    </row>
    <row r="445" spans="1:15">
      <c r="A445" s="71">
        <v>2023</v>
      </c>
      <c r="B445" s="16" t="s">
        <v>696</v>
      </c>
      <c r="C445" s="71" t="s">
        <v>762</v>
      </c>
      <c r="D445" s="2" t="s">
        <v>118</v>
      </c>
      <c r="E445" s="2" t="s">
        <v>763</v>
      </c>
      <c r="F445" s="9">
        <v>10</v>
      </c>
      <c r="G445" s="1" t="s">
        <v>19</v>
      </c>
      <c r="H445" s="8">
        <v>100</v>
      </c>
      <c r="I445" s="8">
        <f t="shared" si="24"/>
        <v>1000</v>
      </c>
      <c r="J445" s="540">
        <v>93</v>
      </c>
      <c r="K445" s="521">
        <f t="shared" si="25"/>
        <v>7</v>
      </c>
      <c r="L445" s="522">
        <f t="shared" si="26"/>
        <v>70</v>
      </c>
      <c r="M445" s="523">
        <f t="shared" si="27"/>
        <v>7.0000000000000007E-2</v>
      </c>
      <c r="N445" s="30" t="s">
        <v>22</v>
      </c>
      <c r="O445" s="2" t="s">
        <v>21</v>
      </c>
    </row>
    <row r="446" spans="1:15">
      <c r="A446" s="71">
        <v>2023</v>
      </c>
      <c r="B446" s="16" t="s">
        <v>696</v>
      </c>
      <c r="C446" s="71" t="s">
        <v>762</v>
      </c>
      <c r="D446" s="2" t="s">
        <v>118</v>
      </c>
      <c r="E446" s="2" t="s">
        <v>764</v>
      </c>
      <c r="F446" s="9">
        <v>1</v>
      </c>
      <c r="G446" s="1" t="s">
        <v>19</v>
      </c>
      <c r="H446" s="8">
        <v>3000</v>
      </c>
      <c r="I446" s="8">
        <f t="shared" si="24"/>
        <v>3000</v>
      </c>
      <c r="J446" s="540">
        <v>2587</v>
      </c>
      <c r="K446" s="521">
        <f t="shared" si="25"/>
        <v>413</v>
      </c>
      <c r="L446" s="522">
        <f t="shared" si="26"/>
        <v>413</v>
      </c>
      <c r="M446" s="523">
        <f t="shared" si="27"/>
        <v>0.13766666666666666</v>
      </c>
      <c r="N446" s="30" t="s">
        <v>22</v>
      </c>
      <c r="O446" s="2" t="s">
        <v>21</v>
      </c>
    </row>
    <row r="447" spans="1:15">
      <c r="A447" s="71">
        <v>2023</v>
      </c>
      <c r="B447" s="16" t="s">
        <v>696</v>
      </c>
      <c r="C447" s="71" t="s">
        <v>765</v>
      </c>
      <c r="D447" s="2" t="s">
        <v>17</v>
      </c>
      <c r="E447" s="2" t="s">
        <v>766</v>
      </c>
      <c r="F447" s="9">
        <v>10</v>
      </c>
      <c r="G447" s="1" t="s">
        <v>19</v>
      </c>
      <c r="H447" s="8">
        <v>3200</v>
      </c>
      <c r="I447" s="8">
        <f t="shared" si="24"/>
        <v>32000</v>
      </c>
      <c r="J447" s="540">
        <v>3000</v>
      </c>
      <c r="K447" s="521">
        <f t="shared" si="25"/>
        <v>200</v>
      </c>
      <c r="L447" s="522">
        <f t="shared" si="26"/>
        <v>2000</v>
      </c>
      <c r="M447" s="523">
        <f t="shared" si="27"/>
        <v>6.25E-2</v>
      </c>
      <c r="N447" s="30" t="s">
        <v>22</v>
      </c>
      <c r="O447" s="2" t="s">
        <v>21</v>
      </c>
    </row>
    <row r="448" spans="1:15">
      <c r="A448" s="71">
        <v>2023</v>
      </c>
      <c r="B448" s="16" t="s">
        <v>696</v>
      </c>
      <c r="C448" s="71" t="s">
        <v>767</v>
      </c>
      <c r="D448" s="2" t="s">
        <v>182</v>
      </c>
      <c r="E448" s="2" t="s">
        <v>768</v>
      </c>
      <c r="F448" s="9">
        <v>1</v>
      </c>
      <c r="G448" s="1" t="s">
        <v>19</v>
      </c>
      <c r="H448" s="8">
        <v>35500</v>
      </c>
      <c r="I448" s="8">
        <f t="shared" si="24"/>
        <v>35500</v>
      </c>
      <c r="J448" s="540">
        <v>33725</v>
      </c>
      <c r="K448" s="521">
        <f t="shared" si="25"/>
        <v>1775</v>
      </c>
      <c r="L448" s="522">
        <f t="shared" si="26"/>
        <v>1775</v>
      </c>
      <c r="M448" s="523">
        <f t="shared" si="27"/>
        <v>0.05</v>
      </c>
      <c r="N448" s="30" t="s">
        <v>22</v>
      </c>
      <c r="O448" s="2" t="s">
        <v>21</v>
      </c>
    </row>
    <row r="449" spans="1:15">
      <c r="A449" s="71">
        <v>2023</v>
      </c>
      <c r="B449" s="16" t="s">
        <v>696</v>
      </c>
      <c r="C449" s="71" t="s">
        <v>769</v>
      </c>
      <c r="D449" s="2" t="s">
        <v>345</v>
      </c>
      <c r="E449" s="2" t="s">
        <v>770</v>
      </c>
      <c r="F449" s="9">
        <v>1</v>
      </c>
      <c r="G449" s="1" t="s">
        <v>59</v>
      </c>
      <c r="H449" s="8">
        <v>22000</v>
      </c>
      <c r="I449" s="8">
        <f t="shared" si="24"/>
        <v>22000</v>
      </c>
      <c r="J449" s="540">
        <v>20500</v>
      </c>
      <c r="K449" s="521">
        <f t="shared" si="25"/>
        <v>1500</v>
      </c>
      <c r="L449" s="522">
        <f t="shared" si="26"/>
        <v>1500</v>
      </c>
      <c r="M449" s="523">
        <f t="shared" si="27"/>
        <v>6.8181818181818177E-2</v>
      </c>
      <c r="N449" s="30" t="s">
        <v>38</v>
      </c>
      <c r="O449" s="2" t="s">
        <v>21</v>
      </c>
    </row>
    <row r="450" spans="1:15">
      <c r="A450" s="71">
        <v>2023</v>
      </c>
      <c r="B450" s="16" t="s">
        <v>696</v>
      </c>
      <c r="C450" s="71" t="s">
        <v>771</v>
      </c>
      <c r="D450" s="2" t="s">
        <v>94</v>
      </c>
      <c r="E450" s="2" t="s">
        <v>772</v>
      </c>
      <c r="F450" s="9">
        <v>4</v>
      </c>
      <c r="G450" s="1" t="s">
        <v>29</v>
      </c>
      <c r="H450" s="8">
        <v>1985</v>
      </c>
      <c r="I450" s="8">
        <f t="shared" si="24"/>
        <v>7940</v>
      </c>
      <c r="J450" s="540">
        <v>1695</v>
      </c>
      <c r="K450" s="521">
        <f t="shared" si="25"/>
        <v>290</v>
      </c>
      <c r="L450" s="522">
        <f t="shared" si="26"/>
        <v>1160</v>
      </c>
      <c r="M450" s="523">
        <f t="shared" si="27"/>
        <v>0.14609571788413098</v>
      </c>
      <c r="N450" s="30" t="s">
        <v>22</v>
      </c>
      <c r="O450" s="2" t="s">
        <v>21</v>
      </c>
    </row>
    <row r="451" spans="1:15">
      <c r="A451" s="71">
        <v>2023</v>
      </c>
      <c r="B451" s="16" t="s">
        <v>696</v>
      </c>
      <c r="C451" s="71" t="s">
        <v>773</v>
      </c>
      <c r="D451" s="2" t="s">
        <v>96</v>
      </c>
      <c r="E451" s="2" t="s">
        <v>774</v>
      </c>
      <c r="F451" s="9">
        <v>50</v>
      </c>
      <c r="G451" s="1" t="s">
        <v>19</v>
      </c>
      <c r="H451" s="8">
        <v>1245</v>
      </c>
      <c r="I451" s="8">
        <f t="shared" ref="I451:I514" si="28">H451*F451</f>
        <v>62250</v>
      </c>
      <c r="J451" s="540">
        <v>1050</v>
      </c>
      <c r="K451" s="521">
        <f t="shared" ref="K451:K514" si="29">H451-J451</f>
        <v>195</v>
      </c>
      <c r="L451" s="522">
        <f t="shared" ref="L451:L514" si="30">K451*F451</f>
        <v>9750</v>
      </c>
      <c r="M451" s="523">
        <f t="shared" ref="M451:M514" si="31">K451/H451</f>
        <v>0.15662650602409639</v>
      </c>
      <c r="N451" s="30" t="s">
        <v>22</v>
      </c>
      <c r="O451" s="2" t="s">
        <v>21</v>
      </c>
    </row>
    <row r="452" spans="1:15">
      <c r="A452" s="71">
        <v>2023</v>
      </c>
      <c r="B452" s="16" t="s">
        <v>696</v>
      </c>
      <c r="C452" s="71" t="s">
        <v>773</v>
      </c>
      <c r="D452" s="2" t="s">
        <v>96</v>
      </c>
      <c r="E452" s="2" t="s">
        <v>97</v>
      </c>
      <c r="F452" s="9">
        <v>50</v>
      </c>
      <c r="G452" s="1" t="s">
        <v>19</v>
      </c>
      <c r="H452" s="8">
        <v>275</v>
      </c>
      <c r="I452" s="8">
        <f t="shared" si="28"/>
        <v>13750</v>
      </c>
      <c r="J452" s="540">
        <v>140</v>
      </c>
      <c r="K452" s="521">
        <f t="shared" si="29"/>
        <v>135</v>
      </c>
      <c r="L452" s="522">
        <f t="shared" si="30"/>
        <v>6750</v>
      </c>
      <c r="M452" s="523">
        <f t="shared" si="31"/>
        <v>0.49090909090909091</v>
      </c>
      <c r="N452" s="30" t="s">
        <v>22</v>
      </c>
      <c r="O452" s="2" t="s">
        <v>21</v>
      </c>
    </row>
    <row r="453" spans="1:15">
      <c r="A453" s="71">
        <v>2023</v>
      </c>
      <c r="B453" s="16" t="s">
        <v>696</v>
      </c>
      <c r="C453" s="427" t="s">
        <v>773</v>
      </c>
      <c r="D453" s="2" t="s">
        <v>96</v>
      </c>
      <c r="E453" s="2" t="s">
        <v>99</v>
      </c>
      <c r="F453" s="9">
        <v>50</v>
      </c>
      <c r="G453" s="1" t="s">
        <v>19</v>
      </c>
      <c r="H453" s="8">
        <v>805</v>
      </c>
      <c r="I453" s="8">
        <f t="shared" si="28"/>
        <v>40250</v>
      </c>
      <c r="J453" s="540">
        <v>432</v>
      </c>
      <c r="K453" s="521">
        <f t="shared" si="29"/>
        <v>373</v>
      </c>
      <c r="L453" s="522">
        <f t="shared" si="30"/>
        <v>18650</v>
      </c>
      <c r="M453" s="523">
        <f t="shared" si="31"/>
        <v>0.46335403726708074</v>
      </c>
      <c r="N453" s="30" t="s">
        <v>22</v>
      </c>
      <c r="O453" s="2" t="s">
        <v>21</v>
      </c>
    </row>
    <row r="454" spans="1:15">
      <c r="A454" s="71">
        <v>2023</v>
      </c>
      <c r="B454" s="16" t="s">
        <v>696</v>
      </c>
      <c r="C454" s="71" t="s">
        <v>775</v>
      </c>
      <c r="D454" s="2" t="s">
        <v>776</v>
      </c>
      <c r="E454" s="2" t="s">
        <v>503</v>
      </c>
      <c r="F454" s="9">
        <v>20000</v>
      </c>
      <c r="G454" s="1" t="s">
        <v>499</v>
      </c>
      <c r="H454" s="8">
        <v>118.25</v>
      </c>
      <c r="I454" s="8">
        <f t="shared" si="28"/>
        <v>2365000</v>
      </c>
      <c r="J454" s="540">
        <v>115.5</v>
      </c>
      <c r="K454" s="521">
        <f t="shared" si="29"/>
        <v>2.75</v>
      </c>
      <c r="L454" s="522">
        <f t="shared" si="30"/>
        <v>55000</v>
      </c>
      <c r="M454" s="523">
        <f t="shared" si="31"/>
        <v>2.3255813953488372E-2</v>
      </c>
      <c r="N454" s="30" t="s">
        <v>22</v>
      </c>
      <c r="O454" s="2" t="s">
        <v>39</v>
      </c>
    </row>
    <row r="455" spans="1:15">
      <c r="A455" s="71">
        <v>2023</v>
      </c>
      <c r="B455" s="16" t="s">
        <v>696</v>
      </c>
      <c r="C455" s="71" t="s">
        <v>777</v>
      </c>
      <c r="D455" s="2" t="s">
        <v>778</v>
      </c>
      <c r="E455" s="2" t="s">
        <v>779</v>
      </c>
      <c r="F455" s="9">
        <v>20</v>
      </c>
      <c r="G455" s="1" t="s">
        <v>302</v>
      </c>
      <c r="H455" s="8">
        <v>6619.98</v>
      </c>
      <c r="I455" s="8">
        <f t="shared" si="28"/>
        <v>132399.59999999998</v>
      </c>
      <c r="J455" s="540">
        <f>123.61*38</f>
        <v>4697.18</v>
      </c>
      <c r="K455" s="521">
        <f t="shared" si="29"/>
        <v>1922.7999999999993</v>
      </c>
      <c r="L455" s="522">
        <f t="shared" si="30"/>
        <v>38455.999999999985</v>
      </c>
      <c r="M455" s="523">
        <f t="shared" si="31"/>
        <v>0.2904540497101199</v>
      </c>
      <c r="N455" s="30" t="s">
        <v>38</v>
      </c>
      <c r="O455" s="2" t="s">
        <v>105</v>
      </c>
    </row>
    <row r="456" spans="1:15">
      <c r="A456" s="71">
        <v>2023</v>
      </c>
      <c r="B456" s="16" t="s">
        <v>696</v>
      </c>
      <c r="C456" s="71" t="s">
        <v>777</v>
      </c>
      <c r="D456" s="2" t="s">
        <v>778</v>
      </c>
      <c r="E456" s="2" t="s">
        <v>780</v>
      </c>
      <c r="F456" s="9">
        <v>10</v>
      </c>
      <c r="G456" s="1" t="s">
        <v>302</v>
      </c>
      <c r="H456" s="8">
        <v>2525.48</v>
      </c>
      <c r="I456" s="8">
        <f t="shared" si="28"/>
        <v>25254.799999999999</v>
      </c>
      <c r="J456" s="540">
        <f>48.82*38</f>
        <v>1855.16</v>
      </c>
      <c r="K456" s="521">
        <f t="shared" si="29"/>
        <v>670.31999999999994</v>
      </c>
      <c r="L456" s="522">
        <f t="shared" si="30"/>
        <v>6703.1999999999989</v>
      </c>
      <c r="M456" s="523">
        <f t="shared" si="31"/>
        <v>0.26542281071321094</v>
      </c>
      <c r="N456" s="30" t="s">
        <v>38</v>
      </c>
      <c r="O456" s="2" t="s">
        <v>105</v>
      </c>
    </row>
    <row r="457" spans="1:15">
      <c r="A457" s="71">
        <v>2023</v>
      </c>
      <c r="B457" s="16" t="s">
        <v>696</v>
      </c>
      <c r="C457" s="71" t="s">
        <v>777</v>
      </c>
      <c r="D457" s="2" t="s">
        <v>778</v>
      </c>
      <c r="E457" s="2" t="s">
        <v>781</v>
      </c>
      <c r="F457" s="9">
        <v>15</v>
      </c>
      <c r="G457" s="1" t="s">
        <v>302</v>
      </c>
      <c r="H457" s="8">
        <v>2729.16</v>
      </c>
      <c r="I457" s="8">
        <f t="shared" si="28"/>
        <v>40937.399999999994</v>
      </c>
      <c r="J457" s="540">
        <f>56.77*38</f>
        <v>2157.2600000000002</v>
      </c>
      <c r="K457" s="521">
        <f t="shared" si="29"/>
        <v>571.89999999999964</v>
      </c>
      <c r="L457" s="522">
        <f t="shared" si="30"/>
        <v>8578.4999999999945</v>
      </c>
      <c r="M457" s="523">
        <f t="shared" si="31"/>
        <v>0.20955165692007785</v>
      </c>
      <c r="N457" s="30" t="s">
        <v>38</v>
      </c>
      <c r="O457" s="2" t="s">
        <v>105</v>
      </c>
    </row>
    <row r="458" spans="1:15">
      <c r="A458" s="71">
        <v>2023</v>
      </c>
      <c r="B458" s="16" t="s">
        <v>696</v>
      </c>
      <c r="C458" s="71" t="s">
        <v>777</v>
      </c>
      <c r="D458" s="2" t="s">
        <v>778</v>
      </c>
      <c r="E458" s="2" t="s">
        <v>782</v>
      </c>
      <c r="F458" s="9">
        <v>30</v>
      </c>
      <c r="G458" s="1" t="s">
        <v>302</v>
      </c>
      <c r="H458" s="8">
        <v>2729.16</v>
      </c>
      <c r="I458" s="8">
        <f t="shared" si="28"/>
        <v>81874.799999999988</v>
      </c>
      <c r="J458" s="540">
        <f>52.99*38</f>
        <v>2013.6200000000001</v>
      </c>
      <c r="K458" s="521">
        <f t="shared" si="29"/>
        <v>715.53999999999974</v>
      </c>
      <c r="L458" s="522">
        <f t="shared" si="30"/>
        <v>21466.199999999993</v>
      </c>
      <c r="M458" s="523">
        <f t="shared" si="31"/>
        <v>0.2621832358674463</v>
      </c>
      <c r="N458" s="30" t="s">
        <v>38</v>
      </c>
      <c r="O458" s="2" t="s">
        <v>105</v>
      </c>
    </row>
    <row r="459" spans="1:15">
      <c r="A459" s="71">
        <v>2023</v>
      </c>
      <c r="B459" s="16" t="s">
        <v>696</v>
      </c>
      <c r="C459" s="71" t="s">
        <v>777</v>
      </c>
      <c r="D459" s="2" t="s">
        <v>778</v>
      </c>
      <c r="E459" s="2" t="s">
        <v>783</v>
      </c>
      <c r="F459" s="9">
        <v>30</v>
      </c>
      <c r="G459" s="1" t="s">
        <v>302</v>
      </c>
      <c r="H459" s="8">
        <v>6691.04</v>
      </c>
      <c r="I459" s="8">
        <f t="shared" si="28"/>
        <v>200731.2</v>
      </c>
      <c r="J459" s="540">
        <f>123.23*38</f>
        <v>4682.74</v>
      </c>
      <c r="K459" s="521">
        <f t="shared" si="29"/>
        <v>2008.3000000000002</v>
      </c>
      <c r="L459" s="522">
        <f t="shared" si="30"/>
        <v>60249.000000000007</v>
      </c>
      <c r="M459" s="523">
        <f t="shared" si="31"/>
        <v>0.30014766015447525</v>
      </c>
      <c r="N459" s="30" t="s">
        <v>38</v>
      </c>
      <c r="O459" s="2" t="s">
        <v>105</v>
      </c>
    </row>
    <row r="460" spans="1:15">
      <c r="A460" s="71">
        <v>2023</v>
      </c>
      <c r="B460" s="16" t="s">
        <v>696</v>
      </c>
      <c r="C460" s="71" t="s">
        <v>784</v>
      </c>
      <c r="D460" s="2" t="s">
        <v>628</v>
      </c>
      <c r="E460" s="2" t="s">
        <v>651</v>
      </c>
      <c r="F460" s="9">
        <v>100</v>
      </c>
      <c r="G460" s="1" t="s">
        <v>19</v>
      </c>
      <c r="H460" s="8">
        <v>28.64</v>
      </c>
      <c r="I460" s="8">
        <f t="shared" si="28"/>
        <v>2864</v>
      </c>
      <c r="J460" s="540">
        <v>14</v>
      </c>
      <c r="K460" s="521">
        <f t="shared" si="29"/>
        <v>14.64</v>
      </c>
      <c r="L460" s="522">
        <f t="shared" si="30"/>
        <v>1464</v>
      </c>
      <c r="M460" s="523">
        <f t="shared" si="31"/>
        <v>0.51117318435754189</v>
      </c>
      <c r="N460" s="30" t="s">
        <v>22</v>
      </c>
      <c r="O460" s="2" t="s">
        <v>105</v>
      </c>
    </row>
    <row r="461" spans="1:15">
      <c r="A461" s="71">
        <v>2023</v>
      </c>
      <c r="B461" s="16" t="s">
        <v>696</v>
      </c>
      <c r="C461" s="71" t="s">
        <v>785</v>
      </c>
      <c r="D461" s="2" t="s">
        <v>35</v>
      </c>
      <c r="E461" s="2" t="s">
        <v>472</v>
      </c>
      <c r="F461" s="9">
        <v>210.8</v>
      </c>
      <c r="G461" s="1" t="s">
        <v>37</v>
      </c>
      <c r="H461" s="8">
        <v>351</v>
      </c>
      <c r="I461" s="8">
        <f t="shared" si="28"/>
        <v>73990.8</v>
      </c>
      <c r="J461" s="540">
        <v>350</v>
      </c>
      <c r="K461" s="521">
        <f t="shared" si="29"/>
        <v>1</v>
      </c>
      <c r="L461" s="522">
        <f t="shared" si="30"/>
        <v>210.8</v>
      </c>
      <c r="M461" s="523">
        <f t="shared" si="31"/>
        <v>2.8490028490028491E-3</v>
      </c>
      <c r="N461" s="30" t="s">
        <v>38</v>
      </c>
      <c r="O461" s="2" t="s">
        <v>105</v>
      </c>
    </row>
    <row r="462" spans="1:15">
      <c r="A462" s="71">
        <v>2023</v>
      </c>
      <c r="B462" s="16" t="s">
        <v>696</v>
      </c>
      <c r="C462" s="71" t="s">
        <v>786</v>
      </c>
      <c r="D462" s="2" t="s">
        <v>174</v>
      </c>
      <c r="E462" s="2" t="s">
        <v>787</v>
      </c>
      <c r="F462" s="9">
        <v>11</v>
      </c>
      <c r="G462" s="1" t="s">
        <v>19</v>
      </c>
      <c r="H462" s="8">
        <v>400</v>
      </c>
      <c r="I462" s="8">
        <f t="shared" si="28"/>
        <v>4400</v>
      </c>
      <c r="J462" s="540">
        <v>385</v>
      </c>
      <c r="K462" s="521">
        <f t="shared" si="29"/>
        <v>15</v>
      </c>
      <c r="L462" s="522">
        <f t="shared" si="30"/>
        <v>165</v>
      </c>
      <c r="M462" s="523">
        <f t="shared" si="31"/>
        <v>3.7499999999999999E-2</v>
      </c>
      <c r="N462" s="30" t="s">
        <v>22</v>
      </c>
      <c r="O462" s="2" t="s">
        <v>105</v>
      </c>
    </row>
    <row r="463" spans="1:15">
      <c r="A463" s="71">
        <v>2023</v>
      </c>
      <c r="B463" s="16" t="s">
        <v>696</v>
      </c>
      <c r="C463" s="71" t="s">
        <v>788</v>
      </c>
      <c r="D463" s="2" t="s">
        <v>290</v>
      </c>
      <c r="E463" s="2" t="s">
        <v>789</v>
      </c>
      <c r="F463" s="9">
        <v>1</v>
      </c>
      <c r="G463" s="1" t="s">
        <v>285</v>
      </c>
      <c r="H463" s="8">
        <v>52500</v>
      </c>
      <c r="I463" s="8">
        <f t="shared" si="28"/>
        <v>52500</v>
      </c>
      <c r="J463" s="540">
        <v>51500</v>
      </c>
      <c r="K463" s="521">
        <f t="shared" si="29"/>
        <v>1000</v>
      </c>
      <c r="L463" s="522">
        <f t="shared" si="30"/>
        <v>1000</v>
      </c>
      <c r="M463" s="523">
        <f t="shared" si="31"/>
        <v>1.9047619047619049E-2</v>
      </c>
      <c r="N463" s="30" t="s">
        <v>22</v>
      </c>
      <c r="O463" s="2" t="s">
        <v>105</v>
      </c>
    </row>
    <row r="464" spans="1:15">
      <c r="A464" s="71">
        <v>2023</v>
      </c>
      <c r="B464" s="16" t="s">
        <v>696</v>
      </c>
      <c r="C464" s="71" t="s">
        <v>790</v>
      </c>
      <c r="D464" s="2" t="s">
        <v>35</v>
      </c>
      <c r="E464" s="2" t="s">
        <v>791</v>
      </c>
      <c r="F464" s="9">
        <v>1000</v>
      </c>
      <c r="G464" s="1" t="s">
        <v>37</v>
      </c>
      <c r="H464" s="8">
        <v>351</v>
      </c>
      <c r="I464" s="8">
        <f t="shared" si="28"/>
        <v>351000</v>
      </c>
      <c r="J464" s="540">
        <v>350</v>
      </c>
      <c r="K464" s="521">
        <f t="shared" si="29"/>
        <v>1</v>
      </c>
      <c r="L464" s="522">
        <f t="shared" si="30"/>
        <v>1000</v>
      </c>
      <c r="M464" s="523">
        <f t="shared" si="31"/>
        <v>2.8490028490028491E-3</v>
      </c>
      <c r="N464" s="30" t="s">
        <v>38</v>
      </c>
      <c r="O464" s="2" t="s">
        <v>105</v>
      </c>
    </row>
    <row r="465" spans="1:15">
      <c r="A465" s="71">
        <v>2023</v>
      </c>
      <c r="B465" s="16" t="s">
        <v>696</v>
      </c>
      <c r="C465" s="71" t="s">
        <v>792</v>
      </c>
      <c r="D465" s="2" t="s">
        <v>35</v>
      </c>
      <c r="E465" s="2" t="s">
        <v>793</v>
      </c>
      <c r="F465" s="9">
        <v>616.1</v>
      </c>
      <c r="G465" s="1" t="s">
        <v>37</v>
      </c>
      <c r="H465" s="8">
        <v>351</v>
      </c>
      <c r="I465" s="8">
        <f t="shared" si="28"/>
        <v>216251.1</v>
      </c>
      <c r="J465" s="540">
        <v>350</v>
      </c>
      <c r="K465" s="521">
        <f t="shared" si="29"/>
        <v>1</v>
      </c>
      <c r="L465" s="522">
        <f t="shared" si="30"/>
        <v>616.1</v>
      </c>
      <c r="M465" s="523">
        <f t="shared" si="31"/>
        <v>2.8490028490028491E-3</v>
      </c>
      <c r="N465" s="30" t="s">
        <v>38</v>
      </c>
      <c r="O465" s="2" t="s">
        <v>105</v>
      </c>
    </row>
    <row r="466" spans="1:15">
      <c r="A466" s="71">
        <v>2023</v>
      </c>
      <c r="B466" s="16" t="s">
        <v>696</v>
      </c>
      <c r="C466" s="71" t="s">
        <v>794</v>
      </c>
      <c r="D466" s="2" t="s">
        <v>94</v>
      </c>
      <c r="E466" s="2" t="s">
        <v>795</v>
      </c>
      <c r="F466" s="9">
        <v>1</v>
      </c>
      <c r="G466" s="1" t="s">
        <v>706</v>
      </c>
      <c r="H466" s="8">
        <v>79500</v>
      </c>
      <c r="I466" s="8">
        <f t="shared" si="28"/>
        <v>79500</v>
      </c>
      <c r="J466" s="540">
        <v>77894</v>
      </c>
      <c r="K466" s="521">
        <f t="shared" si="29"/>
        <v>1606</v>
      </c>
      <c r="L466" s="522">
        <f t="shared" si="30"/>
        <v>1606</v>
      </c>
      <c r="M466" s="523">
        <f t="shared" si="31"/>
        <v>2.0201257861635222E-2</v>
      </c>
      <c r="N466" s="30" t="s">
        <v>22</v>
      </c>
      <c r="O466" s="2" t="s">
        <v>105</v>
      </c>
    </row>
    <row r="467" spans="1:15">
      <c r="A467" s="71">
        <v>2023</v>
      </c>
      <c r="B467" s="16" t="s">
        <v>696</v>
      </c>
      <c r="C467" s="71" t="s">
        <v>796</v>
      </c>
      <c r="D467" s="2" t="s">
        <v>27</v>
      </c>
      <c r="E467" s="2" t="s">
        <v>797</v>
      </c>
      <c r="F467" s="9">
        <v>5</v>
      </c>
      <c r="G467" s="1" t="s">
        <v>798</v>
      </c>
      <c r="H467" s="8">
        <v>225</v>
      </c>
      <c r="I467" s="8">
        <f t="shared" si="28"/>
        <v>1125</v>
      </c>
      <c r="J467" s="540">
        <v>180</v>
      </c>
      <c r="K467" s="521">
        <f t="shared" si="29"/>
        <v>45</v>
      </c>
      <c r="L467" s="522">
        <f t="shared" si="30"/>
        <v>225</v>
      </c>
      <c r="M467" s="523">
        <f t="shared" si="31"/>
        <v>0.2</v>
      </c>
      <c r="N467" s="30" t="s">
        <v>22</v>
      </c>
      <c r="O467" s="2" t="s">
        <v>105</v>
      </c>
    </row>
    <row r="468" spans="1:15">
      <c r="A468" s="71">
        <v>2023</v>
      </c>
      <c r="B468" s="16" t="s">
        <v>696</v>
      </c>
      <c r="C468" s="71" t="s">
        <v>799</v>
      </c>
      <c r="D468" s="2" t="s">
        <v>35</v>
      </c>
      <c r="E468" s="15" t="s">
        <v>541</v>
      </c>
      <c r="F468" s="9">
        <v>357.4</v>
      </c>
      <c r="G468" s="1" t="s">
        <v>37</v>
      </c>
      <c r="H468" s="8">
        <v>351</v>
      </c>
      <c r="I468" s="8">
        <f t="shared" si="28"/>
        <v>125447.4</v>
      </c>
      <c r="J468" s="540">
        <v>350</v>
      </c>
      <c r="K468" s="521">
        <f t="shared" si="29"/>
        <v>1</v>
      </c>
      <c r="L468" s="522">
        <f t="shared" si="30"/>
        <v>357.4</v>
      </c>
      <c r="M468" s="523">
        <f t="shared" si="31"/>
        <v>2.8490028490028491E-3</v>
      </c>
      <c r="N468" s="30" t="s">
        <v>38</v>
      </c>
      <c r="O468" s="2" t="s">
        <v>105</v>
      </c>
    </row>
    <row r="469" spans="1:15">
      <c r="A469" s="71">
        <v>2023</v>
      </c>
      <c r="B469" s="16" t="s">
        <v>696</v>
      </c>
      <c r="C469" s="71" t="s">
        <v>800</v>
      </c>
      <c r="D469" s="2" t="s">
        <v>35</v>
      </c>
      <c r="E469" s="2" t="s">
        <v>801</v>
      </c>
      <c r="F469" s="9">
        <v>6886.4</v>
      </c>
      <c r="G469" s="1" t="s">
        <v>37</v>
      </c>
      <c r="H469" s="8">
        <v>351</v>
      </c>
      <c r="I469" s="8">
        <f t="shared" si="28"/>
        <v>2417126.3999999999</v>
      </c>
      <c r="J469" s="540">
        <v>349</v>
      </c>
      <c r="K469" s="521">
        <f t="shared" si="29"/>
        <v>2</v>
      </c>
      <c r="L469" s="522">
        <f t="shared" si="30"/>
        <v>13772.8</v>
      </c>
      <c r="M469" s="523">
        <f t="shared" si="31"/>
        <v>5.6980056980056983E-3</v>
      </c>
      <c r="N469" s="30" t="s">
        <v>38</v>
      </c>
      <c r="O469" s="2" t="s">
        <v>105</v>
      </c>
    </row>
    <row r="470" spans="1:15">
      <c r="A470" s="71">
        <v>2023</v>
      </c>
      <c r="B470" s="16" t="s">
        <v>696</v>
      </c>
      <c r="C470" s="427" t="s">
        <v>802</v>
      </c>
      <c r="D470" s="2" t="s">
        <v>448</v>
      </c>
      <c r="E470" s="15" t="s">
        <v>803</v>
      </c>
      <c r="F470" s="9">
        <v>10</v>
      </c>
      <c r="G470" s="1" t="s">
        <v>19</v>
      </c>
      <c r="H470" s="8">
        <v>3450</v>
      </c>
      <c r="I470" s="8">
        <f t="shared" si="28"/>
        <v>34500</v>
      </c>
      <c r="J470" s="540">
        <v>3350</v>
      </c>
      <c r="K470" s="521">
        <f t="shared" si="29"/>
        <v>100</v>
      </c>
      <c r="L470" s="522">
        <f t="shared" si="30"/>
        <v>1000</v>
      </c>
      <c r="M470" s="523">
        <f t="shared" si="31"/>
        <v>2.8985507246376812E-2</v>
      </c>
      <c r="N470" s="30" t="s">
        <v>22</v>
      </c>
      <c r="O470" s="2" t="s">
        <v>105</v>
      </c>
    </row>
    <row r="471" spans="1:15">
      <c r="A471" s="71">
        <v>2023</v>
      </c>
      <c r="B471" s="16" t="s">
        <v>696</v>
      </c>
      <c r="C471" s="71" t="s">
        <v>804</v>
      </c>
      <c r="D471" s="2" t="s">
        <v>590</v>
      </c>
      <c r="E471" s="2" t="s">
        <v>805</v>
      </c>
      <c r="F471" s="9">
        <v>6</v>
      </c>
      <c r="G471" s="1" t="s">
        <v>19</v>
      </c>
      <c r="H471" s="8">
        <v>5000</v>
      </c>
      <c r="I471" s="8">
        <f t="shared" si="28"/>
        <v>30000</v>
      </c>
      <c r="J471" s="540">
        <v>4500</v>
      </c>
      <c r="K471" s="521">
        <f t="shared" si="29"/>
        <v>500</v>
      </c>
      <c r="L471" s="522">
        <f t="shared" si="30"/>
        <v>3000</v>
      </c>
      <c r="M471" s="523">
        <f t="shared" si="31"/>
        <v>0.1</v>
      </c>
      <c r="N471" s="30" t="s">
        <v>38</v>
      </c>
      <c r="O471" s="2" t="s">
        <v>39</v>
      </c>
    </row>
    <row r="472" spans="1:15">
      <c r="A472" s="71">
        <v>2023</v>
      </c>
      <c r="B472" s="16" t="s">
        <v>696</v>
      </c>
      <c r="C472" s="71" t="s">
        <v>804</v>
      </c>
      <c r="D472" s="2" t="s">
        <v>590</v>
      </c>
      <c r="E472" s="2" t="s">
        <v>806</v>
      </c>
      <c r="F472" s="9">
        <v>13</v>
      </c>
      <c r="G472" s="1" t="s">
        <v>19</v>
      </c>
      <c r="H472" s="8">
        <v>15000</v>
      </c>
      <c r="I472" s="8">
        <f t="shared" si="28"/>
        <v>195000</v>
      </c>
      <c r="J472" s="540">
        <v>14000</v>
      </c>
      <c r="K472" s="521">
        <f t="shared" si="29"/>
        <v>1000</v>
      </c>
      <c r="L472" s="522">
        <f t="shared" si="30"/>
        <v>13000</v>
      </c>
      <c r="M472" s="523">
        <f t="shared" si="31"/>
        <v>6.6666666666666666E-2</v>
      </c>
      <c r="N472" s="30" t="s">
        <v>38</v>
      </c>
      <c r="O472" s="2" t="s">
        <v>39</v>
      </c>
    </row>
    <row r="473" spans="1:15">
      <c r="A473" s="71">
        <v>2023</v>
      </c>
      <c r="B473" s="16" t="s">
        <v>696</v>
      </c>
      <c r="C473" s="71" t="s">
        <v>804</v>
      </c>
      <c r="D473" s="2" t="s">
        <v>590</v>
      </c>
      <c r="E473" s="15" t="s">
        <v>807</v>
      </c>
      <c r="F473" s="9">
        <v>8</v>
      </c>
      <c r="G473" s="1" t="s">
        <v>19</v>
      </c>
      <c r="H473" s="8">
        <v>5500</v>
      </c>
      <c r="I473" s="8">
        <f t="shared" si="28"/>
        <v>44000</v>
      </c>
      <c r="J473" s="540">
        <v>5000</v>
      </c>
      <c r="K473" s="521">
        <f t="shared" si="29"/>
        <v>500</v>
      </c>
      <c r="L473" s="522">
        <f t="shared" si="30"/>
        <v>4000</v>
      </c>
      <c r="M473" s="523">
        <f t="shared" si="31"/>
        <v>9.0909090909090912E-2</v>
      </c>
      <c r="N473" s="30" t="s">
        <v>38</v>
      </c>
      <c r="O473" s="2" t="s">
        <v>39</v>
      </c>
    </row>
    <row r="474" spans="1:15">
      <c r="A474" s="71">
        <v>2023</v>
      </c>
      <c r="B474" s="16" t="s">
        <v>696</v>
      </c>
      <c r="C474" s="71" t="s">
        <v>804</v>
      </c>
      <c r="D474" s="2" t="s">
        <v>590</v>
      </c>
      <c r="E474" s="2" t="s">
        <v>808</v>
      </c>
      <c r="F474" s="9">
        <v>10</v>
      </c>
      <c r="G474" s="1" t="s">
        <v>19</v>
      </c>
      <c r="H474" s="8">
        <v>25700</v>
      </c>
      <c r="I474" s="8">
        <f t="shared" si="28"/>
        <v>257000</v>
      </c>
      <c r="J474" s="540">
        <v>25000</v>
      </c>
      <c r="K474" s="521">
        <f t="shared" si="29"/>
        <v>700</v>
      </c>
      <c r="L474" s="522">
        <f t="shared" si="30"/>
        <v>7000</v>
      </c>
      <c r="M474" s="523">
        <f t="shared" si="31"/>
        <v>2.7237354085603113E-2</v>
      </c>
      <c r="N474" s="30" t="s">
        <v>38</v>
      </c>
      <c r="O474" s="2" t="s">
        <v>39</v>
      </c>
    </row>
    <row r="475" spans="1:15">
      <c r="A475" s="71">
        <v>2023</v>
      </c>
      <c r="B475" s="16" t="s">
        <v>696</v>
      </c>
      <c r="C475" s="71" t="s">
        <v>809</v>
      </c>
      <c r="D475" s="2" t="s">
        <v>530</v>
      </c>
      <c r="E475" s="2" t="s">
        <v>810</v>
      </c>
      <c r="F475" s="9">
        <v>1</v>
      </c>
      <c r="G475" s="1" t="s">
        <v>59</v>
      </c>
      <c r="H475" s="8">
        <v>6000</v>
      </c>
      <c r="I475" s="8">
        <f t="shared" si="28"/>
        <v>6000</v>
      </c>
      <c r="J475" s="540">
        <v>4000</v>
      </c>
      <c r="K475" s="521">
        <f t="shared" si="29"/>
        <v>2000</v>
      </c>
      <c r="L475" s="522">
        <f t="shared" si="30"/>
        <v>2000</v>
      </c>
      <c r="M475" s="523">
        <f t="shared" si="31"/>
        <v>0.33333333333333331</v>
      </c>
      <c r="N475" s="30" t="s">
        <v>38</v>
      </c>
      <c r="O475" s="2" t="s">
        <v>21</v>
      </c>
    </row>
    <row r="476" spans="1:15">
      <c r="A476" s="71">
        <v>2023</v>
      </c>
      <c r="B476" s="16" t="s">
        <v>696</v>
      </c>
      <c r="C476" s="71" t="s">
        <v>811</v>
      </c>
      <c r="D476" s="2" t="s">
        <v>586</v>
      </c>
      <c r="E476" s="15" t="s">
        <v>515</v>
      </c>
      <c r="F476" s="9">
        <v>450</v>
      </c>
      <c r="G476" s="1" t="s">
        <v>37</v>
      </c>
      <c r="H476" s="8">
        <v>69</v>
      </c>
      <c r="I476" s="8">
        <f t="shared" si="28"/>
        <v>31050</v>
      </c>
      <c r="J476" s="540">
        <v>67</v>
      </c>
      <c r="K476" s="521">
        <f t="shared" si="29"/>
        <v>2</v>
      </c>
      <c r="L476" s="522">
        <f t="shared" si="30"/>
        <v>900</v>
      </c>
      <c r="M476" s="523">
        <f t="shared" si="31"/>
        <v>2.8985507246376812E-2</v>
      </c>
      <c r="N476" s="30" t="s">
        <v>22</v>
      </c>
      <c r="O476" s="2" t="s">
        <v>21</v>
      </c>
    </row>
    <row r="477" spans="1:15">
      <c r="A477" s="71">
        <v>2023</v>
      </c>
      <c r="B477" s="16" t="s">
        <v>1</v>
      </c>
      <c r="C477" s="71" t="s">
        <v>812</v>
      </c>
      <c r="D477" s="2" t="s">
        <v>192</v>
      </c>
      <c r="E477" s="2" t="s">
        <v>813</v>
      </c>
      <c r="F477" s="9">
        <v>120000</v>
      </c>
      <c r="G477" s="1" t="s">
        <v>37</v>
      </c>
      <c r="H477" s="8">
        <v>69.900000000000006</v>
      </c>
      <c r="I477" s="8">
        <f t="shared" si="28"/>
        <v>8388000.0000000009</v>
      </c>
      <c r="J477" s="524">
        <v>68.5</v>
      </c>
      <c r="K477" s="521">
        <f t="shared" si="29"/>
        <v>1.4000000000000057</v>
      </c>
      <c r="L477" s="522">
        <f t="shared" si="30"/>
        <v>168000.00000000067</v>
      </c>
      <c r="M477" s="523">
        <f t="shared" si="31"/>
        <v>2.0028612303290495E-2</v>
      </c>
      <c r="N477" s="30" t="s">
        <v>22</v>
      </c>
      <c r="O477" s="2" t="s">
        <v>39</v>
      </c>
    </row>
    <row r="478" spans="1:15">
      <c r="A478" s="71">
        <v>2023</v>
      </c>
      <c r="B478" s="16" t="s">
        <v>1</v>
      </c>
      <c r="C478" s="71" t="s">
        <v>814</v>
      </c>
      <c r="D478" s="2" t="s">
        <v>35</v>
      </c>
      <c r="E478" s="2" t="s">
        <v>711</v>
      </c>
      <c r="F478" s="9">
        <v>4308</v>
      </c>
      <c r="G478" s="1" t="s">
        <v>37</v>
      </c>
      <c r="H478" s="8">
        <v>357</v>
      </c>
      <c r="I478" s="8">
        <f t="shared" si="28"/>
        <v>1537956</v>
      </c>
      <c r="J478" s="524">
        <v>356</v>
      </c>
      <c r="K478" s="521">
        <f t="shared" si="29"/>
        <v>1</v>
      </c>
      <c r="L478" s="522">
        <f t="shared" si="30"/>
        <v>4308</v>
      </c>
      <c r="M478" s="523">
        <f t="shared" si="31"/>
        <v>2.8011204481792717E-3</v>
      </c>
      <c r="N478" s="30" t="s">
        <v>38</v>
      </c>
      <c r="O478" s="2" t="s">
        <v>105</v>
      </c>
    </row>
    <row r="479" spans="1:15">
      <c r="A479" s="71">
        <v>2023</v>
      </c>
      <c r="B479" s="16" t="s">
        <v>1</v>
      </c>
      <c r="C479" s="71" t="s">
        <v>815</v>
      </c>
      <c r="D479" s="2" t="s">
        <v>633</v>
      </c>
      <c r="E479" s="2" t="s">
        <v>816</v>
      </c>
      <c r="F479" s="9">
        <v>12</v>
      </c>
      <c r="G479" s="1" t="s">
        <v>588</v>
      </c>
      <c r="H479" s="8">
        <v>2625</v>
      </c>
      <c r="I479" s="8">
        <f t="shared" si="28"/>
        <v>31500</v>
      </c>
      <c r="J479" s="540">
        <v>2550</v>
      </c>
      <c r="K479" s="521">
        <f t="shared" si="29"/>
        <v>75</v>
      </c>
      <c r="L479" s="522">
        <f t="shared" si="30"/>
        <v>900</v>
      </c>
      <c r="M479" s="523">
        <f t="shared" si="31"/>
        <v>2.8571428571428571E-2</v>
      </c>
      <c r="N479" s="30" t="s">
        <v>22</v>
      </c>
      <c r="O479" s="2" t="s">
        <v>105</v>
      </c>
    </row>
    <row r="480" spans="1:15">
      <c r="A480" s="71">
        <v>2023</v>
      </c>
      <c r="B480" s="16" t="s">
        <v>1</v>
      </c>
      <c r="C480" s="71" t="s">
        <v>817</v>
      </c>
      <c r="D480" s="2" t="s">
        <v>118</v>
      </c>
      <c r="E480" s="2" t="s">
        <v>818</v>
      </c>
      <c r="F480" s="9">
        <v>1</v>
      </c>
      <c r="G480" s="1" t="s">
        <v>588</v>
      </c>
      <c r="H480" s="8">
        <v>650</v>
      </c>
      <c r="I480" s="8">
        <f t="shared" si="28"/>
        <v>650</v>
      </c>
      <c r="J480" s="540">
        <v>600</v>
      </c>
      <c r="K480" s="521">
        <f t="shared" si="29"/>
        <v>50</v>
      </c>
      <c r="L480" s="522">
        <f t="shared" si="30"/>
        <v>50</v>
      </c>
      <c r="M480" s="523">
        <f t="shared" si="31"/>
        <v>7.6923076923076927E-2</v>
      </c>
      <c r="N480" s="30" t="s">
        <v>22</v>
      </c>
      <c r="O480" s="2" t="s">
        <v>21</v>
      </c>
    </row>
    <row r="481" spans="1:15">
      <c r="A481" s="71">
        <v>2023</v>
      </c>
      <c r="B481" s="16" t="s">
        <v>1</v>
      </c>
      <c r="C481" s="71" t="s">
        <v>817</v>
      </c>
      <c r="D481" s="2" t="s">
        <v>118</v>
      </c>
      <c r="E481" s="2" t="s">
        <v>819</v>
      </c>
      <c r="F481" s="9">
        <v>1</v>
      </c>
      <c r="G481" s="1" t="s">
        <v>19</v>
      </c>
      <c r="H481" s="8">
        <v>780</v>
      </c>
      <c r="I481" s="8">
        <f t="shared" si="28"/>
        <v>780</v>
      </c>
      <c r="J481" s="540">
        <v>325</v>
      </c>
      <c r="K481" s="521">
        <f t="shared" si="29"/>
        <v>455</v>
      </c>
      <c r="L481" s="522">
        <f t="shared" si="30"/>
        <v>455</v>
      </c>
      <c r="M481" s="523">
        <f t="shared" si="31"/>
        <v>0.58333333333333337</v>
      </c>
      <c r="N481" s="30" t="s">
        <v>22</v>
      </c>
      <c r="O481" s="2" t="s">
        <v>21</v>
      </c>
    </row>
    <row r="482" spans="1:15">
      <c r="A482" s="71">
        <v>2023</v>
      </c>
      <c r="B482" s="16" t="s">
        <v>1</v>
      </c>
      <c r="C482" s="71" t="s">
        <v>817</v>
      </c>
      <c r="D482" s="2" t="s">
        <v>118</v>
      </c>
      <c r="E482" s="2" t="s">
        <v>820</v>
      </c>
      <c r="F482" s="9">
        <v>4</v>
      </c>
      <c r="G482" s="1" t="s">
        <v>19</v>
      </c>
      <c r="H482" s="8">
        <v>180</v>
      </c>
      <c r="I482" s="8">
        <f t="shared" si="28"/>
        <v>720</v>
      </c>
      <c r="J482" s="540">
        <v>65</v>
      </c>
      <c r="K482" s="521">
        <f t="shared" si="29"/>
        <v>115</v>
      </c>
      <c r="L482" s="522">
        <f t="shared" si="30"/>
        <v>460</v>
      </c>
      <c r="M482" s="523">
        <f t="shared" si="31"/>
        <v>0.63888888888888884</v>
      </c>
      <c r="N482" s="30" t="s">
        <v>22</v>
      </c>
      <c r="O482" s="2" t="s">
        <v>21</v>
      </c>
    </row>
    <row r="483" spans="1:15">
      <c r="A483" s="71">
        <v>2023</v>
      </c>
      <c r="B483" s="16" t="s">
        <v>1</v>
      </c>
      <c r="C483" s="71" t="s">
        <v>817</v>
      </c>
      <c r="D483" s="2" t="s">
        <v>118</v>
      </c>
      <c r="E483" s="2" t="s">
        <v>821</v>
      </c>
      <c r="F483" s="9">
        <v>4</v>
      </c>
      <c r="G483" s="1" t="s">
        <v>19</v>
      </c>
      <c r="H483" s="8">
        <v>280</v>
      </c>
      <c r="I483" s="8">
        <f t="shared" si="28"/>
        <v>1120</v>
      </c>
      <c r="J483" s="540">
        <v>98</v>
      </c>
      <c r="K483" s="521">
        <f t="shared" si="29"/>
        <v>182</v>
      </c>
      <c r="L483" s="522">
        <f t="shared" si="30"/>
        <v>728</v>
      </c>
      <c r="M483" s="523">
        <f t="shared" si="31"/>
        <v>0.65</v>
      </c>
      <c r="N483" s="30" t="s">
        <v>22</v>
      </c>
      <c r="O483" s="2" t="s">
        <v>21</v>
      </c>
    </row>
    <row r="484" spans="1:15">
      <c r="A484" s="71">
        <v>2023</v>
      </c>
      <c r="B484" s="16" t="s">
        <v>1</v>
      </c>
      <c r="C484" s="71" t="s">
        <v>817</v>
      </c>
      <c r="D484" s="2" t="s">
        <v>118</v>
      </c>
      <c r="E484" s="2" t="s">
        <v>822</v>
      </c>
      <c r="F484" s="9">
        <v>2</v>
      </c>
      <c r="G484" s="1" t="s">
        <v>19</v>
      </c>
      <c r="H484" s="8">
        <v>1990</v>
      </c>
      <c r="I484" s="8">
        <f t="shared" si="28"/>
        <v>3980</v>
      </c>
      <c r="J484" s="540">
        <v>1100</v>
      </c>
      <c r="K484" s="521">
        <f t="shared" si="29"/>
        <v>890</v>
      </c>
      <c r="L484" s="522">
        <f t="shared" si="30"/>
        <v>1780</v>
      </c>
      <c r="M484" s="523">
        <f t="shared" si="31"/>
        <v>0.44723618090452261</v>
      </c>
      <c r="N484" s="30" t="s">
        <v>22</v>
      </c>
      <c r="O484" s="2" t="s">
        <v>21</v>
      </c>
    </row>
    <row r="485" spans="1:15">
      <c r="A485" s="71">
        <v>2023</v>
      </c>
      <c r="B485" s="16" t="s">
        <v>1</v>
      </c>
      <c r="C485" s="71" t="s">
        <v>823</v>
      </c>
      <c r="D485" s="2" t="s">
        <v>118</v>
      </c>
      <c r="E485" s="2" t="s">
        <v>824</v>
      </c>
      <c r="F485" s="9">
        <v>1</v>
      </c>
      <c r="G485" s="1" t="s">
        <v>19</v>
      </c>
      <c r="H485" s="8">
        <v>8482</v>
      </c>
      <c r="I485" s="8">
        <f t="shared" si="28"/>
        <v>8482</v>
      </c>
      <c r="J485" s="540">
        <v>6361.5</v>
      </c>
      <c r="K485" s="521">
        <f t="shared" si="29"/>
        <v>2120.5</v>
      </c>
      <c r="L485" s="522">
        <f t="shared" si="30"/>
        <v>2120.5</v>
      </c>
      <c r="M485" s="523">
        <f t="shared" si="31"/>
        <v>0.25</v>
      </c>
      <c r="N485" s="30" t="s">
        <v>22</v>
      </c>
      <c r="O485" s="2" t="s">
        <v>21</v>
      </c>
    </row>
    <row r="486" spans="1:15">
      <c r="A486" s="71">
        <v>2023</v>
      </c>
      <c r="B486" s="16" t="s">
        <v>1</v>
      </c>
      <c r="C486" s="71" t="s">
        <v>823</v>
      </c>
      <c r="D486" s="2" t="s">
        <v>118</v>
      </c>
      <c r="E486" s="2" t="s">
        <v>825</v>
      </c>
      <c r="F486" s="9">
        <v>1</v>
      </c>
      <c r="G486" s="1" t="s">
        <v>19</v>
      </c>
      <c r="H486" s="8">
        <v>7000</v>
      </c>
      <c r="I486" s="8">
        <f t="shared" si="28"/>
        <v>7000</v>
      </c>
      <c r="J486" s="540">
        <v>6562</v>
      </c>
      <c r="K486" s="521">
        <f t="shared" si="29"/>
        <v>438</v>
      </c>
      <c r="L486" s="522">
        <f t="shared" si="30"/>
        <v>438</v>
      </c>
      <c r="M486" s="523">
        <f t="shared" si="31"/>
        <v>6.257142857142857E-2</v>
      </c>
      <c r="N486" s="30" t="s">
        <v>22</v>
      </c>
      <c r="O486" s="2" t="s">
        <v>21</v>
      </c>
    </row>
    <row r="487" spans="1:15">
      <c r="A487" s="71">
        <v>2023</v>
      </c>
      <c r="B487" s="16" t="s">
        <v>1</v>
      </c>
      <c r="C487" s="71" t="s">
        <v>823</v>
      </c>
      <c r="D487" s="2" t="s">
        <v>118</v>
      </c>
      <c r="E487" s="2" t="s">
        <v>826</v>
      </c>
      <c r="F487" s="9">
        <v>1</v>
      </c>
      <c r="G487" s="1" t="s">
        <v>19</v>
      </c>
      <c r="H487" s="8">
        <v>5239</v>
      </c>
      <c r="I487" s="8">
        <f t="shared" si="28"/>
        <v>5239</v>
      </c>
      <c r="J487" s="540">
        <v>3929.25</v>
      </c>
      <c r="K487" s="521">
        <f t="shared" si="29"/>
        <v>1309.75</v>
      </c>
      <c r="L487" s="522">
        <f t="shared" si="30"/>
        <v>1309.75</v>
      </c>
      <c r="M487" s="523">
        <f t="shared" si="31"/>
        <v>0.25</v>
      </c>
      <c r="N487" s="30" t="s">
        <v>22</v>
      </c>
      <c r="O487" s="2" t="s">
        <v>21</v>
      </c>
    </row>
    <row r="488" spans="1:15">
      <c r="A488" s="71">
        <v>2023</v>
      </c>
      <c r="B488" s="16" t="s">
        <v>1</v>
      </c>
      <c r="C488" s="71" t="s">
        <v>827</v>
      </c>
      <c r="D488" s="2" t="s">
        <v>828</v>
      </c>
      <c r="E488" s="2" t="s">
        <v>829</v>
      </c>
      <c r="F488" s="9">
        <v>1</v>
      </c>
      <c r="G488" s="1" t="s">
        <v>19</v>
      </c>
      <c r="H488" s="8">
        <v>11265</v>
      </c>
      <c r="I488" s="8">
        <f t="shared" si="28"/>
        <v>11265</v>
      </c>
      <c r="J488" s="540">
        <v>8668.75</v>
      </c>
      <c r="K488" s="521">
        <f t="shared" si="29"/>
        <v>2596.25</v>
      </c>
      <c r="L488" s="522">
        <f t="shared" si="30"/>
        <v>2596.25</v>
      </c>
      <c r="M488" s="523">
        <f t="shared" si="31"/>
        <v>0.23047048379937859</v>
      </c>
      <c r="N488" s="30" t="s">
        <v>22</v>
      </c>
      <c r="O488" s="2" t="s">
        <v>21</v>
      </c>
    </row>
    <row r="489" spans="1:15">
      <c r="A489" s="71">
        <v>2023</v>
      </c>
      <c r="B489" s="16" t="s">
        <v>1</v>
      </c>
      <c r="C489" s="71" t="s">
        <v>827</v>
      </c>
      <c r="D489" s="2" t="s">
        <v>828</v>
      </c>
      <c r="E489" s="2" t="s">
        <v>830</v>
      </c>
      <c r="F489" s="9">
        <v>1</v>
      </c>
      <c r="G489" s="1" t="s">
        <v>19</v>
      </c>
      <c r="H489" s="8">
        <v>56500</v>
      </c>
      <c r="I489" s="8">
        <f t="shared" si="28"/>
        <v>56500</v>
      </c>
      <c r="J489" s="540">
        <v>44650</v>
      </c>
      <c r="K489" s="521">
        <f t="shared" si="29"/>
        <v>11850</v>
      </c>
      <c r="L489" s="522">
        <f t="shared" si="30"/>
        <v>11850</v>
      </c>
      <c r="M489" s="523">
        <f t="shared" si="31"/>
        <v>0.20973451327433629</v>
      </c>
      <c r="N489" s="30" t="s">
        <v>22</v>
      </c>
      <c r="O489" s="2" t="s">
        <v>21</v>
      </c>
    </row>
    <row r="490" spans="1:15">
      <c r="A490" s="71">
        <v>2023</v>
      </c>
      <c r="B490" s="16" t="s">
        <v>1</v>
      </c>
      <c r="C490" s="71" t="s">
        <v>831</v>
      </c>
      <c r="D490" s="2" t="s">
        <v>128</v>
      </c>
      <c r="E490" s="2" t="s">
        <v>326</v>
      </c>
      <c r="F490" s="9">
        <v>1</v>
      </c>
      <c r="G490" s="1" t="s">
        <v>19</v>
      </c>
      <c r="H490" s="8">
        <v>19500</v>
      </c>
      <c r="I490" s="8">
        <f t="shared" si="28"/>
        <v>19500</v>
      </c>
      <c r="J490" s="540">
        <v>17550</v>
      </c>
      <c r="K490" s="521">
        <f t="shared" si="29"/>
        <v>1950</v>
      </c>
      <c r="L490" s="522">
        <f t="shared" si="30"/>
        <v>1950</v>
      </c>
      <c r="M490" s="523">
        <f t="shared" si="31"/>
        <v>0.1</v>
      </c>
      <c r="N490" s="30" t="s">
        <v>38</v>
      </c>
      <c r="O490" s="2" t="s">
        <v>21</v>
      </c>
    </row>
    <row r="491" spans="1:15">
      <c r="A491" s="71">
        <v>2023</v>
      </c>
      <c r="B491" s="16" t="s">
        <v>1</v>
      </c>
      <c r="C491" s="71" t="s">
        <v>832</v>
      </c>
      <c r="D491" s="2" t="s">
        <v>314</v>
      </c>
      <c r="E491" s="2" t="s">
        <v>833</v>
      </c>
      <c r="F491" s="9">
        <v>1</v>
      </c>
      <c r="G491" s="1" t="s">
        <v>19</v>
      </c>
      <c r="H491" s="8">
        <v>49500</v>
      </c>
      <c r="I491" s="8">
        <f t="shared" si="28"/>
        <v>49500</v>
      </c>
      <c r="J491" s="540">
        <v>47500</v>
      </c>
      <c r="K491" s="521">
        <f t="shared" si="29"/>
        <v>2000</v>
      </c>
      <c r="L491" s="522">
        <f t="shared" si="30"/>
        <v>2000</v>
      </c>
      <c r="M491" s="523">
        <f t="shared" si="31"/>
        <v>4.0404040404040407E-2</v>
      </c>
      <c r="N491" s="30" t="s">
        <v>38</v>
      </c>
      <c r="O491" s="2" t="s">
        <v>21</v>
      </c>
    </row>
    <row r="492" spans="1:15">
      <c r="A492" s="71">
        <v>2023</v>
      </c>
      <c r="B492" s="16" t="s">
        <v>1</v>
      </c>
      <c r="C492" s="71" t="s">
        <v>834</v>
      </c>
      <c r="D492" s="2" t="s">
        <v>311</v>
      </c>
      <c r="E492" s="2" t="s">
        <v>835</v>
      </c>
      <c r="F492" s="9">
        <v>4</v>
      </c>
      <c r="G492" s="1" t="s">
        <v>19</v>
      </c>
      <c r="H492" s="8">
        <v>25500</v>
      </c>
      <c r="I492" s="8">
        <f t="shared" si="28"/>
        <v>102000</v>
      </c>
      <c r="J492" s="540">
        <v>24800</v>
      </c>
      <c r="K492" s="521">
        <f t="shared" si="29"/>
        <v>700</v>
      </c>
      <c r="L492" s="522">
        <f t="shared" si="30"/>
        <v>2800</v>
      </c>
      <c r="M492" s="523">
        <f t="shared" si="31"/>
        <v>2.7450980392156862E-2</v>
      </c>
      <c r="N492" s="30" t="s">
        <v>38</v>
      </c>
      <c r="O492" s="2" t="s">
        <v>21</v>
      </c>
    </row>
    <row r="493" spans="1:15">
      <c r="A493" s="71">
        <v>2023</v>
      </c>
      <c r="B493" s="16" t="s">
        <v>1</v>
      </c>
      <c r="C493" s="71" t="s">
        <v>834</v>
      </c>
      <c r="D493" s="2" t="s">
        <v>311</v>
      </c>
      <c r="E493" s="2" t="s">
        <v>836</v>
      </c>
      <c r="F493" s="9">
        <v>8</v>
      </c>
      <c r="G493" s="1" t="s">
        <v>19</v>
      </c>
      <c r="H493" s="8">
        <v>4200</v>
      </c>
      <c r="I493" s="8">
        <f t="shared" si="28"/>
        <v>33600</v>
      </c>
      <c r="J493" s="540">
        <v>3800</v>
      </c>
      <c r="K493" s="521">
        <f t="shared" si="29"/>
        <v>400</v>
      </c>
      <c r="L493" s="522">
        <f t="shared" si="30"/>
        <v>3200</v>
      </c>
      <c r="M493" s="523">
        <f t="shared" si="31"/>
        <v>9.5238095238095233E-2</v>
      </c>
      <c r="N493" s="30" t="s">
        <v>38</v>
      </c>
      <c r="O493" s="2" t="s">
        <v>21</v>
      </c>
    </row>
    <row r="494" spans="1:15">
      <c r="A494" s="71">
        <v>2023</v>
      </c>
      <c r="B494" s="16" t="s">
        <v>1</v>
      </c>
      <c r="C494" s="71" t="s">
        <v>837</v>
      </c>
      <c r="D494" s="2" t="s">
        <v>78</v>
      </c>
      <c r="E494" s="2" t="s">
        <v>838</v>
      </c>
      <c r="F494" s="9">
        <v>2000</v>
      </c>
      <c r="G494" s="1" t="s">
        <v>19</v>
      </c>
      <c r="H494" s="8">
        <v>3</v>
      </c>
      <c r="I494" s="8">
        <f t="shared" si="28"/>
        <v>6000</v>
      </c>
      <c r="J494" s="540">
        <v>2.8</v>
      </c>
      <c r="K494" s="521">
        <f t="shared" si="29"/>
        <v>0.20000000000000018</v>
      </c>
      <c r="L494" s="522">
        <f t="shared" si="30"/>
        <v>400.00000000000034</v>
      </c>
      <c r="M494" s="523">
        <f t="shared" si="31"/>
        <v>6.6666666666666721E-2</v>
      </c>
      <c r="N494" s="30" t="s">
        <v>38</v>
      </c>
      <c r="O494" s="2" t="s">
        <v>21</v>
      </c>
    </row>
    <row r="495" spans="1:15">
      <c r="A495" s="71">
        <v>2023</v>
      </c>
      <c r="B495" s="16" t="s">
        <v>1</v>
      </c>
      <c r="C495" s="71" t="s">
        <v>839</v>
      </c>
      <c r="D495" s="2" t="s">
        <v>260</v>
      </c>
      <c r="E495" s="2" t="s">
        <v>840</v>
      </c>
      <c r="F495" s="9">
        <v>1</v>
      </c>
      <c r="G495" s="1" t="s">
        <v>19</v>
      </c>
      <c r="H495" s="8">
        <v>544626</v>
      </c>
      <c r="I495" s="8">
        <f t="shared" si="28"/>
        <v>544626</v>
      </c>
      <c r="J495" s="540">
        <v>413915.76</v>
      </c>
      <c r="K495" s="521">
        <f t="shared" si="29"/>
        <v>130710.23999999999</v>
      </c>
      <c r="L495" s="522">
        <f t="shared" si="30"/>
        <v>130710.23999999999</v>
      </c>
      <c r="M495" s="523">
        <f t="shared" si="31"/>
        <v>0.24</v>
      </c>
      <c r="N495" s="30" t="s">
        <v>22</v>
      </c>
      <c r="O495" s="2" t="s">
        <v>21</v>
      </c>
    </row>
    <row r="496" spans="1:15">
      <c r="A496" s="71">
        <v>2023</v>
      </c>
      <c r="B496" s="16" t="s">
        <v>1</v>
      </c>
      <c r="C496" s="71" t="s">
        <v>839</v>
      </c>
      <c r="D496" s="2" t="s">
        <v>260</v>
      </c>
      <c r="E496" s="2" t="s">
        <v>841</v>
      </c>
      <c r="F496" s="9">
        <v>1</v>
      </c>
      <c r="G496" s="1" t="s">
        <v>19</v>
      </c>
      <c r="H496" s="8">
        <v>16651</v>
      </c>
      <c r="I496" s="8">
        <f t="shared" si="28"/>
        <v>16651</v>
      </c>
      <c r="J496" s="540">
        <v>12821.27</v>
      </c>
      <c r="K496" s="521">
        <f t="shared" si="29"/>
        <v>3829.7299999999996</v>
      </c>
      <c r="L496" s="522">
        <f t="shared" si="30"/>
        <v>3829.7299999999996</v>
      </c>
      <c r="M496" s="523">
        <f t="shared" si="31"/>
        <v>0.22999999999999998</v>
      </c>
      <c r="N496" s="30" t="s">
        <v>22</v>
      </c>
      <c r="O496" s="2" t="s">
        <v>21</v>
      </c>
    </row>
    <row r="497" spans="1:15">
      <c r="A497" s="71">
        <v>2023</v>
      </c>
      <c r="B497" s="16" t="s">
        <v>1</v>
      </c>
      <c r="C497" s="71" t="s">
        <v>842</v>
      </c>
      <c r="D497" s="2" t="s">
        <v>329</v>
      </c>
      <c r="E497" s="2" t="s">
        <v>843</v>
      </c>
      <c r="F497" s="9">
        <v>72</v>
      </c>
      <c r="G497" s="1" t="s">
        <v>19</v>
      </c>
      <c r="H497" s="8">
        <v>480</v>
      </c>
      <c r="I497" s="8">
        <f t="shared" si="28"/>
        <v>34560</v>
      </c>
      <c r="J497" s="540">
        <v>400</v>
      </c>
      <c r="K497" s="521">
        <f t="shared" si="29"/>
        <v>80</v>
      </c>
      <c r="L497" s="522">
        <f t="shared" si="30"/>
        <v>5760</v>
      </c>
      <c r="M497" s="523">
        <f t="shared" si="31"/>
        <v>0.16666666666666666</v>
      </c>
      <c r="N497" s="30" t="s">
        <v>22</v>
      </c>
      <c r="O497" s="2" t="s">
        <v>21</v>
      </c>
    </row>
    <row r="498" spans="1:15">
      <c r="A498" s="71">
        <v>2023</v>
      </c>
      <c r="B498" s="16" t="s">
        <v>1</v>
      </c>
      <c r="C498" s="71" t="s">
        <v>844</v>
      </c>
      <c r="D498" s="2" t="s">
        <v>17</v>
      </c>
      <c r="E498" s="2" t="s">
        <v>845</v>
      </c>
      <c r="F498" s="9">
        <v>500</v>
      </c>
      <c r="G498" s="1" t="s">
        <v>19</v>
      </c>
      <c r="H498" s="8">
        <v>11.25</v>
      </c>
      <c r="I498" s="8">
        <f t="shared" si="28"/>
        <v>5625</v>
      </c>
      <c r="J498" s="540">
        <v>4.5</v>
      </c>
      <c r="K498" s="521">
        <f t="shared" si="29"/>
        <v>6.75</v>
      </c>
      <c r="L498" s="522">
        <f t="shared" si="30"/>
        <v>3375</v>
      </c>
      <c r="M498" s="523">
        <f t="shared" si="31"/>
        <v>0.6</v>
      </c>
      <c r="N498" s="30" t="s">
        <v>22</v>
      </c>
      <c r="O498" s="2" t="s">
        <v>21</v>
      </c>
    </row>
    <row r="499" spans="1:15">
      <c r="A499" s="71">
        <v>2023</v>
      </c>
      <c r="B499" s="16" t="s">
        <v>1</v>
      </c>
      <c r="C499" s="71" t="s">
        <v>846</v>
      </c>
      <c r="D499" s="2" t="s">
        <v>518</v>
      </c>
      <c r="E499" s="14" t="s">
        <v>847</v>
      </c>
      <c r="F499" s="9">
        <v>1</v>
      </c>
      <c r="G499" s="1" t="s">
        <v>19</v>
      </c>
      <c r="H499" s="8">
        <v>141000</v>
      </c>
      <c r="I499" s="8">
        <f t="shared" si="28"/>
        <v>141000</v>
      </c>
      <c r="J499" s="540">
        <v>112800</v>
      </c>
      <c r="K499" s="521">
        <f t="shared" si="29"/>
        <v>28200</v>
      </c>
      <c r="L499" s="522">
        <f t="shared" si="30"/>
        <v>28200</v>
      </c>
      <c r="M499" s="523">
        <f t="shared" si="31"/>
        <v>0.2</v>
      </c>
      <c r="N499" s="30" t="s">
        <v>22</v>
      </c>
      <c r="O499" s="2" t="s">
        <v>21</v>
      </c>
    </row>
    <row r="500" spans="1:15">
      <c r="A500" s="71">
        <v>2023</v>
      </c>
      <c r="B500" s="16" t="s">
        <v>1</v>
      </c>
      <c r="C500" s="71" t="s">
        <v>848</v>
      </c>
      <c r="D500" s="2" t="s">
        <v>125</v>
      </c>
      <c r="E500" s="2" t="s">
        <v>849</v>
      </c>
      <c r="F500" s="9">
        <v>1</v>
      </c>
      <c r="G500" s="1" t="s">
        <v>569</v>
      </c>
      <c r="H500" s="8">
        <v>255300</v>
      </c>
      <c r="I500" s="8">
        <f t="shared" si="28"/>
        <v>255300</v>
      </c>
      <c r="J500" s="540">
        <v>220000</v>
      </c>
      <c r="K500" s="521">
        <f t="shared" si="29"/>
        <v>35300</v>
      </c>
      <c r="L500" s="522">
        <f t="shared" si="30"/>
        <v>35300</v>
      </c>
      <c r="M500" s="523">
        <f t="shared" si="31"/>
        <v>0.1382687034860948</v>
      </c>
      <c r="N500" s="30" t="s">
        <v>22</v>
      </c>
      <c r="O500" s="2" t="s">
        <v>21</v>
      </c>
    </row>
    <row r="501" spans="1:15">
      <c r="A501" s="71">
        <v>2023</v>
      </c>
      <c r="B501" s="16" t="s">
        <v>1</v>
      </c>
      <c r="C501" s="71" t="s">
        <v>850</v>
      </c>
      <c r="D501" s="2" t="s">
        <v>323</v>
      </c>
      <c r="E501" s="2" t="s">
        <v>324</v>
      </c>
      <c r="F501" s="9">
        <v>48</v>
      </c>
      <c r="G501" s="1" t="s">
        <v>851</v>
      </c>
      <c r="H501" s="8">
        <v>425</v>
      </c>
      <c r="I501" s="8">
        <f t="shared" si="28"/>
        <v>20400</v>
      </c>
      <c r="J501" s="540">
        <v>400</v>
      </c>
      <c r="K501" s="521">
        <f t="shared" si="29"/>
        <v>25</v>
      </c>
      <c r="L501" s="522">
        <f t="shared" si="30"/>
        <v>1200</v>
      </c>
      <c r="M501" s="523">
        <f t="shared" si="31"/>
        <v>5.8823529411764705E-2</v>
      </c>
      <c r="N501" s="30" t="s">
        <v>22</v>
      </c>
      <c r="O501" s="2" t="s">
        <v>21</v>
      </c>
    </row>
    <row r="502" spans="1:15">
      <c r="A502" s="71">
        <v>2023</v>
      </c>
      <c r="B502" s="16" t="s">
        <v>1</v>
      </c>
      <c r="C502" s="71" t="s">
        <v>852</v>
      </c>
      <c r="D502" s="2" t="s">
        <v>586</v>
      </c>
      <c r="E502" s="2" t="s">
        <v>853</v>
      </c>
      <c r="F502" s="9">
        <v>900</v>
      </c>
      <c r="G502" s="1" t="s">
        <v>37</v>
      </c>
      <c r="H502" s="8">
        <v>69</v>
      </c>
      <c r="I502" s="8">
        <f t="shared" si="28"/>
        <v>62100</v>
      </c>
      <c r="J502" s="540">
        <v>67</v>
      </c>
      <c r="K502" s="521">
        <f t="shared" si="29"/>
        <v>2</v>
      </c>
      <c r="L502" s="522">
        <f t="shared" si="30"/>
        <v>1800</v>
      </c>
      <c r="M502" s="523">
        <f t="shared" si="31"/>
        <v>2.8985507246376812E-2</v>
      </c>
      <c r="N502" s="30" t="s">
        <v>38</v>
      </c>
      <c r="O502" s="2" t="s">
        <v>21</v>
      </c>
    </row>
    <row r="503" spans="1:15">
      <c r="A503" s="71">
        <v>2023</v>
      </c>
      <c r="B503" s="16" t="s">
        <v>1</v>
      </c>
      <c r="C503" s="71" t="s">
        <v>854</v>
      </c>
      <c r="D503" s="2" t="s">
        <v>35</v>
      </c>
      <c r="E503" s="2" t="s">
        <v>216</v>
      </c>
      <c r="F503" s="9">
        <v>350</v>
      </c>
      <c r="G503" s="1" t="s">
        <v>37</v>
      </c>
      <c r="H503" s="8">
        <v>357</v>
      </c>
      <c r="I503" s="8">
        <f t="shared" si="28"/>
        <v>124950</v>
      </c>
      <c r="J503" s="540">
        <v>356</v>
      </c>
      <c r="K503" s="521">
        <f t="shared" si="29"/>
        <v>1</v>
      </c>
      <c r="L503" s="522">
        <f t="shared" si="30"/>
        <v>350</v>
      </c>
      <c r="M503" s="523">
        <f t="shared" si="31"/>
        <v>2.8011204481792717E-3</v>
      </c>
      <c r="N503" s="30" t="s">
        <v>38</v>
      </c>
      <c r="O503" s="2" t="s">
        <v>105</v>
      </c>
    </row>
    <row r="504" spans="1:15">
      <c r="A504" s="71">
        <v>2023</v>
      </c>
      <c r="B504" s="16" t="s">
        <v>1</v>
      </c>
      <c r="C504" s="71" t="s">
        <v>855</v>
      </c>
      <c r="D504" s="2" t="s">
        <v>35</v>
      </c>
      <c r="E504" s="2" t="s">
        <v>711</v>
      </c>
      <c r="F504" s="9">
        <v>2952</v>
      </c>
      <c r="G504" s="1" t="s">
        <v>37</v>
      </c>
      <c r="H504" s="8">
        <v>357</v>
      </c>
      <c r="I504" s="8">
        <f t="shared" si="28"/>
        <v>1053864</v>
      </c>
      <c r="J504" s="540">
        <v>356</v>
      </c>
      <c r="K504" s="521">
        <f t="shared" si="29"/>
        <v>1</v>
      </c>
      <c r="L504" s="522">
        <f t="shared" si="30"/>
        <v>2952</v>
      </c>
      <c r="M504" s="523">
        <f t="shared" si="31"/>
        <v>2.8011204481792717E-3</v>
      </c>
      <c r="N504" s="30" t="s">
        <v>38</v>
      </c>
      <c r="O504" s="2" t="s">
        <v>105</v>
      </c>
    </row>
    <row r="505" spans="1:15">
      <c r="A505" s="71">
        <v>2023</v>
      </c>
      <c r="B505" s="16" t="s">
        <v>1</v>
      </c>
      <c r="C505" s="71" t="s">
        <v>856</v>
      </c>
      <c r="D505" s="2" t="s">
        <v>94</v>
      </c>
      <c r="E505" s="2" t="s">
        <v>613</v>
      </c>
      <c r="F505" s="9">
        <v>100</v>
      </c>
      <c r="G505" s="1" t="s">
        <v>19</v>
      </c>
      <c r="H505" s="8">
        <v>25.5</v>
      </c>
      <c r="I505" s="8">
        <f t="shared" si="28"/>
        <v>2550</v>
      </c>
      <c r="J505" s="540">
        <v>24.6</v>
      </c>
      <c r="K505" s="521">
        <f t="shared" si="29"/>
        <v>0.89999999999999858</v>
      </c>
      <c r="L505" s="522">
        <f t="shared" si="30"/>
        <v>89.999999999999858</v>
      </c>
      <c r="M505" s="523">
        <f t="shared" si="31"/>
        <v>3.5294117647058768E-2</v>
      </c>
      <c r="N505" s="30" t="s">
        <v>38</v>
      </c>
      <c r="O505" s="2" t="s">
        <v>105</v>
      </c>
    </row>
    <row r="506" spans="1:15">
      <c r="A506" s="71">
        <v>2023</v>
      </c>
      <c r="B506" s="16" t="s">
        <v>1</v>
      </c>
      <c r="C506" s="71" t="s">
        <v>857</v>
      </c>
      <c r="D506" s="2" t="s">
        <v>858</v>
      </c>
      <c r="E506" s="2" t="s">
        <v>859</v>
      </c>
      <c r="F506" s="9">
        <v>2000</v>
      </c>
      <c r="G506" s="1" t="s">
        <v>337</v>
      </c>
      <c r="H506" s="8">
        <v>88</v>
      </c>
      <c r="I506" s="8">
        <f t="shared" si="28"/>
        <v>176000</v>
      </c>
      <c r="J506" s="540">
        <v>83</v>
      </c>
      <c r="K506" s="521">
        <f t="shared" si="29"/>
        <v>5</v>
      </c>
      <c r="L506" s="522">
        <f t="shared" si="30"/>
        <v>10000</v>
      </c>
      <c r="M506" s="523">
        <f t="shared" si="31"/>
        <v>5.6818181818181816E-2</v>
      </c>
      <c r="N506" s="30" t="s">
        <v>22</v>
      </c>
      <c r="O506" s="2" t="s">
        <v>39</v>
      </c>
    </row>
    <row r="507" spans="1:15">
      <c r="A507" s="71">
        <v>2023</v>
      </c>
      <c r="B507" s="16" t="s">
        <v>1</v>
      </c>
      <c r="C507" s="71" t="s">
        <v>860</v>
      </c>
      <c r="D507" s="2" t="s">
        <v>858</v>
      </c>
      <c r="E507" s="2" t="s">
        <v>859</v>
      </c>
      <c r="F507" s="9">
        <v>7000</v>
      </c>
      <c r="G507" s="1" t="s">
        <v>337</v>
      </c>
      <c r="H507" s="8">
        <v>88</v>
      </c>
      <c r="I507" s="8">
        <f t="shared" si="28"/>
        <v>616000</v>
      </c>
      <c r="J507" s="540">
        <v>83</v>
      </c>
      <c r="K507" s="521">
        <f t="shared" si="29"/>
        <v>5</v>
      </c>
      <c r="L507" s="522">
        <f t="shared" si="30"/>
        <v>35000</v>
      </c>
      <c r="M507" s="523">
        <f t="shared" si="31"/>
        <v>5.6818181818181816E-2</v>
      </c>
      <c r="N507" s="30" t="s">
        <v>22</v>
      </c>
      <c r="O507" s="2" t="s">
        <v>39</v>
      </c>
    </row>
    <row r="508" spans="1:15">
      <c r="A508" s="71">
        <v>2023</v>
      </c>
      <c r="B508" s="16" t="s">
        <v>1</v>
      </c>
      <c r="C508" s="71" t="s">
        <v>861</v>
      </c>
      <c r="D508" s="2" t="s">
        <v>94</v>
      </c>
      <c r="E508" s="2" t="s">
        <v>862</v>
      </c>
      <c r="F508" s="9">
        <v>100</v>
      </c>
      <c r="G508" s="1" t="s">
        <v>19</v>
      </c>
      <c r="H508" s="8">
        <v>52</v>
      </c>
      <c r="I508" s="8">
        <f t="shared" si="28"/>
        <v>5200</v>
      </c>
      <c r="J508" s="540">
        <v>49.2</v>
      </c>
      <c r="K508" s="521">
        <f t="shared" si="29"/>
        <v>2.7999999999999972</v>
      </c>
      <c r="L508" s="522">
        <f t="shared" si="30"/>
        <v>279.99999999999972</v>
      </c>
      <c r="M508" s="523">
        <f t="shared" si="31"/>
        <v>5.3846153846153794E-2</v>
      </c>
      <c r="N508" s="30" t="s">
        <v>22</v>
      </c>
      <c r="O508" s="2" t="s">
        <v>105</v>
      </c>
    </row>
    <row r="509" spans="1:15">
      <c r="A509" s="71">
        <v>2023</v>
      </c>
      <c r="B509" s="16" t="s">
        <v>1</v>
      </c>
      <c r="C509" s="71" t="s">
        <v>863</v>
      </c>
      <c r="D509" s="2" t="s">
        <v>398</v>
      </c>
      <c r="E509" s="2" t="s">
        <v>864</v>
      </c>
      <c r="F509" s="9">
        <v>1</v>
      </c>
      <c r="G509" s="1" t="s">
        <v>569</v>
      </c>
      <c r="H509" s="8">
        <v>728500</v>
      </c>
      <c r="I509" s="8">
        <f t="shared" si="28"/>
        <v>728500</v>
      </c>
      <c r="J509" s="540">
        <v>692100</v>
      </c>
      <c r="K509" s="521">
        <f t="shared" si="29"/>
        <v>36400</v>
      </c>
      <c r="L509" s="522">
        <f t="shared" si="30"/>
        <v>36400</v>
      </c>
      <c r="M509" s="523">
        <f t="shared" si="31"/>
        <v>4.9965682910089224E-2</v>
      </c>
      <c r="N509" s="30" t="s">
        <v>22</v>
      </c>
      <c r="O509" s="2" t="s">
        <v>21</v>
      </c>
    </row>
    <row r="510" spans="1:15">
      <c r="A510" s="71">
        <v>2023</v>
      </c>
      <c r="B510" s="16" t="s">
        <v>1</v>
      </c>
      <c r="C510" s="71" t="s">
        <v>865</v>
      </c>
      <c r="D510" s="2" t="s">
        <v>323</v>
      </c>
      <c r="E510" s="2" t="s">
        <v>866</v>
      </c>
      <c r="F510" s="9">
        <v>240</v>
      </c>
      <c r="G510" s="1" t="s">
        <v>851</v>
      </c>
      <c r="H510" s="8">
        <v>415</v>
      </c>
      <c r="I510" s="8">
        <f t="shared" si="28"/>
        <v>99600</v>
      </c>
      <c r="J510" s="540">
        <v>385</v>
      </c>
      <c r="K510" s="521">
        <f t="shared" si="29"/>
        <v>30</v>
      </c>
      <c r="L510" s="522">
        <f t="shared" si="30"/>
        <v>7200</v>
      </c>
      <c r="M510" s="523">
        <f t="shared" si="31"/>
        <v>7.2289156626506021E-2</v>
      </c>
      <c r="N510" s="30" t="s">
        <v>22</v>
      </c>
      <c r="O510" s="2" t="s">
        <v>21</v>
      </c>
    </row>
    <row r="511" spans="1:15">
      <c r="A511" s="71">
        <v>2023</v>
      </c>
      <c r="B511" s="16" t="s">
        <v>1</v>
      </c>
      <c r="C511" s="71" t="s">
        <v>867</v>
      </c>
      <c r="D511" s="2" t="s">
        <v>149</v>
      </c>
      <c r="E511" s="2" t="s">
        <v>868</v>
      </c>
      <c r="F511" s="9">
        <v>200</v>
      </c>
      <c r="G511" s="1" t="s">
        <v>869</v>
      </c>
      <c r="H511" s="8">
        <v>70.2</v>
      </c>
      <c r="I511" s="8">
        <f t="shared" si="28"/>
        <v>14040</v>
      </c>
      <c r="J511" s="540">
        <v>65</v>
      </c>
      <c r="K511" s="521">
        <f t="shared" si="29"/>
        <v>5.2000000000000028</v>
      </c>
      <c r="L511" s="522">
        <f t="shared" si="30"/>
        <v>1040.0000000000005</v>
      </c>
      <c r="M511" s="523">
        <f t="shared" si="31"/>
        <v>7.4074074074074112E-2</v>
      </c>
      <c r="N511" s="30" t="s">
        <v>22</v>
      </c>
      <c r="O511" s="2" t="s">
        <v>21</v>
      </c>
    </row>
    <row r="512" spans="1:15">
      <c r="A512" s="71">
        <v>2023</v>
      </c>
      <c r="B512" s="16" t="s">
        <v>1</v>
      </c>
      <c r="C512" s="71" t="s">
        <v>870</v>
      </c>
      <c r="D512" s="2" t="s">
        <v>871</v>
      </c>
      <c r="E512" s="2" t="s">
        <v>872</v>
      </c>
      <c r="F512" s="9">
        <v>2</v>
      </c>
      <c r="G512" s="1" t="s">
        <v>19</v>
      </c>
      <c r="H512" s="8">
        <v>27300</v>
      </c>
      <c r="I512" s="8">
        <f t="shared" si="28"/>
        <v>54600</v>
      </c>
      <c r="J512" s="540">
        <v>20475</v>
      </c>
      <c r="K512" s="521">
        <f t="shared" si="29"/>
        <v>6825</v>
      </c>
      <c r="L512" s="522">
        <f t="shared" si="30"/>
        <v>13650</v>
      </c>
      <c r="M512" s="523">
        <f t="shared" si="31"/>
        <v>0.25</v>
      </c>
      <c r="N512" s="30" t="s">
        <v>22</v>
      </c>
      <c r="O512" s="2" t="s">
        <v>21</v>
      </c>
    </row>
    <row r="513" spans="1:15">
      <c r="A513" s="71">
        <v>2023</v>
      </c>
      <c r="B513" s="16" t="s">
        <v>1</v>
      </c>
      <c r="C513" s="71" t="s">
        <v>873</v>
      </c>
      <c r="D513" s="2" t="s">
        <v>96</v>
      </c>
      <c r="E513" s="2" t="s">
        <v>874</v>
      </c>
      <c r="F513" s="9">
        <v>5</v>
      </c>
      <c r="G513" s="1" t="s">
        <v>19</v>
      </c>
      <c r="H513" s="8">
        <v>9780</v>
      </c>
      <c r="I513" s="8">
        <f t="shared" si="28"/>
        <v>48900</v>
      </c>
      <c r="J513" s="540">
        <v>8400</v>
      </c>
      <c r="K513" s="521">
        <f t="shared" si="29"/>
        <v>1380</v>
      </c>
      <c r="L513" s="522">
        <f t="shared" si="30"/>
        <v>6900</v>
      </c>
      <c r="M513" s="523">
        <f t="shared" si="31"/>
        <v>0.1411042944785276</v>
      </c>
      <c r="N513" s="30" t="s">
        <v>22</v>
      </c>
      <c r="O513" s="2" t="s">
        <v>21</v>
      </c>
    </row>
    <row r="514" spans="1:15">
      <c r="A514" s="71">
        <v>2023</v>
      </c>
      <c r="B514" s="16" t="s">
        <v>1</v>
      </c>
      <c r="C514" s="71" t="s">
        <v>875</v>
      </c>
      <c r="D514" s="2" t="s">
        <v>118</v>
      </c>
      <c r="E514" s="2" t="s">
        <v>876</v>
      </c>
      <c r="F514" s="9">
        <v>1</v>
      </c>
      <c r="G514" s="1" t="s">
        <v>19</v>
      </c>
      <c r="H514" s="8">
        <v>35000</v>
      </c>
      <c r="I514" s="8">
        <f t="shared" si="28"/>
        <v>35000</v>
      </c>
      <c r="J514" s="540">
        <v>34000</v>
      </c>
      <c r="K514" s="521">
        <f t="shared" si="29"/>
        <v>1000</v>
      </c>
      <c r="L514" s="522">
        <f t="shared" si="30"/>
        <v>1000</v>
      </c>
      <c r="M514" s="523">
        <f t="shared" si="31"/>
        <v>2.8571428571428571E-2</v>
      </c>
      <c r="N514" s="30" t="s">
        <v>22</v>
      </c>
      <c r="O514" s="2" t="s">
        <v>21</v>
      </c>
    </row>
    <row r="515" spans="1:15">
      <c r="A515" s="71">
        <v>2023</v>
      </c>
      <c r="B515" s="16" t="s">
        <v>1</v>
      </c>
      <c r="C515" s="71" t="s">
        <v>875</v>
      </c>
      <c r="D515" s="2" t="s">
        <v>118</v>
      </c>
      <c r="E515" s="2" t="s">
        <v>877</v>
      </c>
      <c r="F515" s="9">
        <v>1</v>
      </c>
      <c r="G515" s="1" t="s">
        <v>19</v>
      </c>
      <c r="H515" s="8">
        <v>5500</v>
      </c>
      <c r="I515" s="8">
        <f t="shared" ref="I515:I578" si="32">H515*F515</f>
        <v>5500</v>
      </c>
      <c r="J515" s="540">
        <v>4510</v>
      </c>
      <c r="K515" s="521">
        <f t="shared" ref="K515:K578" si="33">H515-J515</f>
        <v>990</v>
      </c>
      <c r="L515" s="522">
        <f t="shared" ref="L515:L578" si="34">K515*F515</f>
        <v>990</v>
      </c>
      <c r="M515" s="523">
        <f t="shared" ref="M515:M578" si="35">K515/H515</f>
        <v>0.18</v>
      </c>
      <c r="N515" s="30" t="s">
        <v>22</v>
      </c>
      <c r="O515" s="2" t="s">
        <v>21</v>
      </c>
    </row>
    <row r="516" spans="1:15">
      <c r="A516" s="71">
        <v>2023</v>
      </c>
      <c r="B516" s="16" t="s">
        <v>1</v>
      </c>
      <c r="C516" s="71" t="s">
        <v>878</v>
      </c>
      <c r="D516" s="2" t="s">
        <v>17</v>
      </c>
      <c r="E516" s="2" t="s">
        <v>879</v>
      </c>
      <c r="F516" s="9">
        <v>60</v>
      </c>
      <c r="G516" s="1" t="s">
        <v>869</v>
      </c>
      <c r="H516" s="8">
        <v>13</v>
      </c>
      <c r="I516" s="8">
        <f t="shared" si="32"/>
        <v>780</v>
      </c>
      <c r="J516" s="539">
        <v>8</v>
      </c>
      <c r="K516" s="521">
        <f t="shared" si="33"/>
        <v>5</v>
      </c>
      <c r="L516" s="522">
        <f t="shared" si="34"/>
        <v>300</v>
      </c>
      <c r="M516" s="523">
        <f t="shared" si="35"/>
        <v>0.38461538461538464</v>
      </c>
      <c r="N516" s="515" t="s">
        <v>22</v>
      </c>
      <c r="O516" s="2" t="s">
        <v>21</v>
      </c>
    </row>
    <row r="517" spans="1:15">
      <c r="A517" s="71">
        <v>2023</v>
      </c>
      <c r="B517" s="16" t="s">
        <v>1</v>
      </c>
      <c r="C517" s="71" t="s">
        <v>878</v>
      </c>
      <c r="D517" s="2" t="s">
        <v>17</v>
      </c>
      <c r="E517" s="2" t="s">
        <v>880</v>
      </c>
      <c r="F517" s="9">
        <v>20</v>
      </c>
      <c r="G517" s="1" t="s">
        <v>869</v>
      </c>
      <c r="H517" s="8">
        <v>22</v>
      </c>
      <c r="I517" s="8">
        <f t="shared" si="32"/>
        <v>440</v>
      </c>
      <c r="J517" s="539">
        <v>13</v>
      </c>
      <c r="K517" s="521">
        <f t="shared" si="33"/>
        <v>9</v>
      </c>
      <c r="L517" s="522">
        <f t="shared" si="34"/>
        <v>180</v>
      </c>
      <c r="M517" s="523">
        <f t="shared" si="35"/>
        <v>0.40909090909090912</v>
      </c>
      <c r="N517" s="30" t="s">
        <v>22</v>
      </c>
      <c r="O517" s="2" t="s">
        <v>21</v>
      </c>
    </row>
    <row r="518" spans="1:15">
      <c r="A518" s="71">
        <v>2023</v>
      </c>
      <c r="B518" s="16" t="s">
        <v>1</v>
      </c>
      <c r="C518" s="71" t="s">
        <v>881</v>
      </c>
      <c r="D518" s="2" t="s">
        <v>125</v>
      </c>
      <c r="E518" s="2" t="s">
        <v>882</v>
      </c>
      <c r="F518" s="9">
        <v>1</v>
      </c>
      <c r="G518" s="1" t="s">
        <v>569</v>
      </c>
      <c r="H518" s="8">
        <v>8500</v>
      </c>
      <c r="I518" s="8">
        <f t="shared" si="32"/>
        <v>8500</v>
      </c>
      <c r="J518" s="539">
        <v>6250</v>
      </c>
      <c r="K518" s="521">
        <f t="shared" si="33"/>
        <v>2250</v>
      </c>
      <c r="L518" s="522">
        <f t="shared" si="34"/>
        <v>2250</v>
      </c>
      <c r="M518" s="523">
        <f t="shared" si="35"/>
        <v>0.26470588235294118</v>
      </c>
      <c r="N518" s="30" t="s">
        <v>22</v>
      </c>
      <c r="O518" s="2" t="s">
        <v>21</v>
      </c>
    </row>
    <row r="519" spans="1:15">
      <c r="A519" s="71">
        <v>2023</v>
      </c>
      <c r="B519" s="16" t="s">
        <v>1</v>
      </c>
      <c r="C519" s="71" t="s">
        <v>881</v>
      </c>
      <c r="D519" s="2" t="s">
        <v>125</v>
      </c>
      <c r="E519" s="2" t="s">
        <v>883</v>
      </c>
      <c r="F519" s="9">
        <v>1</v>
      </c>
      <c r="G519" s="1" t="s">
        <v>569</v>
      </c>
      <c r="H519" s="8">
        <v>8500</v>
      </c>
      <c r="I519" s="8">
        <f t="shared" si="32"/>
        <v>8500</v>
      </c>
      <c r="J519" s="539">
        <v>6250</v>
      </c>
      <c r="K519" s="521">
        <f t="shared" si="33"/>
        <v>2250</v>
      </c>
      <c r="L519" s="522">
        <f t="shared" si="34"/>
        <v>2250</v>
      </c>
      <c r="M519" s="523">
        <f t="shared" si="35"/>
        <v>0.26470588235294118</v>
      </c>
      <c r="N519" s="30" t="s">
        <v>22</v>
      </c>
      <c r="O519" s="2" t="s">
        <v>21</v>
      </c>
    </row>
    <row r="520" spans="1:15">
      <c r="A520" s="71">
        <v>2023</v>
      </c>
      <c r="B520" s="16" t="s">
        <v>1</v>
      </c>
      <c r="C520" s="71" t="s">
        <v>884</v>
      </c>
      <c r="D520" s="2" t="s">
        <v>628</v>
      </c>
      <c r="E520" s="2" t="s">
        <v>281</v>
      </c>
      <c r="F520" s="9">
        <v>700</v>
      </c>
      <c r="G520" s="1" t="s">
        <v>19</v>
      </c>
      <c r="H520" s="8">
        <v>28</v>
      </c>
      <c r="I520" s="8">
        <f t="shared" si="32"/>
        <v>19600</v>
      </c>
      <c r="J520" s="539">
        <v>21</v>
      </c>
      <c r="K520" s="521">
        <f t="shared" si="33"/>
        <v>7</v>
      </c>
      <c r="L520" s="522">
        <f t="shared" si="34"/>
        <v>4900</v>
      </c>
      <c r="M520" s="523">
        <f t="shared" si="35"/>
        <v>0.25</v>
      </c>
      <c r="N520" s="30" t="s">
        <v>22</v>
      </c>
      <c r="O520" s="2" t="s">
        <v>105</v>
      </c>
    </row>
    <row r="521" spans="1:15">
      <c r="A521" s="71">
        <v>2023</v>
      </c>
      <c r="B521" s="16" t="s">
        <v>1</v>
      </c>
      <c r="C521" s="71" t="s">
        <v>885</v>
      </c>
      <c r="D521" s="2" t="s">
        <v>192</v>
      </c>
      <c r="E521" s="2" t="s">
        <v>886</v>
      </c>
      <c r="F521" s="9">
        <v>40</v>
      </c>
      <c r="G521" s="1" t="s">
        <v>19</v>
      </c>
      <c r="H521" s="8">
        <v>1550</v>
      </c>
      <c r="I521" s="8">
        <f t="shared" si="32"/>
        <v>62000</v>
      </c>
      <c r="J521" s="539">
        <v>1280</v>
      </c>
      <c r="K521" s="521">
        <f t="shared" si="33"/>
        <v>270</v>
      </c>
      <c r="L521" s="522">
        <f t="shared" si="34"/>
        <v>10800</v>
      </c>
      <c r="M521" s="523">
        <f t="shared" si="35"/>
        <v>0.17419354838709677</v>
      </c>
      <c r="N521" s="30" t="s">
        <v>22</v>
      </c>
      <c r="O521" s="2" t="s">
        <v>105</v>
      </c>
    </row>
    <row r="522" spans="1:15">
      <c r="A522" s="71">
        <v>2023</v>
      </c>
      <c r="B522" s="16" t="s">
        <v>1</v>
      </c>
      <c r="C522" s="71" t="s">
        <v>887</v>
      </c>
      <c r="D522" s="2" t="s">
        <v>35</v>
      </c>
      <c r="E522" s="2" t="s">
        <v>217</v>
      </c>
      <c r="F522" s="9">
        <v>357</v>
      </c>
      <c r="G522" s="1" t="s">
        <v>37</v>
      </c>
      <c r="H522" s="8">
        <v>357</v>
      </c>
      <c r="I522" s="8">
        <f t="shared" si="32"/>
        <v>127449</v>
      </c>
      <c r="J522" s="539">
        <v>356</v>
      </c>
      <c r="K522" s="521">
        <f t="shared" si="33"/>
        <v>1</v>
      </c>
      <c r="L522" s="522">
        <f t="shared" si="34"/>
        <v>357</v>
      </c>
      <c r="M522" s="523">
        <f t="shared" si="35"/>
        <v>2.8011204481792717E-3</v>
      </c>
      <c r="N522" s="30" t="s">
        <v>38</v>
      </c>
      <c r="O522" s="2" t="s">
        <v>105</v>
      </c>
    </row>
    <row r="523" spans="1:15">
      <c r="A523" s="71">
        <v>2023</v>
      </c>
      <c r="B523" s="16" t="s">
        <v>1</v>
      </c>
      <c r="C523" s="71" t="s">
        <v>888</v>
      </c>
      <c r="D523" s="2" t="s">
        <v>35</v>
      </c>
      <c r="E523" s="2" t="s">
        <v>889</v>
      </c>
      <c r="F523" s="9">
        <v>865</v>
      </c>
      <c r="G523" s="1" t="s">
        <v>37</v>
      </c>
      <c r="H523" s="8">
        <v>357</v>
      </c>
      <c r="I523" s="8">
        <f t="shared" si="32"/>
        <v>308805</v>
      </c>
      <c r="J523" s="539">
        <v>356</v>
      </c>
      <c r="K523" s="521">
        <f t="shared" si="33"/>
        <v>1</v>
      </c>
      <c r="L523" s="522">
        <f t="shared" si="34"/>
        <v>865</v>
      </c>
      <c r="M523" s="523">
        <f t="shared" si="35"/>
        <v>2.8011204481792717E-3</v>
      </c>
      <c r="N523" s="515" t="s">
        <v>38</v>
      </c>
      <c r="O523" s="2" t="s">
        <v>105</v>
      </c>
    </row>
    <row r="524" spans="1:15">
      <c r="A524" s="71">
        <v>2023</v>
      </c>
      <c r="B524" s="16" t="s">
        <v>1</v>
      </c>
      <c r="C524" s="71" t="s">
        <v>890</v>
      </c>
      <c r="D524" s="2" t="s">
        <v>329</v>
      </c>
      <c r="E524" s="2" t="s">
        <v>702</v>
      </c>
      <c r="F524" s="9">
        <v>31</v>
      </c>
      <c r="G524" s="1" t="s">
        <v>331</v>
      </c>
      <c r="H524" s="8">
        <v>3625</v>
      </c>
      <c r="I524" s="8">
        <f t="shared" si="32"/>
        <v>112375</v>
      </c>
      <c r="J524" s="539">
        <v>3540</v>
      </c>
      <c r="K524" s="521">
        <f t="shared" si="33"/>
        <v>85</v>
      </c>
      <c r="L524" s="522">
        <f t="shared" si="34"/>
        <v>2635</v>
      </c>
      <c r="M524" s="523">
        <f t="shared" si="35"/>
        <v>2.3448275862068966E-2</v>
      </c>
      <c r="N524" s="30" t="s">
        <v>22</v>
      </c>
      <c r="O524" s="2" t="s">
        <v>39</v>
      </c>
    </row>
    <row r="525" spans="1:15">
      <c r="A525" s="71">
        <v>2023</v>
      </c>
      <c r="B525" s="16" t="s">
        <v>1</v>
      </c>
      <c r="C525" s="71" t="s">
        <v>890</v>
      </c>
      <c r="D525" s="2" t="s">
        <v>329</v>
      </c>
      <c r="E525" s="2" t="s">
        <v>380</v>
      </c>
      <c r="F525" s="9">
        <v>30</v>
      </c>
      <c r="G525" s="1" t="s">
        <v>331</v>
      </c>
      <c r="H525" s="8">
        <v>5678</v>
      </c>
      <c r="I525" s="8">
        <f t="shared" si="32"/>
        <v>170340</v>
      </c>
      <c r="J525" s="539">
        <v>5535</v>
      </c>
      <c r="K525" s="521">
        <f t="shared" si="33"/>
        <v>143</v>
      </c>
      <c r="L525" s="522">
        <f t="shared" si="34"/>
        <v>4290</v>
      </c>
      <c r="M525" s="523">
        <f t="shared" si="35"/>
        <v>2.518492426910884E-2</v>
      </c>
      <c r="N525" s="30" t="s">
        <v>22</v>
      </c>
      <c r="O525" s="2" t="s">
        <v>39</v>
      </c>
    </row>
    <row r="526" spans="1:15">
      <c r="A526" s="71">
        <v>2023</v>
      </c>
      <c r="B526" s="16" t="s">
        <v>1</v>
      </c>
      <c r="C526" s="71" t="s">
        <v>890</v>
      </c>
      <c r="D526" s="2" t="s">
        <v>329</v>
      </c>
      <c r="E526" s="2" t="s">
        <v>379</v>
      </c>
      <c r="F526" s="9">
        <v>40</v>
      </c>
      <c r="G526" s="1" t="s">
        <v>331</v>
      </c>
      <c r="H526" s="8">
        <v>5495</v>
      </c>
      <c r="I526" s="8">
        <f t="shared" si="32"/>
        <v>219800</v>
      </c>
      <c r="J526" s="539">
        <v>5300</v>
      </c>
      <c r="K526" s="521">
        <f t="shared" si="33"/>
        <v>195</v>
      </c>
      <c r="L526" s="522">
        <f t="shared" si="34"/>
        <v>7800</v>
      </c>
      <c r="M526" s="523">
        <f t="shared" si="35"/>
        <v>3.5486806187443133E-2</v>
      </c>
      <c r="N526" s="30" t="s">
        <v>22</v>
      </c>
      <c r="O526" s="2" t="s">
        <v>39</v>
      </c>
    </row>
    <row r="527" spans="1:15">
      <c r="A527" s="71">
        <v>2023</v>
      </c>
      <c r="B527" s="16" t="s">
        <v>1</v>
      </c>
      <c r="C527" s="71" t="s">
        <v>891</v>
      </c>
      <c r="D527" s="2" t="s">
        <v>892</v>
      </c>
      <c r="E527" s="2" t="s">
        <v>893</v>
      </c>
      <c r="F527" s="9">
        <v>464</v>
      </c>
      <c r="G527" s="1" t="s">
        <v>19</v>
      </c>
      <c r="H527" s="8">
        <v>1650</v>
      </c>
      <c r="I527" s="8">
        <f t="shared" si="32"/>
        <v>765600</v>
      </c>
      <c r="J527" s="539">
        <v>1485</v>
      </c>
      <c r="K527" s="521">
        <f t="shared" si="33"/>
        <v>165</v>
      </c>
      <c r="L527" s="522">
        <f t="shared" si="34"/>
        <v>76560</v>
      </c>
      <c r="M527" s="523">
        <f t="shared" si="35"/>
        <v>0.1</v>
      </c>
      <c r="N527" s="30" t="s">
        <v>38</v>
      </c>
      <c r="O527" s="2" t="s">
        <v>105</v>
      </c>
    </row>
    <row r="528" spans="1:15">
      <c r="A528" s="71">
        <v>2023</v>
      </c>
      <c r="B528" s="16" t="s">
        <v>1</v>
      </c>
      <c r="C528" s="71" t="s">
        <v>891</v>
      </c>
      <c r="D528" s="2" t="s">
        <v>892</v>
      </c>
      <c r="E528" s="2" t="s">
        <v>894</v>
      </c>
      <c r="F528" s="9">
        <v>99</v>
      </c>
      <c r="G528" s="1" t="s">
        <v>19</v>
      </c>
      <c r="H528" s="8">
        <v>1500</v>
      </c>
      <c r="I528" s="8">
        <f t="shared" si="32"/>
        <v>148500</v>
      </c>
      <c r="J528" s="539">
        <v>1350</v>
      </c>
      <c r="K528" s="521">
        <f t="shared" si="33"/>
        <v>150</v>
      </c>
      <c r="L528" s="522">
        <f t="shared" si="34"/>
        <v>14850</v>
      </c>
      <c r="M528" s="523">
        <f t="shared" si="35"/>
        <v>0.1</v>
      </c>
      <c r="N528" s="30" t="s">
        <v>38</v>
      </c>
      <c r="O528" s="2" t="s">
        <v>105</v>
      </c>
    </row>
    <row r="529" spans="1:15">
      <c r="A529" s="71">
        <v>2023</v>
      </c>
      <c r="B529" s="16" t="s">
        <v>895</v>
      </c>
      <c r="C529" s="71"/>
      <c r="D529" s="2" t="s">
        <v>892</v>
      </c>
      <c r="E529" s="2" t="s">
        <v>894</v>
      </c>
      <c r="F529" s="9">
        <v>160</v>
      </c>
      <c r="G529" s="1" t="s">
        <v>19</v>
      </c>
      <c r="H529" s="8">
        <v>1500</v>
      </c>
      <c r="I529" s="8">
        <f t="shared" si="32"/>
        <v>240000</v>
      </c>
      <c r="J529" s="539">
        <v>1350</v>
      </c>
      <c r="K529" s="521">
        <f t="shared" si="33"/>
        <v>150</v>
      </c>
      <c r="L529" s="522">
        <f t="shared" si="34"/>
        <v>24000</v>
      </c>
      <c r="M529" s="523">
        <f t="shared" si="35"/>
        <v>0.1</v>
      </c>
      <c r="N529" s="30" t="s">
        <v>22</v>
      </c>
      <c r="O529" s="2" t="s">
        <v>105</v>
      </c>
    </row>
    <row r="530" spans="1:15">
      <c r="A530" s="71">
        <v>2023</v>
      </c>
      <c r="B530" s="16" t="s">
        <v>895</v>
      </c>
      <c r="C530" s="71" t="s">
        <v>896</v>
      </c>
      <c r="D530" s="2" t="s">
        <v>335</v>
      </c>
      <c r="E530" s="2" t="s">
        <v>336</v>
      </c>
      <c r="F530" s="9">
        <v>28000</v>
      </c>
      <c r="G530" s="1" t="s">
        <v>337</v>
      </c>
      <c r="H530" s="8">
        <v>35.5</v>
      </c>
      <c r="I530" s="8">
        <f t="shared" si="32"/>
        <v>994000</v>
      </c>
      <c r="J530" s="539">
        <v>35</v>
      </c>
      <c r="K530" s="521">
        <f t="shared" si="33"/>
        <v>0.5</v>
      </c>
      <c r="L530" s="522">
        <f t="shared" si="34"/>
        <v>14000</v>
      </c>
      <c r="M530" s="523">
        <f t="shared" si="35"/>
        <v>1.4084507042253521E-2</v>
      </c>
      <c r="N530" s="30" t="s">
        <v>22</v>
      </c>
      <c r="O530" s="2" t="s">
        <v>39</v>
      </c>
    </row>
    <row r="531" spans="1:15">
      <c r="A531" s="71">
        <v>2023</v>
      </c>
      <c r="B531" s="16" t="s">
        <v>895</v>
      </c>
      <c r="C531" s="71" t="s">
        <v>897</v>
      </c>
      <c r="D531" s="2" t="s">
        <v>335</v>
      </c>
      <c r="E531" s="2" t="s">
        <v>336</v>
      </c>
      <c r="F531" s="9">
        <v>56000</v>
      </c>
      <c r="G531" s="1" t="s">
        <v>337</v>
      </c>
      <c r="H531" s="8">
        <v>35.5</v>
      </c>
      <c r="I531" s="8">
        <f t="shared" si="32"/>
        <v>1988000</v>
      </c>
      <c r="J531" s="539">
        <v>35</v>
      </c>
      <c r="K531" s="521">
        <f t="shared" si="33"/>
        <v>0.5</v>
      </c>
      <c r="L531" s="522">
        <f t="shared" si="34"/>
        <v>28000</v>
      </c>
      <c r="M531" s="523">
        <f t="shared" si="35"/>
        <v>1.4084507042253521E-2</v>
      </c>
      <c r="N531" s="30" t="s">
        <v>22</v>
      </c>
      <c r="O531" s="2" t="s">
        <v>39</v>
      </c>
    </row>
    <row r="532" spans="1:15">
      <c r="A532" s="71">
        <v>2023</v>
      </c>
      <c r="B532" s="16" t="s">
        <v>895</v>
      </c>
      <c r="C532" s="71" t="s">
        <v>898</v>
      </c>
      <c r="D532" s="2" t="s">
        <v>329</v>
      </c>
      <c r="E532" s="2" t="s">
        <v>899</v>
      </c>
      <c r="F532" s="9">
        <v>20</v>
      </c>
      <c r="G532" s="1" t="s">
        <v>331</v>
      </c>
      <c r="H532" s="8">
        <v>5726</v>
      </c>
      <c r="I532" s="8">
        <f t="shared" si="32"/>
        <v>114520</v>
      </c>
      <c r="J532" s="539">
        <v>5500</v>
      </c>
      <c r="K532" s="521">
        <f t="shared" si="33"/>
        <v>226</v>
      </c>
      <c r="L532" s="522">
        <f t="shared" si="34"/>
        <v>4520</v>
      </c>
      <c r="M532" s="523">
        <f t="shared" si="35"/>
        <v>3.9469088368843872E-2</v>
      </c>
      <c r="N532" s="30" t="s">
        <v>22</v>
      </c>
      <c r="O532" s="2" t="s">
        <v>39</v>
      </c>
    </row>
    <row r="533" spans="1:15">
      <c r="A533" s="71">
        <v>2023</v>
      </c>
      <c r="B533" s="16" t="s">
        <v>895</v>
      </c>
      <c r="C533" s="71" t="s">
        <v>898</v>
      </c>
      <c r="D533" s="2" t="s">
        <v>329</v>
      </c>
      <c r="E533" s="2" t="s">
        <v>900</v>
      </c>
      <c r="F533" s="9">
        <v>1</v>
      </c>
      <c r="G533" s="1" t="s">
        <v>331</v>
      </c>
      <c r="H533" s="8">
        <v>13140</v>
      </c>
      <c r="I533" s="8">
        <f t="shared" si="32"/>
        <v>13140</v>
      </c>
      <c r="J533" s="539">
        <v>13000</v>
      </c>
      <c r="K533" s="521">
        <f t="shared" si="33"/>
        <v>140</v>
      </c>
      <c r="L533" s="522">
        <f t="shared" si="34"/>
        <v>140</v>
      </c>
      <c r="M533" s="523">
        <f t="shared" si="35"/>
        <v>1.06544901065449E-2</v>
      </c>
      <c r="N533" s="30" t="s">
        <v>22</v>
      </c>
      <c r="O533" s="2" t="s">
        <v>39</v>
      </c>
    </row>
    <row r="534" spans="1:15">
      <c r="A534" s="71">
        <v>2023</v>
      </c>
      <c r="B534" s="16" t="s">
        <v>895</v>
      </c>
      <c r="C534" s="71" t="s">
        <v>901</v>
      </c>
      <c r="D534" s="2" t="s">
        <v>96</v>
      </c>
      <c r="E534" s="2" t="s">
        <v>902</v>
      </c>
      <c r="F534" s="9">
        <v>2</v>
      </c>
      <c r="G534" s="1" t="s">
        <v>98</v>
      </c>
      <c r="H534" s="8">
        <v>240</v>
      </c>
      <c r="I534" s="8">
        <f t="shared" si="32"/>
        <v>480</v>
      </c>
      <c r="J534" s="539">
        <v>168</v>
      </c>
      <c r="K534" s="521">
        <f t="shared" si="33"/>
        <v>72</v>
      </c>
      <c r="L534" s="522">
        <f t="shared" si="34"/>
        <v>144</v>
      </c>
      <c r="M534" s="523">
        <f t="shared" si="35"/>
        <v>0.3</v>
      </c>
      <c r="N534" s="30" t="s">
        <v>22</v>
      </c>
      <c r="O534" s="2" t="s">
        <v>21</v>
      </c>
    </row>
    <row r="535" spans="1:15">
      <c r="A535" s="71">
        <v>2023</v>
      </c>
      <c r="B535" s="16" t="s">
        <v>895</v>
      </c>
      <c r="C535" s="71" t="s">
        <v>903</v>
      </c>
      <c r="D535" s="2" t="s">
        <v>527</v>
      </c>
      <c r="E535" s="2" t="s">
        <v>904</v>
      </c>
      <c r="F535" s="9">
        <v>1</v>
      </c>
      <c r="G535" s="1" t="s">
        <v>569</v>
      </c>
      <c r="H535" s="8">
        <v>160800</v>
      </c>
      <c r="I535" s="8">
        <f t="shared" si="32"/>
        <v>160800</v>
      </c>
      <c r="J535" s="539">
        <v>120800</v>
      </c>
      <c r="K535" s="521">
        <f t="shared" si="33"/>
        <v>40000</v>
      </c>
      <c r="L535" s="522">
        <f t="shared" si="34"/>
        <v>40000</v>
      </c>
      <c r="M535" s="523">
        <f t="shared" si="35"/>
        <v>0.24875621890547264</v>
      </c>
      <c r="N535" s="30" t="s">
        <v>38</v>
      </c>
      <c r="O535" s="2" t="s">
        <v>21</v>
      </c>
    </row>
    <row r="536" spans="1:15">
      <c r="A536" s="71">
        <v>2023</v>
      </c>
      <c r="B536" s="16" t="s">
        <v>895</v>
      </c>
      <c r="C536" s="71" t="s">
        <v>905</v>
      </c>
      <c r="D536" s="2" t="s">
        <v>96</v>
      </c>
      <c r="E536" s="2" t="s">
        <v>419</v>
      </c>
      <c r="F536" s="9">
        <v>10</v>
      </c>
      <c r="G536" s="1" t="s">
        <v>98</v>
      </c>
      <c r="H536" s="8">
        <v>9780</v>
      </c>
      <c r="I536" s="8">
        <f t="shared" si="32"/>
        <v>97800</v>
      </c>
      <c r="J536" s="539">
        <v>8400</v>
      </c>
      <c r="K536" s="521">
        <f t="shared" si="33"/>
        <v>1380</v>
      </c>
      <c r="L536" s="522">
        <f t="shared" si="34"/>
        <v>13800</v>
      </c>
      <c r="M536" s="523">
        <f t="shared" si="35"/>
        <v>0.1411042944785276</v>
      </c>
      <c r="N536" s="30" t="s">
        <v>22</v>
      </c>
      <c r="O536" s="2" t="s">
        <v>21</v>
      </c>
    </row>
    <row r="537" spans="1:15">
      <c r="A537" s="71">
        <v>2023</v>
      </c>
      <c r="B537" s="16" t="s">
        <v>895</v>
      </c>
      <c r="C537" s="71" t="s">
        <v>906</v>
      </c>
      <c r="D537" s="2" t="s">
        <v>182</v>
      </c>
      <c r="E537" s="2" t="s">
        <v>907</v>
      </c>
      <c r="F537" s="9">
        <v>1</v>
      </c>
      <c r="G537" s="1" t="s">
        <v>19</v>
      </c>
      <c r="H537" s="8">
        <v>4900</v>
      </c>
      <c r="I537" s="8">
        <f t="shared" si="32"/>
        <v>4900</v>
      </c>
      <c r="J537" s="539">
        <v>3750</v>
      </c>
      <c r="K537" s="521">
        <f t="shared" si="33"/>
        <v>1150</v>
      </c>
      <c r="L537" s="522">
        <f t="shared" si="34"/>
        <v>1150</v>
      </c>
      <c r="M537" s="523">
        <f t="shared" si="35"/>
        <v>0.23469387755102042</v>
      </c>
      <c r="N537" s="30" t="s">
        <v>22</v>
      </c>
      <c r="O537" s="2" t="s">
        <v>21</v>
      </c>
    </row>
    <row r="538" spans="1:15">
      <c r="A538" s="71">
        <v>2023</v>
      </c>
      <c r="B538" s="16" t="s">
        <v>895</v>
      </c>
      <c r="C538" s="71" t="s">
        <v>908</v>
      </c>
      <c r="D538" s="2" t="s">
        <v>527</v>
      </c>
      <c r="E538" s="2" t="s">
        <v>909</v>
      </c>
      <c r="F538" s="9">
        <v>1</v>
      </c>
      <c r="G538" s="1" t="s">
        <v>569</v>
      </c>
      <c r="H538" s="8">
        <v>70400</v>
      </c>
      <c r="I538" s="8">
        <f t="shared" si="32"/>
        <v>70400</v>
      </c>
      <c r="J538" s="539">
        <v>15400</v>
      </c>
      <c r="K538" s="521">
        <f t="shared" si="33"/>
        <v>55000</v>
      </c>
      <c r="L538" s="522">
        <f t="shared" si="34"/>
        <v>55000</v>
      </c>
      <c r="M538" s="523">
        <f t="shared" si="35"/>
        <v>0.78125</v>
      </c>
      <c r="N538" s="30" t="s">
        <v>38</v>
      </c>
      <c r="O538" s="2" t="s">
        <v>21</v>
      </c>
    </row>
    <row r="539" spans="1:15">
      <c r="A539" s="71">
        <v>2023</v>
      </c>
      <c r="B539" s="16" t="s">
        <v>895</v>
      </c>
      <c r="C539" s="71" t="s">
        <v>910</v>
      </c>
      <c r="D539" s="2" t="s">
        <v>17</v>
      </c>
      <c r="E539" s="2" t="s">
        <v>911</v>
      </c>
      <c r="F539" s="9">
        <v>1</v>
      </c>
      <c r="G539" s="1" t="s">
        <v>19</v>
      </c>
      <c r="H539" s="8">
        <v>8990</v>
      </c>
      <c r="I539" s="8">
        <f t="shared" si="32"/>
        <v>8990</v>
      </c>
      <c r="J539" s="539">
        <v>8550</v>
      </c>
      <c r="K539" s="521">
        <f t="shared" si="33"/>
        <v>440</v>
      </c>
      <c r="L539" s="522">
        <f t="shared" si="34"/>
        <v>440</v>
      </c>
      <c r="M539" s="523">
        <f t="shared" si="35"/>
        <v>4.8943270300333706E-2</v>
      </c>
      <c r="N539" s="30" t="s">
        <v>22</v>
      </c>
      <c r="O539" s="2" t="s">
        <v>21</v>
      </c>
    </row>
    <row r="540" spans="1:15">
      <c r="A540" s="71">
        <v>2023</v>
      </c>
      <c r="B540" s="16" t="s">
        <v>895</v>
      </c>
      <c r="C540" s="71" t="s">
        <v>912</v>
      </c>
      <c r="D540" s="2" t="s">
        <v>118</v>
      </c>
      <c r="E540" s="2" t="s">
        <v>913</v>
      </c>
      <c r="F540" s="9">
        <v>2</v>
      </c>
      <c r="G540" s="1" t="s">
        <v>19</v>
      </c>
      <c r="H540" s="8">
        <v>2500</v>
      </c>
      <c r="I540" s="8">
        <f t="shared" si="32"/>
        <v>5000</v>
      </c>
      <c r="J540" s="539">
        <v>2165</v>
      </c>
      <c r="K540" s="521">
        <f t="shared" si="33"/>
        <v>335</v>
      </c>
      <c r="L540" s="522">
        <f t="shared" si="34"/>
        <v>670</v>
      </c>
      <c r="M540" s="523">
        <f t="shared" si="35"/>
        <v>0.13400000000000001</v>
      </c>
      <c r="N540" s="30" t="s">
        <v>22</v>
      </c>
      <c r="O540" s="2" t="s">
        <v>21</v>
      </c>
    </row>
    <row r="541" spans="1:15">
      <c r="A541" s="71">
        <v>2023</v>
      </c>
      <c r="B541" s="16" t="s">
        <v>895</v>
      </c>
      <c r="C541" s="71" t="s">
        <v>914</v>
      </c>
      <c r="D541" s="2" t="s">
        <v>311</v>
      </c>
      <c r="E541" s="2" t="s">
        <v>915</v>
      </c>
      <c r="F541" s="9">
        <v>1</v>
      </c>
      <c r="G541" s="1" t="s">
        <v>19</v>
      </c>
      <c r="H541" s="8">
        <v>2800</v>
      </c>
      <c r="I541" s="8">
        <f t="shared" si="32"/>
        <v>2800</v>
      </c>
      <c r="J541" s="539">
        <v>1300</v>
      </c>
      <c r="K541" s="521">
        <f t="shared" si="33"/>
        <v>1500</v>
      </c>
      <c r="L541" s="522">
        <f t="shared" si="34"/>
        <v>1500</v>
      </c>
      <c r="M541" s="523">
        <f t="shared" si="35"/>
        <v>0.5357142857142857</v>
      </c>
      <c r="N541" s="30" t="s">
        <v>22</v>
      </c>
      <c r="O541" s="2" t="s">
        <v>21</v>
      </c>
    </row>
    <row r="542" spans="1:15">
      <c r="A542" s="71">
        <v>2023</v>
      </c>
      <c r="B542" s="16" t="s">
        <v>895</v>
      </c>
      <c r="C542" s="71" t="s">
        <v>916</v>
      </c>
      <c r="D542" s="2" t="s">
        <v>253</v>
      </c>
      <c r="E542" s="2" t="s">
        <v>917</v>
      </c>
      <c r="F542" s="9">
        <v>2</v>
      </c>
      <c r="G542" s="1" t="s">
        <v>19</v>
      </c>
      <c r="H542" s="8">
        <v>39990</v>
      </c>
      <c r="I542" s="8">
        <f t="shared" si="32"/>
        <v>79980</v>
      </c>
      <c r="J542" s="539">
        <v>33990</v>
      </c>
      <c r="K542" s="521">
        <f t="shared" si="33"/>
        <v>6000</v>
      </c>
      <c r="L542" s="522">
        <f t="shared" si="34"/>
        <v>12000</v>
      </c>
      <c r="M542" s="523">
        <f t="shared" si="35"/>
        <v>0.15003750937734434</v>
      </c>
      <c r="N542" s="30" t="s">
        <v>22</v>
      </c>
      <c r="O542" s="2" t="s">
        <v>21</v>
      </c>
    </row>
    <row r="543" spans="1:15">
      <c r="A543" s="71">
        <v>2023</v>
      </c>
      <c r="B543" s="16" t="s">
        <v>895</v>
      </c>
      <c r="C543" s="71" t="s">
        <v>918</v>
      </c>
      <c r="D543" s="2" t="s">
        <v>182</v>
      </c>
      <c r="E543" s="2" t="s">
        <v>919</v>
      </c>
      <c r="F543" s="9">
        <v>1</v>
      </c>
      <c r="G543" s="1" t="s">
        <v>19</v>
      </c>
      <c r="H543" s="8">
        <v>7650</v>
      </c>
      <c r="I543" s="8">
        <f t="shared" si="32"/>
        <v>7650</v>
      </c>
      <c r="J543" s="539">
        <v>6120</v>
      </c>
      <c r="K543" s="521">
        <f t="shared" si="33"/>
        <v>1530</v>
      </c>
      <c r="L543" s="522">
        <f t="shared" si="34"/>
        <v>1530</v>
      </c>
      <c r="M543" s="523">
        <f t="shared" si="35"/>
        <v>0.2</v>
      </c>
      <c r="N543" s="30" t="s">
        <v>22</v>
      </c>
      <c r="O543" s="2" t="s">
        <v>21</v>
      </c>
    </row>
    <row r="544" spans="1:15">
      <c r="A544" s="71">
        <v>2023</v>
      </c>
      <c r="B544" s="16" t="s">
        <v>895</v>
      </c>
      <c r="C544" s="71" t="s">
        <v>920</v>
      </c>
      <c r="D544" s="2" t="s">
        <v>94</v>
      </c>
      <c r="E544" s="2" t="s">
        <v>921</v>
      </c>
      <c r="F544" s="9">
        <v>80</v>
      </c>
      <c r="G544" s="1" t="s">
        <v>29</v>
      </c>
      <c r="H544" s="8">
        <v>900</v>
      </c>
      <c r="I544" s="8">
        <f t="shared" si="32"/>
        <v>72000</v>
      </c>
      <c r="J544" s="539">
        <v>600</v>
      </c>
      <c r="K544" s="521">
        <f t="shared" si="33"/>
        <v>300</v>
      </c>
      <c r="L544" s="522">
        <f t="shared" si="34"/>
        <v>24000</v>
      </c>
      <c r="M544" s="523">
        <f t="shared" si="35"/>
        <v>0.33333333333333331</v>
      </c>
      <c r="N544" s="30" t="s">
        <v>22</v>
      </c>
      <c r="O544" s="2" t="s">
        <v>21</v>
      </c>
    </row>
    <row r="545" spans="1:15">
      <c r="A545" s="71">
        <v>2023</v>
      </c>
      <c r="B545" s="16" t="s">
        <v>895</v>
      </c>
      <c r="C545" s="71" t="s">
        <v>922</v>
      </c>
      <c r="D545" s="2" t="s">
        <v>527</v>
      </c>
      <c r="E545" s="2" t="s">
        <v>923</v>
      </c>
      <c r="F545" s="53">
        <v>1</v>
      </c>
      <c r="G545" s="38" t="s">
        <v>569</v>
      </c>
      <c r="H545" s="8">
        <v>60000</v>
      </c>
      <c r="I545" s="8">
        <f t="shared" si="32"/>
        <v>60000</v>
      </c>
      <c r="J545" s="539">
        <v>24000</v>
      </c>
      <c r="K545" s="521">
        <f t="shared" si="33"/>
        <v>36000</v>
      </c>
      <c r="L545" s="522">
        <f t="shared" si="34"/>
        <v>36000</v>
      </c>
      <c r="M545" s="523">
        <f t="shared" si="35"/>
        <v>0.6</v>
      </c>
      <c r="N545" s="30" t="s">
        <v>38</v>
      </c>
      <c r="O545" s="2" t="s">
        <v>21</v>
      </c>
    </row>
    <row r="546" spans="1:15">
      <c r="A546" s="71">
        <v>2023</v>
      </c>
      <c r="B546" s="16" t="s">
        <v>895</v>
      </c>
      <c r="C546" s="71" t="s">
        <v>924</v>
      </c>
      <c r="D546" s="2" t="s">
        <v>17</v>
      </c>
      <c r="E546" s="2" t="s">
        <v>268</v>
      </c>
      <c r="F546" s="9">
        <v>36</v>
      </c>
      <c r="G546" s="1" t="s">
        <v>19</v>
      </c>
      <c r="H546" s="8">
        <v>44.5</v>
      </c>
      <c r="I546" s="8">
        <f t="shared" si="32"/>
        <v>1602</v>
      </c>
      <c r="J546" s="539">
        <v>38.5</v>
      </c>
      <c r="K546" s="521">
        <f t="shared" si="33"/>
        <v>6</v>
      </c>
      <c r="L546" s="522">
        <f t="shared" si="34"/>
        <v>216</v>
      </c>
      <c r="M546" s="523">
        <f t="shared" si="35"/>
        <v>0.1348314606741573</v>
      </c>
      <c r="N546" s="30" t="s">
        <v>22</v>
      </c>
      <c r="O546" s="2" t="s">
        <v>21</v>
      </c>
    </row>
    <row r="547" spans="1:15">
      <c r="A547" s="71">
        <v>2023</v>
      </c>
      <c r="B547" s="16" t="s">
        <v>895</v>
      </c>
      <c r="C547" s="71" t="s">
        <v>924</v>
      </c>
      <c r="D547" s="2" t="s">
        <v>17</v>
      </c>
      <c r="E547" s="2" t="s">
        <v>740</v>
      </c>
      <c r="F547" s="9">
        <v>24</v>
      </c>
      <c r="G547" s="1" t="s">
        <v>19</v>
      </c>
      <c r="H547" s="8">
        <v>69</v>
      </c>
      <c r="I547" s="8">
        <f t="shared" si="32"/>
        <v>1656</v>
      </c>
      <c r="J547" s="539">
        <v>60</v>
      </c>
      <c r="K547" s="521">
        <f t="shared" si="33"/>
        <v>9</v>
      </c>
      <c r="L547" s="522">
        <f t="shared" si="34"/>
        <v>216</v>
      </c>
      <c r="M547" s="523">
        <f t="shared" si="35"/>
        <v>0.13043478260869565</v>
      </c>
      <c r="N547" s="30" t="s">
        <v>22</v>
      </c>
      <c r="O547" s="2" t="s">
        <v>21</v>
      </c>
    </row>
    <row r="548" spans="1:15">
      <c r="A548" s="71">
        <v>2023</v>
      </c>
      <c r="B548" s="16" t="s">
        <v>895</v>
      </c>
      <c r="C548" s="71" t="s">
        <v>925</v>
      </c>
      <c r="D548" s="2" t="s">
        <v>926</v>
      </c>
      <c r="E548" s="2" t="s">
        <v>927</v>
      </c>
      <c r="F548" s="9">
        <v>300</v>
      </c>
      <c r="G548" s="1" t="s">
        <v>19</v>
      </c>
      <c r="H548" s="8">
        <v>150</v>
      </c>
      <c r="I548" s="8">
        <f t="shared" si="32"/>
        <v>45000</v>
      </c>
      <c r="J548" s="539">
        <v>147</v>
      </c>
      <c r="K548" s="521">
        <f t="shared" si="33"/>
        <v>3</v>
      </c>
      <c r="L548" s="522">
        <f t="shared" si="34"/>
        <v>900</v>
      </c>
      <c r="M548" s="523">
        <f t="shared" si="35"/>
        <v>0.02</v>
      </c>
      <c r="N548" s="30" t="s">
        <v>22</v>
      </c>
      <c r="O548" s="2" t="s">
        <v>21</v>
      </c>
    </row>
    <row r="549" spans="1:15">
      <c r="A549" s="71">
        <v>2023</v>
      </c>
      <c r="B549" s="16" t="s">
        <v>895</v>
      </c>
      <c r="C549" s="71" t="s">
        <v>925</v>
      </c>
      <c r="D549" s="2" t="s">
        <v>926</v>
      </c>
      <c r="E549" s="2" t="s">
        <v>928</v>
      </c>
      <c r="F549" s="9">
        <v>100</v>
      </c>
      <c r="G549" s="1" t="s">
        <v>19</v>
      </c>
      <c r="H549" s="8">
        <v>57</v>
      </c>
      <c r="I549" s="8">
        <f t="shared" si="32"/>
        <v>5700</v>
      </c>
      <c r="J549" s="539">
        <v>45</v>
      </c>
      <c r="K549" s="521">
        <f t="shared" si="33"/>
        <v>12</v>
      </c>
      <c r="L549" s="522">
        <f t="shared" si="34"/>
        <v>1200</v>
      </c>
      <c r="M549" s="523">
        <f t="shared" si="35"/>
        <v>0.21052631578947367</v>
      </c>
      <c r="N549" s="30" t="s">
        <v>22</v>
      </c>
      <c r="O549" s="33" t="s">
        <v>21</v>
      </c>
    </row>
    <row r="550" spans="1:15">
      <c r="A550" s="71">
        <v>2023</v>
      </c>
      <c r="B550" s="16" t="s">
        <v>895</v>
      </c>
      <c r="C550" s="71" t="s">
        <v>925</v>
      </c>
      <c r="D550" s="2" t="s">
        <v>926</v>
      </c>
      <c r="E550" s="2" t="s">
        <v>929</v>
      </c>
      <c r="F550" s="9">
        <v>300</v>
      </c>
      <c r="G550" s="1" t="s">
        <v>19</v>
      </c>
      <c r="H550" s="8">
        <v>110</v>
      </c>
      <c r="I550" s="8">
        <f t="shared" si="32"/>
        <v>33000</v>
      </c>
      <c r="J550" s="539">
        <v>78</v>
      </c>
      <c r="K550" s="521">
        <f t="shared" si="33"/>
        <v>32</v>
      </c>
      <c r="L550" s="522">
        <f t="shared" si="34"/>
        <v>9600</v>
      </c>
      <c r="M550" s="523">
        <f t="shared" si="35"/>
        <v>0.29090909090909089</v>
      </c>
      <c r="N550" s="30" t="s">
        <v>22</v>
      </c>
      <c r="O550" s="33" t="s">
        <v>21</v>
      </c>
    </row>
    <row r="551" spans="1:15">
      <c r="A551" s="71">
        <v>2023</v>
      </c>
      <c r="B551" s="16" t="s">
        <v>895</v>
      </c>
      <c r="C551" s="71" t="s">
        <v>930</v>
      </c>
      <c r="D551" s="2" t="s">
        <v>118</v>
      </c>
      <c r="E551" s="2" t="s">
        <v>931</v>
      </c>
      <c r="F551" s="9">
        <v>10</v>
      </c>
      <c r="G551" s="1" t="s">
        <v>19</v>
      </c>
      <c r="H551" s="8">
        <v>450</v>
      </c>
      <c r="I551" s="8">
        <f t="shared" si="32"/>
        <v>4500</v>
      </c>
      <c r="J551" s="539">
        <v>375</v>
      </c>
      <c r="K551" s="521">
        <f t="shared" si="33"/>
        <v>75</v>
      </c>
      <c r="L551" s="522">
        <f t="shared" si="34"/>
        <v>750</v>
      </c>
      <c r="M551" s="523">
        <f t="shared" si="35"/>
        <v>0.16666666666666666</v>
      </c>
      <c r="N551" s="30" t="s">
        <v>22</v>
      </c>
      <c r="O551" s="33" t="s">
        <v>21</v>
      </c>
    </row>
    <row r="552" spans="1:15">
      <c r="A552" s="71">
        <v>2023</v>
      </c>
      <c r="B552" s="16" t="s">
        <v>895</v>
      </c>
      <c r="C552" s="71" t="s">
        <v>932</v>
      </c>
      <c r="D552" s="2" t="s">
        <v>307</v>
      </c>
      <c r="E552" s="2" t="s">
        <v>502</v>
      </c>
      <c r="F552" s="9">
        <v>80000</v>
      </c>
      <c r="G552" s="1" t="s">
        <v>499</v>
      </c>
      <c r="H552" s="8">
        <v>80</v>
      </c>
      <c r="I552" s="8">
        <f t="shared" si="32"/>
        <v>6400000</v>
      </c>
      <c r="J552" s="539">
        <v>77.5</v>
      </c>
      <c r="K552" s="521">
        <f t="shared" si="33"/>
        <v>2.5</v>
      </c>
      <c r="L552" s="522">
        <f t="shared" si="34"/>
        <v>200000</v>
      </c>
      <c r="M552" s="523">
        <f t="shared" si="35"/>
        <v>3.125E-2</v>
      </c>
      <c r="N552" s="30" t="s">
        <v>22</v>
      </c>
      <c r="O552" s="33" t="s">
        <v>39</v>
      </c>
    </row>
    <row r="553" spans="1:15">
      <c r="A553" s="71">
        <v>2023</v>
      </c>
      <c r="B553" s="16" t="s">
        <v>895</v>
      </c>
      <c r="C553" s="71" t="s">
        <v>933</v>
      </c>
      <c r="D553" s="2" t="s">
        <v>501</v>
      </c>
      <c r="E553" s="2" t="s">
        <v>503</v>
      </c>
      <c r="F553" s="9">
        <v>60000</v>
      </c>
      <c r="G553" s="1" t="s">
        <v>499</v>
      </c>
      <c r="H553" s="8">
        <v>110.2</v>
      </c>
      <c r="I553" s="8">
        <f t="shared" si="32"/>
        <v>6612000</v>
      </c>
      <c r="J553" s="539">
        <v>100.9</v>
      </c>
      <c r="K553" s="521">
        <f t="shared" si="33"/>
        <v>9.2999999999999972</v>
      </c>
      <c r="L553" s="522">
        <f t="shared" si="34"/>
        <v>557999.99999999988</v>
      </c>
      <c r="M553" s="523">
        <f t="shared" si="35"/>
        <v>8.439201451905623E-2</v>
      </c>
      <c r="N553" s="30" t="s">
        <v>22</v>
      </c>
      <c r="O553" s="33" t="s">
        <v>39</v>
      </c>
    </row>
    <row r="554" spans="1:15">
      <c r="A554" s="71">
        <v>2023</v>
      </c>
      <c r="B554" s="16" t="s">
        <v>895</v>
      </c>
      <c r="C554" s="71" t="s">
        <v>934</v>
      </c>
      <c r="D554" s="2" t="s">
        <v>935</v>
      </c>
      <c r="E554" s="2" t="s">
        <v>936</v>
      </c>
      <c r="F554" s="9">
        <v>40</v>
      </c>
      <c r="G554" s="1" t="s">
        <v>469</v>
      </c>
      <c r="H554" s="8">
        <v>400</v>
      </c>
      <c r="I554" s="8">
        <f t="shared" si="32"/>
        <v>16000</v>
      </c>
      <c r="J554" s="539">
        <v>350</v>
      </c>
      <c r="K554" s="521">
        <f t="shared" si="33"/>
        <v>50</v>
      </c>
      <c r="L554" s="522">
        <f t="shared" si="34"/>
        <v>2000</v>
      </c>
      <c r="M554" s="523">
        <f t="shared" si="35"/>
        <v>0.125</v>
      </c>
      <c r="N554" s="30" t="s">
        <v>38</v>
      </c>
      <c r="O554" s="33" t="s">
        <v>39</v>
      </c>
    </row>
    <row r="555" spans="1:15">
      <c r="A555" s="71">
        <v>2023</v>
      </c>
      <c r="B555" s="16" t="s">
        <v>895</v>
      </c>
      <c r="C555" s="71" t="s">
        <v>937</v>
      </c>
      <c r="D555" s="2" t="s">
        <v>17</v>
      </c>
      <c r="E555" s="2" t="s">
        <v>938</v>
      </c>
      <c r="F555" s="9">
        <v>200</v>
      </c>
      <c r="G555" s="1" t="s">
        <v>469</v>
      </c>
      <c r="H555" s="8">
        <v>55</v>
      </c>
      <c r="I555" s="8">
        <f t="shared" si="32"/>
        <v>11000</v>
      </c>
      <c r="J555" s="539">
        <v>49</v>
      </c>
      <c r="K555" s="521">
        <f t="shared" si="33"/>
        <v>6</v>
      </c>
      <c r="L555" s="522">
        <f t="shared" si="34"/>
        <v>1200</v>
      </c>
      <c r="M555" s="523">
        <f t="shared" si="35"/>
        <v>0.10909090909090909</v>
      </c>
      <c r="N555" s="30" t="s">
        <v>22</v>
      </c>
      <c r="O555" s="33" t="s">
        <v>39</v>
      </c>
    </row>
    <row r="556" spans="1:15">
      <c r="A556" s="71">
        <v>2023</v>
      </c>
      <c r="B556" s="16" t="s">
        <v>895</v>
      </c>
      <c r="C556" s="71" t="s">
        <v>939</v>
      </c>
      <c r="D556" s="2" t="s">
        <v>17</v>
      </c>
      <c r="E556" s="2" t="s">
        <v>938</v>
      </c>
      <c r="F556" s="9">
        <v>200</v>
      </c>
      <c r="G556" s="1" t="s">
        <v>469</v>
      </c>
      <c r="H556" s="8">
        <v>55</v>
      </c>
      <c r="I556" s="8">
        <f t="shared" si="32"/>
        <v>11000</v>
      </c>
      <c r="J556" s="539">
        <v>49</v>
      </c>
      <c r="K556" s="521">
        <f t="shared" si="33"/>
        <v>6</v>
      </c>
      <c r="L556" s="522">
        <f t="shared" si="34"/>
        <v>1200</v>
      </c>
      <c r="M556" s="523">
        <f t="shared" si="35"/>
        <v>0.10909090909090909</v>
      </c>
      <c r="N556" s="30" t="s">
        <v>22</v>
      </c>
      <c r="O556" s="2" t="s">
        <v>39</v>
      </c>
    </row>
    <row r="557" spans="1:15">
      <c r="A557" s="71">
        <v>2023</v>
      </c>
      <c r="B557" s="16" t="s">
        <v>895</v>
      </c>
      <c r="C557" s="71" t="s">
        <v>940</v>
      </c>
      <c r="D557" s="2" t="s">
        <v>118</v>
      </c>
      <c r="E557" s="2" t="s">
        <v>941</v>
      </c>
      <c r="F557" s="9">
        <v>1</v>
      </c>
      <c r="G557" s="1" t="s">
        <v>499</v>
      </c>
      <c r="H557" s="8">
        <v>1100</v>
      </c>
      <c r="I557" s="8">
        <f t="shared" si="32"/>
        <v>1100</v>
      </c>
      <c r="J557" s="539">
        <v>950</v>
      </c>
      <c r="K557" s="521">
        <f t="shared" si="33"/>
        <v>150</v>
      </c>
      <c r="L557" s="522">
        <f t="shared" si="34"/>
        <v>150</v>
      </c>
      <c r="M557" s="523">
        <f t="shared" si="35"/>
        <v>0.13636363636363635</v>
      </c>
      <c r="N557" s="30" t="s">
        <v>22</v>
      </c>
      <c r="O557" s="33" t="s">
        <v>21</v>
      </c>
    </row>
    <row r="558" spans="1:15">
      <c r="A558" s="71">
        <v>2023</v>
      </c>
      <c r="B558" s="16" t="s">
        <v>895</v>
      </c>
      <c r="C558" s="71" t="s">
        <v>942</v>
      </c>
      <c r="D558" s="2" t="s">
        <v>17</v>
      </c>
      <c r="E558" s="2" t="s">
        <v>943</v>
      </c>
      <c r="F558" s="9">
        <v>24</v>
      </c>
      <c r="G558" s="1" t="s">
        <v>19</v>
      </c>
      <c r="H558" s="8">
        <v>69</v>
      </c>
      <c r="I558" s="8">
        <f t="shared" si="32"/>
        <v>1656</v>
      </c>
      <c r="J558" s="539">
        <v>64</v>
      </c>
      <c r="K558" s="521">
        <f t="shared" si="33"/>
        <v>5</v>
      </c>
      <c r="L558" s="522">
        <f t="shared" si="34"/>
        <v>120</v>
      </c>
      <c r="M558" s="523">
        <f t="shared" si="35"/>
        <v>7.2463768115942032E-2</v>
      </c>
      <c r="N558" s="30" t="s">
        <v>22</v>
      </c>
      <c r="O558" s="33" t="s">
        <v>21</v>
      </c>
    </row>
    <row r="559" spans="1:15">
      <c r="A559" s="71">
        <v>2023</v>
      </c>
      <c r="B559" s="16" t="s">
        <v>895</v>
      </c>
      <c r="C559" s="71" t="s">
        <v>942</v>
      </c>
      <c r="D559" s="2" t="s">
        <v>17</v>
      </c>
      <c r="E559" s="2" t="s">
        <v>944</v>
      </c>
      <c r="F559" s="9">
        <v>12</v>
      </c>
      <c r="G559" s="1" t="s">
        <v>19</v>
      </c>
      <c r="H559" s="490">
        <v>69</v>
      </c>
      <c r="I559" s="490">
        <f t="shared" si="32"/>
        <v>828</v>
      </c>
      <c r="J559" s="541">
        <v>64</v>
      </c>
      <c r="K559" s="525">
        <f t="shared" si="33"/>
        <v>5</v>
      </c>
      <c r="L559" s="526">
        <f t="shared" si="34"/>
        <v>60</v>
      </c>
      <c r="M559" s="527">
        <f t="shared" si="35"/>
        <v>7.2463768115942032E-2</v>
      </c>
      <c r="N559" s="50" t="s">
        <v>22</v>
      </c>
      <c r="O559" s="94" t="s">
        <v>21</v>
      </c>
    </row>
    <row r="560" spans="1:15">
      <c r="A560" s="71">
        <v>2023</v>
      </c>
      <c r="B560" s="16" t="s">
        <v>895</v>
      </c>
      <c r="C560" s="71" t="s">
        <v>945</v>
      </c>
      <c r="D560" s="2" t="s">
        <v>946</v>
      </c>
      <c r="E560" s="2" t="s">
        <v>947</v>
      </c>
      <c r="F560" s="9">
        <v>2000</v>
      </c>
      <c r="G560" s="1" t="s">
        <v>869</v>
      </c>
      <c r="H560" s="402">
        <v>22.5</v>
      </c>
      <c r="I560" s="8">
        <f t="shared" si="32"/>
        <v>45000</v>
      </c>
      <c r="J560" s="542">
        <v>21.375</v>
      </c>
      <c r="K560" s="521">
        <f t="shared" si="33"/>
        <v>1.125</v>
      </c>
      <c r="L560" s="522">
        <f t="shared" si="34"/>
        <v>2250</v>
      </c>
      <c r="M560" s="527">
        <f t="shared" si="35"/>
        <v>0.05</v>
      </c>
      <c r="N560" s="30" t="s">
        <v>22</v>
      </c>
      <c r="O560" s="2" t="s">
        <v>21</v>
      </c>
    </row>
    <row r="561" spans="1:15">
      <c r="A561" s="71">
        <v>2023</v>
      </c>
      <c r="B561" s="16" t="s">
        <v>895</v>
      </c>
      <c r="C561" s="71" t="s">
        <v>948</v>
      </c>
      <c r="D561" s="2" t="s">
        <v>946</v>
      </c>
      <c r="E561" s="2" t="s">
        <v>947</v>
      </c>
      <c r="F561" s="9">
        <v>3000</v>
      </c>
      <c r="G561" s="93" t="s">
        <v>869</v>
      </c>
      <c r="H561" s="8">
        <v>22.5</v>
      </c>
      <c r="I561" s="8">
        <f t="shared" si="32"/>
        <v>67500</v>
      </c>
      <c r="J561" s="542">
        <v>21.375</v>
      </c>
      <c r="K561" s="521">
        <f t="shared" si="33"/>
        <v>1.125</v>
      </c>
      <c r="L561" s="522">
        <f t="shared" si="34"/>
        <v>3375</v>
      </c>
      <c r="M561" s="527">
        <f t="shared" si="35"/>
        <v>0.05</v>
      </c>
      <c r="N561" s="30" t="s">
        <v>22</v>
      </c>
      <c r="O561" s="2" t="s">
        <v>21</v>
      </c>
    </row>
    <row r="562" spans="1:15">
      <c r="A562" s="71">
        <v>2023</v>
      </c>
      <c r="B562" s="16" t="s">
        <v>895</v>
      </c>
      <c r="C562" s="71" t="s">
        <v>949</v>
      </c>
      <c r="D562" s="2" t="s">
        <v>182</v>
      </c>
      <c r="E562" s="2" t="s">
        <v>950</v>
      </c>
      <c r="F562" s="9">
        <v>2</v>
      </c>
      <c r="G562" s="1" t="s">
        <v>19</v>
      </c>
      <c r="H562" s="8">
        <v>7650</v>
      </c>
      <c r="I562" s="8">
        <f t="shared" si="32"/>
        <v>15300</v>
      </c>
      <c r="J562" s="539">
        <v>6120</v>
      </c>
      <c r="K562" s="521">
        <f t="shared" si="33"/>
        <v>1530</v>
      </c>
      <c r="L562" s="522">
        <f t="shared" si="34"/>
        <v>3060</v>
      </c>
      <c r="M562" s="523">
        <f t="shared" si="35"/>
        <v>0.2</v>
      </c>
      <c r="N562" s="30" t="s">
        <v>38</v>
      </c>
      <c r="O562" s="2" t="s">
        <v>21</v>
      </c>
    </row>
    <row r="563" spans="1:15">
      <c r="A563" s="71">
        <v>2023</v>
      </c>
      <c r="B563" s="16" t="s">
        <v>895</v>
      </c>
      <c r="C563" s="71" t="s">
        <v>951</v>
      </c>
      <c r="D563" s="2" t="s">
        <v>118</v>
      </c>
      <c r="E563" s="2" t="s">
        <v>952</v>
      </c>
      <c r="F563" s="9">
        <v>200</v>
      </c>
      <c r="G563" s="1" t="s">
        <v>499</v>
      </c>
      <c r="H563" s="8">
        <v>120</v>
      </c>
      <c r="I563" s="8">
        <f t="shared" si="32"/>
        <v>24000</v>
      </c>
      <c r="J563" s="539">
        <v>99</v>
      </c>
      <c r="K563" s="521">
        <f t="shared" si="33"/>
        <v>21</v>
      </c>
      <c r="L563" s="522">
        <f t="shared" si="34"/>
        <v>4200</v>
      </c>
      <c r="M563" s="523">
        <f t="shared" si="35"/>
        <v>0.17499999999999999</v>
      </c>
      <c r="N563" s="34" t="s">
        <v>22</v>
      </c>
      <c r="O563" s="2" t="s">
        <v>21</v>
      </c>
    </row>
    <row r="564" spans="1:15">
      <c r="A564" s="71">
        <v>2023</v>
      </c>
      <c r="B564" s="16" t="s">
        <v>895</v>
      </c>
      <c r="C564" s="71" t="s">
        <v>953</v>
      </c>
      <c r="D564" s="2" t="s">
        <v>236</v>
      </c>
      <c r="E564" s="2" t="s">
        <v>954</v>
      </c>
      <c r="F564" s="9">
        <v>1</v>
      </c>
      <c r="G564" s="1" t="s">
        <v>19</v>
      </c>
      <c r="H564" s="8">
        <v>27000</v>
      </c>
      <c r="I564" s="8">
        <f t="shared" si="32"/>
        <v>27000</v>
      </c>
      <c r="J564" s="539">
        <v>20000</v>
      </c>
      <c r="K564" s="521">
        <f t="shared" si="33"/>
        <v>7000</v>
      </c>
      <c r="L564" s="522">
        <f t="shared" si="34"/>
        <v>7000</v>
      </c>
      <c r="M564" s="523">
        <f t="shared" si="35"/>
        <v>0.25925925925925924</v>
      </c>
      <c r="N564" s="34" t="s">
        <v>22</v>
      </c>
      <c r="O564" s="2" t="s">
        <v>21</v>
      </c>
    </row>
    <row r="565" spans="1:15">
      <c r="A565" s="71">
        <v>2023</v>
      </c>
      <c r="B565" s="16" t="s">
        <v>895</v>
      </c>
      <c r="C565" s="71" t="s">
        <v>955</v>
      </c>
      <c r="D565" s="2" t="s">
        <v>110</v>
      </c>
      <c r="E565" s="2" t="s">
        <v>956</v>
      </c>
      <c r="F565" s="9">
        <v>1</v>
      </c>
      <c r="G565" s="1" t="s">
        <v>19</v>
      </c>
      <c r="H565" s="8">
        <v>17990</v>
      </c>
      <c r="I565" s="8">
        <f t="shared" si="32"/>
        <v>17990</v>
      </c>
      <c r="J565" s="539">
        <v>15500</v>
      </c>
      <c r="K565" s="521">
        <f t="shared" si="33"/>
        <v>2490</v>
      </c>
      <c r="L565" s="522">
        <f t="shared" si="34"/>
        <v>2490</v>
      </c>
      <c r="M565" s="523">
        <f t="shared" si="35"/>
        <v>0.13841022790439134</v>
      </c>
      <c r="N565" s="30" t="s">
        <v>22</v>
      </c>
      <c r="O565" s="2" t="s">
        <v>21</v>
      </c>
    </row>
    <row r="566" spans="1:15">
      <c r="A566" s="71">
        <v>2023</v>
      </c>
      <c r="B566" s="16" t="s">
        <v>895</v>
      </c>
      <c r="C566" s="71" t="s">
        <v>957</v>
      </c>
      <c r="D566" s="2" t="s">
        <v>329</v>
      </c>
      <c r="E566" s="2" t="s">
        <v>18</v>
      </c>
      <c r="F566" s="9">
        <v>72</v>
      </c>
      <c r="G566" s="1" t="s">
        <v>19</v>
      </c>
      <c r="H566" s="8">
        <v>480</v>
      </c>
      <c r="I566" s="8">
        <f t="shared" si="32"/>
        <v>34560</v>
      </c>
      <c r="J566" s="539">
        <v>400</v>
      </c>
      <c r="K566" s="521">
        <f t="shared" si="33"/>
        <v>80</v>
      </c>
      <c r="L566" s="522">
        <f t="shared" si="34"/>
        <v>5760</v>
      </c>
      <c r="M566" s="523">
        <f t="shared" si="35"/>
        <v>0.16666666666666666</v>
      </c>
      <c r="N566" s="30" t="s">
        <v>22</v>
      </c>
      <c r="O566" s="2" t="s">
        <v>21</v>
      </c>
    </row>
    <row r="567" spans="1:15">
      <c r="A567" s="71">
        <v>2023</v>
      </c>
      <c r="B567" s="16" t="s">
        <v>895</v>
      </c>
      <c r="C567" s="71" t="s">
        <v>958</v>
      </c>
      <c r="D567" s="2" t="s">
        <v>128</v>
      </c>
      <c r="E567" s="2" t="s">
        <v>959</v>
      </c>
      <c r="F567" s="9">
        <v>1</v>
      </c>
      <c r="G567" s="1" t="s">
        <v>19</v>
      </c>
      <c r="H567" s="8">
        <v>6400</v>
      </c>
      <c r="I567" s="8">
        <f t="shared" si="32"/>
        <v>6400</v>
      </c>
      <c r="J567" s="539">
        <v>4500</v>
      </c>
      <c r="K567" s="521">
        <f t="shared" si="33"/>
        <v>1900</v>
      </c>
      <c r="L567" s="522">
        <f t="shared" si="34"/>
        <v>1900</v>
      </c>
      <c r="M567" s="523">
        <f t="shared" si="35"/>
        <v>0.296875</v>
      </c>
      <c r="N567" s="30" t="s">
        <v>22</v>
      </c>
      <c r="O567" s="2" t="s">
        <v>21</v>
      </c>
    </row>
    <row r="568" spans="1:15">
      <c r="A568" s="71">
        <v>2023</v>
      </c>
      <c r="B568" s="16" t="s">
        <v>895</v>
      </c>
      <c r="C568" s="71" t="s">
        <v>960</v>
      </c>
      <c r="D568" s="2" t="s">
        <v>892</v>
      </c>
      <c r="E568" s="2" t="s">
        <v>894</v>
      </c>
      <c r="F568" s="9">
        <v>150</v>
      </c>
      <c r="G568" s="1" t="s">
        <v>19</v>
      </c>
      <c r="H568" s="8">
        <v>1500</v>
      </c>
      <c r="I568" s="8">
        <f t="shared" si="32"/>
        <v>225000</v>
      </c>
      <c r="J568" s="539">
        <v>1350</v>
      </c>
      <c r="K568" s="521">
        <f t="shared" si="33"/>
        <v>150</v>
      </c>
      <c r="L568" s="522">
        <f t="shared" si="34"/>
        <v>22500</v>
      </c>
      <c r="M568" s="523">
        <f t="shared" si="35"/>
        <v>0.1</v>
      </c>
      <c r="N568" s="30" t="s">
        <v>38</v>
      </c>
      <c r="O568" s="2" t="s">
        <v>105</v>
      </c>
    </row>
    <row r="569" spans="1:15">
      <c r="A569" s="71">
        <v>2023</v>
      </c>
      <c r="B569" s="16" t="s">
        <v>895</v>
      </c>
      <c r="C569" s="71" t="s">
        <v>961</v>
      </c>
      <c r="D569" s="2" t="s">
        <v>68</v>
      </c>
      <c r="E569" s="2" t="s">
        <v>962</v>
      </c>
      <c r="F569" s="9">
        <v>695.9</v>
      </c>
      <c r="G569" s="1" t="s">
        <v>37</v>
      </c>
      <c r="H569" s="8">
        <v>355</v>
      </c>
      <c r="I569" s="8">
        <f t="shared" si="32"/>
        <v>247044.5</v>
      </c>
      <c r="J569" s="539">
        <v>345</v>
      </c>
      <c r="K569" s="521">
        <f t="shared" si="33"/>
        <v>10</v>
      </c>
      <c r="L569" s="522">
        <f t="shared" si="34"/>
        <v>6959</v>
      </c>
      <c r="M569" s="523">
        <f t="shared" si="35"/>
        <v>2.8169014084507043E-2</v>
      </c>
      <c r="N569" s="30" t="s">
        <v>22</v>
      </c>
      <c r="O569" s="2" t="s">
        <v>105</v>
      </c>
    </row>
    <row r="570" spans="1:15">
      <c r="A570" s="71">
        <v>2023</v>
      </c>
      <c r="B570" s="16" t="s">
        <v>895</v>
      </c>
      <c r="C570" s="71" t="s">
        <v>963</v>
      </c>
      <c r="D570" s="2" t="s">
        <v>35</v>
      </c>
      <c r="E570" s="2" t="s">
        <v>711</v>
      </c>
      <c r="F570" s="9">
        <v>2428</v>
      </c>
      <c r="G570" s="1" t="s">
        <v>37</v>
      </c>
      <c r="H570" s="8">
        <v>355</v>
      </c>
      <c r="I570" s="8">
        <f t="shared" si="32"/>
        <v>861940</v>
      </c>
      <c r="J570" s="539">
        <v>354.5</v>
      </c>
      <c r="K570" s="521">
        <f t="shared" si="33"/>
        <v>0.5</v>
      </c>
      <c r="L570" s="522">
        <f t="shared" si="34"/>
        <v>1214</v>
      </c>
      <c r="M570" s="523">
        <f t="shared" si="35"/>
        <v>1.4084507042253522E-3</v>
      </c>
      <c r="N570" s="30" t="s">
        <v>38</v>
      </c>
      <c r="O570" s="2" t="s">
        <v>105</v>
      </c>
    </row>
    <row r="571" spans="1:15">
      <c r="A571" s="71">
        <v>2023</v>
      </c>
      <c r="B571" s="16" t="s">
        <v>895</v>
      </c>
      <c r="C571" s="71" t="s">
        <v>964</v>
      </c>
      <c r="D571" s="2" t="s">
        <v>94</v>
      </c>
      <c r="E571" s="2" t="s">
        <v>550</v>
      </c>
      <c r="F571" s="9">
        <v>500</v>
      </c>
      <c r="G571" s="1" t="s">
        <v>19</v>
      </c>
      <c r="H571" s="8">
        <v>48</v>
      </c>
      <c r="I571" s="8">
        <f t="shared" si="32"/>
        <v>24000</v>
      </c>
      <c r="J571" s="539">
        <v>47.56</v>
      </c>
      <c r="K571" s="521">
        <f t="shared" si="33"/>
        <v>0.43999999999999773</v>
      </c>
      <c r="L571" s="522">
        <f t="shared" si="34"/>
        <v>219.99999999999886</v>
      </c>
      <c r="M571" s="523">
        <f t="shared" si="35"/>
        <v>9.1666666666666199E-3</v>
      </c>
      <c r="N571" s="30" t="s">
        <v>22</v>
      </c>
      <c r="O571" s="2" t="s">
        <v>105</v>
      </c>
    </row>
    <row r="572" spans="1:15">
      <c r="A572" s="71">
        <v>2023</v>
      </c>
      <c r="B572" s="16" t="s">
        <v>895</v>
      </c>
      <c r="C572" s="71" t="s">
        <v>964</v>
      </c>
      <c r="D572" s="2" t="s">
        <v>94</v>
      </c>
      <c r="E572" s="2" t="s">
        <v>546</v>
      </c>
      <c r="F572" s="9">
        <v>200</v>
      </c>
      <c r="G572" s="1" t="s">
        <v>19</v>
      </c>
      <c r="H572" s="8">
        <v>183</v>
      </c>
      <c r="I572" s="8">
        <f t="shared" si="32"/>
        <v>36600</v>
      </c>
      <c r="J572" s="539">
        <v>182.25</v>
      </c>
      <c r="K572" s="521">
        <f t="shared" si="33"/>
        <v>0.75</v>
      </c>
      <c r="L572" s="522">
        <f t="shared" si="34"/>
        <v>150</v>
      </c>
      <c r="M572" s="523">
        <f t="shared" si="35"/>
        <v>4.0983606557377051E-3</v>
      </c>
      <c r="N572" s="30" t="s">
        <v>22</v>
      </c>
      <c r="O572" s="2" t="s">
        <v>105</v>
      </c>
    </row>
    <row r="573" spans="1:15">
      <c r="A573" s="71">
        <v>2023</v>
      </c>
      <c r="B573" s="16" t="s">
        <v>895</v>
      </c>
      <c r="C573" s="71" t="s">
        <v>965</v>
      </c>
      <c r="D573" s="2" t="s">
        <v>68</v>
      </c>
      <c r="E573" s="2" t="s">
        <v>962</v>
      </c>
      <c r="F573" s="9">
        <v>443.9</v>
      </c>
      <c r="G573" s="1" t="s">
        <v>37</v>
      </c>
      <c r="H573" s="8">
        <v>355</v>
      </c>
      <c r="I573" s="8">
        <f t="shared" si="32"/>
        <v>157584.5</v>
      </c>
      <c r="J573" s="539">
        <v>345</v>
      </c>
      <c r="K573" s="521">
        <f t="shared" si="33"/>
        <v>10</v>
      </c>
      <c r="L573" s="522">
        <f t="shared" si="34"/>
        <v>4439</v>
      </c>
      <c r="M573" s="523">
        <f t="shared" si="35"/>
        <v>2.8169014084507043E-2</v>
      </c>
      <c r="N573" s="30" t="s">
        <v>22</v>
      </c>
      <c r="O573" s="2" t="s">
        <v>105</v>
      </c>
    </row>
    <row r="574" spans="1:15">
      <c r="A574" s="71">
        <v>2023</v>
      </c>
      <c r="B574" s="16" t="s">
        <v>895</v>
      </c>
      <c r="C574" s="71" t="s">
        <v>966</v>
      </c>
      <c r="D574" s="2" t="s">
        <v>35</v>
      </c>
      <c r="E574" s="2" t="s">
        <v>217</v>
      </c>
      <c r="F574" s="9">
        <v>357</v>
      </c>
      <c r="G574" s="1" t="s">
        <v>37</v>
      </c>
      <c r="H574" s="8">
        <v>355</v>
      </c>
      <c r="I574" s="8">
        <f t="shared" si="32"/>
        <v>126735</v>
      </c>
      <c r="J574" s="539">
        <v>354.5</v>
      </c>
      <c r="K574" s="521">
        <f t="shared" si="33"/>
        <v>0.5</v>
      </c>
      <c r="L574" s="522">
        <f t="shared" si="34"/>
        <v>178.5</v>
      </c>
      <c r="M574" s="523">
        <f t="shared" si="35"/>
        <v>1.4084507042253522E-3</v>
      </c>
      <c r="N574" s="30" t="s">
        <v>38</v>
      </c>
      <c r="O574" s="2" t="s">
        <v>105</v>
      </c>
    </row>
    <row r="575" spans="1:15">
      <c r="A575" s="71">
        <v>2023</v>
      </c>
      <c r="B575" s="16" t="s">
        <v>895</v>
      </c>
      <c r="C575" s="71" t="s">
        <v>967</v>
      </c>
      <c r="D575" s="2" t="s">
        <v>279</v>
      </c>
      <c r="E575" s="2" t="s">
        <v>280</v>
      </c>
      <c r="F575" s="9">
        <v>100</v>
      </c>
      <c r="G575" s="1" t="s">
        <v>19</v>
      </c>
      <c r="H575" s="8">
        <v>65</v>
      </c>
      <c r="I575" s="8">
        <f t="shared" si="32"/>
        <v>6500</v>
      </c>
      <c r="J575" s="539">
        <v>50.08</v>
      </c>
      <c r="K575" s="521">
        <f t="shared" si="33"/>
        <v>14.920000000000002</v>
      </c>
      <c r="L575" s="522">
        <f t="shared" si="34"/>
        <v>1492.0000000000002</v>
      </c>
      <c r="M575" s="523">
        <f t="shared" si="35"/>
        <v>0.22953846153846155</v>
      </c>
      <c r="N575" s="30" t="s">
        <v>22</v>
      </c>
      <c r="O575" s="2" t="s">
        <v>105</v>
      </c>
    </row>
    <row r="576" spans="1:15">
      <c r="A576" s="71">
        <v>2023</v>
      </c>
      <c r="B576" s="16" t="s">
        <v>895</v>
      </c>
      <c r="C576" s="71" t="s">
        <v>967</v>
      </c>
      <c r="D576" s="2" t="s">
        <v>279</v>
      </c>
      <c r="E576" s="2" t="s">
        <v>281</v>
      </c>
      <c r="F576" s="9">
        <v>300</v>
      </c>
      <c r="G576" s="1" t="s">
        <v>19</v>
      </c>
      <c r="H576" s="8">
        <v>21</v>
      </c>
      <c r="I576" s="8">
        <f t="shared" si="32"/>
        <v>6300</v>
      </c>
      <c r="J576" s="539">
        <v>18.09</v>
      </c>
      <c r="K576" s="521">
        <f t="shared" si="33"/>
        <v>2.91</v>
      </c>
      <c r="L576" s="522">
        <f t="shared" si="34"/>
        <v>873</v>
      </c>
      <c r="M576" s="523">
        <f t="shared" si="35"/>
        <v>0.13857142857142857</v>
      </c>
      <c r="N576" s="30" t="s">
        <v>22</v>
      </c>
      <c r="O576" s="2" t="s">
        <v>105</v>
      </c>
    </row>
    <row r="577" spans="1:15">
      <c r="A577" s="71">
        <v>2023</v>
      </c>
      <c r="B577" s="16" t="s">
        <v>895</v>
      </c>
      <c r="C577" s="71" t="s">
        <v>967</v>
      </c>
      <c r="D577" s="2" t="s">
        <v>279</v>
      </c>
      <c r="E577" s="2" t="s">
        <v>968</v>
      </c>
      <c r="F577" s="9">
        <v>200</v>
      </c>
      <c r="G577" s="1" t="s">
        <v>19</v>
      </c>
      <c r="H577" s="8">
        <v>77</v>
      </c>
      <c r="I577" s="8">
        <f t="shared" si="32"/>
        <v>15400</v>
      </c>
      <c r="J577" s="539">
        <v>68.819999999999993</v>
      </c>
      <c r="K577" s="521">
        <f t="shared" si="33"/>
        <v>8.1800000000000068</v>
      </c>
      <c r="L577" s="522">
        <f t="shared" si="34"/>
        <v>1636.0000000000014</v>
      </c>
      <c r="M577" s="523">
        <f t="shared" si="35"/>
        <v>0.10623376623376632</v>
      </c>
      <c r="N577" s="30" t="s">
        <v>22</v>
      </c>
      <c r="O577" s="2" t="s">
        <v>105</v>
      </c>
    </row>
    <row r="578" spans="1:15">
      <c r="A578" s="71">
        <v>2023</v>
      </c>
      <c r="B578" s="16" t="s">
        <v>895</v>
      </c>
      <c r="C578" s="71" t="s">
        <v>967</v>
      </c>
      <c r="D578" s="2" t="s">
        <v>279</v>
      </c>
      <c r="E578" s="2" t="s">
        <v>651</v>
      </c>
      <c r="F578" s="9">
        <v>200</v>
      </c>
      <c r="G578" s="1" t="s">
        <v>19</v>
      </c>
      <c r="H578" s="8">
        <v>14</v>
      </c>
      <c r="I578" s="8">
        <f t="shared" si="32"/>
        <v>2800</v>
      </c>
      <c r="J578" s="539">
        <v>8.1999999999999993</v>
      </c>
      <c r="K578" s="521">
        <f t="shared" si="33"/>
        <v>5.8000000000000007</v>
      </c>
      <c r="L578" s="522">
        <f t="shared" si="34"/>
        <v>1160.0000000000002</v>
      </c>
      <c r="M578" s="523">
        <f t="shared" si="35"/>
        <v>0.41428571428571431</v>
      </c>
      <c r="N578" s="30" t="s">
        <v>22</v>
      </c>
      <c r="O578" s="2" t="s">
        <v>105</v>
      </c>
    </row>
    <row r="579" spans="1:15">
      <c r="A579" s="71">
        <v>2023</v>
      </c>
      <c r="B579" s="16" t="s">
        <v>895</v>
      </c>
      <c r="C579" s="71" t="s">
        <v>967</v>
      </c>
      <c r="D579" s="2" t="s">
        <v>279</v>
      </c>
      <c r="E579" s="2" t="s">
        <v>629</v>
      </c>
      <c r="F579" s="9">
        <v>90</v>
      </c>
      <c r="G579" s="1" t="s">
        <v>19</v>
      </c>
      <c r="H579" s="8">
        <v>55</v>
      </c>
      <c r="I579" s="8">
        <f t="shared" ref="I579:I642" si="36">H579*F579</f>
        <v>4950</v>
      </c>
      <c r="J579" s="539">
        <v>46.25</v>
      </c>
      <c r="K579" s="521">
        <f t="shared" ref="K579:K642" si="37">H579-J579</f>
        <v>8.75</v>
      </c>
      <c r="L579" s="522">
        <f t="shared" ref="L579:L642" si="38">K579*F579</f>
        <v>787.5</v>
      </c>
      <c r="M579" s="523">
        <f t="shared" ref="M579:M642" si="39">K579/H579</f>
        <v>0.15909090909090909</v>
      </c>
      <c r="N579" s="30" t="s">
        <v>22</v>
      </c>
      <c r="O579" s="2" t="s">
        <v>105</v>
      </c>
    </row>
    <row r="580" spans="1:15">
      <c r="A580" s="71">
        <v>2023</v>
      </c>
      <c r="B580" s="16" t="s">
        <v>895</v>
      </c>
      <c r="C580" s="71" t="s">
        <v>967</v>
      </c>
      <c r="D580" s="2" t="s">
        <v>279</v>
      </c>
      <c r="E580" s="2" t="s">
        <v>969</v>
      </c>
      <c r="F580" s="9">
        <v>100</v>
      </c>
      <c r="G580" s="1" t="s">
        <v>19</v>
      </c>
      <c r="H580" s="8">
        <v>14</v>
      </c>
      <c r="I580" s="8">
        <f t="shared" si="36"/>
        <v>1400</v>
      </c>
      <c r="J580" s="539">
        <v>10.64</v>
      </c>
      <c r="K580" s="521">
        <f t="shared" si="37"/>
        <v>3.3599999999999994</v>
      </c>
      <c r="L580" s="522">
        <f t="shared" si="38"/>
        <v>335.99999999999994</v>
      </c>
      <c r="M580" s="523">
        <f t="shared" si="39"/>
        <v>0.23999999999999996</v>
      </c>
      <c r="N580" s="30" t="s">
        <v>22</v>
      </c>
      <c r="O580" s="2" t="s">
        <v>105</v>
      </c>
    </row>
    <row r="581" spans="1:15">
      <c r="A581" s="71">
        <v>2023</v>
      </c>
      <c r="B581" s="16" t="s">
        <v>895</v>
      </c>
      <c r="C581" s="71" t="s">
        <v>970</v>
      </c>
      <c r="D581" s="2" t="s">
        <v>94</v>
      </c>
      <c r="E581" s="2" t="s">
        <v>550</v>
      </c>
      <c r="F581" s="9">
        <v>500</v>
      </c>
      <c r="G581" s="1" t="s">
        <v>19</v>
      </c>
      <c r="H581" s="8">
        <v>49</v>
      </c>
      <c r="I581" s="8">
        <f t="shared" si="36"/>
        <v>24500</v>
      </c>
      <c r="J581" s="539">
        <v>47.56</v>
      </c>
      <c r="K581" s="521">
        <f t="shared" si="37"/>
        <v>1.4399999999999977</v>
      </c>
      <c r="L581" s="522">
        <f t="shared" si="38"/>
        <v>719.99999999999886</v>
      </c>
      <c r="M581" s="523">
        <f t="shared" si="39"/>
        <v>2.938775510204077E-2</v>
      </c>
      <c r="N581" s="30" t="s">
        <v>22</v>
      </c>
      <c r="O581" s="2" t="s">
        <v>105</v>
      </c>
    </row>
    <row r="582" spans="1:15">
      <c r="A582" s="71">
        <v>2023</v>
      </c>
      <c r="B582" s="16" t="s">
        <v>895</v>
      </c>
      <c r="C582" s="71" t="s">
        <v>970</v>
      </c>
      <c r="D582" s="2" t="s">
        <v>94</v>
      </c>
      <c r="E582" s="2" t="s">
        <v>971</v>
      </c>
      <c r="F582" s="9">
        <v>90</v>
      </c>
      <c r="G582" s="1" t="s">
        <v>615</v>
      </c>
      <c r="H582" s="8">
        <v>115</v>
      </c>
      <c r="I582" s="8">
        <f t="shared" si="36"/>
        <v>10350</v>
      </c>
      <c r="J582" s="539">
        <v>91.85</v>
      </c>
      <c r="K582" s="521">
        <f t="shared" si="37"/>
        <v>23.150000000000006</v>
      </c>
      <c r="L582" s="522">
        <f t="shared" si="38"/>
        <v>2083.5000000000005</v>
      </c>
      <c r="M582" s="523">
        <f t="shared" si="39"/>
        <v>0.201304347826087</v>
      </c>
      <c r="N582" s="30" t="s">
        <v>22</v>
      </c>
      <c r="O582" s="2" t="s">
        <v>105</v>
      </c>
    </row>
    <row r="583" spans="1:15">
      <c r="A583" s="71">
        <v>2023</v>
      </c>
      <c r="B583" s="16" t="s">
        <v>895</v>
      </c>
      <c r="C583" s="71" t="s">
        <v>972</v>
      </c>
      <c r="D583" s="2" t="s">
        <v>94</v>
      </c>
      <c r="E583" s="2" t="s">
        <v>973</v>
      </c>
      <c r="F583" s="9">
        <v>1</v>
      </c>
      <c r="G583" s="1" t="s">
        <v>29</v>
      </c>
      <c r="H583" s="8">
        <v>5900</v>
      </c>
      <c r="I583" s="8">
        <f t="shared" si="36"/>
        <v>5900</v>
      </c>
      <c r="J583" s="539">
        <v>5470</v>
      </c>
      <c r="K583" s="521">
        <f t="shared" si="37"/>
        <v>430</v>
      </c>
      <c r="L583" s="522">
        <f t="shared" si="38"/>
        <v>430</v>
      </c>
      <c r="M583" s="523">
        <f t="shared" si="39"/>
        <v>7.2881355932203393E-2</v>
      </c>
      <c r="N583" s="30" t="s">
        <v>22</v>
      </c>
      <c r="O583" s="2" t="s">
        <v>105</v>
      </c>
    </row>
    <row r="584" spans="1:15">
      <c r="A584" s="71">
        <v>2023</v>
      </c>
      <c r="B584" s="16" t="s">
        <v>895</v>
      </c>
      <c r="C584" s="71" t="s">
        <v>974</v>
      </c>
      <c r="D584" s="2" t="s">
        <v>35</v>
      </c>
      <c r="E584" s="32" t="s">
        <v>711</v>
      </c>
      <c r="F584" s="52">
        <v>6580</v>
      </c>
      <c r="G584" s="1" t="s">
        <v>37</v>
      </c>
      <c r="H584" s="8">
        <v>355</v>
      </c>
      <c r="I584" s="8">
        <f t="shared" si="36"/>
        <v>2335900</v>
      </c>
      <c r="J584" s="539">
        <v>354.5</v>
      </c>
      <c r="K584" s="521">
        <f t="shared" si="37"/>
        <v>0.5</v>
      </c>
      <c r="L584" s="522">
        <f t="shared" si="38"/>
        <v>3290</v>
      </c>
      <c r="M584" s="523">
        <f t="shared" si="39"/>
        <v>1.4084507042253522E-3</v>
      </c>
      <c r="N584" s="30" t="s">
        <v>38</v>
      </c>
      <c r="O584" s="2" t="s">
        <v>105</v>
      </c>
    </row>
    <row r="585" spans="1:15">
      <c r="A585" s="71">
        <v>2023</v>
      </c>
      <c r="B585" s="16" t="s">
        <v>895</v>
      </c>
      <c r="C585" s="71" t="s">
        <v>975</v>
      </c>
      <c r="D585" s="2" t="s">
        <v>192</v>
      </c>
      <c r="E585" s="2" t="s">
        <v>976</v>
      </c>
      <c r="F585" s="9">
        <v>4200</v>
      </c>
      <c r="G585" s="1" t="s">
        <v>337</v>
      </c>
      <c r="H585" s="8">
        <v>55</v>
      </c>
      <c r="I585" s="8">
        <f t="shared" si="36"/>
        <v>231000</v>
      </c>
      <c r="J585" s="539">
        <v>54</v>
      </c>
      <c r="K585" s="521">
        <f t="shared" si="37"/>
        <v>1</v>
      </c>
      <c r="L585" s="522">
        <f t="shared" si="38"/>
        <v>4200</v>
      </c>
      <c r="M585" s="523">
        <f t="shared" si="39"/>
        <v>1.8181818181818181E-2</v>
      </c>
      <c r="N585" s="30" t="s">
        <v>38</v>
      </c>
      <c r="O585" s="2" t="s">
        <v>105</v>
      </c>
    </row>
    <row r="586" spans="1:15">
      <c r="A586" s="71">
        <v>2023</v>
      </c>
      <c r="B586" s="16" t="s">
        <v>895</v>
      </c>
      <c r="C586" s="71" t="s">
        <v>977</v>
      </c>
      <c r="D586" s="2" t="s">
        <v>290</v>
      </c>
      <c r="E586" s="2" t="s">
        <v>978</v>
      </c>
      <c r="F586" s="9">
        <v>1</v>
      </c>
      <c r="G586" s="1" t="s">
        <v>285</v>
      </c>
      <c r="H586" s="8">
        <v>39000</v>
      </c>
      <c r="I586" s="8">
        <f t="shared" si="36"/>
        <v>39000</v>
      </c>
      <c r="J586" s="539">
        <v>37500</v>
      </c>
      <c r="K586" s="521">
        <f t="shared" si="37"/>
        <v>1500</v>
      </c>
      <c r="L586" s="522">
        <f t="shared" si="38"/>
        <v>1500</v>
      </c>
      <c r="M586" s="523">
        <f t="shared" si="39"/>
        <v>3.8461538461538464E-2</v>
      </c>
      <c r="N586" s="30" t="s">
        <v>22</v>
      </c>
      <c r="O586" s="2" t="s">
        <v>105</v>
      </c>
    </row>
    <row r="587" spans="1:15">
      <c r="A587" s="71">
        <v>2023</v>
      </c>
      <c r="B587" s="16" t="s">
        <v>895</v>
      </c>
      <c r="C587" s="71" t="s">
        <v>979</v>
      </c>
      <c r="D587" s="2" t="s">
        <v>35</v>
      </c>
      <c r="E587" s="2" t="s">
        <v>711</v>
      </c>
      <c r="F587" s="9">
        <v>841</v>
      </c>
      <c r="G587" s="1" t="s">
        <v>37</v>
      </c>
      <c r="H587" s="8">
        <v>355</v>
      </c>
      <c r="I587" s="8">
        <f t="shared" si="36"/>
        <v>298555</v>
      </c>
      <c r="J587" s="539">
        <v>354.5</v>
      </c>
      <c r="K587" s="521">
        <f t="shared" si="37"/>
        <v>0.5</v>
      </c>
      <c r="L587" s="522">
        <f t="shared" si="38"/>
        <v>420.5</v>
      </c>
      <c r="M587" s="523">
        <f t="shared" si="39"/>
        <v>1.4084507042253522E-3</v>
      </c>
      <c r="N587" s="30" t="s">
        <v>38</v>
      </c>
      <c r="O587" s="2" t="s">
        <v>105</v>
      </c>
    </row>
    <row r="588" spans="1:15">
      <c r="A588" s="71">
        <v>2023</v>
      </c>
      <c r="B588" s="16" t="s">
        <v>895</v>
      </c>
      <c r="C588" s="71" t="s">
        <v>980</v>
      </c>
      <c r="D588" s="2" t="s">
        <v>981</v>
      </c>
      <c r="E588" s="2" t="s">
        <v>982</v>
      </c>
      <c r="F588" s="9">
        <v>1700</v>
      </c>
      <c r="G588" s="1" t="s">
        <v>19</v>
      </c>
      <c r="H588" s="8">
        <v>22.65</v>
      </c>
      <c r="I588" s="8">
        <f t="shared" si="36"/>
        <v>38505</v>
      </c>
      <c r="J588" s="539">
        <v>18</v>
      </c>
      <c r="K588" s="521">
        <f t="shared" si="37"/>
        <v>4.6499999999999986</v>
      </c>
      <c r="L588" s="522">
        <f t="shared" si="38"/>
        <v>7904.9999999999973</v>
      </c>
      <c r="M588" s="523">
        <f t="shared" si="39"/>
        <v>0.20529801324503305</v>
      </c>
      <c r="N588" s="34" t="s">
        <v>22</v>
      </c>
      <c r="O588" s="2" t="s">
        <v>105</v>
      </c>
    </row>
    <row r="589" spans="1:15">
      <c r="A589" s="71">
        <v>2023</v>
      </c>
      <c r="B589" s="16" t="s">
        <v>895</v>
      </c>
      <c r="C589" s="71" t="s">
        <v>983</v>
      </c>
      <c r="D589" s="2" t="s">
        <v>68</v>
      </c>
      <c r="E589" s="2" t="s">
        <v>962</v>
      </c>
      <c r="F589" s="9">
        <v>1699.8</v>
      </c>
      <c r="G589" s="1" t="s">
        <v>37</v>
      </c>
      <c r="H589" s="8">
        <v>345</v>
      </c>
      <c r="I589" s="8">
        <f t="shared" si="36"/>
        <v>586431</v>
      </c>
      <c r="J589" s="539">
        <v>340</v>
      </c>
      <c r="K589" s="521">
        <f t="shared" si="37"/>
        <v>5</v>
      </c>
      <c r="L589" s="522">
        <f t="shared" si="38"/>
        <v>8499</v>
      </c>
      <c r="M589" s="523">
        <f t="shared" si="39"/>
        <v>1.4492753623188406E-2</v>
      </c>
      <c r="N589" s="34" t="s">
        <v>22</v>
      </c>
      <c r="O589" s="2" t="s">
        <v>105</v>
      </c>
    </row>
    <row r="590" spans="1:15">
      <c r="A590" s="71">
        <v>2023</v>
      </c>
      <c r="B590" s="16" t="s">
        <v>895</v>
      </c>
      <c r="C590" s="71" t="s">
        <v>984</v>
      </c>
      <c r="D590" s="2" t="s">
        <v>35</v>
      </c>
      <c r="E590" s="2" t="s">
        <v>711</v>
      </c>
      <c r="F590" s="9">
        <v>2134</v>
      </c>
      <c r="G590" s="1" t="s">
        <v>37</v>
      </c>
      <c r="H590" s="8">
        <v>355</v>
      </c>
      <c r="I590" s="8">
        <f t="shared" si="36"/>
        <v>757570</v>
      </c>
      <c r="J590" s="539">
        <v>354.5</v>
      </c>
      <c r="K590" s="521">
        <f t="shared" si="37"/>
        <v>0.5</v>
      </c>
      <c r="L590" s="522">
        <f t="shared" si="38"/>
        <v>1067</v>
      </c>
      <c r="M590" s="523">
        <f t="shared" si="39"/>
        <v>1.4084507042253522E-3</v>
      </c>
      <c r="N590" s="34" t="s">
        <v>38</v>
      </c>
      <c r="O590" s="2" t="s">
        <v>105</v>
      </c>
    </row>
    <row r="591" spans="1:15">
      <c r="A591" s="71">
        <v>2023</v>
      </c>
      <c r="B591" s="16" t="s">
        <v>895</v>
      </c>
      <c r="C591" s="71" t="s">
        <v>985</v>
      </c>
      <c r="D591" s="2" t="s">
        <v>94</v>
      </c>
      <c r="E591" s="32" t="s">
        <v>613</v>
      </c>
      <c r="F591" s="52">
        <v>100</v>
      </c>
      <c r="G591" s="1" t="s">
        <v>19</v>
      </c>
      <c r="H591" s="8">
        <v>25.5</v>
      </c>
      <c r="I591" s="8">
        <f t="shared" si="36"/>
        <v>2550</v>
      </c>
      <c r="J591" s="539">
        <v>24.6</v>
      </c>
      <c r="K591" s="521">
        <f t="shared" si="37"/>
        <v>0.89999999999999858</v>
      </c>
      <c r="L591" s="522">
        <f t="shared" si="38"/>
        <v>89.999999999999858</v>
      </c>
      <c r="M591" s="523">
        <f t="shared" si="39"/>
        <v>3.5294117647058768E-2</v>
      </c>
      <c r="N591" s="34" t="s">
        <v>22</v>
      </c>
      <c r="O591" s="2" t="s">
        <v>105</v>
      </c>
    </row>
    <row r="592" spans="1:15">
      <c r="A592" s="71">
        <v>2023</v>
      </c>
      <c r="B592" s="16" t="s">
        <v>895</v>
      </c>
      <c r="C592" s="71" t="s">
        <v>985</v>
      </c>
      <c r="D592" s="2" t="s">
        <v>94</v>
      </c>
      <c r="E592" s="2" t="s">
        <v>550</v>
      </c>
      <c r="F592" s="9">
        <v>300</v>
      </c>
      <c r="G592" s="1" t="s">
        <v>19</v>
      </c>
      <c r="H592" s="8">
        <v>49</v>
      </c>
      <c r="I592" s="8">
        <f t="shared" si="36"/>
        <v>14700</v>
      </c>
      <c r="J592" s="539">
        <v>47.56</v>
      </c>
      <c r="K592" s="521">
        <f t="shared" si="37"/>
        <v>1.4399999999999977</v>
      </c>
      <c r="L592" s="522">
        <f t="shared" si="38"/>
        <v>431.99999999999932</v>
      </c>
      <c r="M592" s="523">
        <f t="shared" si="39"/>
        <v>2.938775510204077E-2</v>
      </c>
      <c r="N592" s="34" t="s">
        <v>22</v>
      </c>
      <c r="O592" s="2" t="s">
        <v>105</v>
      </c>
    </row>
    <row r="593" spans="1:15">
      <c r="A593" s="71">
        <v>2023</v>
      </c>
      <c r="B593" s="16" t="s">
        <v>895</v>
      </c>
      <c r="C593" s="71" t="s">
        <v>986</v>
      </c>
      <c r="D593" s="2" t="s">
        <v>590</v>
      </c>
      <c r="E593" s="2" t="s">
        <v>987</v>
      </c>
      <c r="F593" s="9">
        <v>2</v>
      </c>
      <c r="G593" s="1" t="s">
        <v>63</v>
      </c>
      <c r="H593" s="8">
        <v>84000</v>
      </c>
      <c r="I593" s="8">
        <f t="shared" si="36"/>
        <v>168000</v>
      </c>
      <c r="J593" s="539">
        <v>82000</v>
      </c>
      <c r="K593" s="521">
        <f t="shared" si="37"/>
        <v>2000</v>
      </c>
      <c r="L593" s="522">
        <f t="shared" si="38"/>
        <v>4000</v>
      </c>
      <c r="M593" s="523">
        <f t="shared" si="39"/>
        <v>2.3809523809523808E-2</v>
      </c>
      <c r="N593" s="34" t="s">
        <v>22</v>
      </c>
      <c r="O593" s="2" t="s">
        <v>39</v>
      </c>
    </row>
    <row r="594" spans="1:15">
      <c r="A594" s="71">
        <v>2023</v>
      </c>
      <c r="B594" s="16" t="s">
        <v>895</v>
      </c>
      <c r="C594" s="71" t="s">
        <v>986</v>
      </c>
      <c r="D594" s="2" t="s">
        <v>590</v>
      </c>
      <c r="E594" s="2" t="s">
        <v>988</v>
      </c>
      <c r="F594" s="9">
        <v>4</v>
      </c>
      <c r="G594" s="1" t="s">
        <v>63</v>
      </c>
      <c r="H594" s="8">
        <v>5500</v>
      </c>
      <c r="I594" s="8">
        <f t="shared" si="36"/>
        <v>22000</v>
      </c>
      <c r="J594" s="539">
        <v>5300</v>
      </c>
      <c r="K594" s="521">
        <f t="shared" si="37"/>
        <v>200</v>
      </c>
      <c r="L594" s="522">
        <f t="shared" si="38"/>
        <v>800</v>
      </c>
      <c r="M594" s="523">
        <f t="shared" si="39"/>
        <v>3.6363636363636362E-2</v>
      </c>
      <c r="N594" s="34" t="s">
        <v>22</v>
      </c>
      <c r="O594" s="2" t="s">
        <v>39</v>
      </c>
    </row>
    <row r="595" spans="1:15">
      <c r="A595" s="71">
        <v>2023</v>
      </c>
      <c r="B595" s="16" t="s">
        <v>895</v>
      </c>
      <c r="C595" s="71" t="s">
        <v>989</v>
      </c>
      <c r="D595" s="2" t="s">
        <v>590</v>
      </c>
      <c r="E595" s="2" t="s">
        <v>987</v>
      </c>
      <c r="F595" s="9">
        <v>8</v>
      </c>
      <c r="G595" s="1" t="s">
        <v>63</v>
      </c>
      <c r="H595" s="8">
        <v>84000</v>
      </c>
      <c r="I595" s="8">
        <f t="shared" si="36"/>
        <v>672000</v>
      </c>
      <c r="J595" s="539">
        <v>82000</v>
      </c>
      <c r="K595" s="521">
        <f t="shared" si="37"/>
        <v>2000</v>
      </c>
      <c r="L595" s="522">
        <f t="shared" si="38"/>
        <v>16000</v>
      </c>
      <c r="M595" s="523">
        <f t="shared" si="39"/>
        <v>2.3809523809523808E-2</v>
      </c>
      <c r="N595" s="34" t="s">
        <v>22</v>
      </c>
      <c r="O595" s="2" t="s">
        <v>39</v>
      </c>
    </row>
    <row r="596" spans="1:15">
      <c r="A596" s="71">
        <v>2023</v>
      </c>
      <c r="B596" s="16" t="s">
        <v>895</v>
      </c>
      <c r="C596" s="71" t="s">
        <v>989</v>
      </c>
      <c r="D596" s="2" t="s">
        <v>590</v>
      </c>
      <c r="E596" s="2" t="s">
        <v>988</v>
      </c>
      <c r="F596" s="9">
        <v>6</v>
      </c>
      <c r="G596" s="1" t="s">
        <v>63</v>
      </c>
      <c r="H596" s="8">
        <v>5500</v>
      </c>
      <c r="I596" s="8">
        <f t="shared" si="36"/>
        <v>33000</v>
      </c>
      <c r="J596" s="539">
        <v>5300</v>
      </c>
      <c r="K596" s="521">
        <f t="shared" si="37"/>
        <v>200</v>
      </c>
      <c r="L596" s="522">
        <f t="shared" si="38"/>
        <v>1200</v>
      </c>
      <c r="M596" s="523">
        <f t="shared" si="39"/>
        <v>3.6363636363636362E-2</v>
      </c>
      <c r="N596" s="34" t="s">
        <v>22</v>
      </c>
      <c r="O596" s="2" t="s">
        <v>39</v>
      </c>
    </row>
    <row r="597" spans="1:15">
      <c r="A597" s="71">
        <v>2023</v>
      </c>
      <c r="B597" s="16" t="s">
        <v>895</v>
      </c>
      <c r="C597" s="71" t="s">
        <v>990</v>
      </c>
      <c r="D597" s="2" t="s">
        <v>94</v>
      </c>
      <c r="E597" s="2" t="s">
        <v>991</v>
      </c>
      <c r="F597" s="9">
        <v>1</v>
      </c>
      <c r="G597" s="1" t="s">
        <v>19</v>
      </c>
      <c r="H597" s="8">
        <v>5500</v>
      </c>
      <c r="I597" s="8">
        <f t="shared" si="36"/>
        <v>5500</v>
      </c>
      <c r="J597" s="539">
        <v>5400</v>
      </c>
      <c r="K597" s="521">
        <f t="shared" si="37"/>
        <v>100</v>
      </c>
      <c r="L597" s="522">
        <f t="shared" si="38"/>
        <v>100</v>
      </c>
      <c r="M597" s="523">
        <f t="shared" si="39"/>
        <v>1.8181818181818181E-2</v>
      </c>
      <c r="N597" s="34" t="s">
        <v>38</v>
      </c>
      <c r="O597" s="2" t="s">
        <v>105</v>
      </c>
    </row>
    <row r="598" spans="1:15">
      <c r="A598" s="71">
        <v>2023</v>
      </c>
      <c r="B598" s="16" t="s">
        <v>895</v>
      </c>
      <c r="C598" s="71" t="s">
        <v>992</v>
      </c>
      <c r="D598" s="2" t="s">
        <v>617</v>
      </c>
      <c r="E598" s="68" t="s">
        <v>230</v>
      </c>
      <c r="F598" s="68">
        <v>3000</v>
      </c>
      <c r="G598" s="1" t="s">
        <v>499</v>
      </c>
      <c r="H598" s="8">
        <v>32</v>
      </c>
      <c r="I598" s="8">
        <f t="shared" si="36"/>
        <v>96000</v>
      </c>
      <c r="J598" s="539">
        <v>31.8</v>
      </c>
      <c r="K598" s="521">
        <f t="shared" si="37"/>
        <v>0.19999999999999929</v>
      </c>
      <c r="L598" s="522">
        <f t="shared" si="38"/>
        <v>599.99999999999784</v>
      </c>
      <c r="M598" s="523">
        <f t="shared" si="39"/>
        <v>6.2499999999999778E-3</v>
      </c>
      <c r="N598" s="34" t="s">
        <v>22</v>
      </c>
      <c r="O598" s="2" t="s">
        <v>39</v>
      </c>
    </row>
    <row r="599" spans="1:15">
      <c r="A599" s="71">
        <v>2023</v>
      </c>
      <c r="B599" s="16" t="s">
        <v>895</v>
      </c>
      <c r="C599" s="71" t="s">
        <v>993</v>
      </c>
      <c r="D599" s="2" t="s">
        <v>617</v>
      </c>
      <c r="E599" s="446" t="s">
        <v>233</v>
      </c>
      <c r="F599" s="68">
        <v>6000</v>
      </c>
      <c r="G599" s="1" t="s">
        <v>499</v>
      </c>
      <c r="H599" s="8">
        <v>32</v>
      </c>
      <c r="I599" s="8">
        <f t="shared" si="36"/>
        <v>192000</v>
      </c>
      <c r="J599" s="539">
        <v>31.8</v>
      </c>
      <c r="K599" s="521">
        <f t="shared" si="37"/>
        <v>0.19999999999999929</v>
      </c>
      <c r="L599" s="522">
        <f t="shared" si="38"/>
        <v>1199.9999999999957</v>
      </c>
      <c r="M599" s="523">
        <f t="shared" si="39"/>
        <v>6.2499999999999778E-3</v>
      </c>
      <c r="N599" s="34" t="s">
        <v>22</v>
      </c>
      <c r="O599" s="2" t="s">
        <v>39</v>
      </c>
    </row>
    <row r="600" spans="1:15">
      <c r="A600" s="71">
        <v>2023</v>
      </c>
      <c r="B600" s="16" t="s">
        <v>895</v>
      </c>
      <c r="C600" s="71" t="s">
        <v>994</v>
      </c>
      <c r="D600" s="2" t="s">
        <v>617</v>
      </c>
      <c r="E600" s="68" t="s">
        <v>274</v>
      </c>
      <c r="F600" s="68">
        <v>3000</v>
      </c>
      <c r="G600" s="1" t="s">
        <v>499</v>
      </c>
      <c r="H600" s="8">
        <v>32</v>
      </c>
      <c r="I600" s="8">
        <f t="shared" si="36"/>
        <v>96000</v>
      </c>
      <c r="J600" s="539">
        <v>31.8</v>
      </c>
      <c r="K600" s="521">
        <f t="shared" si="37"/>
        <v>0.19999999999999929</v>
      </c>
      <c r="L600" s="522">
        <f t="shared" si="38"/>
        <v>599.99999999999784</v>
      </c>
      <c r="M600" s="523">
        <f t="shared" si="39"/>
        <v>6.2499999999999778E-3</v>
      </c>
      <c r="N600" s="34" t="s">
        <v>22</v>
      </c>
      <c r="O600" s="2" t="s">
        <v>39</v>
      </c>
    </row>
    <row r="601" spans="1:15">
      <c r="A601" s="71">
        <v>2023</v>
      </c>
      <c r="B601" s="16" t="s">
        <v>895</v>
      </c>
      <c r="C601" s="71" t="s">
        <v>994</v>
      </c>
      <c r="D601" s="2" t="s">
        <v>617</v>
      </c>
      <c r="E601" s="68" t="s">
        <v>275</v>
      </c>
      <c r="F601" s="68">
        <v>3000</v>
      </c>
      <c r="G601" s="1" t="s">
        <v>499</v>
      </c>
      <c r="H601" s="8">
        <v>32</v>
      </c>
      <c r="I601" s="8">
        <f t="shared" si="36"/>
        <v>96000</v>
      </c>
      <c r="J601" s="539">
        <v>31.8</v>
      </c>
      <c r="K601" s="521">
        <f t="shared" si="37"/>
        <v>0.19999999999999929</v>
      </c>
      <c r="L601" s="522">
        <f t="shared" si="38"/>
        <v>599.99999999999784</v>
      </c>
      <c r="M601" s="523">
        <f t="shared" si="39"/>
        <v>6.2499999999999778E-3</v>
      </c>
      <c r="N601" s="34" t="s">
        <v>22</v>
      </c>
      <c r="O601" s="2" t="s">
        <v>39</v>
      </c>
    </row>
    <row r="602" spans="1:15">
      <c r="A602" s="71">
        <v>2023</v>
      </c>
      <c r="B602" s="16" t="s">
        <v>895</v>
      </c>
      <c r="C602" s="71" t="s">
        <v>995</v>
      </c>
      <c r="D602" s="2" t="s">
        <v>617</v>
      </c>
      <c r="E602" s="68" t="s">
        <v>996</v>
      </c>
      <c r="F602" s="68">
        <v>6000</v>
      </c>
      <c r="G602" s="1" t="s">
        <v>499</v>
      </c>
      <c r="H602" s="8">
        <v>32</v>
      </c>
      <c r="I602" s="8">
        <f t="shared" si="36"/>
        <v>192000</v>
      </c>
      <c r="J602" s="539">
        <v>31.8</v>
      </c>
      <c r="K602" s="521">
        <f t="shared" si="37"/>
        <v>0.19999999999999929</v>
      </c>
      <c r="L602" s="522">
        <f t="shared" si="38"/>
        <v>1199.9999999999957</v>
      </c>
      <c r="M602" s="523">
        <f t="shared" si="39"/>
        <v>6.2499999999999778E-3</v>
      </c>
      <c r="N602" s="34" t="s">
        <v>22</v>
      </c>
      <c r="O602" s="2" t="s">
        <v>39</v>
      </c>
    </row>
    <row r="603" spans="1:15">
      <c r="A603" s="71">
        <v>2023</v>
      </c>
      <c r="B603" s="16" t="s">
        <v>895</v>
      </c>
      <c r="C603" s="71" t="s">
        <v>995</v>
      </c>
      <c r="D603" s="2" t="s">
        <v>617</v>
      </c>
      <c r="E603" s="68" t="s">
        <v>233</v>
      </c>
      <c r="F603" s="68">
        <v>6000</v>
      </c>
      <c r="G603" s="1" t="s">
        <v>499</v>
      </c>
      <c r="H603" s="8">
        <v>32</v>
      </c>
      <c r="I603" s="8">
        <f t="shared" si="36"/>
        <v>192000</v>
      </c>
      <c r="J603" s="539">
        <v>31.8</v>
      </c>
      <c r="K603" s="521">
        <f t="shared" si="37"/>
        <v>0.19999999999999929</v>
      </c>
      <c r="L603" s="522">
        <f t="shared" si="38"/>
        <v>1199.9999999999957</v>
      </c>
      <c r="M603" s="523">
        <f t="shared" si="39"/>
        <v>6.2499999999999778E-3</v>
      </c>
      <c r="N603" s="34" t="s">
        <v>22</v>
      </c>
      <c r="O603" s="2" t="s">
        <v>39</v>
      </c>
    </row>
    <row r="604" spans="1:15">
      <c r="A604" s="71">
        <v>2023</v>
      </c>
      <c r="B604" s="16" t="s">
        <v>895</v>
      </c>
      <c r="C604" s="71" t="s">
        <v>997</v>
      </c>
      <c r="D604" s="2" t="s">
        <v>617</v>
      </c>
      <c r="E604" s="68" t="s">
        <v>274</v>
      </c>
      <c r="F604" s="68">
        <v>3000</v>
      </c>
      <c r="G604" s="1" t="s">
        <v>499</v>
      </c>
      <c r="H604" s="8">
        <v>32</v>
      </c>
      <c r="I604" s="8">
        <f t="shared" si="36"/>
        <v>96000</v>
      </c>
      <c r="J604" s="539">
        <v>31.8</v>
      </c>
      <c r="K604" s="521">
        <f t="shared" si="37"/>
        <v>0.19999999999999929</v>
      </c>
      <c r="L604" s="522">
        <f t="shared" si="38"/>
        <v>599.99999999999784</v>
      </c>
      <c r="M604" s="523">
        <f t="shared" si="39"/>
        <v>6.2499999999999778E-3</v>
      </c>
      <c r="N604" s="34" t="s">
        <v>22</v>
      </c>
      <c r="O604" s="2" t="s">
        <v>39</v>
      </c>
    </row>
    <row r="605" spans="1:15">
      <c r="A605" s="71">
        <v>2023</v>
      </c>
      <c r="B605" s="16" t="s">
        <v>895</v>
      </c>
      <c r="C605" s="71" t="s">
        <v>997</v>
      </c>
      <c r="D605" s="2" t="s">
        <v>617</v>
      </c>
      <c r="E605" s="68" t="s">
        <v>996</v>
      </c>
      <c r="F605" s="68">
        <v>6000</v>
      </c>
      <c r="G605" s="1" t="s">
        <v>499</v>
      </c>
      <c r="H605" s="8">
        <v>32</v>
      </c>
      <c r="I605" s="8">
        <f t="shared" si="36"/>
        <v>192000</v>
      </c>
      <c r="J605" s="539">
        <v>31.8</v>
      </c>
      <c r="K605" s="521">
        <f t="shared" si="37"/>
        <v>0.19999999999999929</v>
      </c>
      <c r="L605" s="522">
        <f t="shared" si="38"/>
        <v>1199.9999999999957</v>
      </c>
      <c r="M605" s="523">
        <f t="shared" si="39"/>
        <v>6.2499999999999778E-3</v>
      </c>
      <c r="N605" s="34" t="s">
        <v>22</v>
      </c>
      <c r="O605" s="2" t="s">
        <v>39</v>
      </c>
    </row>
    <row r="606" spans="1:15">
      <c r="A606" s="71">
        <v>2023</v>
      </c>
      <c r="B606" s="16" t="s">
        <v>895</v>
      </c>
      <c r="C606" s="71" t="s">
        <v>997</v>
      </c>
      <c r="D606" s="2" t="s">
        <v>617</v>
      </c>
      <c r="E606" s="68" t="s">
        <v>233</v>
      </c>
      <c r="F606" s="68">
        <v>3000</v>
      </c>
      <c r="G606" s="1" t="s">
        <v>499</v>
      </c>
      <c r="H606" s="8">
        <v>32</v>
      </c>
      <c r="I606" s="8">
        <f t="shared" si="36"/>
        <v>96000</v>
      </c>
      <c r="J606" s="539">
        <v>31.8</v>
      </c>
      <c r="K606" s="521">
        <f t="shared" si="37"/>
        <v>0.19999999999999929</v>
      </c>
      <c r="L606" s="522">
        <f t="shared" si="38"/>
        <v>599.99999999999784</v>
      </c>
      <c r="M606" s="523">
        <f t="shared" si="39"/>
        <v>6.2499999999999778E-3</v>
      </c>
      <c r="N606" s="34" t="s">
        <v>22</v>
      </c>
      <c r="O606" s="2" t="s">
        <v>39</v>
      </c>
    </row>
    <row r="607" spans="1:15">
      <c r="A607" s="71">
        <v>2023</v>
      </c>
      <c r="B607" s="16" t="s">
        <v>998</v>
      </c>
      <c r="C607" s="71" t="s">
        <v>999</v>
      </c>
      <c r="D607" s="2" t="s">
        <v>1000</v>
      </c>
      <c r="E607" s="2" t="s">
        <v>1001</v>
      </c>
      <c r="F607" s="9">
        <v>47</v>
      </c>
      <c r="G607" s="1" t="s">
        <v>63</v>
      </c>
      <c r="H607" s="8">
        <v>1250</v>
      </c>
      <c r="I607" s="8">
        <f t="shared" si="36"/>
        <v>58750</v>
      </c>
      <c r="J607" s="539">
        <v>1150</v>
      </c>
      <c r="K607" s="521">
        <f t="shared" si="37"/>
        <v>100</v>
      </c>
      <c r="L607" s="522">
        <f t="shared" si="38"/>
        <v>4700</v>
      </c>
      <c r="M607" s="523">
        <f t="shared" si="39"/>
        <v>0.08</v>
      </c>
      <c r="N607" s="34" t="s">
        <v>22</v>
      </c>
      <c r="O607" s="2" t="s">
        <v>39</v>
      </c>
    </row>
    <row r="608" spans="1:15">
      <c r="A608" s="71">
        <v>2023</v>
      </c>
      <c r="B608" s="16" t="s">
        <v>998</v>
      </c>
      <c r="C608" s="71" t="s">
        <v>1002</v>
      </c>
      <c r="D608" s="2" t="s">
        <v>335</v>
      </c>
      <c r="E608" s="2" t="s">
        <v>336</v>
      </c>
      <c r="F608" s="9">
        <v>56000</v>
      </c>
      <c r="G608" s="1" t="s">
        <v>337</v>
      </c>
      <c r="H608" s="8">
        <v>35.25</v>
      </c>
      <c r="I608" s="8">
        <f t="shared" si="36"/>
        <v>1974000</v>
      </c>
      <c r="J608" s="539">
        <v>35</v>
      </c>
      <c r="K608" s="521">
        <f t="shared" si="37"/>
        <v>0.25</v>
      </c>
      <c r="L608" s="522">
        <f t="shared" si="38"/>
        <v>14000</v>
      </c>
      <c r="M608" s="523">
        <f t="shared" si="39"/>
        <v>7.0921985815602835E-3</v>
      </c>
      <c r="N608" s="34" t="s">
        <v>22</v>
      </c>
      <c r="O608" s="2" t="s">
        <v>39</v>
      </c>
    </row>
    <row r="609" spans="1:15">
      <c r="A609" s="71">
        <v>2023</v>
      </c>
      <c r="B609" s="16" t="s">
        <v>998</v>
      </c>
      <c r="C609" s="71" t="s">
        <v>1003</v>
      </c>
      <c r="D609" s="2" t="s">
        <v>1004</v>
      </c>
      <c r="E609" s="2" t="s">
        <v>1005</v>
      </c>
      <c r="F609" s="9">
        <v>20</v>
      </c>
      <c r="G609" s="1" t="s">
        <v>19</v>
      </c>
      <c r="H609" s="8">
        <v>2400</v>
      </c>
      <c r="I609" s="8">
        <f t="shared" si="36"/>
        <v>48000</v>
      </c>
      <c r="J609" s="539">
        <v>1940</v>
      </c>
      <c r="K609" s="521">
        <f t="shared" si="37"/>
        <v>460</v>
      </c>
      <c r="L609" s="522">
        <f t="shared" si="38"/>
        <v>9200</v>
      </c>
      <c r="M609" s="523">
        <f t="shared" si="39"/>
        <v>0.19166666666666668</v>
      </c>
      <c r="N609" s="34" t="s">
        <v>22</v>
      </c>
      <c r="O609" s="2" t="s">
        <v>21</v>
      </c>
    </row>
    <row r="610" spans="1:15">
      <c r="A610" s="71">
        <v>2023</v>
      </c>
      <c r="B610" s="16" t="s">
        <v>998</v>
      </c>
      <c r="C610" s="71" t="s">
        <v>1006</v>
      </c>
      <c r="D610" s="2" t="s">
        <v>1007</v>
      </c>
      <c r="E610" s="2" t="s">
        <v>1008</v>
      </c>
      <c r="F610" s="9">
        <v>1</v>
      </c>
      <c r="G610" s="1" t="s">
        <v>19</v>
      </c>
      <c r="H610" s="8">
        <v>1950</v>
      </c>
      <c r="I610" s="8">
        <f t="shared" si="36"/>
        <v>1950</v>
      </c>
      <c r="J610" s="539">
        <v>1820</v>
      </c>
      <c r="K610" s="521">
        <f t="shared" si="37"/>
        <v>130</v>
      </c>
      <c r="L610" s="522">
        <f t="shared" si="38"/>
        <v>130</v>
      </c>
      <c r="M610" s="523">
        <f t="shared" si="39"/>
        <v>6.6666666666666666E-2</v>
      </c>
      <c r="N610" s="34" t="s">
        <v>22</v>
      </c>
      <c r="O610" s="2" t="s">
        <v>21</v>
      </c>
    </row>
    <row r="611" spans="1:15">
      <c r="A611" s="71">
        <v>2023</v>
      </c>
      <c r="B611" s="16" t="s">
        <v>998</v>
      </c>
      <c r="C611" s="71" t="s">
        <v>1009</v>
      </c>
      <c r="D611" s="2" t="s">
        <v>448</v>
      </c>
      <c r="E611" s="2" t="s">
        <v>1010</v>
      </c>
      <c r="F611" s="9">
        <v>100</v>
      </c>
      <c r="G611" s="1" t="s">
        <v>19</v>
      </c>
      <c r="H611" s="8">
        <v>72</v>
      </c>
      <c r="I611" s="8">
        <f t="shared" si="36"/>
        <v>7200</v>
      </c>
      <c r="J611" s="539">
        <v>42.5</v>
      </c>
      <c r="K611" s="521">
        <f t="shared" si="37"/>
        <v>29.5</v>
      </c>
      <c r="L611" s="522">
        <f t="shared" si="38"/>
        <v>2950</v>
      </c>
      <c r="M611" s="523">
        <f t="shared" si="39"/>
        <v>0.40972222222222221</v>
      </c>
      <c r="N611" s="34" t="s">
        <v>22</v>
      </c>
      <c r="O611" s="2" t="s">
        <v>21</v>
      </c>
    </row>
    <row r="612" spans="1:15">
      <c r="A612" s="71">
        <v>2023</v>
      </c>
      <c r="B612" s="16" t="s">
        <v>998</v>
      </c>
      <c r="C612" s="71" t="s">
        <v>1011</v>
      </c>
      <c r="D612" s="2" t="s">
        <v>1012</v>
      </c>
      <c r="E612" s="2" t="s">
        <v>1013</v>
      </c>
      <c r="F612" s="9">
        <v>5</v>
      </c>
      <c r="G612" s="1" t="s">
        <v>29</v>
      </c>
      <c r="H612" s="8">
        <v>600</v>
      </c>
      <c r="I612" s="8">
        <f t="shared" si="36"/>
        <v>3000</v>
      </c>
      <c r="J612" s="539">
        <v>514.6</v>
      </c>
      <c r="K612" s="521">
        <f t="shared" si="37"/>
        <v>85.399999999999977</v>
      </c>
      <c r="L612" s="522">
        <f t="shared" si="38"/>
        <v>426.99999999999989</v>
      </c>
      <c r="M612" s="523">
        <f t="shared" si="39"/>
        <v>0.14233333333333328</v>
      </c>
      <c r="N612" s="34" t="s">
        <v>22</v>
      </c>
      <c r="O612" s="2" t="s">
        <v>21</v>
      </c>
    </row>
    <row r="613" spans="1:15">
      <c r="A613" s="71">
        <v>2023</v>
      </c>
      <c r="B613" s="16" t="s">
        <v>998</v>
      </c>
      <c r="C613" s="71" t="s">
        <v>1014</v>
      </c>
      <c r="D613" s="2" t="s">
        <v>527</v>
      </c>
      <c r="E613" s="2" t="s">
        <v>1015</v>
      </c>
      <c r="F613" s="9">
        <v>1</v>
      </c>
      <c r="G613" s="1" t="s">
        <v>569</v>
      </c>
      <c r="H613" s="8">
        <v>62000</v>
      </c>
      <c r="I613" s="8">
        <f t="shared" si="36"/>
        <v>62000</v>
      </c>
      <c r="J613" s="539">
        <v>51000</v>
      </c>
      <c r="K613" s="521">
        <f t="shared" si="37"/>
        <v>11000</v>
      </c>
      <c r="L613" s="522">
        <f t="shared" si="38"/>
        <v>11000</v>
      </c>
      <c r="M613" s="523">
        <f t="shared" si="39"/>
        <v>0.17741935483870969</v>
      </c>
      <c r="N613" s="34" t="s">
        <v>22</v>
      </c>
      <c r="O613" s="2" t="s">
        <v>21</v>
      </c>
    </row>
    <row r="614" spans="1:15">
      <c r="A614" s="71">
        <v>2023</v>
      </c>
      <c r="B614" s="16" t="s">
        <v>998</v>
      </c>
      <c r="C614" s="71" t="s">
        <v>1016</v>
      </c>
      <c r="D614" s="2" t="s">
        <v>24</v>
      </c>
      <c r="E614" s="2" t="s">
        <v>1017</v>
      </c>
      <c r="F614" s="9">
        <v>1</v>
      </c>
      <c r="G614" s="1" t="s">
        <v>19</v>
      </c>
      <c r="H614" s="8">
        <v>10850</v>
      </c>
      <c r="I614" s="8">
        <f t="shared" si="36"/>
        <v>10850</v>
      </c>
      <c r="J614" s="539">
        <v>10400</v>
      </c>
      <c r="K614" s="521">
        <f t="shared" si="37"/>
        <v>450</v>
      </c>
      <c r="L614" s="522">
        <f t="shared" si="38"/>
        <v>450</v>
      </c>
      <c r="M614" s="523">
        <f t="shared" si="39"/>
        <v>4.1474654377880185E-2</v>
      </c>
      <c r="N614" s="34" t="s">
        <v>22</v>
      </c>
      <c r="O614" s="2" t="s">
        <v>21</v>
      </c>
    </row>
    <row r="615" spans="1:15">
      <c r="A615" s="71">
        <v>2023</v>
      </c>
      <c r="B615" s="16" t="s">
        <v>998</v>
      </c>
      <c r="C615" s="71" t="s">
        <v>1018</v>
      </c>
      <c r="D615" s="2" t="s">
        <v>1019</v>
      </c>
      <c r="E615" s="2" t="s">
        <v>1020</v>
      </c>
      <c r="F615" s="9">
        <v>1</v>
      </c>
      <c r="G615" s="1" t="s">
        <v>19</v>
      </c>
      <c r="H615" s="8">
        <v>6370</v>
      </c>
      <c r="I615" s="8">
        <f t="shared" si="36"/>
        <v>6370</v>
      </c>
      <c r="J615" s="539">
        <v>5980</v>
      </c>
      <c r="K615" s="521">
        <f t="shared" si="37"/>
        <v>390</v>
      </c>
      <c r="L615" s="522">
        <f t="shared" si="38"/>
        <v>390</v>
      </c>
      <c r="M615" s="523">
        <f t="shared" si="39"/>
        <v>6.1224489795918366E-2</v>
      </c>
      <c r="N615" s="34" t="s">
        <v>22</v>
      </c>
      <c r="O615" s="2" t="s">
        <v>21</v>
      </c>
    </row>
    <row r="616" spans="1:15">
      <c r="A616" s="71">
        <v>2023</v>
      </c>
      <c r="B616" s="16" t="s">
        <v>998</v>
      </c>
      <c r="C616" s="71" t="s">
        <v>1021</v>
      </c>
      <c r="D616" s="2" t="s">
        <v>24</v>
      </c>
      <c r="E616" s="2" t="s">
        <v>1022</v>
      </c>
      <c r="F616" s="9">
        <v>100</v>
      </c>
      <c r="G616" s="1" t="s">
        <v>19</v>
      </c>
      <c r="H616" s="8">
        <v>43</v>
      </c>
      <c r="I616" s="8">
        <f t="shared" si="36"/>
        <v>4300</v>
      </c>
      <c r="J616" s="539">
        <v>42</v>
      </c>
      <c r="K616" s="521">
        <f t="shared" si="37"/>
        <v>1</v>
      </c>
      <c r="L616" s="522">
        <f t="shared" si="38"/>
        <v>100</v>
      </c>
      <c r="M616" s="523">
        <f t="shared" si="39"/>
        <v>2.3255813953488372E-2</v>
      </c>
      <c r="N616" s="34" t="s">
        <v>22</v>
      </c>
      <c r="O616" s="2" t="s">
        <v>21</v>
      </c>
    </row>
    <row r="617" spans="1:15">
      <c r="A617" s="71">
        <v>2023</v>
      </c>
      <c r="B617" s="16" t="s">
        <v>998</v>
      </c>
      <c r="C617" s="71" t="s">
        <v>1023</v>
      </c>
      <c r="D617" s="2" t="s">
        <v>290</v>
      </c>
      <c r="E617" s="2" t="s">
        <v>1024</v>
      </c>
      <c r="F617" s="9">
        <v>1</v>
      </c>
      <c r="G617" s="1" t="s">
        <v>285</v>
      </c>
      <c r="H617" s="8">
        <v>34000</v>
      </c>
      <c r="I617" s="8">
        <f t="shared" si="36"/>
        <v>34000</v>
      </c>
      <c r="J617" s="539">
        <v>26000</v>
      </c>
      <c r="K617" s="521">
        <f t="shared" si="37"/>
        <v>8000</v>
      </c>
      <c r="L617" s="522">
        <f t="shared" si="38"/>
        <v>8000</v>
      </c>
      <c r="M617" s="523">
        <f t="shared" si="39"/>
        <v>0.23529411764705882</v>
      </c>
      <c r="N617" s="34" t="s">
        <v>22</v>
      </c>
      <c r="O617" s="2" t="s">
        <v>105</v>
      </c>
    </row>
    <row r="618" spans="1:15">
      <c r="A618" s="71">
        <v>2023</v>
      </c>
      <c r="B618" s="16" t="s">
        <v>998</v>
      </c>
      <c r="C618" s="71" t="s">
        <v>1025</v>
      </c>
      <c r="D618" s="2" t="s">
        <v>68</v>
      </c>
      <c r="E618" s="2" t="s">
        <v>73</v>
      </c>
      <c r="F618" s="9">
        <v>346.4</v>
      </c>
      <c r="G618" s="1" t="s">
        <v>37</v>
      </c>
      <c r="H618" s="8">
        <v>355</v>
      </c>
      <c r="I618" s="8">
        <f t="shared" si="36"/>
        <v>122971.99999999999</v>
      </c>
      <c r="J618" s="539">
        <v>345</v>
      </c>
      <c r="K618" s="521">
        <f t="shared" si="37"/>
        <v>10</v>
      </c>
      <c r="L618" s="522">
        <f t="shared" si="38"/>
        <v>3464</v>
      </c>
      <c r="M618" s="523">
        <f t="shared" si="39"/>
        <v>2.8169014084507043E-2</v>
      </c>
      <c r="N618" s="34" t="s">
        <v>22</v>
      </c>
      <c r="O618" s="2" t="s">
        <v>105</v>
      </c>
    </row>
    <row r="619" spans="1:15">
      <c r="A619" s="71">
        <v>2023</v>
      </c>
      <c r="B619" s="16" t="s">
        <v>998</v>
      </c>
      <c r="C619" s="71" t="s">
        <v>1026</v>
      </c>
      <c r="D619" s="2" t="s">
        <v>1012</v>
      </c>
      <c r="E619" s="2" t="s">
        <v>621</v>
      </c>
      <c r="F619" s="9">
        <v>200</v>
      </c>
      <c r="G619" s="1" t="s">
        <v>615</v>
      </c>
      <c r="H619" s="8">
        <v>395</v>
      </c>
      <c r="I619" s="8">
        <f t="shared" si="36"/>
        <v>79000</v>
      </c>
      <c r="J619" s="539">
        <v>374</v>
      </c>
      <c r="K619" s="521">
        <f t="shared" si="37"/>
        <v>21</v>
      </c>
      <c r="L619" s="522">
        <f t="shared" si="38"/>
        <v>4200</v>
      </c>
      <c r="M619" s="523">
        <f t="shared" si="39"/>
        <v>5.3164556962025315E-2</v>
      </c>
      <c r="N619" s="34" t="s">
        <v>22</v>
      </c>
      <c r="O619" s="2" t="s">
        <v>105</v>
      </c>
    </row>
    <row r="620" spans="1:15">
      <c r="A620" s="71">
        <v>2023</v>
      </c>
      <c r="B620" s="16" t="s">
        <v>998</v>
      </c>
      <c r="C620" s="71" t="s">
        <v>1026</v>
      </c>
      <c r="D620" s="2" t="s">
        <v>1012</v>
      </c>
      <c r="E620" s="2" t="s">
        <v>614</v>
      </c>
      <c r="F620" s="9">
        <v>100</v>
      </c>
      <c r="G620" s="1" t="s">
        <v>615</v>
      </c>
      <c r="H620" s="8">
        <v>165</v>
      </c>
      <c r="I620" s="8">
        <f t="shared" si="36"/>
        <v>16500</v>
      </c>
      <c r="J620" s="539">
        <v>151</v>
      </c>
      <c r="K620" s="521">
        <f t="shared" si="37"/>
        <v>14</v>
      </c>
      <c r="L620" s="522">
        <f t="shared" si="38"/>
        <v>1400</v>
      </c>
      <c r="M620" s="523">
        <f t="shared" si="39"/>
        <v>8.4848484848484854E-2</v>
      </c>
      <c r="N620" s="34" t="s">
        <v>22</v>
      </c>
      <c r="O620" s="2" t="s">
        <v>105</v>
      </c>
    </row>
    <row r="621" spans="1:15">
      <c r="A621" s="71">
        <v>2023</v>
      </c>
      <c r="B621" s="16" t="s">
        <v>998</v>
      </c>
      <c r="C621" s="71" t="s">
        <v>1026</v>
      </c>
      <c r="D621" s="2" t="s">
        <v>1012</v>
      </c>
      <c r="E621" s="2" t="s">
        <v>621</v>
      </c>
      <c r="F621" s="9">
        <v>100</v>
      </c>
      <c r="G621" s="1" t="s">
        <v>615</v>
      </c>
      <c r="H621" s="8">
        <v>395</v>
      </c>
      <c r="I621" s="8">
        <f t="shared" si="36"/>
        <v>39500</v>
      </c>
      <c r="J621" s="539">
        <v>374</v>
      </c>
      <c r="K621" s="521">
        <f t="shared" si="37"/>
        <v>21</v>
      </c>
      <c r="L621" s="522">
        <f t="shared" si="38"/>
        <v>2100</v>
      </c>
      <c r="M621" s="523">
        <f t="shared" si="39"/>
        <v>5.3164556962025315E-2</v>
      </c>
      <c r="N621" s="34" t="s">
        <v>22</v>
      </c>
      <c r="O621" s="2" t="s">
        <v>105</v>
      </c>
    </row>
    <row r="622" spans="1:15">
      <c r="A622" s="71">
        <v>2023</v>
      </c>
      <c r="B622" s="16" t="s">
        <v>998</v>
      </c>
      <c r="C622" s="71" t="s">
        <v>1027</v>
      </c>
      <c r="D622" s="2" t="s">
        <v>94</v>
      </c>
      <c r="E622" s="2" t="s">
        <v>613</v>
      </c>
      <c r="F622" s="9">
        <v>100</v>
      </c>
      <c r="G622" s="1" t="s">
        <v>19</v>
      </c>
      <c r="H622" s="8">
        <v>25.5</v>
      </c>
      <c r="I622" s="8">
        <f t="shared" si="36"/>
        <v>2550</v>
      </c>
      <c r="J622" s="539">
        <v>24.6</v>
      </c>
      <c r="K622" s="521">
        <f t="shared" si="37"/>
        <v>0.89999999999999858</v>
      </c>
      <c r="L622" s="522">
        <f t="shared" si="38"/>
        <v>89.999999999999858</v>
      </c>
      <c r="M622" s="523">
        <f t="shared" si="39"/>
        <v>3.5294117647058768E-2</v>
      </c>
      <c r="N622" s="34" t="s">
        <v>22</v>
      </c>
      <c r="O622" s="2" t="s">
        <v>105</v>
      </c>
    </row>
    <row r="623" spans="1:15">
      <c r="A623" s="71">
        <v>2023</v>
      </c>
      <c r="B623" s="16" t="s">
        <v>998</v>
      </c>
      <c r="C623" s="71" t="s">
        <v>1027</v>
      </c>
      <c r="D623" s="2" t="s">
        <v>94</v>
      </c>
      <c r="E623" s="32" t="s">
        <v>550</v>
      </c>
      <c r="F623" s="9">
        <v>200</v>
      </c>
      <c r="G623" s="1" t="s">
        <v>19</v>
      </c>
      <c r="H623" s="8">
        <v>49</v>
      </c>
      <c r="I623" s="8">
        <f t="shared" si="36"/>
        <v>9800</v>
      </c>
      <c r="J623" s="539">
        <v>47.56</v>
      </c>
      <c r="K623" s="521">
        <f t="shared" si="37"/>
        <v>1.4399999999999977</v>
      </c>
      <c r="L623" s="522">
        <f t="shared" si="38"/>
        <v>287.99999999999955</v>
      </c>
      <c r="M623" s="523">
        <f t="shared" si="39"/>
        <v>2.938775510204077E-2</v>
      </c>
      <c r="N623" s="34" t="s">
        <v>22</v>
      </c>
      <c r="O623" s="2" t="s">
        <v>105</v>
      </c>
    </row>
    <row r="624" spans="1:15">
      <c r="A624" s="71">
        <v>2023</v>
      </c>
      <c r="B624" s="16" t="s">
        <v>998</v>
      </c>
      <c r="C624" s="71" t="s">
        <v>1028</v>
      </c>
      <c r="D624" s="2" t="s">
        <v>35</v>
      </c>
      <c r="E624" s="2" t="s">
        <v>609</v>
      </c>
      <c r="F624" s="9">
        <v>3226.1</v>
      </c>
      <c r="G624" s="1" t="s">
        <v>37</v>
      </c>
      <c r="H624" s="8">
        <v>361</v>
      </c>
      <c r="I624" s="8">
        <f t="shared" si="36"/>
        <v>1164622.0999999999</v>
      </c>
      <c r="J624" s="539">
        <v>353</v>
      </c>
      <c r="K624" s="521">
        <f t="shared" si="37"/>
        <v>8</v>
      </c>
      <c r="L624" s="522">
        <f t="shared" si="38"/>
        <v>25808.799999999999</v>
      </c>
      <c r="M624" s="523">
        <f t="shared" si="39"/>
        <v>2.2160664819944598E-2</v>
      </c>
      <c r="N624" s="34" t="s">
        <v>38</v>
      </c>
      <c r="O624" s="2" t="s">
        <v>105</v>
      </c>
    </row>
    <row r="625" spans="1:15">
      <c r="A625" s="71">
        <v>2023</v>
      </c>
      <c r="B625" s="16" t="s">
        <v>998</v>
      </c>
      <c r="C625" s="71" t="s">
        <v>1029</v>
      </c>
      <c r="D625" s="2" t="s">
        <v>35</v>
      </c>
      <c r="E625" s="2" t="s">
        <v>711</v>
      </c>
      <c r="F625" s="9">
        <v>1828.5</v>
      </c>
      <c r="G625" s="1" t="s">
        <v>37</v>
      </c>
      <c r="H625" s="8">
        <v>362</v>
      </c>
      <c r="I625" s="8">
        <f t="shared" si="36"/>
        <v>661917</v>
      </c>
      <c r="J625" s="539">
        <v>361</v>
      </c>
      <c r="K625" s="521">
        <f t="shared" si="37"/>
        <v>1</v>
      </c>
      <c r="L625" s="522">
        <f t="shared" si="38"/>
        <v>1828.5</v>
      </c>
      <c r="M625" s="523">
        <f t="shared" si="39"/>
        <v>2.7624309392265192E-3</v>
      </c>
      <c r="N625" s="34" t="s">
        <v>38</v>
      </c>
      <c r="O625" s="2" t="s">
        <v>105</v>
      </c>
    </row>
    <row r="626" spans="1:15">
      <c r="A626" s="71">
        <v>2023</v>
      </c>
      <c r="B626" s="16" t="s">
        <v>998</v>
      </c>
      <c r="C626" s="71" t="s">
        <v>1030</v>
      </c>
      <c r="D626" s="2" t="s">
        <v>279</v>
      </c>
      <c r="E626" s="2" t="s">
        <v>281</v>
      </c>
      <c r="F626" s="9">
        <v>300</v>
      </c>
      <c r="G626" s="1" t="s">
        <v>19</v>
      </c>
      <c r="H626" s="8">
        <v>21</v>
      </c>
      <c r="I626" s="8">
        <f t="shared" si="36"/>
        <v>6300</v>
      </c>
      <c r="J626" s="539">
        <v>18.09</v>
      </c>
      <c r="K626" s="521">
        <f t="shared" si="37"/>
        <v>2.91</v>
      </c>
      <c r="L626" s="522">
        <f t="shared" si="38"/>
        <v>873</v>
      </c>
      <c r="M626" s="523">
        <f t="shared" si="39"/>
        <v>0.13857142857142857</v>
      </c>
      <c r="N626" s="34" t="s">
        <v>22</v>
      </c>
      <c r="O626" s="2" t="s">
        <v>105</v>
      </c>
    </row>
    <row r="627" spans="1:15">
      <c r="A627" s="71">
        <v>2023</v>
      </c>
      <c r="B627" s="16" t="s">
        <v>998</v>
      </c>
      <c r="C627" s="71" t="s">
        <v>1030</v>
      </c>
      <c r="D627" s="2" t="s">
        <v>279</v>
      </c>
      <c r="E627" s="2" t="s">
        <v>280</v>
      </c>
      <c r="F627" s="9">
        <v>100</v>
      </c>
      <c r="G627" s="1" t="s">
        <v>19</v>
      </c>
      <c r="H627" s="8">
        <v>75</v>
      </c>
      <c r="I627" s="8">
        <f t="shared" si="36"/>
        <v>7500</v>
      </c>
      <c r="J627" s="539">
        <v>50.08</v>
      </c>
      <c r="K627" s="521">
        <f t="shared" si="37"/>
        <v>24.92</v>
      </c>
      <c r="L627" s="522">
        <f t="shared" si="38"/>
        <v>2492</v>
      </c>
      <c r="M627" s="523">
        <f t="shared" si="39"/>
        <v>0.33226666666666671</v>
      </c>
      <c r="N627" s="34" t="s">
        <v>22</v>
      </c>
      <c r="O627" s="2" t="s">
        <v>105</v>
      </c>
    </row>
    <row r="628" spans="1:15">
      <c r="A628" s="71">
        <v>2023</v>
      </c>
      <c r="B628" s="16" t="s">
        <v>998</v>
      </c>
      <c r="C628" s="71" t="s">
        <v>1030</v>
      </c>
      <c r="D628" s="2" t="s">
        <v>279</v>
      </c>
      <c r="E628" s="2" t="s">
        <v>968</v>
      </c>
      <c r="F628" s="9">
        <v>200</v>
      </c>
      <c r="G628" s="1" t="s">
        <v>19</v>
      </c>
      <c r="H628" s="8">
        <v>72</v>
      </c>
      <c r="I628" s="8">
        <f t="shared" si="36"/>
        <v>14400</v>
      </c>
      <c r="J628" s="539">
        <v>68.819999999999993</v>
      </c>
      <c r="K628" s="521">
        <f t="shared" si="37"/>
        <v>3.1800000000000068</v>
      </c>
      <c r="L628" s="522">
        <f t="shared" si="38"/>
        <v>636.00000000000136</v>
      </c>
      <c r="M628" s="523">
        <f t="shared" si="39"/>
        <v>4.4166666666666764E-2</v>
      </c>
      <c r="N628" s="34" t="s">
        <v>22</v>
      </c>
      <c r="O628" s="2" t="s">
        <v>105</v>
      </c>
    </row>
    <row r="629" spans="1:15">
      <c r="A629" s="71">
        <v>2023</v>
      </c>
      <c r="B629" s="16" t="s">
        <v>998</v>
      </c>
      <c r="C629" s="71" t="s">
        <v>1030</v>
      </c>
      <c r="D629" s="2" t="s">
        <v>279</v>
      </c>
      <c r="E629" s="2" t="s">
        <v>281</v>
      </c>
      <c r="F629" s="9">
        <v>500</v>
      </c>
      <c r="G629" s="1" t="s">
        <v>19</v>
      </c>
      <c r="H629" s="8">
        <v>21</v>
      </c>
      <c r="I629" s="8">
        <f t="shared" si="36"/>
        <v>10500</v>
      </c>
      <c r="J629" s="539">
        <v>18.09</v>
      </c>
      <c r="K629" s="521">
        <f t="shared" si="37"/>
        <v>2.91</v>
      </c>
      <c r="L629" s="522">
        <f t="shared" si="38"/>
        <v>1455</v>
      </c>
      <c r="M629" s="523">
        <f t="shared" si="39"/>
        <v>0.13857142857142857</v>
      </c>
      <c r="N629" s="34" t="s">
        <v>22</v>
      </c>
      <c r="O629" s="2" t="s">
        <v>105</v>
      </c>
    </row>
    <row r="630" spans="1:15">
      <c r="A630" s="71">
        <v>2023</v>
      </c>
      <c r="B630" s="16" t="s">
        <v>998</v>
      </c>
      <c r="C630" s="71" t="s">
        <v>1030</v>
      </c>
      <c r="D630" s="2" t="s">
        <v>279</v>
      </c>
      <c r="E630" s="2" t="s">
        <v>969</v>
      </c>
      <c r="F630" s="9">
        <v>200</v>
      </c>
      <c r="G630" s="1" t="s">
        <v>19</v>
      </c>
      <c r="H630" s="8">
        <v>14</v>
      </c>
      <c r="I630" s="8">
        <f t="shared" si="36"/>
        <v>2800</v>
      </c>
      <c r="J630" s="539">
        <v>10.64</v>
      </c>
      <c r="K630" s="521">
        <f t="shared" si="37"/>
        <v>3.3599999999999994</v>
      </c>
      <c r="L630" s="522">
        <f t="shared" si="38"/>
        <v>671.99999999999989</v>
      </c>
      <c r="M630" s="523">
        <f t="shared" si="39"/>
        <v>0.23999999999999996</v>
      </c>
      <c r="N630" s="34" t="s">
        <v>22</v>
      </c>
      <c r="O630" s="2" t="s">
        <v>105</v>
      </c>
    </row>
    <row r="631" spans="1:15">
      <c r="A631" s="71">
        <v>2023</v>
      </c>
      <c r="B631" s="16" t="s">
        <v>998</v>
      </c>
      <c r="C631" s="71" t="s">
        <v>1031</v>
      </c>
      <c r="D631" s="2" t="s">
        <v>35</v>
      </c>
      <c r="E631" s="2" t="s">
        <v>711</v>
      </c>
      <c r="F631" s="9">
        <v>4200</v>
      </c>
      <c r="G631" s="1" t="s">
        <v>19</v>
      </c>
      <c r="H631" s="8">
        <v>362</v>
      </c>
      <c r="I631" s="8">
        <f t="shared" si="36"/>
        <v>1520400</v>
      </c>
      <c r="J631" s="539">
        <v>360.5</v>
      </c>
      <c r="K631" s="521">
        <f t="shared" si="37"/>
        <v>1.5</v>
      </c>
      <c r="L631" s="522">
        <f t="shared" si="38"/>
        <v>6300</v>
      </c>
      <c r="M631" s="523">
        <f t="shared" si="39"/>
        <v>4.1436464088397788E-3</v>
      </c>
      <c r="N631" s="34" t="s">
        <v>38</v>
      </c>
      <c r="O631" s="2" t="s">
        <v>105</v>
      </c>
    </row>
    <row r="632" spans="1:15">
      <c r="A632" s="71">
        <v>2023</v>
      </c>
      <c r="B632" s="16" t="s">
        <v>998</v>
      </c>
      <c r="C632" s="71" t="s">
        <v>1032</v>
      </c>
      <c r="D632" s="2" t="s">
        <v>94</v>
      </c>
      <c r="E632" s="2" t="s">
        <v>971</v>
      </c>
      <c r="F632" s="9">
        <v>30</v>
      </c>
      <c r="G632" s="1" t="s">
        <v>615</v>
      </c>
      <c r="H632" s="8">
        <v>115</v>
      </c>
      <c r="I632" s="8">
        <f t="shared" si="36"/>
        <v>3450</v>
      </c>
      <c r="J632" s="539">
        <v>91.85</v>
      </c>
      <c r="K632" s="521">
        <f t="shared" si="37"/>
        <v>23.150000000000006</v>
      </c>
      <c r="L632" s="522">
        <f t="shared" si="38"/>
        <v>694.50000000000023</v>
      </c>
      <c r="M632" s="523">
        <f t="shared" si="39"/>
        <v>0.201304347826087</v>
      </c>
      <c r="N632" s="34" t="s">
        <v>22</v>
      </c>
      <c r="O632" s="2" t="s">
        <v>105</v>
      </c>
    </row>
    <row r="633" spans="1:15">
      <c r="A633" s="71">
        <v>2023</v>
      </c>
      <c r="B633" s="16" t="s">
        <v>998</v>
      </c>
      <c r="C633" s="71" t="s">
        <v>1032</v>
      </c>
      <c r="D633" s="2" t="s">
        <v>94</v>
      </c>
      <c r="E633" s="33" t="s">
        <v>458</v>
      </c>
      <c r="F633" s="460">
        <v>200</v>
      </c>
      <c r="G633" s="1" t="s">
        <v>19</v>
      </c>
      <c r="H633" s="41">
        <v>9.5</v>
      </c>
      <c r="I633" s="8">
        <f t="shared" si="36"/>
        <v>1900</v>
      </c>
      <c r="J633" s="539">
        <v>9.35</v>
      </c>
      <c r="K633" s="521">
        <f t="shared" si="37"/>
        <v>0.15000000000000036</v>
      </c>
      <c r="L633" s="522">
        <f t="shared" si="38"/>
        <v>30.000000000000071</v>
      </c>
      <c r="M633" s="523">
        <f t="shared" si="39"/>
        <v>1.5789473684210565E-2</v>
      </c>
      <c r="N633" s="34" t="s">
        <v>22</v>
      </c>
      <c r="O633" s="2" t="s">
        <v>105</v>
      </c>
    </row>
    <row r="634" spans="1:15">
      <c r="A634" s="71">
        <v>2023</v>
      </c>
      <c r="B634" s="16" t="s">
        <v>998</v>
      </c>
      <c r="C634" s="71" t="s">
        <v>1033</v>
      </c>
      <c r="D634" s="2" t="s">
        <v>103</v>
      </c>
      <c r="E634" s="33" t="s">
        <v>1034</v>
      </c>
      <c r="F634" s="460">
        <v>1</v>
      </c>
      <c r="G634" s="1" t="s">
        <v>285</v>
      </c>
      <c r="H634" s="41">
        <v>44800</v>
      </c>
      <c r="I634" s="8">
        <f t="shared" si="36"/>
        <v>44800</v>
      </c>
      <c r="J634" s="543">
        <v>40000</v>
      </c>
      <c r="K634" s="521">
        <f t="shared" si="37"/>
        <v>4800</v>
      </c>
      <c r="L634" s="522">
        <f t="shared" si="38"/>
        <v>4800</v>
      </c>
      <c r="M634" s="523">
        <f t="shared" si="39"/>
        <v>0.10714285714285714</v>
      </c>
      <c r="N634" s="34" t="s">
        <v>22</v>
      </c>
      <c r="O634" s="2" t="s">
        <v>105</v>
      </c>
    </row>
    <row r="635" spans="1:15">
      <c r="A635" s="71">
        <v>2023</v>
      </c>
      <c r="B635" s="16" t="s">
        <v>998</v>
      </c>
      <c r="C635" s="71" t="s">
        <v>1035</v>
      </c>
      <c r="D635" s="2" t="s">
        <v>279</v>
      </c>
      <c r="E635" s="33" t="s">
        <v>651</v>
      </c>
      <c r="F635" s="460">
        <v>100</v>
      </c>
      <c r="G635" s="1" t="s">
        <v>19</v>
      </c>
      <c r="H635" s="41">
        <v>14</v>
      </c>
      <c r="I635" s="8">
        <f t="shared" si="36"/>
        <v>1400</v>
      </c>
      <c r="J635" s="543">
        <v>8.1999999999999993</v>
      </c>
      <c r="K635" s="521">
        <f t="shared" si="37"/>
        <v>5.8000000000000007</v>
      </c>
      <c r="L635" s="522">
        <f t="shared" si="38"/>
        <v>580.00000000000011</v>
      </c>
      <c r="M635" s="523">
        <f t="shared" si="39"/>
        <v>0.41428571428571431</v>
      </c>
      <c r="N635" s="34" t="s">
        <v>22</v>
      </c>
      <c r="O635" s="2" t="s">
        <v>105</v>
      </c>
    </row>
    <row r="636" spans="1:15">
      <c r="A636" s="71">
        <v>2023</v>
      </c>
      <c r="B636" s="16" t="s">
        <v>998</v>
      </c>
      <c r="C636" s="71" t="s">
        <v>1035</v>
      </c>
      <c r="D636" s="2" t="s">
        <v>279</v>
      </c>
      <c r="E636" s="2" t="s">
        <v>629</v>
      </c>
      <c r="F636" s="460">
        <v>10</v>
      </c>
      <c r="G636" s="1" t="s">
        <v>302</v>
      </c>
      <c r="H636" s="41">
        <v>55</v>
      </c>
      <c r="I636" s="41">
        <f t="shared" si="36"/>
        <v>550</v>
      </c>
      <c r="J636" s="543">
        <v>46.25</v>
      </c>
      <c r="K636" s="521">
        <f t="shared" si="37"/>
        <v>8.75</v>
      </c>
      <c r="L636" s="522">
        <f t="shared" si="38"/>
        <v>87.5</v>
      </c>
      <c r="M636" s="523">
        <f t="shared" si="39"/>
        <v>0.15909090909090909</v>
      </c>
      <c r="N636" s="34" t="s">
        <v>22</v>
      </c>
      <c r="O636" s="2" t="s">
        <v>105</v>
      </c>
    </row>
    <row r="637" spans="1:15">
      <c r="A637" s="71">
        <v>2023</v>
      </c>
      <c r="B637" s="16" t="s">
        <v>998</v>
      </c>
      <c r="C637" s="71" t="s">
        <v>1036</v>
      </c>
      <c r="D637" s="2" t="s">
        <v>68</v>
      </c>
      <c r="E637" s="2" t="s">
        <v>962</v>
      </c>
      <c r="F637" s="9">
        <v>554.1</v>
      </c>
      <c r="G637" s="1" t="s">
        <v>37</v>
      </c>
      <c r="H637" s="8">
        <v>355</v>
      </c>
      <c r="I637" s="8">
        <f t="shared" si="36"/>
        <v>196705.5</v>
      </c>
      <c r="J637" s="539">
        <v>348</v>
      </c>
      <c r="K637" s="521">
        <f t="shared" si="37"/>
        <v>7</v>
      </c>
      <c r="L637" s="522">
        <f t="shared" si="38"/>
        <v>3878.7000000000003</v>
      </c>
      <c r="M637" s="523">
        <f t="shared" si="39"/>
        <v>1.9718309859154931E-2</v>
      </c>
      <c r="N637" s="34" t="s">
        <v>22</v>
      </c>
      <c r="O637" s="2" t="s">
        <v>105</v>
      </c>
    </row>
    <row r="638" spans="1:15">
      <c r="A638" s="71">
        <v>2023</v>
      </c>
      <c r="B638" s="16" t="s">
        <v>998</v>
      </c>
      <c r="C638" s="71" t="s">
        <v>1037</v>
      </c>
      <c r="D638" s="2" t="s">
        <v>94</v>
      </c>
      <c r="E638" s="2" t="s">
        <v>1038</v>
      </c>
      <c r="F638" s="458">
        <v>200</v>
      </c>
      <c r="G638" s="1" t="s">
        <v>19</v>
      </c>
      <c r="H638" s="8">
        <v>14.8</v>
      </c>
      <c r="I638" s="8">
        <f t="shared" si="36"/>
        <v>2960</v>
      </c>
      <c r="J638" s="539">
        <v>14.76</v>
      </c>
      <c r="K638" s="521">
        <f t="shared" si="37"/>
        <v>4.0000000000000924E-2</v>
      </c>
      <c r="L638" s="522">
        <f t="shared" si="38"/>
        <v>8.0000000000001847</v>
      </c>
      <c r="M638" s="523">
        <f t="shared" si="39"/>
        <v>2.7027027027027649E-3</v>
      </c>
      <c r="N638" s="34" t="s">
        <v>22</v>
      </c>
      <c r="O638" s="2" t="s">
        <v>105</v>
      </c>
    </row>
    <row r="639" spans="1:15">
      <c r="A639" s="71">
        <v>2023</v>
      </c>
      <c r="B639" s="16" t="s">
        <v>998</v>
      </c>
      <c r="C639" s="71" t="s">
        <v>1037</v>
      </c>
      <c r="D639" s="2" t="s">
        <v>94</v>
      </c>
      <c r="E639" s="33" t="s">
        <v>1038</v>
      </c>
      <c r="F639" s="460">
        <v>200</v>
      </c>
      <c r="G639" s="1" t="s">
        <v>19</v>
      </c>
      <c r="H639" s="41">
        <v>14.8</v>
      </c>
      <c r="I639" s="8">
        <f t="shared" si="36"/>
        <v>2960</v>
      </c>
      <c r="J639" s="543">
        <v>14.76</v>
      </c>
      <c r="K639" s="521">
        <f t="shared" si="37"/>
        <v>4.0000000000000924E-2</v>
      </c>
      <c r="L639" s="522">
        <f t="shared" si="38"/>
        <v>8.0000000000001847</v>
      </c>
      <c r="M639" s="523">
        <f t="shared" si="39"/>
        <v>2.7027027027027649E-3</v>
      </c>
      <c r="N639" s="34" t="s">
        <v>22</v>
      </c>
      <c r="O639" s="2" t="s">
        <v>105</v>
      </c>
    </row>
    <row r="640" spans="1:15">
      <c r="A640" s="71">
        <v>2023</v>
      </c>
      <c r="B640" s="16" t="s">
        <v>998</v>
      </c>
      <c r="C640" s="71" t="s">
        <v>1037</v>
      </c>
      <c r="D640" s="2" t="s">
        <v>94</v>
      </c>
      <c r="E640" s="33" t="s">
        <v>550</v>
      </c>
      <c r="F640" s="460">
        <v>300</v>
      </c>
      <c r="G640" s="1" t="s">
        <v>19</v>
      </c>
      <c r="H640" s="41">
        <v>49</v>
      </c>
      <c r="I640" s="8">
        <f t="shared" si="36"/>
        <v>14700</v>
      </c>
      <c r="J640" s="543">
        <v>47.56</v>
      </c>
      <c r="K640" s="521">
        <f t="shared" si="37"/>
        <v>1.4399999999999977</v>
      </c>
      <c r="L640" s="522">
        <f t="shared" si="38"/>
        <v>431.99999999999932</v>
      </c>
      <c r="M640" s="523">
        <f t="shared" si="39"/>
        <v>2.938775510204077E-2</v>
      </c>
      <c r="N640" s="34" t="s">
        <v>22</v>
      </c>
      <c r="O640" s="2" t="s">
        <v>105</v>
      </c>
    </row>
    <row r="641" spans="1:15">
      <c r="A641" s="71">
        <v>2023</v>
      </c>
      <c r="B641" s="16" t="s">
        <v>998</v>
      </c>
      <c r="C641" s="71" t="s">
        <v>1037</v>
      </c>
      <c r="D641" s="2" t="s">
        <v>94</v>
      </c>
      <c r="E641" s="33" t="s">
        <v>973</v>
      </c>
      <c r="F641" s="460">
        <v>1</v>
      </c>
      <c r="G641" s="1" t="s">
        <v>29</v>
      </c>
      <c r="H641" s="41">
        <v>5800</v>
      </c>
      <c r="I641" s="8">
        <f t="shared" si="36"/>
        <v>5800</v>
      </c>
      <c r="J641" s="543">
        <v>5470</v>
      </c>
      <c r="K641" s="521">
        <f t="shared" si="37"/>
        <v>330</v>
      </c>
      <c r="L641" s="522">
        <f t="shared" si="38"/>
        <v>330</v>
      </c>
      <c r="M641" s="523">
        <f t="shared" si="39"/>
        <v>5.6896551724137934E-2</v>
      </c>
      <c r="N641" s="34" t="s">
        <v>22</v>
      </c>
      <c r="O641" s="2" t="s">
        <v>105</v>
      </c>
    </row>
    <row r="642" spans="1:15">
      <c r="A642" s="71">
        <v>2023</v>
      </c>
      <c r="B642" s="16" t="s">
        <v>998</v>
      </c>
      <c r="C642" s="71" t="s">
        <v>1037</v>
      </c>
      <c r="D642" s="2" t="s">
        <v>94</v>
      </c>
      <c r="E642" s="33" t="s">
        <v>971</v>
      </c>
      <c r="F642" s="460">
        <v>20</v>
      </c>
      <c r="G642" s="1" t="s">
        <v>615</v>
      </c>
      <c r="H642" s="41">
        <v>115</v>
      </c>
      <c r="I642" s="8">
        <f t="shared" si="36"/>
        <v>2300</v>
      </c>
      <c r="J642" s="543">
        <v>91.85</v>
      </c>
      <c r="K642" s="521">
        <f t="shared" si="37"/>
        <v>23.150000000000006</v>
      </c>
      <c r="L642" s="522">
        <f t="shared" si="38"/>
        <v>463.00000000000011</v>
      </c>
      <c r="M642" s="523">
        <f t="shared" si="39"/>
        <v>0.201304347826087</v>
      </c>
      <c r="N642" s="34" t="s">
        <v>22</v>
      </c>
      <c r="O642" s="2" t="s">
        <v>105</v>
      </c>
    </row>
    <row r="643" spans="1:15">
      <c r="A643" s="71">
        <v>2023</v>
      </c>
      <c r="B643" s="16" t="s">
        <v>998</v>
      </c>
      <c r="C643" s="71" t="s">
        <v>1039</v>
      </c>
      <c r="D643" s="2" t="s">
        <v>68</v>
      </c>
      <c r="E643" s="33" t="s">
        <v>962</v>
      </c>
      <c r="F643" s="460">
        <v>531.29999999999995</v>
      </c>
      <c r="G643" s="1" t="s">
        <v>37</v>
      </c>
      <c r="H643" s="41">
        <v>352</v>
      </c>
      <c r="I643" s="8">
        <f t="shared" ref="I643:I706" si="40">H643*F643</f>
        <v>187017.59999999998</v>
      </c>
      <c r="J643" s="543">
        <v>348</v>
      </c>
      <c r="K643" s="521">
        <f t="shared" ref="K643:K706" si="41">H643-J643</f>
        <v>4</v>
      </c>
      <c r="L643" s="522">
        <f t="shared" ref="L643:L706" si="42">K643*F643</f>
        <v>2125.1999999999998</v>
      </c>
      <c r="M643" s="523">
        <f t="shared" ref="M643:M706" si="43">K643/H643</f>
        <v>1.1363636363636364E-2</v>
      </c>
      <c r="N643" s="34" t="s">
        <v>22</v>
      </c>
      <c r="O643" s="2" t="s">
        <v>105</v>
      </c>
    </row>
    <row r="644" spans="1:15">
      <c r="A644" s="71">
        <v>2023</v>
      </c>
      <c r="B644" s="16" t="s">
        <v>998</v>
      </c>
      <c r="C644" s="71" t="s">
        <v>1040</v>
      </c>
      <c r="D644" s="2" t="s">
        <v>94</v>
      </c>
      <c r="E644" s="33" t="s">
        <v>613</v>
      </c>
      <c r="F644" s="460">
        <v>200</v>
      </c>
      <c r="G644" s="1" t="s">
        <v>19</v>
      </c>
      <c r="H644" s="41">
        <v>25.5</v>
      </c>
      <c r="I644" s="8">
        <f t="shared" si="40"/>
        <v>5100</v>
      </c>
      <c r="J644" s="543">
        <v>24.6</v>
      </c>
      <c r="K644" s="521">
        <f t="shared" si="41"/>
        <v>0.89999999999999858</v>
      </c>
      <c r="L644" s="522">
        <f t="shared" si="42"/>
        <v>179.99999999999972</v>
      </c>
      <c r="M644" s="523">
        <f t="shared" si="43"/>
        <v>3.5294117647058768E-2</v>
      </c>
      <c r="N644" s="34" t="s">
        <v>22</v>
      </c>
      <c r="O644" s="2" t="s">
        <v>105</v>
      </c>
    </row>
    <row r="645" spans="1:15">
      <c r="A645" s="71">
        <v>2023</v>
      </c>
      <c r="B645" s="16" t="s">
        <v>998</v>
      </c>
      <c r="C645" s="71" t="s">
        <v>1040</v>
      </c>
      <c r="D645" s="2" t="s">
        <v>94</v>
      </c>
      <c r="E645" s="2" t="s">
        <v>550</v>
      </c>
      <c r="F645" s="9">
        <v>200</v>
      </c>
      <c r="G645" s="1" t="s">
        <v>19</v>
      </c>
      <c r="H645" s="8">
        <v>49</v>
      </c>
      <c r="I645" s="8">
        <f t="shared" si="40"/>
        <v>9800</v>
      </c>
      <c r="J645" s="539">
        <v>47.56</v>
      </c>
      <c r="K645" s="521">
        <f t="shared" si="41"/>
        <v>1.4399999999999977</v>
      </c>
      <c r="L645" s="522">
        <f t="shared" si="42"/>
        <v>287.99999999999955</v>
      </c>
      <c r="M645" s="523">
        <f t="shared" si="43"/>
        <v>2.938775510204077E-2</v>
      </c>
      <c r="N645" s="34" t="s">
        <v>22</v>
      </c>
      <c r="O645" s="2" t="s">
        <v>105</v>
      </c>
    </row>
    <row r="646" spans="1:15">
      <c r="A646" s="71">
        <v>2023</v>
      </c>
      <c r="B646" s="16" t="s">
        <v>998</v>
      </c>
      <c r="C646" s="71" t="s">
        <v>1041</v>
      </c>
      <c r="D646" s="2" t="s">
        <v>1042</v>
      </c>
      <c r="E646" s="47" t="s">
        <v>1043</v>
      </c>
      <c r="F646" s="471">
        <v>476</v>
      </c>
      <c r="G646" s="152" t="s">
        <v>37</v>
      </c>
      <c r="H646" s="8">
        <v>361</v>
      </c>
      <c r="I646" s="8">
        <f t="shared" si="40"/>
        <v>171836</v>
      </c>
      <c r="J646" s="539">
        <v>326</v>
      </c>
      <c r="K646" s="521">
        <f t="shared" si="41"/>
        <v>35</v>
      </c>
      <c r="L646" s="522">
        <f t="shared" si="42"/>
        <v>16660</v>
      </c>
      <c r="M646" s="523">
        <f t="shared" si="43"/>
        <v>9.6952908587257622E-2</v>
      </c>
      <c r="N646" s="34" t="s">
        <v>22</v>
      </c>
      <c r="O646" s="2" t="s">
        <v>105</v>
      </c>
    </row>
    <row r="647" spans="1:15">
      <c r="A647" s="71">
        <v>2023</v>
      </c>
      <c r="B647" s="16" t="s">
        <v>998</v>
      </c>
      <c r="C647" s="71" t="s">
        <v>1044</v>
      </c>
      <c r="D647" s="2" t="s">
        <v>1042</v>
      </c>
      <c r="E647" s="2" t="s">
        <v>711</v>
      </c>
      <c r="F647" s="9">
        <v>1475.4</v>
      </c>
      <c r="G647" s="1" t="s">
        <v>37</v>
      </c>
      <c r="H647" s="8">
        <v>361</v>
      </c>
      <c r="I647" s="8">
        <f t="shared" si="40"/>
        <v>532619.4</v>
      </c>
      <c r="J647" s="539">
        <v>326</v>
      </c>
      <c r="K647" s="521">
        <f t="shared" si="41"/>
        <v>35</v>
      </c>
      <c r="L647" s="522">
        <f t="shared" si="42"/>
        <v>51639</v>
      </c>
      <c r="M647" s="523">
        <f t="shared" si="43"/>
        <v>9.6952908587257622E-2</v>
      </c>
      <c r="N647" s="34" t="s">
        <v>22</v>
      </c>
      <c r="O647" s="2" t="s">
        <v>105</v>
      </c>
    </row>
    <row r="648" spans="1:15">
      <c r="A648" s="71">
        <v>2023</v>
      </c>
      <c r="B648" s="16" t="s">
        <v>998</v>
      </c>
      <c r="C648" s="71" t="s">
        <v>1045</v>
      </c>
      <c r="D648" s="2" t="s">
        <v>926</v>
      </c>
      <c r="E648" s="2" t="s">
        <v>928</v>
      </c>
      <c r="F648" s="2">
        <v>100</v>
      </c>
      <c r="G648" s="9" t="s">
        <v>19</v>
      </c>
      <c r="H648" s="498">
        <v>57</v>
      </c>
      <c r="I648" s="8">
        <f t="shared" si="40"/>
        <v>5700</v>
      </c>
      <c r="J648" s="539">
        <v>45</v>
      </c>
      <c r="K648" s="521">
        <f t="shared" si="41"/>
        <v>12</v>
      </c>
      <c r="L648" s="522">
        <f t="shared" si="42"/>
        <v>1200</v>
      </c>
      <c r="M648" s="523">
        <f t="shared" si="43"/>
        <v>0.21052631578947367</v>
      </c>
      <c r="N648" s="34" t="s">
        <v>22</v>
      </c>
      <c r="O648" s="2" t="s">
        <v>21</v>
      </c>
    </row>
    <row r="649" spans="1:15">
      <c r="A649" s="71">
        <v>2023</v>
      </c>
      <c r="B649" s="16" t="s">
        <v>998</v>
      </c>
      <c r="C649" s="71" t="s">
        <v>1045</v>
      </c>
      <c r="D649" s="2" t="s">
        <v>926</v>
      </c>
      <c r="E649" s="2" t="s">
        <v>929</v>
      </c>
      <c r="F649" s="2">
        <v>300</v>
      </c>
      <c r="G649" s="9" t="s">
        <v>19</v>
      </c>
      <c r="H649" s="498">
        <v>110</v>
      </c>
      <c r="I649" s="8">
        <f t="shared" si="40"/>
        <v>33000</v>
      </c>
      <c r="J649" s="539">
        <v>78</v>
      </c>
      <c r="K649" s="521">
        <f t="shared" si="41"/>
        <v>32</v>
      </c>
      <c r="L649" s="522">
        <f t="shared" si="42"/>
        <v>9600</v>
      </c>
      <c r="M649" s="523">
        <f t="shared" si="43"/>
        <v>0.29090909090909089</v>
      </c>
      <c r="N649" s="34" t="s">
        <v>22</v>
      </c>
      <c r="O649" s="2" t="s">
        <v>21</v>
      </c>
    </row>
    <row r="650" spans="1:15">
      <c r="A650" s="71">
        <v>2023</v>
      </c>
      <c r="B650" s="16" t="s">
        <v>998</v>
      </c>
      <c r="C650" s="71" t="s">
        <v>1046</v>
      </c>
      <c r="D650" s="2" t="s">
        <v>17</v>
      </c>
      <c r="E650" s="2" t="s">
        <v>25</v>
      </c>
      <c r="F650" s="9">
        <v>12</v>
      </c>
      <c r="G650" s="1" t="s">
        <v>19</v>
      </c>
      <c r="H650" s="498">
        <v>44.5</v>
      </c>
      <c r="I650" s="8">
        <f t="shared" si="40"/>
        <v>534</v>
      </c>
      <c r="J650" s="539">
        <v>38.5</v>
      </c>
      <c r="K650" s="521">
        <f t="shared" si="41"/>
        <v>6</v>
      </c>
      <c r="L650" s="522">
        <f t="shared" si="42"/>
        <v>72</v>
      </c>
      <c r="M650" s="523">
        <f t="shared" si="43"/>
        <v>0.1348314606741573</v>
      </c>
      <c r="N650" s="34" t="s">
        <v>22</v>
      </c>
      <c r="O650" s="2" t="s">
        <v>21</v>
      </c>
    </row>
    <row r="651" spans="1:15">
      <c r="A651" s="71">
        <v>2023</v>
      </c>
      <c r="B651" s="16" t="s">
        <v>998</v>
      </c>
      <c r="C651" s="71" t="s">
        <v>1047</v>
      </c>
      <c r="D651" s="2" t="s">
        <v>96</v>
      </c>
      <c r="E651" s="2" t="s">
        <v>902</v>
      </c>
      <c r="F651" s="9">
        <v>2</v>
      </c>
      <c r="G651" s="1" t="s">
        <v>19</v>
      </c>
      <c r="H651" s="498">
        <v>240</v>
      </c>
      <c r="I651" s="8">
        <f t="shared" si="40"/>
        <v>480</v>
      </c>
      <c r="J651" s="539">
        <v>168</v>
      </c>
      <c r="K651" s="521">
        <f t="shared" si="41"/>
        <v>72</v>
      </c>
      <c r="L651" s="522">
        <f t="shared" si="42"/>
        <v>144</v>
      </c>
      <c r="M651" s="523">
        <f t="shared" si="43"/>
        <v>0.3</v>
      </c>
      <c r="N651" s="34" t="s">
        <v>22</v>
      </c>
      <c r="O651" s="2" t="s">
        <v>21</v>
      </c>
    </row>
    <row r="652" spans="1:15">
      <c r="A652" s="71">
        <v>2023</v>
      </c>
      <c r="B652" s="16" t="s">
        <v>998</v>
      </c>
      <c r="C652" s="71" t="s">
        <v>1048</v>
      </c>
      <c r="D652" s="2" t="s">
        <v>253</v>
      </c>
      <c r="E652" s="2" t="s">
        <v>1049</v>
      </c>
      <c r="F652" s="9">
        <v>2</v>
      </c>
      <c r="G652" s="1" t="s">
        <v>19</v>
      </c>
      <c r="H652" s="498">
        <v>4590</v>
      </c>
      <c r="I652" s="8">
        <f t="shared" si="40"/>
        <v>9180</v>
      </c>
      <c r="J652" s="539">
        <v>3990</v>
      </c>
      <c r="K652" s="521">
        <f t="shared" si="41"/>
        <v>600</v>
      </c>
      <c r="L652" s="522">
        <f t="shared" si="42"/>
        <v>1200</v>
      </c>
      <c r="M652" s="523">
        <f t="shared" si="43"/>
        <v>0.13071895424836602</v>
      </c>
      <c r="N652" s="34" t="s">
        <v>22</v>
      </c>
      <c r="O652" s="2" t="s">
        <v>21</v>
      </c>
    </row>
    <row r="653" spans="1:15">
      <c r="A653" s="71">
        <v>2023</v>
      </c>
      <c r="B653" s="16" t="s">
        <v>998</v>
      </c>
      <c r="C653" s="71" t="s">
        <v>1050</v>
      </c>
      <c r="D653" s="2" t="s">
        <v>118</v>
      </c>
      <c r="E653" s="2" t="s">
        <v>1051</v>
      </c>
      <c r="F653" s="9">
        <v>3</v>
      </c>
      <c r="G653" s="1" t="s">
        <v>19</v>
      </c>
      <c r="H653" s="498">
        <v>1100</v>
      </c>
      <c r="I653" s="8">
        <f t="shared" si="40"/>
        <v>3300</v>
      </c>
      <c r="J653" s="539">
        <v>1038</v>
      </c>
      <c r="K653" s="521">
        <f t="shared" si="41"/>
        <v>62</v>
      </c>
      <c r="L653" s="522">
        <f t="shared" si="42"/>
        <v>186</v>
      </c>
      <c r="M653" s="523">
        <f t="shared" si="43"/>
        <v>5.6363636363636366E-2</v>
      </c>
      <c r="N653" s="34" t="s">
        <v>22</v>
      </c>
      <c r="O653" s="2" t="s">
        <v>21</v>
      </c>
    </row>
    <row r="654" spans="1:15">
      <c r="A654" s="71">
        <v>2023</v>
      </c>
      <c r="B654" s="16" t="s">
        <v>998</v>
      </c>
      <c r="C654" s="71" t="s">
        <v>1052</v>
      </c>
      <c r="D654" s="2" t="s">
        <v>118</v>
      </c>
      <c r="E654" s="2" t="s">
        <v>1053</v>
      </c>
      <c r="F654" s="9">
        <v>5</v>
      </c>
      <c r="G654" s="1" t="s">
        <v>19</v>
      </c>
      <c r="H654" s="498">
        <v>250</v>
      </c>
      <c r="I654" s="8">
        <f t="shared" si="40"/>
        <v>1250</v>
      </c>
      <c r="J654" s="539">
        <v>245</v>
      </c>
      <c r="K654" s="521">
        <f t="shared" si="41"/>
        <v>5</v>
      </c>
      <c r="L654" s="522">
        <f t="shared" si="42"/>
        <v>25</v>
      </c>
      <c r="M654" s="523">
        <f t="shared" si="43"/>
        <v>0.02</v>
      </c>
      <c r="N654" s="34" t="s">
        <v>22</v>
      </c>
      <c r="O654" s="2" t="s">
        <v>21</v>
      </c>
    </row>
    <row r="655" spans="1:15">
      <c r="A655" s="71">
        <v>2023</v>
      </c>
      <c r="B655" s="16" t="s">
        <v>998</v>
      </c>
      <c r="C655" s="71" t="s">
        <v>1052</v>
      </c>
      <c r="D655" s="2" t="s">
        <v>118</v>
      </c>
      <c r="E655" s="2" t="s">
        <v>1054</v>
      </c>
      <c r="F655" s="9">
        <v>5</v>
      </c>
      <c r="G655" s="1" t="s">
        <v>37</v>
      </c>
      <c r="H655" s="498">
        <v>1100</v>
      </c>
      <c r="I655" s="8">
        <f t="shared" si="40"/>
        <v>5500</v>
      </c>
      <c r="J655" s="539">
        <v>950</v>
      </c>
      <c r="K655" s="521">
        <f t="shared" si="41"/>
        <v>150</v>
      </c>
      <c r="L655" s="522">
        <f t="shared" si="42"/>
        <v>750</v>
      </c>
      <c r="M655" s="523">
        <f t="shared" si="43"/>
        <v>0.13636363636363635</v>
      </c>
      <c r="N655" s="34" t="s">
        <v>22</v>
      </c>
      <c r="O655" s="2" t="s">
        <v>21</v>
      </c>
    </row>
    <row r="656" spans="1:15">
      <c r="A656" s="71">
        <v>2023</v>
      </c>
      <c r="B656" s="16" t="s">
        <v>998</v>
      </c>
      <c r="C656" s="71" t="s">
        <v>1052</v>
      </c>
      <c r="D656" s="2" t="s">
        <v>118</v>
      </c>
      <c r="E656" s="2" t="s">
        <v>1055</v>
      </c>
      <c r="F656" s="9">
        <v>2</v>
      </c>
      <c r="G656" s="1" t="s">
        <v>19</v>
      </c>
      <c r="H656" s="498">
        <v>1850</v>
      </c>
      <c r="I656" s="8">
        <f t="shared" si="40"/>
        <v>3700</v>
      </c>
      <c r="J656" s="539">
        <v>1356</v>
      </c>
      <c r="K656" s="521">
        <f t="shared" si="41"/>
        <v>494</v>
      </c>
      <c r="L656" s="522">
        <f t="shared" si="42"/>
        <v>988</v>
      </c>
      <c r="M656" s="523">
        <f t="shared" si="43"/>
        <v>0.26702702702702702</v>
      </c>
      <c r="N656" s="34" t="s">
        <v>22</v>
      </c>
      <c r="O656" s="2" t="s">
        <v>21</v>
      </c>
    </row>
    <row r="657" spans="1:15">
      <c r="A657" s="71">
        <v>2023</v>
      </c>
      <c r="B657" s="16" t="s">
        <v>998</v>
      </c>
      <c r="C657" s="71" t="s">
        <v>1056</v>
      </c>
      <c r="D657" s="2" t="s">
        <v>149</v>
      </c>
      <c r="E657" s="2" t="s">
        <v>1057</v>
      </c>
      <c r="F657" s="9">
        <v>1</v>
      </c>
      <c r="G657" s="1" t="s">
        <v>19</v>
      </c>
      <c r="H657" s="8">
        <v>1390</v>
      </c>
      <c r="I657" s="8">
        <f t="shared" si="40"/>
        <v>1390</v>
      </c>
      <c r="J657" s="539">
        <v>980</v>
      </c>
      <c r="K657" s="521">
        <f t="shared" si="41"/>
        <v>410</v>
      </c>
      <c r="L657" s="522">
        <f t="shared" si="42"/>
        <v>410</v>
      </c>
      <c r="M657" s="523">
        <f t="shared" si="43"/>
        <v>0.29496402877697842</v>
      </c>
      <c r="N657" s="34" t="s">
        <v>22</v>
      </c>
      <c r="O657" s="2" t="s">
        <v>21</v>
      </c>
    </row>
    <row r="658" spans="1:15">
      <c r="A658" s="71">
        <v>2023</v>
      </c>
      <c r="B658" s="16" t="s">
        <v>998</v>
      </c>
      <c r="C658" s="71" t="s">
        <v>1058</v>
      </c>
      <c r="D658" s="2" t="s">
        <v>24</v>
      </c>
      <c r="E658" s="2" t="s">
        <v>1059</v>
      </c>
      <c r="F658" s="9">
        <v>2</v>
      </c>
      <c r="G658" s="1" t="s">
        <v>19</v>
      </c>
      <c r="H658" s="8">
        <v>13060</v>
      </c>
      <c r="I658" s="8">
        <f t="shared" si="40"/>
        <v>26120</v>
      </c>
      <c r="J658" s="539">
        <v>12511</v>
      </c>
      <c r="K658" s="521">
        <f t="shared" si="41"/>
        <v>549</v>
      </c>
      <c r="L658" s="522">
        <f t="shared" si="42"/>
        <v>1098</v>
      </c>
      <c r="M658" s="523">
        <f t="shared" si="43"/>
        <v>4.2036753445635532E-2</v>
      </c>
      <c r="N658" s="34" t="s">
        <v>22</v>
      </c>
      <c r="O658" s="2" t="s">
        <v>21</v>
      </c>
    </row>
    <row r="659" spans="1:15">
      <c r="A659" s="71">
        <v>2023</v>
      </c>
      <c r="B659" s="16" t="s">
        <v>998</v>
      </c>
      <c r="C659" s="71" t="s">
        <v>1058</v>
      </c>
      <c r="D659" s="2" t="s">
        <v>24</v>
      </c>
      <c r="E659" s="2" t="s">
        <v>1060</v>
      </c>
      <c r="F659" s="9">
        <v>2</v>
      </c>
      <c r="G659" s="1" t="s">
        <v>19</v>
      </c>
      <c r="H659" s="8">
        <v>11400</v>
      </c>
      <c r="I659" s="8">
        <f t="shared" si="40"/>
        <v>22800</v>
      </c>
      <c r="J659" s="539">
        <v>10200</v>
      </c>
      <c r="K659" s="521">
        <f t="shared" si="41"/>
        <v>1200</v>
      </c>
      <c r="L659" s="522">
        <f t="shared" si="42"/>
        <v>2400</v>
      </c>
      <c r="M659" s="523">
        <f t="shared" si="43"/>
        <v>0.10526315789473684</v>
      </c>
      <c r="N659" s="34" t="s">
        <v>22</v>
      </c>
      <c r="O659" s="2" t="s">
        <v>21</v>
      </c>
    </row>
    <row r="660" spans="1:15">
      <c r="A660" s="71">
        <v>2023</v>
      </c>
      <c r="B660" s="16" t="s">
        <v>998</v>
      </c>
      <c r="C660" s="71" t="s">
        <v>1061</v>
      </c>
      <c r="D660" s="2" t="s">
        <v>17</v>
      </c>
      <c r="E660" s="2" t="s">
        <v>25</v>
      </c>
      <c r="F660" s="9">
        <v>48</v>
      </c>
      <c r="G660" s="1" t="s">
        <v>19</v>
      </c>
      <c r="H660" s="8">
        <v>44.5</v>
      </c>
      <c r="I660" s="8">
        <f t="shared" si="40"/>
        <v>2136</v>
      </c>
      <c r="J660" s="539">
        <v>38.5</v>
      </c>
      <c r="K660" s="521">
        <f t="shared" si="41"/>
        <v>6</v>
      </c>
      <c r="L660" s="522">
        <f t="shared" si="42"/>
        <v>288</v>
      </c>
      <c r="M660" s="523">
        <f t="shared" si="43"/>
        <v>0.1348314606741573</v>
      </c>
      <c r="N660" s="34" t="s">
        <v>22</v>
      </c>
      <c r="O660" s="2" t="s">
        <v>21</v>
      </c>
    </row>
    <row r="661" spans="1:15">
      <c r="A661" s="71">
        <v>2023</v>
      </c>
      <c r="B661" s="16" t="s">
        <v>998</v>
      </c>
      <c r="C661" s="71" t="s">
        <v>1061</v>
      </c>
      <c r="D661" s="2" t="s">
        <v>17</v>
      </c>
      <c r="E661" s="2" t="s">
        <v>1062</v>
      </c>
      <c r="F661" s="9">
        <v>24</v>
      </c>
      <c r="G661" s="1" t="s">
        <v>19</v>
      </c>
      <c r="H661" s="8">
        <v>69</v>
      </c>
      <c r="I661" s="8">
        <f t="shared" si="40"/>
        <v>1656</v>
      </c>
      <c r="J661" s="539">
        <v>64</v>
      </c>
      <c r="K661" s="521">
        <f t="shared" si="41"/>
        <v>5</v>
      </c>
      <c r="L661" s="522">
        <f t="shared" si="42"/>
        <v>120</v>
      </c>
      <c r="M661" s="523">
        <f t="shared" si="43"/>
        <v>7.2463768115942032E-2</v>
      </c>
      <c r="N661" s="34" t="s">
        <v>22</v>
      </c>
      <c r="O661" s="2" t="s">
        <v>21</v>
      </c>
    </row>
    <row r="662" spans="1:15">
      <c r="A662" s="71">
        <v>2023</v>
      </c>
      <c r="B662" s="16" t="s">
        <v>998</v>
      </c>
      <c r="C662" s="71" t="s">
        <v>1063</v>
      </c>
      <c r="D662" s="2" t="s">
        <v>522</v>
      </c>
      <c r="E662" s="2" t="s">
        <v>1064</v>
      </c>
      <c r="F662" s="9">
        <v>1</v>
      </c>
      <c r="G662" s="1" t="s">
        <v>59</v>
      </c>
      <c r="H662" s="8">
        <v>116008</v>
      </c>
      <c r="I662" s="8">
        <f t="shared" si="40"/>
        <v>116008</v>
      </c>
      <c r="J662" s="539">
        <v>97000</v>
      </c>
      <c r="K662" s="521">
        <f t="shared" si="41"/>
        <v>19008</v>
      </c>
      <c r="L662" s="522">
        <f t="shared" si="42"/>
        <v>19008</v>
      </c>
      <c r="M662" s="523">
        <f t="shared" si="43"/>
        <v>0.16385076891248879</v>
      </c>
      <c r="N662" s="34" t="s">
        <v>38</v>
      </c>
      <c r="O662" s="2" t="s">
        <v>21</v>
      </c>
    </row>
    <row r="663" spans="1:15">
      <c r="A663" s="71">
        <v>2023</v>
      </c>
      <c r="B663" s="16" t="s">
        <v>998</v>
      </c>
      <c r="C663" s="71" t="s">
        <v>1065</v>
      </c>
      <c r="D663" s="2" t="s">
        <v>345</v>
      </c>
      <c r="E663" s="2" t="s">
        <v>1066</v>
      </c>
      <c r="F663" s="9">
        <v>1</v>
      </c>
      <c r="G663" s="1" t="s">
        <v>569</v>
      </c>
      <c r="H663" s="8">
        <v>62000</v>
      </c>
      <c r="I663" s="8">
        <f t="shared" si="40"/>
        <v>62000</v>
      </c>
      <c r="J663" s="539">
        <v>60000</v>
      </c>
      <c r="K663" s="521">
        <f t="shared" si="41"/>
        <v>2000</v>
      </c>
      <c r="L663" s="522">
        <f t="shared" si="42"/>
        <v>2000</v>
      </c>
      <c r="M663" s="523">
        <f t="shared" si="43"/>
        <v>3.2258064516129031E-2</v>
      </c>
      <c r="N663" s="34" t="s">
        <v>22</v>
      </c>
      <c r="O663" s="2" t="s">
        <v>21</v>
      </c>
    </row>
    <row r="664" spans="1:15">
      <c r="A664" s="71">
        <v>2023</v>
      </c>
      <c r="B664" s="16" t="s">
        <v>998</v>
      </c>
      <c r="C664" s="71" t="s">
        <v>1067</v>
      </c>
      <c r="D664" s="2" t="s">
        <v>118</v>
      </c>
      <c r="E664" s="2" t="s">
        <v>1068</v>
      </c>
      <c r="F664" s="9">
        <v>12</v>
      </c>
      <c r="G664" s="1" t="s">
        <v>19</v>
      </c>
      <c r="H664" s="8">
        <v>2200</v>
      </c>
      <c r="I664" s="8">
        <f t="shared" si="40"/>
        <v>26400</v>
      </c>
      <c r="J664" s="539">
        <v>1480</v>
      </c>
      <c r="K664" s="521">
        <f t="shared" si="41"/>
        <v>720</v>
      </c>
      <c r="L664" s="522">
        <f t="shared" si="42"/>
        <v>8640</v>
      </c>
      <c r="M664" s="523">
        <f t="shared" si="43"/>
        <v>0.32727272727272727</v>
      </c>
      <c r="N664" s="34" t="s">
        <v>22</v>
      </c>
      <c r="O664" s="2" t="s">
        <v>21</v>
      </c>
    </row>
    <row r="665" spans="1:15">
      <c r="A665" s="71">
        <v>2023</v>
      </c>
      <c r="B665" s="16" t="s">
        <v>998</v>
      </c>
      <c r="C665" s="71" t="s">
        <v>1069</v>
      </c>
      <c r="D665" s="2" t="s">
        <v>149</v>
      </c>
      <c r="E665" s="2" t="s">
        <v>1070</v>
      </c>
      <c r="F665" s="9">
        <v>20</v>
      </c>
      <c r="G665" s="1" t="s">
        <v>19</v>
      </c>
      <c r="H665" s="8">
        <v>796</v>
      </c>
      <c r="I665" s="8">
        <f t="shared" si="40"/>
        <v>15920</v>
      </c>
      <c r="J665" s="539">
        <v>700</v>
      </c>
      <c r="K665" s="521">
        <f t="shared" si="41"/>
        <v>96</v>
      </c>
      <c r="L665" s="522">
        <f t="shared" si="42"/>
        <v>1920</v>
      </c>
      <c r="M665" s="523">
        <f t="shared" si="43"/>
        <v>0.12060301507537688</v>
      </c>
      <c r="N665" s="34" t="s">
        <v>22</v>
      </c>
      <c r="O665" s="2" t="s">
        <v>21</v>
      </c>
    </row>
    <row r="666" spans="1:15">
      <c r="A666" s="71">
        <v>2023</v>
      </c>
      <c r="B666" s="16" t="s">
        <v>998</v>
      </c>
      <c r="C666" s="71" t="s">
        <v>1069</v>
      </c>
      <c r="D666" s="2" t="s">
        <v>149</v>
      </c>
      <c r="E666" s="2" t="s">
        <v>1071</v>
      </c>
      <c r="F666" s="9">
        <v>10</v>
      </c>
      <c r="G666" s="1" t="s">
        <v>19</v>
      </c>
      <c r="H666" s="8">
        <v>2670</v>
      </c>
      <c r="I666" s="8">
        <f t="shared" si="40"/>
        <v>26700</v>
      </c>
      <c r="J666" s="539">
        <v>2350</v>
      </c>
      <c r="K666" s="521">
        <f t="shared" si="41"/>
        <v>320</v>
      </c>
      <c r="L666" s="522">
        <f t="shared" si="42"/>
        <v>3200</v>
      </c>
      <c r="M666" s="523">
        <f t="shared" si="43"/>
        <v>0.1198501872659176</v>
      </c>
      <c r="N666" s="34" t="s">
        <v>22</v>
      </c>
      <c r="O666" s="2" t="s">
        <v>21</v>
      </c>
    </row>
    <row r="667" spans="1:15">
      <c r="A667" s="71">
        <v>2023</v>
      </c>
      <c r="B667" s="16" t="s">
        <v>998</v>
      </c>
      <c r="C667" s="71" t="s">
        <v>1069</v>
      </c>
      <c r="D667" s="2" t="s">
        <v>149</v>
      </c>
      <c r="E667" s="2" t="s">
        <v>1072</v>
      </c>
      <c r="F667" s="9">
        <v>2</v>
      </c>
      <c r="G667" s="1" t="s">
        <v>19</v>
      </c>
      <c r="H667" s="8">
        <v>1045</v>
      </c>
      <c r="I667" s="8">
        <f t="shared" si="40"/>
        <v>2090</v>
      </c>
      <c r="J667" s="539">
        <v>940</v>
      </c>
      <c r="K667" s="521">
        <f t="shared" si="41"/>
        <v>105</v>
      </c>
      <c r="L667" s="522">
        <f t="shared" si="42"/>
        <v>210</v>
      </c>
      <c r="M667" s="523">
        <f t="shared" si="43"/>
        <v>0.10047846889952153</v>
      </c>
      <c r="N667" s="34" t="s">
        <v>22</v>
      </c>
      <c r="O667" s="2" t="s">
        <v>21</v>
      </c>
    </row>
    <row r="668" spans="1:15">
      <c r="A668" s="71">
        <v>2023</v>
      </c>
      <c r="B668" s="16" t="s">
        <v>998</v>
      </c>
      <c r="C668" s="71" t="s">
        <v>1073</v>
      </c>
      <c r="D668" s="2" t="s">
        <v>248</v>
      </c>
      <c r="E668" s="2" t="s">
        <v>1074</v>
      </c>
      <c r="F668" s="9">
        <v>1</v>
      </c>
      <c r="G668" s="1" t="s">
        <v>19</v>
      </c>
      <c r="H668" s="8">
        <v>10700</v>
      </c>
      <c r="I668" s="8">
        <f t="shared" si="40"/>
        <v>10700</v>
      </c>
      <c r="J668" s="539">
        <v>9095</v>
      </c>
      <c r="K668" s="521">
        <f t="shared" si="41"/>
        <v>1605</v>
      </c>
      <c r="L668" s="522">
        <f t="shared" si="42"/>
        <v>1605</v>
      </c>
      <c r="M668" s="523">
        <f t="shared" si="43"/>
        <v>0.15</v>
      </c>
      <c r="N668" s="34" t="s">
        <v>22</v>
      </c>
      <c r="O668" s="2" t="s">
        <v>21</v>
      </c>
    </row>
    <row r="669" spans="1:15">
      <c r="A669" s="71">
        <v>2023</v>
      </c>
      <c r="B669" s="16" t="s">
        <v>998</v>
      </c>
      <c r="C669" s="71" t="s">
        <v>1075</v>
      </c>
      <c r="D669" s="2" t="s">
        <v>182</v>
      </c>
      <c r="E669" s="2" t="s">
        <v>1076</v>
      </c>
      <c r="F669" s="9">
        <v>1</v>
      </c>
      <c r="G669" s="1" t="s">
        <v>238</v>
      </c>
      <c r="H669" s="8">
        <v>278700</v>
      </c>
      <c r="I669" s="8">
        <f t="shared" si="40"/>
        <v>278700</v>
      </c>
      <c r="J669" s="539">
        <v>264500</v>
      </c>
      <c r="K669" s="521">
        <f t="shared" si="41"/>
        <v>14200</v>
      </c>
      <c r="L669" s="522">
        <f t="shared" si="42"/>
        <v>14200</v>
      </c>
      <c r="M669" s="523">
        <f t="shared" si="43"/>
        <v>5.0950843200574095E-2</v>
      </c>
      <c r="N669" s="34" t="s">
        <v>22</v>
      </c>
      <c r="O669" s="2" t="s">
        <v>21</v>
      </c>
    </row>
    <row r="670" spans="1:15">
      <c r="A670" s="71">
        <v>2023</v>
      </c>
      <c r="B670" s="16" t="s">
        <v>998</v>
      </c>
      <c r="C670" s="71" t="s">
        <v>1077</v>
      </c>
      <c r="D670" s="2" t="s">
        <v>110</v>
      </c>
      <c r="E670" s="2" t="s">
        <v>1078</v>
      </c>
      <c r="F670" s="9">
        <v>1</v>
      </c>
      <c r="G670" s="1" t="s">
        <v>63</v>
      </c>
      <c r="H670" s="8">
        <v>269000</v>
      </c>
      <c r="I670" s="8">
        <f t="shared" si="40"/>
        <v>269000</v>
      </c>
      <c r="J670" s="539">
        <v>263000</v>
      </c>
      <c r="K670" s="521">
        <f t="shared" si="41"/>
        <v>6000</v>
      </c>
      <c r="L670" s="522">
        <f t="shared" si="42"/>
        <v>6000</v>
      </c>
      <c r="M670" s="523">
        <f t="shared" si="43"/>
        <v>2.2304832713754646E-2</v>
      </c>
      <c r="N670" s="34" t="s">
        <v>22</v>
      </c>
      <c r="O670" s="2" t="s">
        <v>21</v>
      </c>
    </row>
    <row r="671" spans="1:15">
      <c r="A671" s="71">
        <v>2023</v>
      </c>
      <c r="B671" s="16" t="s">
        <v>998</v>
      </c>
      <c r="C671" s="71" t="s">
        <v>1079</v>
      </c>
      <c r="D671" s="2" t="s">
        <v>68</v>
      </c>
      <c r="E671" s="2" t="s">
        <v>962</v>
      </c>
      <c r="F671" s="9">
        <v>512.9</v>
      </c>
      <c r="G671" s="1" t="s">
        <v>37</v>
      </c>
      <c r="H671" s="8">
        <v>355</v>
      </c>
      <c r="I671" s="8">
        <f t="shared" si="40"/>
        <v>182079.5</v>
      </c>
      <c r="J671" s="539">
        <v>348</v>
      </c>
      <c r="K671" s="521">
        <f t="shared" si="41"/>
        <v>7</v>
      </c>
      <c r="L671" s="522">
        <f t="shared" si="42"/>
        <v>3590.2999999999997</v>
      </c>
      <c r="M671" s="523">
        <f t="shared" si="43"/>
        <v>1.9718309859154931E-2</v>
      </c>
      <c r="N671" s="34" t="s">
        <v>22</v>
      </c>
      <c r="O671" s="2" t="s">
        <v>105</v>
      </c>
    </row>
    <row r="672" spans="1:15">
      <c r="A672" s="71">
        <v>2023</v>
      </c>
      <c r="B672" s="16" t="s">
        <v>998</v>
      </c>
      <c r="C672" s="71" t="s">
        <v>1080</v>
      </c>
      <c r="D672" s="2" t="s">
        <v>192</v>
      </c>
      <c r="E672" s="2" t="s">
        <v>976</v>
      </c>
      <c r="F672" s="9">
        <v>4200</v>
      </c>
      <c r="G672" s="1" t="s">
        <v>337</v>
      </c>
      <c r="H672" s="8">
        <v>57</v>
      </c>
      <c r="I672" s="8">
        <f t="shared" si="40"/>
        <v>239400</v>
      </c>
      <c r="J672" s="539">
        <v>54</v>
      </c>
      <c r="K672" s="521">
        <f t="shared" si="41"/>
        <v>3</v>
      </c>
      <c r="L672" s="522">
        <f t="shared" si="42"/>
        <v>12600</v>
      </c>
      <c r="M672" s="523">
        <f t="shared" si="43"/>
        <v>5.2631578947368418E-2</v>
      </c>
      <c r="N672" s="34" t="s">
        <v>38</v>
      </c>
      <c r="O672" s="2" t="s">
        <v>105</v>
      </c>
    </row>
    <row r="673" spans="1:15">
      <c r="A673" s="71">
        <v>2023</v>
      </c>
      <c r="B673" s="16" t="s">
        <v>998</v>
      </c>
      <c r="C673" s="71" t="s">
        <v>1081</v>
      </c>
      <c r="D673" s="2" t="s">
        <v>335</v>
      </c>
      <c r="E673" s="2" t="s">
        <v>336</v>
      </c>
      <c r="F673" s="9">
        <v>14000</v>
      </c>
      <c r="G673" s="1" t="s">
        <v>337</v>
      </c>
      <c r="H673" s="8">
        <v>35.25</v>
      </c>
      <c r="I673" s="8">
        <f t="shared" si="40"/>
        <v>493500</v>
      </c>
      <c r="J673" s="539">
        <v>35</v>
      </c>
      <c r="K673" s="521">
        <f t="shared" si="41"/>
        <v>0.25</v>
      </c>
      <c r="L673" s="522">
        <f t="shared" si="42"/>
        <v>3500</v>
      </c>
      <c r="M673" s="523">
        <f t="shared" si="43"/>
        <v>7.0921985815602835E-3</v>
      </c>
      <c r="N673" s="34" t="s">
        <v>22</v>
      </c>
      <c r="O673" s="2" t="s">
        <v>39</v>
      </c>
    </row>
    <row r="674" spans="1:15">
      <c r="A674" s="71">
        <v>2023</v>
      </c>
      <c r="B674" s="16" t="s">
        <v>998</v>
      </c>
      <c r="C674" s="71" t="s">
        <v>1082</v>
      </c>
      <c r="D674" s="2" t="s">
        <v>335</v>
      </c>
      <c r="E674" s="2" t="s">
        <v>336</v>
      </c>
      <c r="F674" s="9">
        <v>14000</v>
      </c>
      <c r="G674" s="1" t="s">
        <v>337</v>
      </c>
      <c r="H674" s="8">
        <v>35.25</v>
      </c>
      <c r="I674" s="8">
        <f t="shared" si="40"/>
        <v>493500</v>
      </c>
      <c r="J674" s="539">
        <v>35</v>
      </c>
      <c r="K674" s="521">
        <f t="shared" si="41"/>
        <v>0.25</v>
      </c>
      <c r="L674" s="522">
        <f t="shared" si="42"/>
        <v>3500</v>
      </c>
      <c r="M674" s="523">
        <f t="shared" si="43"/>
        <v>7.0921985815602835E-3</v>
      </c>
      <c r="N674" s="34" t="s">
        <v>22</v>
      </c>
      <c r="O674" s="2" t="s">
        <v>39</v>
      </c>
    </row>
    <row r="675" spans="1:15">
      <c r="A675" s="71">
        <v>2023</v>
      </c>
      <c r="B675" s="16" t="s">
        <v>1083</v>
      </c>
      <c r="C675" s="71" t="s">
        <v>1084</v>
      </c>
      <c r="D675" s="2" t="s">
        <v>698</v>
      </c>
      <c r="E675" s="2" t="s">
        <v>1085</v>
      </c>
      <c r="F675" s="9">
        <v>20</v>
      </c>
      <c r="G675" s="1" t="s">
        <v>63</v>
      </c>
      <c r="H675" s="8">
        <v>24805</v>
      </c>
      <c r="I675" s="8">
        <f t="shared" si="40"/>
        <v>496100</v>
      </c>
      <c r="J675" s="539">
        <v>24196</v>
      </c>
      <c r="K675" s="521">
        <f t="shared" si="41"/>
        <v>609</v>
      </c>
      <c r="L675" s="522">
        <f t="shared" si="42"/>
        <v>12180</v>
      </c>
      <c r="M675" s="523">
        <f t="shared" si="43"/>
        <v>2.4551501713364243E-2</v>
      </c>
      <c r="N675" s="514" t="s">
        <v>38</v>
      </c>
      <c r="O675" s="2" t="s">
        <v>39</v>
      </c>
    </row>
    <row r="676" spans="1:15">
      <c r="A676" s="71">
        <v>2023</v>
      </c>
      <c r="B676" s="16" t="s">
        <v>1083</v>
      </c>
      <c r="C676" s="71" t="s">
        <v>1086</v>
      </c>
      <c r="D676" s="2" t="s">
        <v>17</v>
      </c>
      <c r="E676" s="2" t="s">
        <v>1087</v>
      </c>
      <c r="F676" s="9">
        <v>24</v>
      </c>
      <c r="G676" s="1" t="s">
        <v>19</v>
      </c>
      <c r="H676" s="8">
        <v>69</v>
      </c>
      <c r="I676" s="8">
        <f t="shared" si="40"/>
        <v>1656</v>
      </c>
      <c r="J676" s="539">
        <v>64</v>
      </c>
      <c r="K676" s="521">
        <f t="shared" si="41"/>
        <v>5</v>
      </c>
      <c r="L676" s="522">
        <f t="shared" si="42"/>
        <v>120</v>
      </c>
      <c r="M676" s="523">
        <f t="shared" si="43"/>
        <v>7.2463768115942032E-2</v>
      </c>
      <c r="N676" s="35" t="s">
        <v>22</v>
      </c>
      <c r="O676" s="2" t="s">
        <v>21</v>
      </c>
    </row>
    <row r="677" spans="1:15">
      <c r="A677" s="71">
        <v>2023</v>
      </c>
      <c r="B677" s="16" t="s">
        <v>1083</v>
      </c>
      <c r="C677" s="71" t="s">
        <v>1088</v>
      </c>
      <c r="D677" s="2" t="s">
        <v>323</v>
      </c>
      <c r="E677" s="2" t="s">
        <v>737</v>
      </c>
      <c r="F677" s="9">
        <v>20</v>
      </c>
      <c r="G677" s="1" t="s">
        <v>29</v>
      </c>
      <c r="H677" s="8">
        <v>1970</v>
      </c>
      <c r="I677" s="8">
        <f t="shared" si="40"/>
        <v>39400</v>
      </c>
      <c r="J677" s="539">
        <v>1890</v>
      </c>
      <c r="K677" s="521">
        <f t="shared" si="41"/>
        <v>80</v>
      </c>
      <c r="L677" s="522">
        <f t="shared" si="42"/>
        <v>1600</v>
      </c>
      <c r="M677" s="523">
        <f t="shared" si="43"/>
        <v>4.060913705583756E-2</v>
      </c>
      <c r="N677" s="35" t="s">
        <v>22</v>
      </c>
      <c r="O677" s="2" t="s">
        <v>21</v>
      </c>
    </row>
    <row r="678" spans="1:15">
      <c r="A678" s="71">
        <v>2023</v>
      </c>
      <c r="B678" s="16" t="s">
        <v>1083</v>
      </c>
      <c r="C678" s="71" t="s">
        <v>1089</v>
      </c>
      <c r="D678" s="2" t="s">
        <v>149</v>
      </c>
      <c r="E678" s="2" t="s">
        <v>1090</v>
      </c>
      <c r="F678" s="9">
        <v>1</v>
      </c>
      <c r="G678" s="1" t="s">
        <v>19</v>
      </c>
      <c r="H678" s="8">
        <v>16250</v>
      </c>
      <c r="I678" s="8">
        <f t="shared" si="40"/>
        <v>16250</v>
      </c>
      <c r="J678" s="539">
        <v>15000</v>
      </c>
      <c r="K678" s="521">
        <f t="shared" si="41"/>
        <v>1250</v>
      </c>
      <c r="L678" s="522">
        <f t="shared" si="42"/>
        <v>1250</v>
      </c>
      <c r="M678" s="523">
        <f t="shared" si="43"/>
        <v>7.6923076923076927E-2</v>
      </c>
      <c r="N678" s="35" t="s">
        <v>22</v>
      </c>
      <c r="O678" s="2" t="s">
        <v>21</v>
      </c>
    </row>
    <row r="679" spans="1:15">
      <c r="A679" s="71">
        <v>2023</v>
      </c>
      <c r="B679" s="16" t="s">
        <v>1083</v>
      </c>
      <c r="C679" s="71" t="s">
        <v>1091</v>
      </c>
      <c r="D679" s="2" t="s">
        <v>96</v>
      </c>
      <c r="E679" s="2" t="s">
        <v>1092</v>
      </c>
      <c r="F679" s="9">
        <v>3</v>
      </c>
      <c r="G679" s="1" t="s">
        <v>19</v>
      </c>
      <c r="H679" s="8">
        <v>1280</v>
      </c>
      <c r="I679" s="8">
        <f t="shared" si="40"/>
        <v>3840</v>
      </c>
      <c r="J679" s="539">
        <v>1200</v>
      </c>
      <c r="K679" s="521">
        <f t="shared" si="41"/>
        <v>80</v>
      </c>
      <c r="L679" s="522">
        <f t="shared" si="42"/>
        <v>240</v>
      </c>
      <c r="M679" s="523">
        <f t="shared" si="43"/>
        <v>6.25E-2</v>
      </c>
      <c r="N679" s="35" t="s">
        <v>22</v>
      </c>
      <c r="O679" s="2" t="s">
        <v>21</v>
      </c>
    </row>
    <row r="680" spans="1:15">
      <c r="A680" s="71">
        <v>2023</v>
      </c>
      <c r="B680" s="16" t="s">
        <v>1083</v>
      </c>
      <c r="C680" s="71" t="s">
        <v>1093</v>
      </c>
      <c r="D680" s="2" t="s">
        <v>1094</v>
      </c>
      <c r="E680" s="2" t="s">
        <v>1095</v>
      </c>
      <c r="F680" s="9">
        <v>10</v>
      </c>
      <c r="G680" s="1" t="s">
        <v>19</v>
      </c>
      <c r="H680" s="8">
        <v>770</v>
      </c>
      <c r="I680" s="8">
        <f t="shared" si="40"/>
        <v>7700</v>
      </c>
      <c r="J680" s="539">
        <v>750</v>
      </c>
      <c r="K680" s="521">
        <f t="shared" si="41"/>
        <v>20</v>
      </c>
      <c r="L680" s="522">
        <f t="shared" si="42"/>
        <v>200</v>
      </c>
      <c r="M680" s="523">
        <f t="shared" si="43"/>
        <v>2.5974025974025976E-2</v>
      </c>
      <c r="N680" s="35" t="s">
        <v>22</v>
      </c>
      <c r="O680" s="2" t="s">
        <v>21</v>
      </c>
    </row>
    <row r="681" spans="1:15">
      <c r="A681" s="71">
        <v>2023</v>
      </c>
      <c r="B681" s="16" t="s">
        <v>1083</v>
      </c>
      <c r="C681" s="71" t="s">
        <v>1096</v>
      </c>
      <c r="D681" s="2" t="s">
        <v>17</v>
      </c>
      <c r="E681" s="2" t="s">
        <v>268</v>
      </c>
      <c r="F681" s="9">
        <v>36</v>
      </c>
      <c r="G681" s="1" t="s">
        <v>19</v>
      </c>
      <c r="H681" s="8">
        <v>44.5</v>
      </c>
      <c r="I681" s="8">
        <f t="shared" si="40"/>
        <v>1602</v>
      </c>
      <c r="J681" s="539">
        <v>38.5</v>
      </c>
      <c r="K681" s="521">
        <f t="shared" si="41"/>
        <v>6</v>
      </c>
      <c r="L681" s="522">
        <f t="shared" si="42"/>
        <v>216</v>
      </c>
      <c r="M681" s="523">
        <f t="shared" si="43"/>
        <v>0.1348314606741573</v>
      </c>
      <c r="N681" s="35" t="s">
        <v>22</v>
      </c>
      <c r="O681" s="2" t="s">
        <v>21</v>
      </c>
    </row>
    <row r="682" spans="1:15">
      <c r="A682" s="71">
        <v>2023</v>
      </c>
      <c r="B682" s="16" t="s">
        <v>1083</v>
      </c>
      <c r="C682" s="71" t="s">
        <v>1096</v>
      </c>
      <c r="D682" s="2" t="s">
        <v>17</v>
      </c>
      <c r="E682" s="2" t="s">
        <v>1097</v>
      </c>
      <c r="F682" s="9">
        <v>12</v>
      </c>
      <c r="G682" s="1" t="s">
        <v>19</v>
      </c>
      <c r="H682" s="8">
        <v>69</v>
      </c>
      <c r="I682" s="8">
        <f t="shared" si="40"/>
        <v>828</v>
      </c>
      <c r="J682" s="539">
        <v>64</v>
      </c>
      <c r="K682" s="521">
        <f t="shared" si="41"/>
        <v>5</v>
      </c>
      <c r="L682" s="522">
        <f t="shared" si="42"/>
        <v>60</v>
      </c>
      <c r="M682" s="523">
        <f t="shared" si="43"/>
        <v>7.2463768115942032E-2</v>
      </c>
      <c r="N682" s="35" t="s">
        <v>22</v>
      </c>
      <c r="O682" s="2" t="s">
        <v>21</v>
      </c>
    </row>
    <row r="683" spans="1:15">
      <c r="A683" s="71">
        <v>2023</v>
      </c>
      <c r="B683" s="16" t="s">
        <v>1083</v>
      </c>
      <c r="C683" s="71" t="s">
        <v>1098</v>
      </c>
      <c r="D683" s="2" t="s">
        <v>125</v>
      </c>
      <c r="E683" s="2" t="s">
        <v>1099</v>
      </c>
      <c r="F683" s="9">
        <v>1</v>
      </c>
      <c r="G683" s="1" t="s">
        <v>59</v>
      </c>
      <c r="H683" s="8">
        <v>25850</v>
      </c>
      <c r="I683" s="8">
        <f t="shared" si="40"/>
        <v>25850</v>
      </c>
      <c r="J683" s="539">
        <v>25000</v>
      </c>
      <c r="K683" s="521">
        <f t="shared" si="41"/>
        <v>850</v>
      </c>
      <c r="L683" s="522">
        <f t="shared" si="42"/>
        <v>850</v>
      </c>
      <c r="M683" s="523">
        <f t="shared" si="43"/>
        <v>3.2882011605415859E-2</v>
      </c>
      <c r="N683" s="35" t="s">
        <v>22</v>
      </c>
      <c r="O683" s="2" t="s">
        <v>21</v>
      </c>
    </row>
    <row r="684" spans="1:15">
      <c r="A684" s="71">
        <v>2023</v>
      </c>
      <c r="B684" s="16" t="s">
        <v>1083</v>
      </c>
      <c r="C684" s="71" t="s">
        <v>1100</v>
      </c>
      <c r="D684" s="2" t="s">
        <v>1101</v>
      </c>
      <c r="E684" s="2" t="s">
        <v>1102</v>
      </c>
      <c r="F684" s="9">
        <v>1050</v>
      </c>
      <c r="G684" s="1" t="s">
        <v>19</v>
      </c>
      <c r="H684" s="8">
        <v>17.5</v>
      </c>
      <c r="I684" s="8">
        <f t="shared" si="40"/>
        <v>18375</v>
      </c>
      <c r="J684" s="539">
        <v>16</v>
      </c>
      <c r="K684" s="521">
        <f t="shared" si="41"/>
        <v>1.5</v>
      </c>
      <c r="L684" s="522">
        <f t="shared" si="42"/>
        <v>1575</v>
      </c>
      <c r="M684" s="523">
        <f t="shared" si="43"/>
        <v>8.5714285714285715E-2</v>
      </c>
      <c r="N684" s="35" t="s">
        <v>22</v>
      </c>
      <c r="O684" s="2" t="s">
        <v>21</v>
      </c>
    </row>
    <row r="685" spans="1:15">
      <c r="A685" s="71">
        <v>2023</v>
      </c>
      <c r="B685" s="16" t="s">
        <v>1083</v>
      </c>
      <c r="C685" s="71" t="s">
        <v>1103</v>
      </c>
      <c r="D685" s="2" t="s">
        <v>1104</v>
      </c>
      <c r="E685" s="2" t="s">
        <v>1105</v>
      </c>
      <c r="F685" s="9">
        <v>1</v>
      </c>
      <c r="G685" s="1" t="s">
        <v>19</v>
      </c>
      <c r="H685" s="8">
        <v>23800</v>
      </c>
      <c r="I685" s="8">
        <f t="shared" si="40"/>
        <v>23800</v>
      </c>
      <c r="J685" s="539">
        <v>23086</v>
      </c>
      <c r="K685" s="521">
        <f t="shared" si="41"/>
        <v>714</v>
      </c>
      <c r="L685" s="522">
        <f t="shared" si="42"/>
        <v>714</v>
      </c>
      <c r="M685" s="523">
        <f t="shared" si="43"/>
        <v>0.03</v>
      </c>
      <c r="N685" s="35" t="s">
        <v>22</v>
      </c>
      <c r="O685" s="2" t="s">
        <v>21</v>
      </c>
    </row>
    <row r="686" spans="1:15">
      <c r="A686" s="71">
        <v>2023</v>
      </c>
      <c r="B686" s="16" t="s">
        <v>1083</v>
      </c>
      <c r="C686" s="71" t="s">
        <v>1103</v>
      </c>
      <c r="D686" s="2" t="s">
        <v>1104</v>
      </c>
      <c r="E686" s="2" t="s">
        <v>1106</v>
      </c>
      <c r="F686" s="9">
        <v>1</v>
      </c>
      <c r="G686" s="1" t="s">
        <v>19</v>
      </c>
      <c r="H686" s="8">
        <v>12000</v>
      </c>
      <c r="I686" s="8">
        <f t="shared" si="40"/>
        <v>12000</v>
      </c>
      <c r="J686" s="539">
        <v>11640</v>
      </c>
      <c r="K686" s="521">
        <f t="shared" si="41"/>
        <v>360</v>
      </c>
      <c r="L686" s="522">
        <f t="shared" si="42"/>
        <v>360</v>
      </c>
      <c r="M686" s="523">
        <f t="shared" si="43"/>
        <v>0.03</v>
      </c>
      <c r="N686" s="35" t="s">
        <v>22</v>
      </c>
      <c r="O686" s="2" t="s">
        <v>21</v>
      </c>
    </row>
    <row r="687" spans="1:15">
      <c r="A687" s="71">
        <v>2023</v>
      </c>
      <c r="B687" s="16" t="s">
        <v>1083</v>
      </c>
      <c r="C687" s="71" t="s">
        <v>1107</v>
      </c>
      <c r="D687" s="2" t="s">
        <v>182</v>
      </c>
      <c r="E687" s="2" t="s">
        <v>1108</v>
      </c>
      <c r="F687" s="9">
        <v>1</v>
      </c>
      <c r="G687" s="1" t="s">
        <v>19</v>
      </c>
      <c r="H687" s="8">
        <v>33600</v>
      </c>
      <c r="I687" s="8">
        <f t="shared" si="40"/>
        <v>33600</v>
      </c>
      <c r="J687" s="539">
        <v>32760</v>
      </c>
      <c r="K687" s="521">
        <f t="shared" si="41"/>
        <v>840</v>
      </c>
      <c r="L687" s="522">
        <f t="shared" si="42"/>
        <v>840</v>
      </c>
      <c r="M687" s="523">
        <f t="shared" si="43"/>
        <v>2.5000000000000001E-2</v>
      </c>
      <c r="N687" s="35" t="s">
        <v>22</v>
      </c>
      <c r="O687" s="2" t="s">
        <v>21</v>
      </c>
    </row>
    <row r="688" spans="1:15">
      <c r="A688" s="71">
        <v>2023</v>
      </c>
      <c r="B688" s="16" t="s">
        <v>1083</v>
      </c>
      <c r="C688" s="71" t="s">
        <v>1109</v>
      </c>
      <c r="D688" s="2" t="s">
        <v>410</v>
      </c>
      <c r="E688" s="2" t="s">
        <v>1110</v>
      </c>
      <c r="F688" s="9">
        <v>6000</v>
      </c>
      <c r="G688" s="1" t="s">
        <v>19</v>
      </c>
      <c r="H688" s="8">
        <v>3.5</v>
      </c>
      <c r="I688" s="8">
        <f t="shared" si="40"/>
        <v>21000</v>
      </c>
      <c r="J688" s="539">
        <v>3.2</v>
      </c>
      <c r="K688" s="521">
        <f t="shared" si="41"/>
        <v>0.29999999999999982</v>
      </c>
      <c r="L688" s="522">
        <f t="shared" si="42"/>
        <v>1799.9999999999989</v>
      </c>
      <c r="M688" s="523">
        <f t="shared" si="43"/>
        <v>8.571428571428566E-2</v>
      </c>
      <c r="N688" s="35" t="s">
        <v>22</v>
      </c>
      <c r="O688" s="2" t="s">
        <v>21</v>
      </c>
    </row>
    <row r="689" spans="1:15">
      <c r="A689" s="71">
        <v>2023</v>
      </c>
      <c r="B689" s="16" t="s">
        <v>1083</v>
      </c>
      <c r="C689" s="71" t="s">
        <v>1111</v>
      </c>
      <c r="D689" s="2" t="s">
        <v>1112</v>
      </c>
      <c r="E689" s="2" t="s">
        <v>1113</v>
      </c>
      <c r="F689" s="9">
        <v>1</v>
      </c>
      <c r="G689" s="1" t="s">
        <v>59</v>
      </c>
      <c r="H689" s="8">
        <v>15000</v>
      </c>
      <c r="I689" s="8">
        <f t="shared" si="40"/>
        <v>15000</v>
      </c>
      <c r="J689" s="539">
        <v>14000</v>
      </c>
      <c r="K689" s="521">
        <f t="shared" si="41"/>
        <v>1000</v>
      </c>
      <c r="L689" s="522">
        <f t="shared" si="42"/>
        <v>1000</v>
      </c>
      <c r="M689" s="523">
        <f t="shared" si="43"/>
        <v>6.6666666666666666E-2</v>
      </c>
      <c r="N689" s="35" t="s">
        <v>22</v>
      </c>
      <c r="O689" s="2" t="s">
        <v>21</v>
      </c>
    </row>
    <row r="690" spans="1:15">
      <c r="A690" s="71">
        <v>2023</v>
      </c>
      <c r="B690" s="16" t="s">
        <v>1083</v>
      </c>
      <c r="C690" s="71" t="s">
        <v>1111</v>
      </c>
      <c r="D690" s="2" t="s">
        <v>1112</v>
      </c>
      <c r="E690" s="2" t="s">
        <v>1114</v>
      </c>
      <c r="F690" s="9">
        <v>1</v>
      </c>
      <c r="G690" s="1" t="s">
        <v>59</v>
      </c>
      <c r="H690" s="8">
        <v>52000</v>
      </c>
      <c r="I690" s="8">
        <f t="shared" si="40"/>
        <v>52000</v>
      </c>
      <c r="J690" s="539">
        <v>45000</v>
      </c>
      <c r="K690" s="521">
        <f t="shared" si="41"/>
        <v>7000</v>
      </c>
      <c r="L690" s="522">
        <f t="shared" si="42"/>
        <v>7000</v>
      </c>
      <c r="M690" s="523">
        <f t="shared" si="43"/>
        <v>0.13461538461538461</v>
      </c>
      <c r="N690" s="35" t="s">
        <v>22</v>
      </c>
      <c r="O690" s="2" t="s">
        <v>21</v>
      </c>
    </row>
    <row r="691" spans="1:15">
      <c r="A691" s="71">
        <v>2023</v>
      </c>
      <c r="B691" s="16" t="s">
        <v>1083</v>
      </c>
      <c r="C691" s="71" t="s">
        <v>1115</v>
      </c>
      <c r="D691" s="2" t="s">
        <v>182</v>
      </c>
      <c r="E691" s="2" t="s">
        <v>1116</v>
      </c>
      <c r="F691" s="9">
        <v>2</v>
      </c>
      <c r="G691" s="1" t="s">
        <v>19</v>
      </c>
      <c r="H691" s="8">
        <v>14000</v>
      </c>
      <c r="I691" s="8">
        <f t="shared" si="40"/>
        <v>28000</v>
      </c>
      <c r="J691" s="539">
        <v>11200</v>
      </c>
      <c r="K691" s="521">
        <f t="shared" si="41"/>
        <v>2800</v>
      </c>
      <c r="L691" s="522">
        <f t="shared" si="42"/>
        <v>5600</v>
      </c>
      <c r="M691" s="523">
        <f t="shared" si="43"/>
        <v>0.2</v>
      </c>
      <c r="N691" s="35" t="s">
        <v>22</v>
      </c>
      <c r="O691" s="2" t="s">
        <v>21</v>
      </c>
    </row>
    <row r="692" spans="1:15">
      <c r="A692" s="71">
        <v>2023</v>
      </c>
      <c r="B692" s="16" t="s">
        <v>1083</v>
      </c>
      <c r="C692" s="71" t="s">
        <v>1117</v>
      </c>
      <c r="D692" s="2" t="s">
        <v>307</v>
      </c>
      <c r="E692" s="2" t="s">
        <v>502</v>
      </c>
      <c r="F692" s="9">
        <v>60000</v>
      </c>
      <c r="G692" s="1" t="s">
        <v>37</v>
      </c>
      <c r="H692" s="8">
        <v>84</v>
      </c>
      <c r="I692" s="8">
        <f t="shared" si="40"/>
        <v>5040000</v>
      </c>
      <c r="J692" s="539">
        <v>80.5</v>
      </c>
      <c r="K692" s="521">
        <f t="shared" si="41"/>
        <v>3.5</v>
      </c>
      <c r="L692" s="522">
        <f t="shared" si="42"/>
        <v>210000</v>
      </c>
      <c r="M692" s="523">
        <f t="shared" si="43"/>
        <v>4.1666666666666664E-2</v>
      </c>
      <c r="N692" s="35" t="s">
        <v>22</v>
      </c>
      <c r="O692" s="2" t="s">
        <v>39</v>
      </c>
    </row>
    <row r="693" spans="1:15">
      <c r="A693" s="71">
        <v>2023</v>
      </c>
      <c r="B693" s="16" t="s">
        <v>1083</v>
      </c>
      <c r="C693" s="71" t="s">
        <v>1118</v>
      </c>
      <c r="D693" s="2" t="s">
        <v>1119</v>
      </c>
      <c r="E693" s="2" t="s">
        <v>1120</v>
      </c>
      <c r="F693" s="9">
        <v>100</v>
      </c>
      <c r="G693" s="1" t="s">
        <v>19</v>
      </c>
      <c r="H693" s="8">
        <v>650</v>
      </c>
      <c r="I693" s="8">
        <f t="shared" si="40"/>
        <v>65000</v>
      </c>
      <c r="J693" s="539">
        <v>480</v>
      </c>
      <c r="K693" s="521">
        <f t="shared" si="41"/>
        <v>170</v>
      </c>
      <c r="L693" s="522">
        <f t="shared" si="42"/>
        <v>17000</v>
      </c>
      <c r="M693" s="523">
        <f t="shared" si="43"/>
        <v>0.26153846153846155</v>
      </c>
      <c r="N693" s="514" t="s">
        <v>38</v>
      </c>
      <c r="O693" s="2" t="s">
        <v>39</v>
      </c>
    </row>
    <row r="694" spans="1:15">
      <c r="A694" s="71">
        <v>2023</v>
      </c>
      <c r="B694" s="16" t="s">
        <v>1083</v>
      </c>
      <c r="C694" s="71" t="s">
        <v>1121</v>
      </c>
      <c r="D694" s="2" t="s">
        <v>200</v>
      </c>
      <c r="E694" s="2" t="s">
        <v>1122</v>
      </c>
      <c r="F694" s="9">
        <v>1</v>
      </c>
      <c r="G694" s="1" t="s">
        <v>19</v>
      </c>
      <c r="H694" s="8">
        <v>17000</v>
      </c>
      <c r="I694" s="8">
        <f t="shared" si="40"/>
        <v>17000</v>
      </c>
      <c r="J694" s="539">
        <v>15000</v>
      </c>
      <c r="K694" s="521">
        <f t="shared" si="41"/>
        <v>2000</v>
      </c>
      <c r="L694" s="522">
        <f t="shared" si="42"/>
        <v>2000</v>
      </c>
      <c r="M694" s="523">
        <f t="shared" si="43"/>
        <v>0.11764705882352941</v>
      </c>
      <c r="N694" s="514" t="s">
        <v>38</v>
      </c>
      <c r="O694" s="2" t="s">
        <v>39</v>
      </c>
    </row>
    <row r="695" spans="1:15">
      <c r="A695" s="71">
        <v>2023</v>
      </c>
      <c r="B695" s="16" t="s">
        <v>1083</v>
      </c>
      <c r="C695" s="71" t="s">
        <v>1123</v>
      </c>
      <c r="D695" s="2" t="s">
        <v>501</v>
      </c>
      <c r="E695" s="2" t="s">
        <v>503</v>
      </c>
      <c r="F695" s="9">
        <v>60000</v>
      </c>
      <c r="G695" s="1" t="s">
        <v>37</v>
      </c>
      <c r="H695" s="8">
        <v>100.9</v>
      </c>
      <c r="I695" s="8">
        <f t="shared" si="40"/>
        <v>6054000</v>
      </c>
      <c r="J695" s="539">
        <v>91</v>
      </c>
      <c r="K695" s="521">
        <f t="shared" si="41"/>
        <v>9.9000000000000057</v>
      </c>
      <c r="L695" s="522">
        <f t="shared" si="42"/>
        <v>594000.00000000035</v>
      </c>
      <c r="M695" s="523">
        <f t="shared" si="43"/>
        <v>9.8116947472745339E-2</v>
      </c>
      <c r="N695" s="35" t="s">
        <v>22</v>
      </c>
      <c r="O695" s="2" t="s">
        <v>39</v>
      </c>
    </row>
    <row r="696" spans="1:15">
      <c r="A696" s="71">
        <v>2023</v>
      </c>
      <c r="B696" s="16" t="s">
        <v>1083</v>
      </c>
      <c r="C696" s="71" t="s">
        <v>1124</v>
      </c>
      <c r="D696" s="2" t="s">
        <v>501</v>
      </c>
      <c r="E696" s="2" t="s">
        <v>813</v>
      </c>
      <c r="F696" s="9">
        <v>80000</v>
      </c>
      <c r="G696" s="1" t="s">
        <v>37</v>
      </c>
      <c r="H696" s="8">
        <v>68</v>
      </c>
      <c r="I696" s="8">
        <f t="shared" si="40"/>
        <v>5440000</v>
      </c>
      <c r="J696" s="539">
        <v>63.7</v>
      </c>
      <c r="K696" s="521">
        <f t="shared" si="41"/>
        <v>4.2999999999999972</v>
      </c>
      <c r="L696" s="522">
        <f t="shared" si="42"/>
        <v>343999.99999999977</v>
      </c>
      <c r="M696" s="523">
        <f t="shared" si="43"/>
        <v>6.3235294117647015E-2</v>
      </c>
      <c r="N696" s="35" t="s">
        <v>22</v>
      </c>
      <c r="O696" s="2" t="s">
        <v>39</v>
      </c>
    </row>
    <row r="697" spans="1:15">
      <c r="A697" s="71">
        <v>2023</v>
      </c>
      <c r="B697" s="16" t="s">
        <v>1083</v>
      </c>
      <c r="C697" s="71" t="s">
        <v>1121</v>
      </c>
      <c r="D697" s="2" t="s">
        <v>200</v>
      </c>
      <c r="E697" s="2" t="s">
        <v>611</v>
      </c>
      <c r="F697" s="9">
        <v>3</v>
      </c>
      <c r="G697" s="1" t="s">
        <v>63</v>
      </c>
      <c r="H697" s="8">
        <v>18500</v>
      </c>
      <c r="I697" s="8">
        <f t="shared" si="40"/>
        <v>55500</v>
      </c>
      <c r="J697" s="539">
        <v>18000</v>
      </c>
      <c r="K697" s="521">
        <f t="shared" si="41"/>
        <v>500</v>
      </c>
      <c r="L697" s="522">
        <f t="shared" si="42"/>
        <v>1500</v>
      </c>
      <c r="M697" s="523">
        <f t="shared" si="43"/>
        <v>2.7027027027027029E-2</v>
      </c>
      <c r="N697" s="514" t="s">
        <v>38</v>
      </c>
      <c r="O697" s="2" t="s">
        <v>39</v>
      </c>
    </row>
    <row r="698" spans="1:15">
      <c r="A698" s="71">
        <v>2023</v>
      </c>
      <c r="B698" s="16" t="s">
        <v>1083</v>
      </c>
      <c r="C698" s="71" t="s">
        <v>1125</v>
      </c>
      <c r="D698" s="2" t="s">
        <v>708</v>
      </c>
      <c r="E698" s="2" t="s">
        <v>1126</v>
      </c>
      <c r="F698" s="9">
        <v>1</v>
      </c>
      <c r="G698" s="1" t="s">
        <v>706</v>
      </c>
      <c r="H698" s="8">
        <v>624443.32860000012</v>
      </c>
      <c r="I698" s="8">
        <f t="shared" si="40"/>
        <v>624443.32860000012</v>
      </c>
      <c r="J698" s="539">
        <v>624031.80000000005</v>
      </c>
      <c r="K698" s="521">
        <f t="shared" si="41"/>
        <v>411.52860000007786</v>
      </c>
      <c r="L698" s="522">
        <f t="shared" si="42"/>
        <v>411.52860000007786</v>
      </c>
      <c r="M698" s="523">
        <f t="shared" si="43"/>
        <v>6.5903274348806575E-4</v>
      </c>
      <c r="N698" s="514" t="s">
        <v>38</v>
      </c>
      <c r="O698" s="2" t="s">
        <v>105</v>
      </c>
    </row>
    <row r="699" spans="1:15">
      <c r="A699" s="71">
        <v>2023</v>
      </c>
      <c r="B699" s="16" t="s">
        <v>1083</v>
      </c>
      <c r="C699" s="71" t="s">
        <v>1127</v>
      </c>
      <c r="D699" s="2" t="s">
        <v>1042</v>
      </c>
      <c r="E699" s="2" t="s">
        <v>889</v>
      </c>
      <c r="F699" s="9">
        <v>375.6</v>
      </c>
      <c r="G699" s="1" t="s">
        <v>37</v>
      </c>
      <c r="H699" s="8">
        <v>369</v>
      </c>
      <c r="I699" s="8">
        <f t="shared" si="40"/>
        <v>138596.4</v>
      </c>
      <c r="J699" s="539">
        <v>334</v>
      </c>
      <c r="K699" s="521">
        <f t="shared" si="41"/>
        <v>35</v>
      </c>
      <c r="L699" s="522">
        <f t="shared" si="42"/>
        <v>13146</v>
      </c>
      <c r="M699" s="523">
        <f t="shared" si="43"/>
        <v>9.4850948509485097E-2</v>
      </c>
      <c r="N699" s="514" t="s">
        <v>22</v>
      </c>
      <c r="O699" s="2" t="s">
        <v>105</v>
      </c>
    </row>
    <row r="700" spans="1:15">
      <c r="A700" s="71">
        <v>2023</v>
      </c>
      <c r="B700" s="16" t="s">
        <v>1083</v>
      </c>
      <c r="C700" s="71" t="s">
        <v>1128</v>
      </c>
      <c r="D700" s="2" t="s">
        <v>1042</v>
      </c>
      <c r="E700" s="2" t="s">
        <v>889</v>
      </c>
      <c r="F700" s="9">
        <v>2198.9</v>
      </c>
      <c r="G700" s="1" t="s">
        <v>37</v>
      </c>
      <c r="H700" s="8">
        <v>369</v>
      </c>
      <c r="I700" s="8">
        <f t="shared" si="40"/>
        <v>811394.1</v>
      </c>
      <c r="J700" s="539">
        <v>334</v>
      </c>
      <c r="K700" s="521">
        <f t="shared" si="41"/>
        <v>35</v>
      </c>
      <c r="L700" s="522">
        <f t="shared" si="42"/>
        <v>76961.5</v>
      </c>
      <c r="M700" s="523">
        <f t="shared" si="43"/>
        <v>9.4850948509485097E-2</v>
      </c>
      <c r="N700" s="514" t="s">
        <v>22</v>
      </c>
      <c r="O700" s="2" t="s">
        <v>105</v>
      </c>
    </row>
    <row r="701" spans="1:15">
      <c r="A701" s="71">
        <v>2023</v>
      </c>
      <c r="B701" s="16" t="s">
        <v>1083</v>
      </c>
      <c r="C701" s="71" t="s">
        <v>1129</v>
      </c>
      <c r="D701" s="2" t="s">
        <v>35</v>
      </c>
      <c r="E701" s="2" t="s">
        <v>1130</v>
      </c>
      <c r="F701" s="9">
        <v>3393.1</v>
      </c>
      <c r="G701" s="1" t="s">
        <v>37</v>
      </c>
      <c r="H701" s="8">
        <v>369</v>
      </c>
      <c r="I701" s="8">
        <f t="shared" si="40"/>
        <v>1252053.8999999999</v>
      </c>
      <c r="J701" s="539">
        <v>368</v>
      </c>
      <c r="K701" s="521">
        <f t="shared" si="41"/>
        <v>1</v>
      </c>
      <c r="L701" s="522">
        <f t="shared" si="42"/>
        <v>3393.1</v>
      </c>
      <c r="M701" s="523">
        <f t="shared" si="43"/>
        <v>2.7100271002710027E-3</v>
      </c>
      <c r="N701" s="514" t="s">
        <v>38</v>
      </c>
      <c r="O701" s="2" t="s">
        <v>105</v>
      </c>
    </row>
    <row r="702" spans="1:15">
      <c r="A702" s="71">
        <v>2023</v>
      </c>
      <c r="B702" s="16" t="s">
        <v>1083</v>
      </c>
      <c r="C702" s="71" t="s">
        <v>1131</v>
      </c>
      <c r="D702" s="2" t="s">
        <v>1042</v>
      </c>
      <c r="E702" s="2" t="s">
        <v>889</v>
      </c>
      <c r="F702" s="9">
        <v>1589.7</v>
      </c>
      <c r="G702" s="1" t="s">
        <v>37</v>
      </c>
      <c r="H702" s="8">
        <v>369</v>
      </c>
      <c r="I702" s="8">
        <f t="shared" si="40"/>
        <v>586599.30000000005</v>
      </c>
      <c r="J702" s="539">
        <v>334</v>
      </c>
      <c r="K702" s="521">
        <f t="shared" si="41"/>
        <v>35</v>
      </c>
      <c r="L702" s="522">
        <f t="shared" si="42"/>
        <v>55639.5</v>
      </c>
      <c r="M702" s="523">
        <f t="shared" si="43"/>
        <v>9.4850948509485097E-2</v>
      </c>
      <c r="N702" s="514" t="s">
        <v>22</v>
      </c>
      <c r="O702" s="2" t="s">
        <v>105</v>
      </c>
    </row>
    <row r="703" spans="1:15">
      <c r="A703" s="71">
        <v>2023</v>
      </c>
      <c r="B703" s="16" t="s">
        <v>1083</v>
      </c>
      <c r="C703" s="71" t="s">
        <v>1132</v>
      </c>
      <c r="D703" s="2" t="s">
        <v>1042</v>
      </c>
      <c r="E703" s="2" t="s">
        <v>889</v>
      </c>
      <c r="F703" s="9">
        <v>1304</v>
      </c>
      <c r="G703" s="1" t="s">
        <v>37</v>
      </c>
      <c r="H703" s="8">
        <v>369</v>
      </c>
      <c r="I703" s="8">
        <f t="shared" si="40"/>
        <v>481176</v>
      </c>
      <c r="J703" s="539">
        <v>334</v>
      </c>
      <c r="K703" s="521">
        <f t="shared" si="41"/>
        <v>35</v>
      </c>
      <c r="L703" s="522">
        <f t="shared" si="42"/>
        <v>45640</v>
      </c>
      <c r="M703" s="523">
        <f t="shared" si="43"/>
        <v>9.4850948509485097E-2</v>
      </c>
      <c r="N703" s="514" t="s">
        <v>22</v>
      </c>
      <c r="O703" s="2" t="s">
        <v>105</v>
      </c>
    </row>
    <row r="704" spans="1:15">
      <c r="A704" s="71">
        <v>2023</v>
      </c>
      <c r="B704" s="16" t="s">
        <v>1083</v>
      </c>
      <c r="C704" s="71" t="s">
        <v>1133</v>
      </c>
      <c r="D704" s="2" t="s">
        <v>708</v>
      </c>
      <c r="E704" s="2" t="s">
        <v>1134</v>
      </c>
      <c r="F704" s="9">
        <v>200</v>
      </c>
      <c r="G704" s="1" t="s">
        <v>37</v>
      </c>
      <c r="H704" s="8">
        <v>355.52</v>
      </c>
      <c r="I704" s="8">
        <f t="shared" si="40"/>
        <v>71104</v>
      </c>
      <c r="J704" s="539">
        <v>355.29</v>
      </c>
      <c r="K704" s="521">
        <f t="shared" si="41"/>
        <v>0.22999999999996135</v>
      </c>
      <c r="L704" s="522">
        <f t="shared" si="42"/>
        <v>45.999999999992269</v>
      </c>
      <c r="M704" s="523">
        <f t="shared" si="43"/>
        <v>6.469396939692882E-4</v>
      </c>
      <c r="N704" s="514" t="s">
        <v>38</v>
      </c>
      <c r="O704" s="2" t="s">
        <v>105</v>
      </c>
    </row>
    <row r="705" spans="1:15">
      <c r="A705" s="71">
        <v>2023</v>
      </c>
      <c r="B705" s="16" t="s">
        <v>1083</v>
      </c>
      <c r="C705" s="71" t="s">
        <v>1133</v>
      </c>
      <c r="D705" s="2" t="s">
        <v>708</v>
      </c>
      <c r="E705" s="2" t="s">
        <v>50</v>
      </c>
      <c r="F705" s="9">
        <v>540.17999999999995</v>
      </c>
      <c r="G705" s="1" t="s">
        <v>37</v>
      </c>
      <c r="H705" s="8">
        <v>353.11</v>
      </c>
      <c r="I705" s="8">
        <f t="shared" si="40"/>
        <v>190742.95979999998</v>
      </c>
      <c r="J705" s="539">
        <v>352.88</v>
      </c>
      <c r="K705" s="521">
        <f t="shared" si="41"/>
        <v>0.23000000000001819</v>
      </c>
      <c r="L705" s="522">
        <f t="shared" si="42"/>
        <v>124.24140000000982</v>
      </c>
      <c r="M705" s="523">
        <f t="shared" si="43"/>
        <v>6.5135510180968584E-4</v>
      </c>
      <c r="N705" s="514" t="s">
        <v>38</v>
      </c>
      <c r="O705" s="2" t="s">
        <v>105</v>
      </c>
    </row>
    <row r="706" spans="1:15">
      <c r="A706" s="71">
        <v>2023</v>
      </c>
      <c r="B706" s="16" t="s">
        <v>1083</v>
      </c>
      <c r="C706" s="71" t="s">
        <v>1133</v>
      </c>
      <c r="D706" s="2" t="s">
        <v>708</v>
      </c>
      <c r="E706" s="2" t="s">
        <v>1135</v>
      </c>
      <c r="F706" s="9">
        <v>320</v>
      </c>
      <c r="G706" s="1" t="s">
        <v>37</v>
      </c>
      <c r="H706" s="8">
        <v>347.51</v>
      </c>
      <c r="I706" s="8">
        <f t="shared" si="40"/>
        <v>111203.2</v>
      </c>
      <c r="J706" s="539">
        <v>347.28</v>
      </c>
      <c r="K706" s="521">
        <f t="shared" si="41"/>
        <v>0.23000000000001819</v>
      </c>
      <c r="L706" s="522">
        <f t="shared" si="42"/>
        <v>73.600000000005821</v>
      </c>
      <c r="M706" s="523">
        <f t="shared" si="43"/>
        <v>6.618514575120664E-4</v>
      </c>
      <c r="N706" s="514" t="s">
        <v>38</v>
      </c>
      <c r="O706" s="2" t="s">
        <v>105</v>
      </c>
    </row>
    <row r="707" spans="1:15">
      <c r="A707" s="71">
        <v>2023</v>
      </c>
      <c r="B707" s="16" t="s">
        <v>1083</v>
      </c>
      <c r="C707" s="71" t="s">
        <v>1136</v>
      </c>
      <c r="D707" s="2" t="s">
        <v>708</v>
      </c>
      <c r="E707" s="2" t="s">
        <v>1137</v>
      </c>
      <c r="F707" s="9">
        <v>500</v>
      </c>
      <c r="G707" s="1" t="s">
        <v>37</v>
      </c>
      <c r="H707" s="8">
        <v>347.61</v>
      </c>
      <c r="I707" s="8">
        <f t="shared" ref="I707:I770" si="44">H707*F707</f>
        <v>173805</v>
      </c>
      <c r="J707" s="539">
        <v>347.38</v>
      </c>
      <c r="K707" s="521">
        <f t="shared" ref="K707:K770" si="45">H707-J707</f>
        <v>0.23000000000001819</v>
      </c>
      <c r="L707" s="522">
        <f t="shared" ref="L707:L770" si="46">K707*F707</f>
        <v>115.00000000000909</v>
      </c>
      <c r="M707" s="523">
        <f t="shared" ref="M707:M770" si="47">K707/H707</f>
        <v>6.6166105693167109E-4</v>
      </c>
      <c r="N707" s="514" t="s">
        <v>38</v>
      </c>
      <c r="O707" s="2" t="s">
        <v>105</v>
      </c>
    </row>
    <row r="708" spans="1:15">
      <c r="A708" s="71">
        <v>2023</v>
      </c>
      <c r="B708" s="16" t="s">
        <v>1083</v>
      </c>
      <c r="C708" s="71" t="s">
        <v>1138</v>
      </c>
      <c r="D708" s="2" t="s">
        <v>35</v>
      </c>
      <c r="E708" s="2" t="s">
        <v>1139</v>
      </c>
      <c r="F708" s="9">
        <v>8999</v>
      </c>
      <c r="G708" s="1" t="s">
        <v>37</v>
      </c>
      <c r="H708" s="8">
        <v>369</v>
      </c>
      <c r="I708" s="8">
        <f t="shared" si="44"/>
        <v>3320631</v>
      </c>
      <c r="J708" s="539">
        <v>368</v>
      </c>
      <c r="K708" s="521">
        <f t="shared" si="45"/>
        <v>1</v>
      </c>
      <c r="L708" s="522">
        <f t="shared" si="46"/>
        <v>8999</v>
      </c>
      <c r="M708" s="523">
        <f t="shared" si="47"/>
        <v>2.7100271002710027E-3</v>
      </c>
      <c r="N708" s="514" t="s">
        <v>38</v>
      </c>
      <c r="O708" s="2" t="s">
        <v>105</v>
      </c>
    </row>
    <row r="709" spans="1:15">
      <c r="A709" s="71">
        <v>2023</v>
      </c>
      <c r="B709" s="16" t="s">
        <v>1083</v>
      </c>
      <c r="C709" s="71" t="s">
        <v>1140</v>
      </c>
      <c r="D709" s="2" t="s">
        <v>1042</v>
      </c>
      <c r="E709" s="2" t="s">
        <v>1141</v>
      </c>
      <c r="F709" s="9">
        <v>102.3</v>
      </c>
      <c r="G709" s="1" t="s">
        <v>37</v>
      </c>
      <c r="H709" s="8">
        <v>567</v>
      </c>
      <c r="I709" s="8">
        <f t="shared" si="44"/>
        <v>58004.1</v>
      </c>
      <c r="J709" s="539">
        <v>352</v>
      </c>
      <c r="K709" s="521">
        <f t="shared" si="45"/>
        <v>215</v>
      </c>
      <c r="L709" s="522">
        <f t="shared" si="46"/>
        <v>21994.5</v>
      </c>
      <c r="M709" s="523">
        <f t="shared" si="47"/>
        <v>0.37918871252204583</v>
      </c>
      <c r="N709" s="514" t="s">
        <v>22</v>
      </c>
      <c r="O709" s="2" t="s">
        <v>105</v>
      </c>
    </row>
    <row r="710" spans="1:15">
      <c r="A710" s="71">
        <v>2023</v>
      </c>
      <c r="B710" s="16" t="s">
        <v>1083</v>
      </c>
      <c r="C710" s="71" t="s">
        <v>1142</v>
      </c>
      <c r="D710" s="2" t="s">
        <v>94</v>
      </c>
      <c r="E710" s="2" t="s">
        <v>613</v>
      </c>
      <c r="F710" s="9">
        <v>200</v>
      </c>
      <c r="G710" s="1" t="s">
        <v>19</v>
      </c>
      <c r="H710" s="8">
        <v>25.5</v>
      </c>
      <c r="I710" s="8">
        <f t="shared" si="44"/>
        <v>5100</v>
      </c>
      <c r="J710" s="539">
        <v>24.6</v>
      </c>
      <c r="K710" s="521">
        <f t="shared" si="45"/>
        <v>0.89999999999999858</v>
      </c>
      <c r="L710" s="522">
        <f t="shared" si="46"/>
        <v>179.99999999999972</v>
      </c>
      <c r="M710" s="523">
        <f t="shared" si="47"/>
        <v>3.5294117647058768E-2</v>
      </c>
      <c r="N710" s="514" t="s">
        <v>22</v>
      </c>
      <c r="O710" s="2" t="s">
        <v>105</v>
      </c>
    </row>
    <row r="711" spans="1:15">
      <c r="A711" s="71">
        <v>2023</v>
      </c>
      <c r="B711" s="16" t="s">
        <v>1083</v>
      </c>
      <c r="C711" s="71" t="s">
        <v>1142</v>
      </c>
      <c r="D711" s="2" t="s">
        <v>94</v>
      </c>
      <c r="E711" s="2" t="s">
        <v>550</v>
      </c>
      <c r="F711" s="9">
        <v>300</v>
      </c>
      <c r="G711" s="1" t="s">
        <v>19</v>
      </c>
      <c r="H711" s="8">
        <v>49</v>
      </c>
      <c r="I711" s="8">
        <f t="shared" si="44"/>
        <v>14700</v>
      </c>
      <c r="J711" s="539">
        <v>47.56</v>
      </c>
      <c r="K711" s="521">
        <f t="shared" si="45"/>
        <v>1.4399999999999977</v>
      </c>
      <c r="L711" s="522">
        <f t="shared" si="46"/>
        <v>431.99999999999932</v>
      </c>
      <c r="M711" s="523">
        <f t="shared" si="47"/>
        <v>2.938775510204077E-2</v>
      </c>
      <c r="N711" s="514" t="s">
        <v>22</v>
      </c>
      <c r="O711" s="2" t="s">
        <v>105</v>
      </c>
    </row>
    <row r="712" spans="1:15">
      <c r="A712" s="71">
        <v>2023</v>
      </c>
      <c r="B712" s="16" t="s">
        <v>1083</v>
      </c>
      <c r="C712" s="71" t="s">
        <v>1143</v>
      </c>
      <c r="D712" s="2" t="s">
        <v>68</v>
      </c>
      <c r="E712" s="2" t="s">
        <v>962</v>
      </c>
      <c r="F712" s="9">
        <v>656.1</v>
      </c>
      <c r="G712" s="1" t="s">
        <v>37</v>
      </c>
      <c r="H712" s="8">
        <v>348</v>
      </c>
      <c r="I712" s="8">
        <f t="shared" si="44"/>
        <v>228322.80000000002</v>
      </c>
      <c r="J712" s="539">
        <v>345</v>
      </c>
      <c r="K712" s="521">
        <f t="shared" si="45"/>
        <v>3</v>
      </c>
      <c r="L712" s="522">
        <f t="shared" si="46"/>
        <v>1968.3000000000002</v>
      </c>
      <c r="M712" s="523">
        <f t="shared" si="47"/>
        <v>8.6206896551724137E-3</v>
      </c>
      <c r="N712" s="514" t="s">
        <v>22</v>
      </c>
      <c r="O712" s="2" t="s">
        <v>105</v>
      </c>
    </row>
    <row r="713" spans="1:15">
      <c r="A713" s="71">
        <v>2023</v>
      </c>
      <c r="B713" s="16" t="s">
        <v>1083</v>
      </c>
      <c r="C713" s="71" t="s">
        <v>1144</v>
      </c>
      <c r="D713" s="2" t="s">
        <v>27</v>
      </c>
      <c r="E713" s="2" t="s">
        <v>1145</v>
      </c>
      <c r="F713" s="9">
        <v>100</v>
      </c>
      <c r="G713" s="1" t="s">
        <v>1146</v>
      </c>
      <c r="H713" s="8">
        <v>64.45</v>
      </c>
      <c r="I713" s="8">
        <f t="shared" si="44"/>
        <v>6445</v>
      </c>
      <c r="J713" s="539">
        <v>64</v>
      </c>
      <c r="K713" s="521">
        <f t="shared" si="45"/>
        <v>0.45000000000000284</v>
      </c>
      <c r="L713" s="522">
        <f t="shared" si="46"/>
        <v>45.000000000000284</v>
      </c>
      <c r="M713" s="523">
        <f t="shared" si="47"/>
        <v>6.9821567106284378E-3</v>
      </c>
      <c r="N713" s="514" t="s">
        <v>22</v>
      </c>
      <c r="O713" s="2" t="s">
        <v>105</v>
      </c>
    </row>
    <row r="714" spans="1:15">
      <c r="A714" s="71">
        <v>2023</v>
      </c>
      <c r="B714" s="16" t="s">
        <v>1083</v>
      </c>
      <c r="C714" s="71" t="s">
        <v>1144</v>
      </c>
      <c r="D714" s="2" t="s">
        <v>27</v>
      </c>
      <c r="E714" s="2" t="s">
        <v>1147</v>
      </c>
      <c r="F714" s="9">
        <v>50</v>
      </c>
      <c r="G714" s="1" t="s">
        <v>1146</v>
      </c>
      <c r="H714" s="8">
        <v>127</v>
      </c>
      <c r="I714" s="8">
        <f t="shared" si="44"/>
        <v>6350</v>
      </c>
      <c r="J714" s="539">
        <v>125</v>
      </c>
      <c r="K714" s="521">
        <f t="shared" si="45"/>
        <v>2</v>
      </c>
      <c r="L714" s="522">
        <f t="shared" si="46"/>
        <v>100</v>
      </c>
      <c r="M714" s="523">
        <f t="shared" si="47"/>
        <v>1.5748031496062992E-2</v>
      </c>
      <c r="N714" s="514" t="s">
        <v>22</v>
      </c>
      <c r="O714" s="2" t="s">
        <v>105</v>
      </c>
    </row>
    <row r="715" spans="1:15">
      <c r="A715" s="71">
        <v>2023</v>
      </c>
      <c r="B715" s="16" t="s">
        <v>1083</v>
      </c>
      <c r="C715" s="71" t="s">
        <v>1148</v>
      </c>
      <c r="D715" s="2" t="s">
        <v>1042</v>
      </c>
      <c r="E715" s="2" t="s">
        <v>889</v>
      </c>
      <c r="F715" s="9">
        <v>1297</v>
      </c>
      <c r="G715" s="1" t="s">
        <v>37</v>
      </c>
      <c r="H715" s="8">
        <v>369</v>
      </c>
      <c r="I715" s="8">
        <f t="shared" si="44"/>
        <v>478593</v>
      </c>
      <c r="J715" s="539">
        <v>334</v>
      </c>
      <c r="K715" s="521">
        <f t="shared" si="45"/>
        <v>35</v>
      </c>
      <c r="L715" s="522">
        <f t="shared" si="46"/>
        <v>45395</v>
      </c>
      <c r="M715" s="523">
        <f t="shared" si="47"/>
        <v>9.4850948509485097E-2</v>
      </c>
      <c r="N715" s="514" t="s">
        <v>22</v>
      </c>
      <c r="O715" s="2" t="s">
        <v>105</v>
      </c>
    </row>
    <row r="716" spans="1:15">
      <c r="A716" s="71">
        <v>2023</v>
      </c>
      <c r="B716" s="16" t="s">
        <v>1083</v>
      </c>
      <c r="C716" s="71" t="s">
        <v>1149</v>
      </c>
      <c r="D716" s="2" t="s">
        <v>633</v>
      </c>
      <c r="E716" s="2" t="s">
        <v>1150</v>
      </c>
      <c r="F716" s="9">
        <v>100</v>
      </c>
      <c r="G716" s="1" t="s">
        <v>1146</v>
      </c>
      <c r="H716" s="8">
        <v>375</v>
      </c>
      <c r="I716" s="8">
        <f t="shared" si="44"/>
        <v>37500</v>
      </c>
      <c r="J716" s="539">
        <v>300</v>
      </c>
      <c r="K716" s="521">
        <f t="shared" si="45"/>
        <v>75</v>
      </c>
      <c r="L716" s="522">
        <f t="shared" si="46"/>
        <v>7500</v>
      </c>
      <c r="M716" s="523">
        <f t="shared" si="47"/>
        <v>0.2</v>
      </c>
      <c r="N716" s="514" t="s">
        <v>22</v>
      </c>
      <c r="O716" s="2" t="s">
        <v>105</v>
      </c>
    </row>
    <row r="717" spans="1:15">
      <c r="A717" s="71">
        <v>2023</v>
      </c>
      <c r="B717" s="16" t="s">
        <v>1083</v>
      </c>
      <c r="C717" s="71" t="s">
        <v>1151</v>
      </c>
      <c r="D717" s="2" t="s">
        <v>708</v>
      </c>
      <c r="E717" s="2" t="s">
        <v>208</v>
      </c>
      <c r="F717" s="9">
        <v>500</v>
      </c>
      <c r="G717" s="1" t="s">
        <v>37</v>
      </c>
      <c r="H717" s="8">
        <v>346.95</v>
      </c>
      <c r="I717" s="8">
        <f t="shared" si="44"/>
        <v>173475</v>
      </c>
      <c r="J717" s="539">
        <v>346.72</v>
      </c>
      <c r="K717" s="521">
        <f t="shared" si="45"/>
        <v>0.22999999999996135</v>
      </c>
      <c r="L717" s="522">
        <f t="shared" si="46"/>
        <v>114.99999999998067</v>
      </c>
      <c r="M717" s="523">
        <f t="shared" si="47"/>
        <v>6.629197290674776E-4</v>
      </c>
      <c r="N717" s="514" t="s">
        <v>38</v>
      </c>
      <c r="O717" s="2" t="s">
        <v>105</v>
      </c>
    </row>
    <row r="718" spans="1:15">
      <c r="A718" s="71">
        <v>2023</v>
      </c>
      <c r="B718" s="16" t="s">
        <v>1083</v>
      </c>
      <c r="C718" s="71" t="s">
        <v>1152</v>
      </c>
      <c r="D718" s="2" t="s">
        <v>1042</v>
      </c>
      <c r="E718" s="2" t="s">
        <v>1141</v>
      </c>
      <c r="F718" s="9">
        <v>100</v>
      </c>
      <c r="G718" s="1" t="s">
        <v>37</v>
      </c>
      <c r="H718" s="8">
        <v>567</v>
      </c>
      <c r="I718" s="8">
        <f t="shared" si="44"/>
        <v>56700</v>
      </c>
      <c r="J718" s="539">
        <v>352</v>
      </c>
      <c r="K718" s="521">
        <f t="shared" si="45"/>
        <v>215</v>
      </c>
      <c r="L718" s="522">
        <f t="shared" si="46"/>
        <v>21500</v>
      </c>
      <c r="M718" s="523">
        <f t="shared" si="47"/>
        <v>0.37918871252204583</v>
      </c>
      <c r="N718" s="514" t="s">
        <v>22</v>
      </c>
      <c r="O718" s="2" t="s">
        <v>105</v>
      </c>
    </row>
    <row r="719" spans="1:15">
      <c r="A719" s="71">
        <v>2023</v>
      </c>
      <c r="B719" s="16" t="s">
        <v>1083</v>
      </c>
      <c r="C719" s="71" t="s">
        <v>1152</v>
      </c>
      <c r="D719" s="2" t="s">
        <v>1042</v>
      </c>
      <c r="E719" s="2" t="s">
        <v>541</v>
      </c>
      <c r="F719" s="9">
        <v>640</v>
      </c>
      <c r="G719" s="1" t="s">
        <v>37</v>
      </c>
      <c r="H719" s="8">
        <v>369</v>
      </c>
      <c r="I719" s="8">
        <f t="shared" si="44"/>
        <v>236160</v>
      </c>
      <c r="J719" s="539">
        <v>334</v>
      </c>
      <c r="K719" s="521">
        <f t="shared" si="45"/>
        <v>35</v>
      </c>
      <c r="L719" s="522">
        <f t="shared" si="46"/>
        <v>22400</v>
      </c>
      <c r="M719" s="523">
        <f t="shared" si="47"/>
        <v>9.4850948509485097E-2</v>
      </c>
      <c r="N719" s="514" t="s">
        <v>22</v>
      </c>
      <c r="O719" s="2" t="s">
        <v>105</v>
      </c>
    </row>
    <row r="720" spans="1:15">
      <c r="A720" s="71">
        <v>2023</v>
      </c>
      <c r="B720" s="16" t="s">
        <v>1083</v>
      </c>
      <c r="C720" s="71" t="s">
        <v>1153</v>
      </c>
      <c r="D720" s="2" t="s">
        <v>633</v>
      </c>
      <c r="E720" s="2" t="s">
        <v>1154</v>
      </c>
      <c r="F720" s="9">
        <v>100</v>
      </c>
      <c r="G720" s="1" t="s">
        <v>1146</v>
      </c>
      <c r="H720" s="8">
        <v>1330</v>
      </c>
      <c r="I720" s="8">
        <f t="shared" si="44"/>
        <v>133000</v>
      </c>
      <c r="J720" s="539">
        <v>1250</v>
      </c>
      <c r="K720" s="521">
        <f t="shared" si="45"/>
        <v>80</v>
      </c>
      <c r="L720" s="522">
        <f t="shared" si="46"/>
        <v>8000</v>
      </c>
      <c r="M720" s="523">
        <f t="shared" si="47"/>
        <v>6.0150375939849621E-2</v>
      </c>
      <c r="N720" s="514" t="s">
        <v>22</v>
      </c>
      <c r="O720" s="2" t="s">
        <v>105</v>
      </c>
    </row>
    <row r="721" spans="1:15">
      <c r="A721" s="71">
        <v>2023</v>
      </c>
      <c r="B721" s="16" t="s">
        <v>1083</v>
      </c>
      <c r="C721" s="71" t="s">
        <v>1155</v>
      </c>
      <c r="D721" s="2" t="s">
        <v>24</v>
      </c>
      <c r="E721" s="2" t="s">
        <v>1156</v>
      </c>
      <c r="F721" s="9">
        <v>2</v>
      </c>
      <c r="G721" s="1" t="s">
        <v>19</v>
      </c>
      <c r="H721" s="8">
        <v>4150</v>
      </c>
      <c r="I721" s="8">
        <f t="shared" si="44"/>
        <v>8300</v>
      </c>
      <c r="J721" s="539">
        <v>3600</v>
      </c>
      <c r="K721" s="521">
        <f t="shared" si="45"/>
        <v>550</v>
      </c>
      <c r="L721" s="522">
        <f t="shared" si="46"/>
        <v>1100</v>
      </c>
      <c r="M721" s="523">
        <f t="shared" si="47"/>
        <v>0.13253012048192772</v>
      </c>
      <c r="N721" s="514" t="s">
        <v>22</v>
      </c>
      <c r="O721" s="2" t="s">
        <v>21</v>
      </c>
    </row>
    <row r="722" spans="1:15">
      <c r="A722" s="71">
        <v>2023</v>
      </c>
      <c r="B722" s="16" t="s">
        <v>1083</v>
      </c>
      <c r="C722" s="71" t="s">
        <v>1155</v>
      </c>
      <c r="D722" s="2" t="s">
        <v>24</v>
      </c>
      <c r="E722" s="2" t="s">
        <v>1157</v>
      </c>
      <c r="F722" s="9">
        <v>3</v>
      </c>
      <c r="G722" s="1" t="s">
        <v>19</v>
      </c>
      <c r="H722" s="8">
        <v>950</v>
      </c>
      <c r="I722" s="8">
        <f t="shared" si="44"/>
        <v>2850</v>
      </c>
      <c r="J722" s="539">
        <v>846</v>
      </c>
      <c r="K722" s="521">
        <f t="shared" si="45"/>
        <v>104</v>
      </c>
      <c r="L722" s="522">
        <f t="shared" si="46"/>
        <v>312</v>
      </c>
      <c r="M722" s="523">
        <f t="shared" si="47"/>
        <v>0.10947368421052632</v>
      </c>
      <c r="N722" s="514" t="s">
        <v>22</v>
      </c>
      <c r="O722" s="2" t="s">
        <v>21</v>
      </c>
    </row>
    <row r="723" spans="1:15">
      <c r="A723" s="71">
        <v>2023</v>
      </c>
      <c r="B723" s="16" t="s">
        <v>1083</v>
      </c>
      <c r="C723" s="71" t="s">
        <v>1158</v>
      </c>
      <c r="D723" s="2" t="s">
        <v>118</v>
      </c>
      <c r="E723" s="2" t="s">
        <v>1159</v>
      </c>
      <c r="F723" s="9">
        <v>10</v>
      </c>
      <c r="G723" s="1" t="s">
        <v>19</v>
      </c>
      <c r="H723" s="8">
        <v>630</v>
      </c>
      <c r="I723" s="8">
        <f t="shared" si="44"/>
        <v>6300</v>
      </c>
      <c r="J723" s="539">
        <v>470</v>
      </c>
      <c r="K723" s="521">
        <f t="shared" si="45"/>
        <v>160</v>
      </c>
      <c r="L723" s="522">
        <f t="shared" si="46"/>
        <v>1600</v>
      </c>
      <c r="M723" s="523">
        <f t="shared" si="47"/>
        <v>0.25396825396825395</v>
      </c>
      <c r="N723" s="514" t="s">
        <v>22</v>
      </c>
      <c r="O723" s="2" t="s">
        <v>21</v>
      </c>
    </row>
    <row r="724" spans="1:15">
      <c r="A724" s="71">
        <v>2023</v>
      </c>
      <c r="B724" s="16" t="s">
        <v>1083</v>
      </c>
      <c r="C724" s="71" t="s">
        <v>1160</v>
      </c>
      <c r="D724" s="2" t="s">
        <v>1161</v>
      </c>
      <c r="E724" s="2" t="s">
        <v>1162</v>
      </c>
      <c r="F724" s="9">
        <v>1000</v>
      </c>
      <c r="G724" s="1" t="s">
        <v>19</v>
      </c>
      <c r="H724" s="8">
        <v>200</v>
      </c>
      <c r="I724" s="8">
        <f t="shared" si="44"/>
        <v>200000</v>
      </c>
      <c r="J724" s="539">
        <v>180</v>
      </c>
      <c r="K724" s="521">
        <f t="shared" si="45"/>
        <v>20</v>
      </c>
      <c r="L724" s="522">
        <f t="shared" si="46"/>
        <v>20000</v>
      </c>
      <c r="M724" s="523">
        <f t="shared" si="47"/>
        <v>0.1</v>
      </c>
      <c r="N724" s="514" t="s">
        <v>22</v>
      </c>
      <c r="O724" s="2" t="s">
        <v>21</v>
      </c>
    </row>
    <row r="725" spans="1:15">
      <c r="A725" s="71">
        <v>2023</v>
      </c>
      <c r="B725" s="16" t="s">
        <v>1083</v>
      </c>
      <c r="C725" s="71" t="s">
        <v>1163</v>
      </c>
      <c r="D725" s="2" t="s">
        <v>828</v>
      </c>
      <c r="E725" s="2" t="s">
        <v>1164</v>
      </c>
      <c r="F725" s="9">
        <v>50</v>
      </c>
      <c r="G725" s="1" t="s">
        <v>19</v>
      </c>
      <c r="H725" s="8">
        <v>50</v>
      </c>
      <c r="I725" s="8">
        <f t="shared" si="44"/>
        <v>2500</v>
      </c>
      <c r="J725" s="539">
        <v>40</v>
      </c>
      <c r="K725" s="521">
        <f t="shared" si="45"/>
        <v>10</v>
      </c>
      <c r="L725" s="522">
        <f t="shared" si="46"/>
        <v>500</v>
      </c>
      <c r="M725" s="523">
        <f t="shared" si="47"/>
        <v>0.2</v>
      </c>
      <c r="N725" s="34" t="s">
        <v>20</v>
      </c>
      <c r="O725" s="2" t="s">
        <v>21</v>
      </c>
    </row>
    <row r="726" spans="1:15">
      <c r="A726" s="71">
        <v>2023</v>
      </c>
      <c r="B726" s="16" t="s">
        <v>1083</v>
      </c>
      <c r="C726" s="71" t="s">
        <v>1165</v>
      </c>
      <c r="D726" s="2" t="s">
        <v>61</v>
      </c>
      <c r="E726" s="2" t="s">
        <v>1166</v>
      </c>
      <c r="F726" s="9">
        <v>2</v>
      </c>
      <c r="G726" s="1" t="s">
        <v>19</v>
      </c>
      <c r="H726" s="8">
        <v>80000</v>
      </c>
      <c r="I726" s="8">
        <f t="shared" si="44"/>
        <v>160000</v>
      </c>
      <c r="J726" s="539">
        <v>75500</v>
      </c>
      <c r="K726" s="521">
        <f t="shared" si="45"/>
        <v>4500</v>
      </c>
      <c r="L726" s="522">
        <f t="shared" si="46"/>
        <v>9000</v>
      </c>
      <c r="M726" s="523">
        <f t="shared" si="47"/>
        <v>5.6250000000000001E-2</v>
      </c>
      <c r="N726" s="34" t="s">
        <v>38</v>
      </c>
      <c r="O726" s="2" t="s">
        <v>21</v>
      </c>
    </row>
    <row r="727" spans="1:15">
      <c r="A727" s="71">
        <v>2023</v>
      </c>
      <c r="B727" s="16" t="s">
        <v>1083</v>
      </c>
      <c r="C727" s="71" t="s">
        <v>1165</v>
      </c>
      <c r="D727" s="2" t="s">
        <v>61</v>
      </c>
      <c r="E727" s="2" t="s">
        <v>1167</v>
      </c>
      <c r="F727" s="9">
        <v>2</v>
      </c>
      <c r="G727" s="1" t="s">
        <v>19</v>
      </c>
      <c r="H727" s="8">
        <v>80000</v>
      </c>
      <c r="I727" s="8">
        <f t="shared" si="44"/>
        <v>160000</v>
      </c>
      <c r="J727" s="539">
        <v>75500</v>
      </c>
      <c r="K727" s="521">
        <f t="shared" si="45"/>
        <v>4500</v>
      </c>
      <c r="L727" s="522">
        <f t="shared" si="46"/>
        <v>9000</v>
      </c>
      <c r="M727" s="523">
        <f t="shared" si="47"/>
        <v>5.6250000000000001E-2</v>
      </c>
      <c r="N727" s="34" t="s">
        <v>38</v>
      </c>
      <c r="O727" s="2" t="s">
        <v>21</v>
      </c>
    </row>
    <row r="728" spans="1:15">
      <c r="A728" s="71">
        <v>2023</v>
      </c>
      <c r="B728" s="16" t="s">
        <v>1083</v>
      </c>
      <c r="C728" s="71" t="s">
        <v>1165</v>
      </c>
      <c r="D728" s="2" t="s">
        <v>61</v>
      </c>
      <c r="E728" s="2" t="s">
        <v>1168</v>
      </c>
      <c r="F728" s="9">
        <v>2</v>
      </c>
      <c r="G728" s="1" t="s">
        <v>19</v>
      </c>
      <c r="H728" s="8">
        <v>45000</v>
      </c>
      <c r="I728" s="8">
        <f t="shared" si="44"/>
        <v>90000</v>
      </c>
      <c r="J728" s="539">
        <v>42000</v>
      </c>
      <c r="K728" s="521">
        <f t="shared" si="45"/>
        <v>3000</v>
      </c>
      <c r="L728" s="522">
        <f t="shared" si="46"/>
        <v>6000</v>
      </c>
      <c r="M728" s="523">
        <f t="shared" si="47"/>
        <v>6.6666666666666666E-2</v>
      </c>
      <c r="N728" s="34" t="s">
        <v>38</v>
      </c>
      <c r="O728" s="2" t="s">
        <v>21</v>
      </c>
    </row>
    <row r="729" spans="1:15">
      <c r="A729" s="71">
        <v>2023</v>
      </c>
      <c r="B729" s="16" t="s">
        <v>1083</v>
      </c>
      <c r="C729" s="71" t="s">
        <v>1165</v>
      </c>
      <c r="D729" s="2" t="s">
        <v>61</v>
      </c>
      <c r="E729" s="2" t="s">
        <v>1169</v>
      </c>
      <c r="F729" s="9">
        <v>2</v>
      </c>
      <c r="G729" s="1" t="s">
        <v>19</v>
      </c>
      <c r="H729" s="8">
        <v>45000</v>
      </c>
      <c r="I729" s="8">
        <f t="shared" si="44"/>
        <v>90000</v>
      </c>
      <c r="J729" s="539">
        <v>42000</v>
      </c>
      <c r="K729" s="521">
        <f t="shared" si="45"/>
        <v>3000</v>
      </c>
      <c r="L729" s="522">
        <f t="shared" si="46"/>
        <v>6000</v>
      </c>
      <c r="M729" s="523">
        <f t="shared" si="47"/>
        <v>6.6666666666666666E-2</v>
      </c>
      <c r="N729" s="34" t="s">
        <v>38</v>
      </c>
      <c r="O729" s="2" t="s">
        <v>21</v>
      </c>
    </row>
    <row r="730" spans="1:15">
      <c r="A730" s="71">
        <v>2023</v>
      </c>
      <c r="B730" s="16" t="s">
        <v>1083</v>
      </c>
      <c r="C730" s="71" t="s">
        <v>1170</v>
      </c>
      <c r="D730" s="2" t="s">
        <v>17</v>
      </c>
      <c r="E730" s="2" t="s">
        <v>25</v>
      </c>
      <c r="F730" s="9">
        <v>36</v>
      </c>
      <c r="G730" s="1" t="s">
        <v>19</v>
      </c>
      <c r="H730" s="8">
        <v>44.5</v>
      </c>
      <c r="I730" s="8">
        <f t="shared" si="44"/>
        <v>1602</v>
      </c>
      <c r="J730" s="539">
        <v>38.5</v>
      </c>
      <c r="K730" s="521">
        <f t="shared" si="45"/>
        <v>6</v>
      </c>
      <c r="L730" s="522">
        <f t="shared" si="46"/>
        <v>216</v>
      </c>
      <c r="M730" s="523">
        <f t="shared" si="47"/>
        <v>0.1348314606741573</v>
      </c>
      <c r="N730" s="34" t="s">
        <v>22</v>
      </c>
      <c r="O730" s="2" t="s">
        <v>21</v>
      </c>
    </row>
    <row r="731" spans="1:15">
      <c r="A731" s="71">
        <v>2023</v>
      </c>
      <c r="B731" s="16" t="s">
        <v>1083</v>
      </c>
      <c r="C731" s="71" t="s">
        <v>1170</v>
      </c>
      <c r="D731" s="2" t="s">
        <v>17</v>
      </c>
      <c r="E731" s="2" t="s">
        <v>729</v>
      </c>
      <c r="F731" s="9">
        <v>500</v>
      </c>
      <c r="G731" s="1" t="s">
        <v>19</v>
      </c>
      <c r="H731" s="8">
        <v>7.5</v>
      </c>
      <c r="I731" s="8">
        <f t="shared" si="44"/>
        <v>3750</v>
      </c>
      <c r="J731" s="539">
        <v>2.7</v>
      </c>
      <c r="K731" s="521">
        <f t="shared" si="45"/>
        <v>4.8</v>
      </c>
      <c r="L731" s="522">
        <f t="shared" si="46"/>
        <v>2400</v>
      </c>
      <c r="M731" s="523">
        <f t="shared" si="47"/>
        <v>0.64</v>
      </c>
      <c r="N731" s="34" t="s">
        <v>22</v>
      </c>
      <c r="O731" s="2" t="s">
        <v>21</v>
      </c>
    </row>
    <row r="732" spans="1:15">
      <c r="A732" s="71">
        <v>2023</v>
      </c>
      <c r="B732" s="16" t="s">
        <v>1083</v>
      </c>
      <c r="C732" s="71" t="s">
        <v>1171</v>
      </c>
      <c r="D732" s="2" t="s">
        <v>96</v>
      </c>
      <c r="E732" s="2" t="s">
        <v>99</v>
      </c>
      <c r="F732" s="9">
        <v>50</v>
      </c>
      <c r="G732" s="1" t="s">
        <v>19</v>
      </c>
      <c r="H732" s="8">
        <v>781</v>
      </c>
      <c r="I732" s="8">
        <f t="shared" si="44"/>
        <v>39050</v>
      </c>
      <c r="J732" s="539">
        <v>432</v>
      </c>
      <c r="K732" s="521">
        <f t="shared" si="45"/>
        <v>349</v>
      </c>
      <c r="L732" s="522">
        <f t="shared" si="46"/>
        <v>17450</v>
      </c>
      <c r="M732" s="523">
        <f t="shared" si="47"/>
        <v>0.44686299615877079</v>
      </c>
      <c r="N732" s="34" t="s">
        <v>22</v>
      </c>
      <c r="O732" s="2" t="s">
        <v>21</v>
      </c>
    </row>
    <row r="733" spans="1:15">
      <c r="A733" s="71">
        <v>2023</v>
      </c>
      <c r="B733" s="16" t="s">
        <v>1083</v>
      </c>
      <c r="C733" s="71" t="s">
        <v>1171</v>
      </c>
      <c r="D733" s="2" t="s">
        <v>96</v>
      </c>
      <c r="E733" s="2" t="s">
        <v>97</v>
      </c>
      <c r="F733" s="9">
        <v>50</v>
      </c>
      <c r="G733" s="1" t="s">
        <v>19</v>
      </c>
      <c r="H733" s="8">
        <v>250</v>
      </c>
      <c r="I733" s="8">
        <f t="shared" si="44"/>
        <v>12500</v>
      </c>
      <c r="J733" s="539">
        <v>140</v>
      </c>
      <c r="K733" s="521">
        <f t="shared" si="45"/>
        <v>110</v>
      </c>
      <c r="L733" s="522">
        <f t="shared" si="46"/>
        <v>5500</v>
      </c>
      <c r="M733" s="523">
        <f t="shared" si="47"/>
        <v>0.44</v>
      </c>
      <c r="N733" s="34" t="s">
        <v>22</v>
      </c>
      <c r="O733" s="2" t="s">
        <v>21</v>
      </c>
    </row>
    <row r="734" spans="1:15">
      <c r="A734" s="71">
        <v>2023</v>
      </c>
      <c r="B734" s="16" t="s">
        <v>1083</v>
      </c>
      <c r="C734" s="71" t="s">
        <v>1172</v>
      </c>
      <c r="D734" s="2" t="s">
        <v>430</v>
      </c>
      <c r="E734" s="2" t="s">
        <v>1173</v>
      </c>
      <c r="F734" s="9">
        <v>1000</v>
      </c>
      <c r="G734" s="1" t="s">
        <v>19</v>
      </c>
      <c r="H734" s="8">
        <v>2.8</v>
      </c>
      <c r="I734" s="8">
        <f t="shared" si="44"/>
        <v>2800</v>
      </c>
      <c r="J734" s="539">
        <v>1</v>
      </c>
      <c r="K734" s="521">
        <f t="shared" si="45"/>
        <v>1.7999999999999998</v>
      </c>
      <c r="L734" s="522">
        <f t="shared" si="46"/>
        <v>1799.9999999999998</v>
      </c>
      <c r="M734" s="523">
        <f t="shared" si="47"/>
        <v>0.64285714285714279</v>
      </c>
      <c r="N734" s="34" t="s">
        <v>22</v>
      </c>
      <c r="O734" s="2" t="s">
        <v>21</v>
      </c>
    </row>
    <row r="735" spans="1:15">
      <c r="A735" s="71">
        <v>2023</v>
      </c>
      <c r="B735" s="16" t="s">
        <v>1083</v>
      </c>
      <c r="C735" s="71" t="s">
        <v>1174</v>
      </c>
      <c r="D735" s="2" t="s">
        <v>17</v>
      </c>
      <c r="E735" s="2" t="s">
        <v>382</v>
      </c>
      <c r="F735" s="9">
        <v>24</v>
      </c>
      <c r="G735" s="1" t="s">
        <v>19</v>
      </c>
      <c r="H735" s="8">
        <v>69</v>
      </c>
      <c r="I735" s="8">
        <f t="shared" si="44"/>
        <v>1656</v>
      </c>
      <c r="J735" s="539">
        <v>64</v>
      </c>
      <c r="K735" s="521">
        <f t="shared" si="45"/>
        <v>5</v>
      </c>
      <c r="L735" s="522">
        <f t="shared" si="46"/>
        <v>120</v>
      </c>
      <c r="M735" s="523">
        <f t="shared" si="47"/>
        <v>7.2463768115942032E-2</v>
      </c>
      <c r="N735" s="34" t="s">
        <v>22</v>
      </c>
      <c r="O735" s="2" t="s">
        <v>21</v>
      </c>
    </row>
    <row r="736" spans="1:15">
      <c r="A736" s="71">
        <v>2023</v>
      </c>
      <c r="B736" s="16" t="s">
        <v>1083</v>
      </c>
      <c r="C736" s="71" t="s">
        <v>1175</v>
      </c>
      <c r="D736" s="2" t="s">
        <v>1176</v>
      </c>
      <c r="E736" s="2" t="s">
        <v>1177</v>
      </c>
      <c r="F736" s="9">
        <v>6</v>
      </c>
      <c r="G736" s="1" t="s">
        <v>59</v>
      </c>
      <c r="H736" s="8">
        <v>9500</v>
      </c>
      <c r="I736" s="8">
        <f t="shared" si="44"/>
        <v>57000</v>
      </c>
      <c r="J736" s="539">
        <v>8000</v>
      </c>
      <c r="K736" s="521">
        <f t="shared" si="45"/>
        <v>1500</v>
      </c>
      <c r="L736" s="522">
        <f t="shared" si="46"/>
        <v>9000</v>
      </c>
      <c r="M736" s="523">
        <f t="shared" si="47"/>
        <v>0.15789473684210525</v>
      </c>
      <c r="N736" s="34" t="s">
        <v>22</v>
      </c>
      <c r="O736" s="2" t="s">
        <v>21</v>
      </c>
    </row>
    <row r="737" spans="1:15">
      <c r="A737" s="71">
        <v>2023</v>
      </c>
      <c r="B737" s="16" t="s">
        <v>1083</v>
      </c>
      <c r="C737" s="71" t="s">
        <v>1178</v>
      </c>
      <c r="D737" s="2" t="s">
        <v>118</v>
      </c>
      <c r="E737" s="2" t="s">
        <v>1179</v>
      </c>
      <c r="F737" s="9">
        <v>30</v>
      </c>
      <c r="G737" s="1" t="s">
        <v>19</v>
      </c>
      <c r="H737" s="8">
        <v>820</v>
      </c>
      <c r="I737" s="8">
        <f t="shared" si="44"/>
        <v>24600</v>
      </c>
      <c r="J737" s="539">
        <v>675</v>
      </c>
      <c r="K737" s="521">
        <f t="shared" si="45"/>
        <v>145</v>
      </c>
      <c r="L737" s="522">
        <f t="shared" si="46"/>
        <v>4350</v>
      </c>
      <c r="M737" s="523">
        <f t="shared" si="47"/>
        <v>0.17682926829268292</v>
      </c>
      <c r="N737" s="34" t="s">
        <v>22</v>
      </c>
      <c r="O737" s="2" t="s">
        <v>21</v>
      </c>
    </row>
    <row r="738" spans="1:15">
      <c r="A738" s="71">
        <v>2023</v>
      </c>
      <c r="B738" s="16" t="s">
        <v>1083</v>
      </c>
      <c r="C738" s="71" t="s">
        <v>1180</v>
      </c>
      <c r="D738" s="2" t="s">
        <v>1181</v>
      </c>
      <c r="E738" s="2" t="s">
        <v>1182</v>
      </c>
      <c r="F738" s="9">
        <v>100</v>
      </c>
      <c r="G738" s="1" t="s">
        <v>19</v>
      </c>
      <c r="H738" s="8">
        <f>75*39</f>
        <v>2925</v>
      </c>
      <c r="I738" s="8">
        <f t="shared" si="44"/>
        <v>292500</v>
      </c>
      <c r="J738" s="539">
        <f>68*39</f>
        <v>2652</v>
      </c>
      <c r="K738" s="521">
        <f t="shared" si="45"/>
        <v>273</v>
      </c>
      <c r="L738" s="522">
        <f t="shared" si="46"/>
        <v>27300</v>
      </c>
      <c r="M738" s="523">
        <f t="shared" si="47"/>
        <v>9.3333333333333338E-2</v>
      </c>
      <c r="N738" s="34" t="s">
        <v>38</v>
      </c>
      <c r="O738" s="2" t="s">
        <v>39</v>
      </c>
    </row>
    <row r="739" spans="1:15">
      <c r="A739" s="71">
        <v>2023</v>
      </c>
      <c r="B739" s="16" t="s">
        <v>1083</v>
      </c>
      <c r="C739" s="71" t="s">
        <v>1183</v>
      </c>
      <c r="D739" s="2" t="s">
        <v>501</v>
      </c>
      <c r="E739" s="2" t="s">
        <v>503</v>
      </c>
      <c r="F739" s="9">
        <v>100000</v>
      </c>
      <c r="G739" s="1" t="s">
        <v>499</v>
      </c>
      <c r="H739" s="8">
        <v>91</v>
      </c>
      <c r="I739" s="8">
        <f t="shared" si="44"/>
        <v>9100000</v>
      </c>
      <c r="J739" s="539">
        <v>90</v>
      </c>
      <c r="K739" s="521">
        <f t="shared" si="45"/>
        <v>1</v>
      </c>
      <c r="L739" s="522">
        <f t="shared" si="46"/>
        <v>100000</v>
      </c>
      <c r="M739" s="523">
        <f t="shared" si="47"/>
        <v>1.098901098901099E-2</v>
      </c>
      <c r="N739" s="34" t="s">
        <v>38</v>
      </c>
      <c r="O739" s="2" t="s">
        <v>39</v>
      </c>
    </row>
    <row r="740" spans="1:15">
      <c r="A740" s="71">
        <v>2023</v>
      </c>
      <c r="B740" s="16" t="s">
        <v>1083</v>
      </c>
      <c r="C740" s="71" t="s">
        <v>1184</v>
      </c>
      <c r="D740" s="2" t="s">
        <v>708</v>
      </c>
      <c r="E740" s="2" t="s">
        <v>1185</v>
      </c>
      <c r="F740" s="9">
        <v>23000</v>
      </c>
      <c r="G740" s="1" t="s">
        <v>499</v>
      </c>
      <c r="H740" s="8">
        <v>344</v>
      </c>
      <c r="I740" s="8">
        <f t="shared" si="44"/>
        <v>7912000</v>
      </c>
      <c r="J740" s="539">
        <v>325</v>
      </c>
      <c r="K740" s="521">
        <f t="shared" si="45"/>
        <v>19</v>
      </c>
      <c r="L740" s="522">
        <f t="shared" si="46"/>
        <v>437000</v>
      </c>
      <c r="M740" s="523">
        <f t="shared" si="47"/>
        <v>5.5232558139534885E-2</v>
      </c>
      <c r="N740" s="34" t="s">
        <v>22</v>
      </c>
      <c r="O740" s="2" t="s">
        <v>39</v>
      </c>
    </row>
    <row r="741" spans="1:15">
      <c r="A741" s="71">
        <v>2023</v>
      </c>
      <c r="B741" s="16" t="s">
        <v>1083</v>
      </c>
      <c r="C741" s="71" t="s">
        <v>1186</v>
      </c>
      <c r="D741" s="2" t="s">
        <v>192</v>
      </c>
      <c r="E741" s="2" t="s">
        <v>1187</v>
      </c>
      <c r="F741" s="9">
        <v>1920</v>
      </c>
      <c r="G741" s="1" t="s">
        <v>19</v>
      </c>
      <c r="H741" s="8">
        <v>325</v>
      </c>
      <c r="I741" s="8">
        <f t="shared" si="44"/>
        <v>624000</v>
      </c>
      <c r="J741" s="539">
        <v>310</v>
      </c>
      <c r="K741" s="521">
        <f t="shared" si="45"/>
        <v>15</v>
      </c>
      <c r="L741" s="522">
        <f t="shared" si="46"/>
        <v>28800</v>
      </c>
      <c r="M741" s="523">
        <f t="shared" si="47"/>
        <v>4.6153846153846156E-2</v>
      </c>
      <c r="N741" s="34" t="s">
        <v>38</v>
      </c>
      <c r="O741" s="2" t="s">
        <v>39</v>
      </c>
    </row>
    <row r="742" spans="1:15">
      <c r="A742" s="71">
        <v>2023</v>
      </c>
      <c r="B742" s="16" t="s">
        <v>1083</v>
      </c>
      <c r="C742" s="71" t="s">
        <v>1186</v>
      </c>
      <c r="D742" s="2" t="s">
        <v>192</v>
      </c>
      <c r="E742" s="2" t="s">
        <v>1188</v>
      </c>
      <c r="F742" s="9">
        <v>2475</v>
      </c>
      <c r="G742" s="1" t="s">
        <v>19</v>
      </c>
      <c r="H742" s="8">
        <v>26.5</v>
      </c>
      <c r="I742" s="8">
        <f t="shared" si="44"/>
        <v>65587.5</v>
      </c>
      <c r="J742" s="539">
        <v>25</v>
      </c>
      <c r="K742" s="521">
        <f t="shared" si="45"/>
        <v>1.5</v>
      </c>
      <c r="L742" s="522">
        <f t="shared" si="46"/>
        <v>3712.5</v>
      </c>
      <c r="M742" s="523">
        <f t="shared" si="47"/>
        <v>5.6603773584905662E-2</v>
      </c>
      <c r="N742" s="34" t="s">
        <v>38</v>
      </c>
      <c r="O742" s="2" t="s">
        <v>39</v>
      </c>
    </row>
    <row r="743" spans="1:15">
      <c r="A743" s="71">
        <v>2023</v>
      </c>
      <c r="B743" s="16" t="s">
        <v>1083</v>
      </c>
      <c r="C743" s="71" t="s">
        <v>1186</v>
      </c>
      <c r="D743" s="2" t="s">
        <v>192</v>
      </c>
      <c r="E743" s="2" t="s">
        <v>1189</v>
      </c>
      <c r="F743" s="9">
        <v>2475</v>
      </c>
      <c r="G743" s="1" t="s">
        <v>19</v>
      </c>
      <c r="H743" s="8">
        <v>26.5</v>
      </c>
      <c r="I743" s="8">
        <f t="shared" si="44"/>
        <v>65587.5</v>
      </c>
      <c r="J743" s="539">
        <v>25</v>
      </c>
      <c r="K743" s="521">
        <f t="shared" si="45"/>
        <v>1.5</v>
      </c>
      <c r="L743" s="522">
        <f t="shared" si="46"/>
        <v>3712.5</v>
      </c>
      <c r="M743" s="523">
        <f t="shared" si="47"/>
        <v>5.6603773584905662E-2</v>
      </c>
      <c r="N743" s="34" t="s">
        <v>38</v>
      </c>
      <c r="O743" s="2" t="s">
        <v>39</v>
      </c>
    </row>
    <row r="744" spans="1:15">
      <c r="A744" s="71">
        <v>2023</v>
      </c>
      <c r="B744" s="16" t="s">
        <v>1083</v>
      </c>
      <c r="C744" s="71" t="s">
        <v>1190</v>
      </c>
      <c r="D744" s="2" t="s">
        <v>192</v>
      </c>
      <c r="E744" s="2" t="s">
        <v>1191</v>
      </c>
      <c r="F744" s="9">
        <v>200</v>
      </c>
      <c r="G744" s="1" t="s">
        <v>37</v>
      </c>
      <c r="H744" s="8">
        <v>149</v>
      </c>
      <c r="I744" s="8">
        <f t="shared" si="44"/>
        <v>29800</v>
      </c>
      <c r="J744" s="539">
        <v>148</v>
      </c>
      <c r="K744" s="521">
        <f t="shared" si="45"/>
        <v>1</v>
      </c>
      <c r="L744" s="522">
        <f t="shared" si="46"/>
        <v>200</v>
      </c>
      <c r="M744" s="523">
        <f t="shared" si="47"/>
        <v>6.7114093959731542E-3</v>
      </c>
      <c r="N744" s="34" t="s">
        <v>38</v>
      </c>
      <c r="O744" s="2" t="s">
        <v>39</v>
      </c>
    </row>
    <row r="745" spans="1:15">
      <c r="A745" s="71">
        <v>2023</v>
      </c>
      <c r="B745" s="16" t="s">
        <v>1083</v>
      </c>
      <c r="C745" s="71" t="s">
        <v>1190</v>
      </c>
      <c r="D745" s="2" t="s">
        <v>192</v>
      </c>
      <c r="E745" s="2" t="s">
        <v>1191</v>
      </c>
      <c r="F745" s="9">
        <v>100</v>
      </c>
      <c r="G745" s="1" t="s">
        <v>37</v>
      </c>
      <c r="H745" s="8">
        <v>149</v>
      </c>
      <c r="I745" s="8">
        <f t="shared" si="44"/>
        <v>14900</v>
      </c>
      <c r="J745" s="539">
        <v>148</v>
      </c>
      <c r="K745" s="521">
        <f t="shared" si="45"/>
        <v>1</v>
      </c>
      <c r="L745" s="522">
        <f t="shared" si="46"/>
        <v>100</v>
      </c>
      <c r="M745" s="523">
        <f t="shared" si="47"/>
        <v>6.7114093959731542E-3</v>
      </c>
      <c r="N745" s="34" t="s">
        <v>38</v>
      </c>
      <c r="O745" s="2" t="s">
        <v>39</v>
      </c>
    </row>
    <row r="746" spans="1:15">
      <c r="A746" s="71">
        <v>2023</v>
      </c>
      <c r="B746" s="16" t="s">
        <v>1083</v>
      </c>
      <c r="C746" s="71" t="s">
        <v>1190</v>
      </c>
      <c r="D746" s="2" t="s">
        <v>192</v>
      </c>
      <c r="E746" s="2" t="s">
        <v>1192</v>
      </c>
      <c r="F746" s="9">
        <v>400</v>
      </c>
      <c r="G746" s="1" t="s">
        <v>37</v>
      </c>
      <c r="H746" s="8">
        <v>149</v>
      </c>
      <c r="I746" s="8">
        <f t="shared" si="44"/>
        <v>59600</v>
      </c>
      <c r="J746" s="539">
        <v>148</v>
      </c>
      <c r="K746" s="521">
        <f t="shared" si="45"/>
        <v>1</v>
      </c>
      <c r="L746" s="522">
        <f t="shared" si="46"/>
        <v>400</v>
      </c>
      <c r="M746" s="523">
        <f t="shared" si="47"/>
        <v>6.7114093959731542E-3</v>
      </c>
      <c r="N746" s="34" t="s">
        <v>38</v>
      </c>
      <c r="O746" s="2" t="s">
        <v>39</v>
      </c>
    </row>
    <row r="747" spans="1:15">
      <c r="A747" s="71">
        <v>2023</v>
      </c>
      <c r="B747" s="16" t="s">
        <v>1083</v>
      </c>
      <c r="C747" s="71" t="s">
        <v>1190</v>
      </c>
      <c r="D747" s="2" t="s">
        <v>192</v>
      </c>
      <c r="E747" s="2" t="s">
        <v>1192</v>
      </c>
      <c r="F747" s="9">
        <v>450</v>
      </c>
      <c r="G747" s="1" t="s">
        <v>37</v>
      </c>
      <c r="H747" s="8">
        <v>149</v>
      </c>
      <c r="I747" s="8">
        <f t="shared" si="44"/>
        <v>67050</v>
      </c>
      <c r="J747" s="539">
        <v>148</v>
      </c>
      <c r="K747" s="521">
        <f t="shared" si="45"/>
        <v>1</v>
      </c>
      <c r="L747" s="522">
        <f t="shared" si="46"/>
        <v>450</v>
      </c>
      <c r="M747" s="523">
        <f t="shared" si="47"/>
        <v>6.7114093959731542E-3</v>
      </c>
      <c r="N747" s="34" t="s">
        <v>38</v>
      </c>
      <c r="O747" s="2" t="s">
        <v>39</v>
      </c>
    </row>
    <row r="748" spans="1:15">
      <c r="A748" s="71">
        <v>2023</v>
      </c>
      <c r="B748" s="16" t="s">
        <v>1083</v>
      </c>
      <c r="C748" s="71" t="s">
        <v>1190</v>
      </c>
      <c r="D748" s="2" t="s">
        <v>192</v>
      </c>
      <c r="E748" s="2" t="s">
        <v>1193</v>
      </c>
      <c r="F748" s="9">
        <v>400</v>
      </c>
      <c r="G748" s="1" t="s">
        <v>37</v>
      </c>
      <c r="H748" s="8">
        <v>149</v>
      </c>
      <c r="I748" s="8">
        <f t="shared" si="44"/>
        <v>59600</v>
      </c>
      <c r="J748" s="539">
        <v>148</v>
      </c>
      <c r="K748" s="521">
        <f t="shared" si="45"/>
        <v>1</v>
      </c>
      <c r="L748" s="522">
        <f t="shared" si="46"/>
        <v>400</v>
      </c>
      <c r="M748" s="523">
        <f t="shared" si="47"/>
        <v>6.7114093959731542E-3</v>
      </c>
      <c r="N748" s="34" t="s">
        <v>38</v>
      </c>
      <c r="O748" s="2" t="s">
        <v>39</v>
      </c>
    </row>
    <row r="749" spans="1:15">
      <c r="A749" s="71">
        <v>2023</v>
      </c>
      <c r="B749" s="16" t="s">
        <v>1083</v>
      </c>
      <c r="C749" s="71" t="s">
        <v>1190</v>
      </c>
      <c r="D749" s="2" t="s">
        <v>192</v>
      </c>
      <c r="E749" s="2" t="s">
        <v>1193</v>
      </c>
      <c r="F749" s="9">
        <v>400</v>
      </c>
      <c r="G749" s="1" t="s">
        <v>37</v>
      </c>
      <c r="H749" s="8">
        <v>149</v>
      </c>
      <c r="I749" s="8">
        <f t="shared" si="44"/>
        <v>59600</v>
      </c>
      <c r="J749" s="539">
        <v>148</v>
      </c>
      <c r="K749" s="521">
        <f t="shared" si="45"/>
        <v>1</v>
      </c>
      <c r="L749" s="522">
        <f t="shared" si="46"/>
        <v>400</v>
      </c>
      <c r="M749" s="523">
        <f t="shared" si="47"/>
        <v>6.7114093959731542E-3</v>
      </c>
      <c r="N749" s="34" t="s">
        <v>38</v>
      </c>
      <c r="O749" s="2" t="s">
        <v>39</v>
      </c>
    </row>
    <row r="750" spans="1:15">
      <c r="A750" s="71">
        <v>2023</v>
      </c>
      <c r="B750" s="16" t="s">
        <v>1083</v>
      </c>
      <c r="C750" s="71" t="s">
        <v>1190</v>
      </c>
      <c r="D750" s="2" t="s">
        <v>192</v>
      </c>
      <c r="E750" s="2" t="s">
        <v>1193</v>
      </c>
      <c r="F750" s="9">
        <v>100</v>
      </c>
      <c r="G750" s="1" t="s">
        <v>37</v>
      </c>
      <c r="H750" s="8">
        <v>149</v>
      </c>
      <c r="I750" s="8">
        <f t="shared" si="44"/>
        <v>14900</v>
      </c>
      <c r="J750" s="539">
        <v>148</v>
      </c>
      <c r="K750" s="521">
        <f t="shared" si="45"/>
        <v>1</v>
      </c>
      <c r="L750" s="522">
        <f t="shared" si="46"/>
        <v>100</v>
      </c>
      <c r="M750" s="523">
        <f t="shared" si="47"/>
        <v>6.7114093959731542E-3</v>
      </c>
      <c r="N750" s="34" t="s">
        <v>38</v>
      </c>
      <c r="O750" s="2" t="s">
        <v>39</v>
      </c>
    </row>
    <row r="751" spans="1:15">
      <c r="A751" s="71">
        <v>2023</v>
      </c>
      <c r="B751" s="16" t="s">
        <v>1083</v>
      </c>
      <c r="C751" s="71" t="s">
        <v>1186</v>
      </c>
      <c r="D751" s="2" t="s">
        <v>192</v>
      </c>
      <c r="E751" s="2" t="s">
        <v>1194</v>
      </c>
      <c r="F751" s="9">
        <v>600</v>
      </c>
      <c r="G751" s="1" t="s">
        <v>19</v>
      </c>
      <c r="H751" s="8">
        <v>325</v>
      </c>
      <c r="I751" s="8">
        <f t="shared" si="44"/>
        <v>195000</v>
      </c>
      <c r="J751" s="539">
        <v>315</v>
      </c>
      <c r="K751" s="521">
        <f t="shared" si="45"/>
        <v>10</v>
      </c>
      <c r="L751" s="522">
        <f t="shared" si="46"/>
        <v>6000</v>
      </c>
      <c r="M751" s="523">
        <f t="shared" si="47"/>
        <v>3.0769230769230771E-2</v>
      </c>
      <c r="N751" s="34" t="s">
        <v>38</v>
      </c>
      <c r="O751" s="2" t="s">
        <v>39</v>
      </c>
    </row>
    <row r="752" spans="1:15">
      <c r="A752" s="71">
        <v>2023</v>
      </c>
      <c r="B752" s="16" t="s">
        <v>1083</v>
      </c>
      <c r="C752" s="71" t="s">
        <v>1186</v>
      </c>
      <c r="D752" s="2" t="s">
        <v>192</v>
      </c>
      <c r="E752" s="2" t="s">
        <v>1195</v>
      </c>
      <c r="F752" s="9">
        <v>2000</v>
      </c>
      <c r="G752" s="1" t="s">
        <v>19</v>
      </c>
      <c r="H752" s="8">
        <v>20</v>
      </c>
      <c r="I752" s="8">
        <f t="shared" si="44"/>
        <v>40000</v>
      </c>
      <c r="J752" s="539">
        <v>19</v>
      </c>
      <c r="K752" s="521">
        <f t="shared" si="45"/>
        <v>1</v>
      </c>
      <c r="L752" s="522">
        <f t="shared" si="46"/>
        <v>2000</v>
      </c>
      <c r="M752" s="523">
        <f t="shared" si="47"/>
        <v>0.05</v>
      </c>
      <c r="N752" s="34" t="s">
        <v>38</v>
      </c>
      <c r="O752" s="2" t="s">
        <v>39</v>
      </c>
    </row>
    <row r="753" spans="1:15">
      <c r="A753" s="71">
        <v>2023</v>
      </c>
      <c r="B753" s="16" t="s">
        <v>1083</v>
      </c>
      <c r="C753" s="71" t="s">
        <v>1186</v>
      </c>
      <c r="D753" s="2" t="s">
        <v>192</v>
      </c>
      <c r="E753" s="2" t="s">
        <v>1196</v>
      </c>
      <c r="F753" s="9">
        <v>2480</v>
      </c>
      <c r="G753" s="1" t="s">
        <v>19</v>
      </c>
      <c r="H753" s="8">
        <v>4.5999999999999996</v>
      </c>
      <c r="I753" s="8">
        <f t="shared" si="44"/>
        <v>11408</v>
      </c>
      <c r="J753" s="539">
        <v>4</v>
      </c>
      <c r="K753" s="521">
        <f t="shared" si="45"/>
        <v>0.59999999999999964</v>
      </c>
      <c r="L753" s="522">
        <f t="shared" si="46"/>
        <v>1487.9999999999991</v>
      </c>
      <c r="M753" s="523">
        <f t="shared" si="47"/>
        <v>0.13043478260869559</v>
      </c>
      <c r="N753" s="34" t="s">
        <v>38</v>
      </c>
      <c r="O753" s="2" t="s">
        <v>39</v>
      </c>
    </row>
    <row r="754" spans="1:15">
      <c r="A754" s="71">
        <v>2023</v>
      </c>
      <c r="B754" s="16" t="s">
        <v>1083</v>
      </c>
      <c r="C754" s="71" t="s">
        <v>1186</v>
      </c>
      <c r="D754" s="2" t="s">
        <v>192</v>
      </c>
      <c r="E754" s="2" t="s">
        <v>1197</v>
      </c>
      <c r="F754" s="9">
        <v>4960</v>
      </c>
      <c r="G754" s="1" t="s">
        <v>19</v>
      </c>
      <c r="H754" s="8">
        <v>8</v>
      </c>
      <c r="I754" s="8">
        <f t="shared" si="44"/>
        <v>39680</v>
      </c>
      <c r="J754" s="539">
        <v>7.5</v>
      </c>
      <c r="K754" s="521">
        <f t="shared" si="45"/>
        <v>0.5</v>
      </c>
      <c r="L754" s="522">
        <f t="shared" si="46"/>
        <v>2480</v>
      </c>
      <c r="M754" s="523">
        <f t="shared" si="47"/>
        <v>6.25E-2</v>
      </c>
      <c r="N754" s="34" t="s">
        <v>38</v>
      </c>
      <c r="O754" s="2" t="s">
        <v>39</v>
      </c>
    </row>
    <row r="755" spans="1:15">
      <c r="A755" s="71">
        <v>2023</v>
      </c>
      <c r="B755" s="16" t="s">
        <v>1083</v>
      </c>
      <c r="C755" s="71" t="s">
        <v>1186</v>
      </c>
      <c r="D755" s="2" t="s">
        <v>192</v>
      </c>
      <c r="E755" s="2" t="s">
        <v>1198</v>
      </c>
      <c r="F755" s="9">
        <v>2480</v>
      </c>
      <c r="G755" s="1" t="s">
        <v>19</v>
      </c>
      <c r="H755" s="8">
        <v>8</v>
      </c>
      <c r="I755" s="8">
        <f t="shared" si="44"/>
        <v>19840</v>
      </c>
      <c r="J755" s="539">
        <v>7.5</v>
      </c>
      <c r="K755" s="521">
        <f t="shared" si="45"/>
        <v>0.5</v>
      </c>
      <c r="L755" s="522">
        <f t="shared" si="46"/>
        <v>1240</v>
      </c>
      <c r="M755" s="523">
        <f t="shared" si="47"/>
        <v>6.25E-2</v>
      </c>
      <c r="N755" s="34" t="s">
        <v>38</v>
      </c>
      <c r="O755" s="2" t="s">
        <v>39</v>
      </c>
    </row>
    <row r="756" spans="1:15">
      <c r="A756" s="71">
        <v>2023</v>
      </c>
      <c r="B756" s="16" t="s">
        <v>1083</v>
      </c>
      <c r="C756" s="71" t="s">
        <v>1186</v>
      </c>
      <c r="D756" s="2" t="s">
        <v>192</v>
      </c>
      <c r="E756" s="2" t="s">
        <v>1199</v>
      </c>
      <c r="F756" s="9">
        <v>500</v>
      </c>
      <c r="G756" s="1" t="s">
        <v>37</v>
      </c>
      <c r="H756" s="8">
        <v>78</v>
      </c>
      <c r="I756" s="8">
        <f t="shared" si="44"/>
        <v>39000</v>
      </c>
      <c r="J756" s="539">
        <v>76</v>
      </c>
      <c r="K756" s="521">
        <f t="shared" si="45"/>
        <v>2</v>
      </c>
      <c r="L756" s="522">
        <f t="shared" si="46"/>
        <v>1000</v>
      </c>
      <c r="M756" s="523">
        <f t="shared" si="47"/>
        <v>2.564102564102564E-2</v>
      </c>
      <c r="N756" s="34" t="s">
        <v>38</v>
      </c>
      <c r="O756" s="2" t="s">
        <v>39</v>
      </c>
    </row>
    <row r="757" spans="1:15">
      <c r="A757" s="71">
        <v>2023</v>
      </c>
      <c r="B757" s="16" t="s">
        <v>1083</v>
      </c>
      <c r="C757" s="71" t="s">
        <v>1186</v>
      </c>
      <c r="D757" s="2" t="s">
        <v>192</v>
      </c>
      <c r="E757" s="2" t="s">
        <v>1200</v>
      </c>
      <c r="F757" s="9">
        <v>5000</v>
      </c>
      <c r="G757" s="1" t="s">
        <v>37</v>
      </c>
      <c r="H757" s="8">
        <v>78</v>
      </c>
      <c r="I757" s="8">
        <f t="shared" si="44"/>
        <v>390000</v>
      </c>
      <c r="J757" s="539">
        <v>76</v>
      </c>
      <c r="K757" s="521">
        <f t="shared" si="45"/>
        <v>2</v>
      </c>
      <c r="L757" s="522">
        <f t="shared" si="46"/>
        <v>10000</v>
      </c>
      <c r="M757" s="523">
        <f t="shared" si="47"/>
        <v>2.564102564102564E-2</v>
      </c>
      <c r="N757" s="34" t="s">
        <v>38</v>
      </c>
      <c r="O757" s="2" t="s">
        <v>39</v>
      </c>
    </row>
    <row r="758" spans="1:15">
      <c r="A758" s="71">
        <v>2023</v>
      </c>
      <c r="B758" s="16" t="s">
        <v>1083</v>
      </c>
      <c r="C758" s="71" t="s">
        <v>1186</v>
      </c>
      <c r="D758" s="2" t="s">
        <v>192</v>
      </c>
      <c r="E758" s="2" t="s">
        <v>1201</v>
      </c>
      <c r="F758" s="9">
        <v>500</v>
      </c>
      <c r="G758" s="1" t="s">
        <v>37</v>
      </c>
      <c r="H758" s="8">
        <v>78</v>
      </c>
      <c r="I758" s="8">
        <f t="shared" si="44"/>
        <v>39000</v>
      </c>
      <c r="J758" s="539">
        <v>76</v>
      </c>
      <c r="K758" s="521">
        <f t="shared" si="45"/>
        <v>2</v>
      </c>
      <c r="L758" s="522">
        <f t="shared" si="46"/>
        <v>1000</v>
      </c>
      <c r="M758" s="523">
        <f t="shared" si="47"/>
        <v>2.564102564102564E-2</v>
      </c>
      <c r="N758" s="34" t="s">
        <v>38</v>
      </c>
      <c r="O758" s="2" t="s">
        <v>39</v>
      </c>
    </row>
    <row r="759" spans="1:15">
      <c r="A759" s="71">
        <v>2023</v>
      </c>
      <c r="B759" s="16" t="s">
        <v>1083</v>
      </c>
      <c r="C759" s="71" t="s">
        <v>1186</v>
      </c>
      <c r="D759" s="2" t="s">
        <v>192</v>
      </c>
      <c r="E759" s="2" t="s">
        <v>1202</v>
      </c>
      <c r="F759" s="9">
        <v>500</v>
      </c>
      <c r="G759" s="1" t="s">
        <v>37</v>
      </c>
      <c r="H759" s="8">
        <v>215</v>
      </c>
      <c r="I759" s="8">
        <f t="shared" si="44"/>
        <v>107500</v>
      </c>
      <c r="J759" s="539">
        <v>213</v>
      </c>
      <c r="K759" s="521">
        <f t="shared" si="45"/>
        <v>2</v>
      </c>
      <c r="L759" s="522">
        <f t="shared" si="46"/>
        <v>1000</v>
      </c>
      <c r="M759" s="523">
        <f t="shared" si="47"/>
        <v>9.3023255813953487E-3</v>
      </c>
      <c r="N759" s="34" t="s">
        <v>38</v>
      </c>
      <c r="O759" s="2" t="s">
        <v>39</v>
      </c>
    </row>
    <row r="760" spans="1:15">
      <c r="A760" s="71">
        <v>2023</v>
      </c>
      <c r="B760" s="16" t="s">
        <v>1083</v>
      </c>
      <c r="C760" s="71" t="s">
        <v>1203</v>
      </c>
      <c r="D760" s="2" t="s">
        <v>1204</v>
      </c>
      <c r="E760" s="2" t="s">
        <v>1205</v>
      </c>
      <c r="F760" s="9">
        <v>1800</v>
      </c>
      <c r="G760" s="1" t="s">
        <v>19</v>
      </c>
      <c r="H760" s="8">
        <v>7.8</v>
      </c>
      <c r="I760" s="8">
        <f t="shared" si="44"/>
        <v>14040</v>
      </c>
      <c r="J760" s="539">
        <v>6.5</v>
      </c>
      <c r="K760" s="521">
        <f t="shared" si="45"/>
        <v>1.2999999999999998</v>
      </c>
      <c r="L760" s="522">
        <f t="shared" si="46"/>
        <v>2339.9999999999995</v>
      </c>
      <c r="M760" s="523">
        <f t="shared" si="47"/>
        <v>0.16666666666666666</v>
      </c>
      <c r="N760" s="34" t="s">
        <v>38</v>
      </c>
      <c r="O760" s="2" t="s">
        <v>105</v>
      </c>
    </row>
    <row r="761" spans="1:15">
      <c r="A761" s="71">
        <v>2023</v>
      </c>
      <c r="B761" s="16" t="s">
        <v>1083</v>
      </c>
      <c r="C761" s="71" t="s">
        <v>1206</v>
      </c>
      <c r="D761" s="2" t="s">
        <v>599</v>
      </c>
      <c r="E761" s="2" t="s">
        <v>1207</v>
      </c>
      <c r="F761" s="9">
        <v>900</v>
      </c>
      <c r="G761" s="1" t="s">
        <v>19</v>
      </c>
      <c r="H761" s="8">
        <v>3</v>
      </c>
      <c r="I761" s="8">
        <f t="shared" si="44"/>
        <v>2700</v>
      </c>
      <c r="J761" s="539">
        <v>2.65</v>
      </c>
      <c r="K761" s="521">
        <f t="shared" si="45"/>
        <v>0.35000000000000009</v>
      </c>
      <c r="L761" s="522">
        <f t="shared" si="46"/>
        <v>315.00000000000006</v>
      </c>
      <c r="M761" s="523">
        <f t="shared" si="47"/>
        <v>0.1166666666666667</v>
      </c>
      <c r="N761" s="34" t="s">
        <v>38</v>
      </c>
      <c r="O761" s="2" t="s">
        <v>39</v>
      </c>
    </row>
    <row r="762" spans="1:15">
      <c r="A762" s="71">
        <v>2023</v>
      </c>
      <c r="B762" s="16" t="s">
        <v>1083</v>
      </c>
      <c r="C762" s="71" t="s">
        <v>1206</v>
      </c>
      <c r="D762" s="2" t="s">
        <v>599</v>
      </c>
      <c r="E762" s="2" t="s">
        <v>1208</v>
      </c>
      <c r="F762" s="9">
        <v>1800</v>
      </c>
      <c r="G762" s="1" t="s">
        <v>19</v>
      </c>
      <c r="H762" s="8">
        <v>64</v>
      </c>
      <c r="I762" s="8">
        <f t="shared" si="44"/>
        <v>115200</v>
      </c>
      <c r="J762" s="539">
        <v>62</v>
      </c>
      <c r="K762" s="521">
        <f t="shared" si="45"/>
        <v>2</v>
      </c>
      <c r="L762" s="522">
        <f t="shared" si="46"/>
        <v>3600</v>
      </c>
      <c r="M762" s="523">
        <f t="shared" si="47"/>
        <v>3.125E-2</v>
      </c>
      <c r="N762" s="34" t="s">
        <v>38</v>
      </c>
      <c r="O762" s="2" t="s">
        <v>39</v>
      </c>
    </row>
    <row r="763" spans="1:15">
      <c r="A763" s="71">
        <v>2023</v>
      </c>
      <c r="B763" s="16" t="s">
        <v>1083</v>
      </c>
      <c r="C763" s="71" t="s">
        <v>1206</v>
      </c>
      <c r="D763" s="2" t="s">
        <v>599</v>
      </c>
      <c r="E763" s="2" t="s">
        <v>1209</v>
      </c>
      <c r="F763" s="9">
        <v>2400</v>
      </c>
      <c r="G763" s="1" t="s">
        <v>19</v>
      </c>
      <c r="H763" s="8">
        <v>7.2</v>
      </c>
      <c r="I763" s="8">
        <f t="shared" si="44"/>
        <v>17280</v>
      </c>
      <c r="J763" s="539">
        <v>6.5</v>
      </c>
      <c r="K763" s="521">
        <f t="shared" si="45"/>
        <v>0.70000000000000018</v>
      </c>
      <c r="L763" s="522">
        <f t="shared" si="46"/>
        <v>1680.0000000000005</v>
      </c>
      <c r="M763" s="523">
        <f t="shared" si="47"/>
        <v>9.7222222222222238E-2</v>
      </c>
      <c r="N763" s="34" t="s">
        <v>38</v>
      </c>
      <c r="O763" s="2" t="s">
        <v>39</v>
      </c>
    </row>
    <row r="764" spans="1:15">
      <c r="A764" s="71">
        <v>2023</v>
      </c>
      <c r="B764" s="16" t="s">
        <v>1083</v>
      </c>
      <c r="C764" s="71" t="s">
        <v>1206</v>
      </c>
      <c r="D764" s="2" t="s">
        <v>599</v>
      </c>
      <c r="E764" s="2" t="s">
        <v>1210</v>
      </c>
      <c r="F764" s="9">
        <v>4000</v>
      </c>
      <c r="G764" s="1" t="s">
        <v>19</v>
      </c>
      <c r="H764" s="8">
        <v>6.75</v>
      </c>
      <c r="I764" s="8">
        <f t="shared" si="44"/>
        <v>27000</v>
      </c>
      <c r="J764" s="539">
        <v>6</v>
      </c>
      <c r="K764" s="521">
        <f t="shared" si="45"/>
        <v>0.75</v>
      </c>
      <c r="L764" s="522">
        <f t="shared" si="46"/>
        <v>3000</v>
      </c>
      <c r="M764" s="523">
        <f t="shared" si="47"/>
        <v>0.1111111111111111</v>
      </c>
      <c r="N764" s="34" t="s">
        <v>38</v>
      </c>
      <c r="O764" s="2" t="s">
        <v>39</v>
      </c>
    </row>
    <row r="765" spans="1:15">
      <c r="A765" s="71">
        <v>2023</v>
      </c>
      <c r="B765" s="16" t="s">
        <v>1083</v>
      </c>
      <c r="C765" s="71" t="s">
        <v>1206</v>
      </c>
      <c r="D765" s="2" t="s">
        <v>599</v>
      </c>
      <c r="E765" s="2" t="s">
        <v>1211</v>
      </c>
      <c r="F765" s="9">
        <v>1800</v>
      </c>
      <c r="G765" s="1" t="s">
        <v>19</v>
      </c>
      <c r="H765" s="8">
        <v>15</v>
      </c>
      <c r="I765" s="8">
        <f t="shared" si="44"/>
        <v>27000</v>
      </c>
      <c r="J765" s="539">
        <v>7</v>
      </c>
      <c r="K765" s="521">
        <f t="shared" si="45"/>
        <v>8</v>
      </c>
      <c r="L765" s="522">
        <f t="shared" si="46"/>
        <v>14400</v>
      </c>
      <c r="M765" s="523">
        <f t="shared" si="47"/>
        <v>0.53333333333333333</v>
      </c>
      <c r="N765" s="34" t="s">
        <v>38</v>
      </c>
      <c r="O765" s="2" t="s">
        <v>39</v>
      </c>
    </row>
    <row r="766" spans="1:15">
      <c r="A766" s="71">
        <v>2023</v>
      </c>
      <c r="B766" s="16" t="s">
        <v>1083</v>
      </c>
      <c r="C766" s="71" t="s">
        <v>1212</v>
      </c>
      <c r="D766" s="2" t="s">
        <v>1213</v>
      </c>
      <c r="E766" s="2" t="s">
        <v>1214</v>
      </c>
      <c r="F766" s="9">
        <v>200</v>
      </c>
      <c r="G766" s="1" t="s">
        <v>19</v>
      </c>
      <c r="H766" s="8">
        <v>15</v>
      </c>
      <c r="I766" s="8">
        <f t="shared" si="44"/>
        <v>3000</v>
      </c>
      <c r="J766" s="539">
        <v>7</v>
      </c>
      <c r="K766" s="521">
        <f t="shared" si="45"/>
        <v>8</v>
      </c>
      <c r="L766" s="522">
        <f t="shared" si="46"/>
        <v>1600</v>
      </c>
      <c r="M766" s="523">
        <f t="shared" si="47"/>
        <v>0.53333333333333333</v>
      </c>
      <c r="N766" s="34" t="s">
        <v>38</v>
      </c>
      <c r="O766" s="2" t="s">
        <v>39</v>
      </c>
    </row>
    <row r="767" spans="1:15">
      <c r="A767" s="71">
        <v>2023</v>
      </c>
      <c r="B767" s="16" t="s">
        <v>1083</v>
      </c>
      <c r="C767" s="71" t="s">
        <v>1212</v>
      </c>
      <c r="D767" s="2" t="s">
        <v>1213</v>
      </c>
      <c r="E767" s="2" t="s">
        <v>1214</v>
      </c>
      <c r="F767" s="9">
        <v>200</v>
      </c>
      <c r="G767" s="1" t="s">
        <v>19</v>
      </c>
      <c r="H767" s="8">
        <v>15</v>
      </c>
      <c r="I767" s="8">
        <f t="shared" si="44"/>
        <v>3000</v>
      </c>
      <c r="J767" s="539">
        <v>7</v>
      </c>
      <c r="K767" s="521">
        <f t="shared" si="45"/>
        <v>8</v>
      </c>
      <c r="L767" s="522">
        <f t="shared" si="46"/>
        <v>1600</v>
      </c>
      <c r="M767" s="523">
        <f t="shared" si="47"/>
        <v>0.53333333333333333</v>
      </c>
      <c r="N767" s="34" t="s">
        <v>38</v>
      </c>
      <c r="O767" s="2" t="s">
        <v>39</v>
      </c>
    </row>
    <row r="768" spans="1:15">
      <c r="A768" s="71">
        <v>2023</v>
      </c>
      <c r="B768" s="16" t="s">
        <v>1083</v>
      </c>
      <c r="C768" s="71" t="s">
        <v>1212</v>
      </c>
      <c r="D768" s="2" t="s">
        <v>1213</v>
      </c>
      <c r="E768" s="2" t="s">
        <v>1214</v>
      </c>
      <c r="F768" s="9">
        <v>200</v>
      </c>
      <c r="G768" s="1" t="s">
        <v>19</v>
      </c>
      <c r="H768" s="8">
        <v>15</v>
      </c>
      <c r="I768" s="8">
        <f t="shared" si="44"/>
        <v>3000</v>
      </c>
      <c r="J768" s="539">
        <v>7</v>
      </c>
      <c r="K768" s="521">
        <f t="shared" si="45"/>
        <v>8</v>
      </c>
      <c r="L768" s="522">
        <f t="shared" si="46"/>
        <v>1600</v>
      </c>
      <c r="M768" s="523">
        <f t="shared" si="47"/>
        <v>0.53333333333333333</v>
      </c>
      <c r="N768" s="34" t="s">
        <v>38</v>
      </c>
      <c r="O768" s="2" t="s">
        <v>39</v>
      </c>
    </row>
    <row r="769" spans="1:15">
      <c r="A769" s="71">
        <v>2023</v>
      </c>
      <c r="B769" s="16" t="s">
        <v>1083</v>
      </c>
      <c r="C769" s="71" t="s">
        <v>1212</v>
      </c>
      <c r="D769" s="2" t="s">
        <v>1213</v>
      </c>
      <c r="E769" s="2" t="s">
        <v>1215</v>
      </c>
      <c r="F769" s="9">
        <v>200</v>
      </c>
      <c r="G769" s="1" t="s">
        <v>19</v>
      </c>
      <c r="H769" s="8">
        <v>15</v>
      </c>
      <c r="I769" s="8">
        <f t="shared" si="44"/>
        <v>3000</v>
      </c>
      <c r="J769" s="539">
        <v>7</v>
      </c>
      <c r="K769" s="521">
        <f t="shared" si="45"/>
        <v>8</v>
      </c>
      <c r="L769" s="522">
        <f t="shared" si="46"/>
        <v>1600</v>
      </c>
      <c r="M769" s="523">
        <f t="shared" si="47"/>
        <v>0.53333333333333333</v>
      </c>
      <c r="N769" s="34" t="s">
        <v>38</v>
      </c>
      <c r="O769" s="2" t="s">
        <v>39</v>
      </c>
    </row>
    <row r="770" spans="1:15">
      <c r="A770" s="71">
        <v>2023</v>
      </c>
      <c r="B770" s="16" t="s">
        <v>1083</v>
      </c>
      <c r="C770" s="71" t="s">
        <v>1212</v>
      </c>
      <c r="D770" s="2" t="s">
        <v>1213</v>
      </c>
      <c r="E770" s="2" t="s">
        <v>1215</v>
      </c>
      <c r="F770" s="9">
        <v>200</v>
      </c>
      <c r="G770" s="1" t="s">
        <v>19</v>
      </c>
      <c r="H770" s="8">
        <v>15</v>
      </c>
      <c r="I770" s="8">
        <f t="shared" si="44"/>
        <v>3000</v>
      </c>
      <c r="J770" s="539">
        <v>7</v>
      </c>
      <c r="K770" s="521">
        <f t="shared" si="45"/>
        <v>8</v>
      </c>
      <c r="L770" s="522">
        <f t="shared" si="46"/>
        <v>1600</v>
      </c>
      <c r="M770" s="523">
        <f t="shared" si="47"/>
        <v>0.53333333333333333</v>
      </c>
      <c r="N770" s="34" t="s">
        <v>38</v>
      </c>
      <c r="O770" s="2" t="s">
        <v>39</v>
      </c>
    </row>
    <row r="771" spans="1:15">
      <c r="A771" s="71">
        <v>2023</v>
      </c>
      <c r="B771" s="16" t="s">
        <v>1083</v>
      </c>
      <c r="C771" s="71" t="s">
        <v>1212</v>
      </c>
      <c r="D771" s="2" t="s">
        <v>1213</v>
      </c>
      <c r="E771" s="2" t="s">
        <v>1215</v>
      </c>
      <c r="F771" s="9">
        <v>200</v>
      </c>
      <c r="G771" s="1" t="s">
        <v>19</v>
      </c>
      <c r="H771" s="8">
        <v>15</v>
      </c>
      <c r="I771" s="8">
        <f t="shared" ref="I771:I834" si="48">H771*F771</f>
        <v>3000</v>
      </c>
      <c r="J771" s="539">
        <v>7</v>
      </c>
      <c r="K771" s="521">
        <f t="shared" ref="K771:K834" si="49">H771-J771</f>
        <v>8</v>
      </c>
      <c r="L771" s="522">
        <f t="shared" ref="L771:L834" si="50">K771*F771</f>
        <v>1600</v>
      </c>
      <c r="M771" s="523">
        <f t="shared" ref="M771:M834" si="51">K771/H771</f>
        <v>0.53333333333333333</v>
      </c>
      <c r="N771" s="34" t="s">
        <v>38</v>
      </c>
      <c r="O771" s="2" t="s">
        <v>39</v>
      </c>
    </row>
    <row r="772" spans="1:15">
      <c r="A772" s="71">
        <v>2023</v>
      </c>
      <c r="B772" s="16" t="s">
        <v>1083</v>
      </c>
      <c r="C772" s="71" t="s">
        <v>1212</v>
      </c>
      <c r="D772" s="2" t="s">
        <v>1213</v>
      </c>
      <c r="E772" s="2" t="s">
        <v>1216</v>
      </c>
      <c r="F772" s="9">
        <v>200</v>
      </c>
      <c r="G772" s="1" t="s">
        <v>19</v>
      </c>
      <c r="H772" s="8">
        <v>15</v>
      </c>
      <c r="I772" s="8">
        <f t="shared" si="48"/>
        <v>3000</v>
      </c>
      <c r="J772" s="539">
        <v>7</v>
      </c>
      <c r="K772" s="521">
        <f t="shared" si="49"/>
        <v>8</v>
      </c>
      <c r="L772" s="522">
        <f t="shared" si="50"/>
        <v>1600</v>
      </c>
      <c r="M772" s="523">
        <f t="shared" si="51"/>
        <v>0.53333333333333333</v>
      </c>
      <c r="N772" s="34" t="s">
        <v>38</v>
      </c>
      <c r="O772" s="2" t="s">
        <v>39</v>
      </c>
    </row>
    <row r="773" spans="1:15">
      <c r="A773" s="71">
        <v>2023</v>
      </c>
      <c r="B773" s="16" t="s">
        <v>1083</v>
      </c>
      <c r="C773" s="71" t="s">
        <v>1212</v>
      </c>
      <c r="D773" s="2" t="s">
        <v>1213</v>
      </c>
      <c r="E773" s="2" t="s">
        <v>1216</v>
      </c>
      <c r="F773" s="9">
        <v>200</v>
      </c>
      <c r="G773" s="1" t="s">
        <v>19</v>
      </c>
      <c r="H773" s="8">
        <v>15</v>
      </c>
      <c r="I773" s="8">
        <f t="shared" si="48"/>
        <v>3000</v>
      </c>
      <c r="J773" s="539">
        <v>7</v>
      </c>
      <c r="K773" s="521">
        <f t="shared" si="49"/>
        <v>8</v>
      </c>
      <c r="L773" s="522">
        <f t="shared" si="50"/>
        <v>1600</v>
      </c>
      <c r="M773" s="523">
        <f t="shared" si="51"/>
        <v>0.53333333333333333</v>
      </c>
      <c r="N773" s="34" t="s">
        <v>38</v>
      </c>
      <c r="O773" s="2" t="s">
        <v>39</v>
      </c>
    </row>
    <row r="774" spans="1:15">
      <c r="A774" s="71">
        <v>2023</v>
      </c>
      <c r="B774" s="16" t="s">
        <v>1083</v>
      </c>
      <c r="C774" s="61" t="s">
        <v>1212</v>
      </c>
      <c r="D774" s="32" t="s">
        <v>1213</v>
      </c>
      <c r="E774" s="43" t="s">
        <v>1216</v>
      </c>
      <c r="F774" s="51">
        <v>200</v>
      </c>
      <c r="G774" s="45" t="s">
        <v>19</v>
      </c>
      <c r="H774" s="44">
        <v>15</v>
      </c>
      <c r="I774" s="44">
        <f t="shared" si="48"/>
        <v>3000</v>
      </c>
      <c r="J774" s="544">
        <v>7</v>
      </c>
      <c r="K774" s="529">
        <f t="shared" si="49"/>
        <v>8</v>
      </c>
      <c r="L774" s="545">
        <f t="shared" si="50"/>
        <v>1600</v>
      </c>
      <c r="M774" s="523">
        <f t="shared" si="51"/>
        <v>0.53333333333333333</v>
      </c>
      <c r="N774" s="30" t="s">
        <v>38</v>
      </c>
      <c r="O774" s="2" t="s">
        <v>39</v>
      </c>
    </row>
    <row r="775" spans="1:15">
      <c r="A775" s="71">
        <v>2023</v>
      </c>
      <c r="B775" s="16" t="s">
        <v>1083</v>
      </c>
      <c r="C775" s="61" t="s">
        <v>1212</v>
      </c>
      <c r="D775" s="32" t="s">
        <v>1213</v>
      </c>
      <c r="E775" s="69" t="s">
        <v>1217</v>
      </c>
      <c r="F775" s="51">
        <v>200</v>
      </c>
      <c r="G775" s="418" t="s">
        <v>19</v>
      </c>
      <c r="H775" s="44">
        <v>15</v>
      </c>
      <c r="I775" s="44">
        <f t="shared" si="48"/>
        <v>3000</v>
      </c>
      <c r="J775" s="544">
        <v>7</v>
      </c>
      <c r="K775" s="529">
        <f t="shared" si="49"/>
        <v>8</v>
      </c>
      <c r="L775" s="545">
        <f t="shared" si="50"/>
        <v>1600</v>
      </c>
      <c r="M775" s="523">
        <f t="shared" si="51"/>
        <v>0.53333333333333333</v>
      </c>
      <c r="N775" s="30" t="s">
        <v>38</v>
      </c>
      <c r="O775" s="2" t="s">
        <v>39</v>
      </c>
    </row>
    <row r="776" spans="1:15">
      <c r="A776" s="71">
        <v>2023</v>
      </c>
      <c r="B776" s="16" t="s">
        <v>1083</v>
      </c>
      <c r="C776" s="61" t="s">
        <v>1212</v>
      </c>
      <c r="D776" s="32" t="s">
        <v>1213</v>
      </c>
      <c r="E776" s="33" t="s">
        <v>1217</v>
      </c>
      <c r="F776" s="53">
        <v>200</v>
      </c>
      <c r="G776" s="46" t="s">
        <v>19</v>
      </c>
      <c r="H776" s="44">
        <v>15</v>
      </c>
      <c r="I776" s="44">
        <f t="shared" si="48"/>
        <v>3000</v>
      </c>
      <c r="J776" s="544">
        <v>7</v>
      </c>
      <c r="K776" s="529">
        <f t="shared" si="49"/>
        <v>8</v>
      </c>
      <c r="L776" s="545">
        <f t="shared" si="50"/>
        <v>1600</v>
      </c>
      <c r="M776" s="523">
        <f t="shared" si="51"/>
        <v>0.53333333333333333</v>
      </c>
      <c r="N776" s="30" t="s">
        <v>38</v>
      </c>
      <c r="O776" s="2" t="s">
        <v>39</v>
      </c>
    </row>
    <row r="777" spans="1:15">
      <c r="A777" s="71">
        <v>2023</v>
      </c>
      <c r="B777" s="16" t="s">
        <v>1083</v>
      </c>
      <c r="C777" s="71" t="s">
        <v>1212</v>
      </c>
      <c r="D777" s="2" t="s">
        <v>1213</v>
      </c>
      <c r="E777" s="2" t="s">
        <v>1217</v>
      </c>
      <c r="F777" s="9">
        <v>200</v>
      </c>
      <c r="G777" s="1" t="s">
        <v>19</v>
      </c>
      <c r="H777" s="41">
        <v>15</v>
      </c>
      <c r="I777" s="44">
        <f t="shared" si="48"/>
        <v>3000</v>
      </c>
      <c r="J777" s="543">
        <v>7</v>
      </c>
      <c r="K777" s="528">
        <f t="shared" si="49"/>
        <v>8</v>
      </c>
      <c r="L777" s="522">
        <f t="shared" si="50"/>
        <v>1600</v>
      </c>
      <c r="M777" s="523">
        <f t="shared" si="51"/>
        <v>0.53333333333333333</v>
      </c>
      <c r="N777" s="34" t="s">
        <v>38</v>
      </c>
      <c r="O777" s="2" t="s">
        <v>39</v>
      </c>
    </row>
    <row r="778" spans="1:15">
      <c r="A778" s="71">
        <v>2023</v>
      </c>
      <c r="B778" s="16" t="s">
        <v>1083</v>
      </c>
      <c r="C778" s="71" t="s">
        <v>1212</v>
      </c>
      <c r="D778" s="2" t="s">
        <v>1213</v>
      </c>
      <c r="E778" s="2" t="s">
        <v>1218</v>
      </c>
      <c r="F778" s="9">
        <v>200</v>
      </c>
      <c r="G778" s="1" t="s">
        <v>19</v>
      </c>
      <c r="H778" s="41">
        <v>15</v>
      </c>
      <c r="I778" s="44">
        <f t="shared" si="48"/>
        <v>3000</v>
      </c>
      <c r="J778" s="543">
        <v>7</v>
      </c>
      <c r="K778" s="528">
        <f t="shared" si="49"/>
        <v>8</v>
      </c>
      <c r="L778" s="522">
        <f t="shared" si="50"/>
        <v>1600</v>
      </c>
      <c r="M778" s="523">
        <f t="shared" si="51"/>
        <v>0.53333333333333333</v>
      </c>
      <c r="N778" s="34" t="s">
        <v>38</v>
      </c>
      <c r="O778" s="2" t="s">
        <v>39</v>
      </c>
    </row>
    <row r="779" spans="1:15">
      <c r="A779" s="71">
        <v>2023</v>
      </c>
      <c r="B779" s="16" t="s">
        <v>1083</v>
      </c>
      <c r="C779" s="71" t="s">
        <v>1212</v>
      </c>
      <c r="D779" s="2" t="s">
        <v>1213</v>
      </c>
      <c r="E779" s="2" t="s">
        <v>1218</v>
      </c>
      <c r="F779" s="9">
        <v>200</v>
      </c>
      <c r="G779" s="1" t="s">
        <v>19</v>
      </c>
      <c r="H779" s="41">
        <v>15</v>
      </c>
      <c r="I779" s="44">
        <f t="shared" si="48"/>
        <v>3000</v>
      </c>
      <c r="J779" s="543">
        <v>7</v>
      </c>
      <c r="K779" s="528">
        <f t="shared" si="49"/>
        <v>8</v>
      </c>
      <c r="L779" s="522">
        <f t="shared" si="50"/>
        <v>1600</v>
      </c>
      <c r="M779" s="523">
        <f t="shared" si="51"/>
        <v>0.53333333333333333</v>
      </c>
      <c r="N779" s="34" t="s">
        <v>38</v>
      </c>
      <c r="O779" s="2" t="s">
        <v>39</v>
      </c>
    </row>
    <row r="780" spans="1:15">
      <c r="A780" s="71">
        <v>2023</v>
      </c>
      <c r="B780" s="16" t="s">
        <v>1083</v>
      </c>
      <c r="C780" s="71" t="s">
        <v>1212</v>
      </c>
      <c r="D780" s="2" t="s">
        <v>1213</v>
      </c>
      <c r="E780" s="2" t="s">
        <v>1218</v>
      </c>
      <c r="F780" s="9">
        <v>200</v>
      </c>
      <c r="G780" s="1" t="s">
        <v>19</v>
      </c>
      <c r="H780" s="41">
        <v>20</v>
      </c>
      <c r="I780" s="44">
        <f t="shared" si="48"/>
        <v>4000</v>
      </c>
      <c r="J780" s="543">
        <v>7</v>
      </c>
      <c r="K780" s="528">
        <f t="shared" si="49"/>
        <v>13</v>
      </c>
      <c r="L780" s="522">
        <f t="shared" si="50"/>
        <v>2600</v>
      </c>
      <c r="M780" s="523">
        <f t="shared" si="51"/>
        <v>0.65</v>
      </c>
      <c r="N780" s="34" t="s">
        <v>38</v>
      </c>
      <c r="O780" s="2" t="s">
        <v>39</v>
      </c>
    </row>
    <row r="781" spans="1:15">
      <c r="A781" s="71">
        <v>2023</v>
      </c>
      <c r="B781" s="16" t="s">
        <v>1083</v>
      </c>
      <c r="C781" s="71" t="s">
        <v>1212</v>
      </c>
      <c r="D781" s="2" t="s">
        <v>1213</v>
      </c>
      <c r="E781" s="2" t="s">
        <v>1219</v>
      </c>
      <c r="F781" s="9">
        <v>200</v>
      </c>
      <c r="G781" s="1" t="s">
        <v>19</v>
      </c>
      <c r="H781" s="41">
        <v>20</v>
      </c>
      <c r="I781" s="44">
        <f t="shared" si="48"/>
        <v>4000</v>
      </c>
      <c r="J781" s="543">
        <v>7</v>
      </c>
      <c r="K781" s="528">
        <f t="shared" si="49"/>
        <v>13</v>
      </c>
      <c r="L781" s="522">
        <f t="shared" si="50"/>
        <v>2600</v>
      </c>
      <c r="M781" s="523">
        <f t="shared" si="51"/>
        <v>0.65</v>
      </c>
      <c r="N781" s="34" t="s">
        <v>38</v>
      </c>
      <c r="O781" s="2" t="s">
        <v>39</v>
      </c>
    </row>
    <row r="782" spans="1:15">
      <c r="A782" s="71">
        <v>2023</v>
      </c>
      <c r="B782" s="16" t="s">
        <v>1083</v>
      </c>
      <c r="C782" s="71" t="s">
        <v>1212</v>
      </c>
      <c r="D782" s="2" t="s">
        <v>1213</v>
      </c>
      <c r="E782" s="2" t="s">
        <v>1219</v>
      </c>
      <c r="F782" s="9">
        <v>200</v>
      </c>
      <c r="G782" s="1" t="s">
        <v>19</v>
      </c>
      <c r="H782" s="41">
        <v>20</v>
      </c>
      <c r="I782" s="44">
        <f t="shared" si="48"/>
        <v>4000</v>
      </c>
      <c r="J782" s="543">
        <v>7</v>
      </c>
      <c r="K782" s="528">
        <f t="shared" si="49"/>
        <v>13</v>
      </c>
      <c r="L782" s="522">
        <f t="shared" si="50"/>
        <v>2600</v>
      </c>
      <c r="M782" s="523">
        <f t="shared" si="51"/>
        <v>0.65</v>
      </c>
      <c r="N782" s="34" t="s">
        <v>38</v>
      </c>
      <c r="O782" s="2" t="s">
        <v>39</v>
      </c>
    </row>
    <row r="783" spans="1:15">
      <c r="A783" s="71">
        <v>2023</v>
      </c>
      <c r="B783" s="16" t="s">
        <v>1083</v>
      </c>
      <c r="C783" s="71" t="s">
        <v>1212</v>
      </c>
      <c r="D783" s="2" t="s">
        <v>1213</v>
      </c>
      <c r="E783" s="2" t="s">
        <v>1219</v>
      </c>
      <c r="F783" s="9">
        <v>200</v>
      </c>
      <c r="G783" s="1" t="s">
        <v>19</v>
      </c>
      <c r="H783" s="41">
        <v>15</v>
      </c>
      <c r="I783" s="44">
        <f t="shared" si="48"/>
        <v>3000</v>
      </c>
      <c r="J783" s="543">
        <v>7</v>
      </c>
      <c r="K783" s="528">
        <f t="shared" si="49"/>
        <v>8</v>
      </c>
      <c r="L783" s="522">
        <f t="shared" si="50"/>
        <v>1600</v>
      </c>
      <c r="M783" s="523">
        <f t="shared" si="51"/>
        <v>0.53333333333333333</v>
      </c>
      <c r="N783" s="34" t="s">
        <v>38</v>
      </c>
      <c r="O783" s="2" t="s">
        <v>39</v>
      </c>
    </row>
    <row r="784" spans="1:15">
      <c r="A784" s="71">
        <v>2023</v>
      </c>
      <c r="B784" s="16" t="s">
        <v>1083</v>
      </c>
      <c r="C784" s="71" t="s">
        <v>1212</v>
      </c>
      <c r="D784" s="2" t="s">
        <v>1213</v>
      </c>
      <c r="E784" s="2" t="s">
        <v>1220</v>
      </c>
      <c r="F784" s="9">
        <v>200</v>
      </c>
      <c r="G784" s="1" t="s">
        <v>19</v>
      </c>
      <c r="H784" s="41">
        <v>15</v>
      </c>
      <c r="I784" s="44">
        <f t="shared" si="48"/>
        <v>3000</v>
      </c>
      <c r="J784" s="543">
        <v>7</v>
      </c>
      <c r="K784" s="528">
        <f t="shared" si="49"/>
        <v>8</v>
      </c>
      <c r="L784" s="522">
        <f t="shared" si="50"/>
        <v>1600</v>
      </c>
      <c r="M784" s="523">
        <f t="shared" si="51"/>
        <v>0.53333333333333333</v>
      </c>
      <c r="N784" s="34" t="s">
        <v>38</v>
      </c>
      <c r="O784" s="2" t="s">
        <v>39</v>
      </c>
    </row>
    <row r="785" spans="1:15">
      <c r="A785" s="71">
        <v>2023</v>
      </c>
      <c r="B785" s="16" t="s">
        <v>1083</v>
      </c>
      <c r="C785" s="71" t="s">
        <v>1212</v>
      </c>
      <c r="D785" s="2" t="s">
        <v>1213</v>
      </c>
      <c r="E785" s="2" t="s">
        <v>1220</v>
      </c>
      <c r="F785" s="9">
        <v>200</v>
      </c>
      <c r="G785" s="1" t="s">
        <v>19</v>
      </c>
      <c r="H785" s="41">
        <v>15</v>
      </c>
      <c r="I785" s="44">
        <f t="shared" si="48"/>
        <v>3000</v>
      </c>
      <c r="J785" s="543">
        <v>7</v>
      </c>
      <c r="K785" s="528">
        <f t="shared" si="49"/>
        <v>8</v>
      </c>
      <c r="L785" s="522">
        <f t="shared" si="50"/>
        <v>1600</v>
      </c>
      <c r="M785" s="523">
        <f t="shared" si="51"/>
        <v>0.53333333333333333</v>
      </c>
      <c r="N785" s="34" t="s">
        <v>38</v>
      </c>
      <c r="O785" s="2" t="s">
        <v>39</v>
      </c>
    </row>
    <row r="786" spans="1:15">
      <c r="A786" s="71">
        <v>2023</v>
      </c>
      <c r="B786" s="16" t="s">
        <v>1083</v>
      </c>
      <c r="C786" s="71" t="s">
        <v>1212</v>
      </c>
      <c r="D786" s="2" t="s">
        <v>1213</v>
      </c>
      <c r="E786" s="2" t="s">
        <v>1220</v>
      </c>
      <c r="F786" s="9">
        <v>200</v>
      </c>
      <c r="G786" s="1" t="s">
        <v>19</v>
      </c>
      <c r="H786" s="41">
        <v>15</v>
      </c>
      <c r="I786" s="44">
        <f t="shared" si="48"/>
        <v>3000</v>
      </c>
      <c r="J786" s="543">
        <v>7</v>
      </c>
      <c r="K786" s="528">
        <f t="shared" si="49"/>
        <v>8</v>
      </c>
      <c r="L786" s="522">
        <f t="shared" si="50"/>
        <v>1600</v>
      </c>
      <c r="M786" s="523">
        <f t="shared" si="51"/>
        <v>0.53333333333333333</v>
      </c>
      <c r="N786" s="34" t="s">
        <v>38</v>
      </c>
      <c r="O786" s="2" t="s">
        <v>39</v>
      </c>
    </row>
    <row r="787" spans="1:15">
      <c r="A787" s="71">
        <v>2023</v>
      </c>
      <c r="B787" s="16" t="s">
        <v>1083</v>
      </c>
      <c r="C787" s="71" t="s">
        <v>1221</v>
      </c>
      <c r="D787" s="2" t="s">
        <v>1222</v>
      </c>
      <c r="E787" s="2" t="s">
        <v>1223</v>
      </c>
      <c r="F787" s="9">
        <v>200</v>
      </c>
      <c r="G787" s="46" t="s">
        <v>19</v>
      </c>
      <c r="H787" s="41">
        <v>50</v>
      </c>
      <c r="I787" s="44">
        <f t="shared" si="48"/>
        <v>10000</v>
      </c>
      <c r="J787" s="543">
        <v>48</v>
      </c>
      <c r="K787" s="528">
        <f t="shared" si="49"/>
        <v>2</v>
      </c>
      <c r="L787" s="522">
        <f t="shared" si="50"/>
        <v>400</v>
      </c>
      <c r="M787" s="523">
        <f t="shared" si="51"/>
        <v>0.04</v>
      </c>
      <c r="N787" s="34" t="s">
        <v>38</v>
      </c>
      <c r="O787" s="2" t="s">
        <v>39</v>
      </c>
    </row>
    <row r="788" spans="1:15">
      <c r="A788" s="71">
        <v>2023</v>
      </c>
      <c r="B788" s="16" t="s">
        <v>1083</v>
      </c>
      <c r="C788" s="71" t="s">
        <v>1221</v>
      </c>
      <c r="D788" s="2" t="s">
        <v>1222</v>
      </c>
      <c r="E788" s="2" t="s">
        <v>1223</v>
      </c>
      <c r="F788" s="9">
        <v>200</v>
      </c>
      <c r="G788" s="1" t="s">
        <v>19</v>
      </c>
      <c r="H788" s="41">
        <v>50</v>
      </c>
      <c r="I788" s="44">
        <f t="shared" si="48"/>
        <v>10000</v>
      </c>
      <c r="J788" s="543">
        <v>48</v>
      </c>
      <c r="K788" s="528">
        <f t="shared" si="49"/>
        <v>2</v>
      </c>
      <c r="L788" s="522">
        <f t="shared" si="50"/>
        <v>400</v>
      </c>
      <c r="M788" s="523">
        <f t="shared" si="51"/>
        <v>0.04</v>
      </c>
      <c r="N788" s="34" t="s">
        <v>38</v>
      </c>
      <c r="O788" s="2" t="s">
        <v>39</v>
      </c>
    </row>
    <row r="789" spans="1:15">
      <c r="A789" s="71">
        <v>2023</v>
      </c>
      <c r="B789" s="16" t="s">
        <v>1083</v>
      </c>
      <c r="C789" s="71" t="s">
        <v>1221</v>
      </c>
      <c r="D789" s="2" t="s">
        <v>1222</v>
      </c>
      <c r="E789" s="2" t="s">
        <v>1223</v>
      </c>
      <c r="F789" s="9">
        <v>200</v>
      </c>
      <c r="G789" s="1" t="s">
        <v>19</v>
      </c>
      <c r="H789" s="41">
        <v>50</v>
      </c>
      <c r="I789" s="44">
        <f t="shared" si="48"/>
        <v>10000</v>
      </c>
      <c r="J789" s="543">
        <v>48</v>
      </c>
      <c r="K789" s="528">
        <f t="shared" si="49"/>
        <v>2</v>
      </c>
      <c r="L789" s="522">
        <f t="shared" si="50"/>
        <v>400</v>
      </c>
      <c r="M789" s="523">
        <f t="shared" si="51"/>
        <v>0.04</v>
      </c>
      <c r="N789" s="34" t="s">
        <v>38</v>
      </c>
      <c r="O789" s="2" t="s">
        <v>39</v>
      </c>
    </row>
    <row r="790" spans="1:15">
      <c r="A790" s="71">
        <v>2023</v>
      </c>
      <c r="B790" s="16" t="s">
        <v>1083</v>
      </c>
      <c r="C790" s="71" t="s">
        <v>1221</v>
      </c>
      <c r="D790" s="2" t="s">
        <v>1222</v>
      </c>
      <c r="E790" s="2" t="s">
        <v>1224</v>
      </c>
      <c r="F790" s="9">
        <v>200</v>
      </c>
      <c r="G790" s="1" t="s">
        <v>19</v>
      </c>
      <c r="H790" s="41">
        <v>8</v>
      </c>
      <c r="I790" s="44">
        <f t="shared" si="48"/>
        <v>1600</v>
      </c>
      <c r="J790" s="543">
        <v>7.5</v>
      </c>
      <c r="K790" s="528">
        <f t="shared" si="49"/>
        <v>0.5</v>
      </c>
      <c r="L790" s="522">
        <f t="shared" si="50"/>
        <v>100</v>
      </c>
      <c r="M790" s="523">
        <f t="shared" si="51"/>
        <v>6.25E-2</v>
      </c>
      <c r="N790" s="34" t="s">
        <v>38</v>
      </c>
      <c r="O790" s="2" t="s">
        <v>39</v>
      </c>
    </row>
    <row r="791" spans="1:15">
      <c r="A791" s="71">
        <v>2023</v>
      </c>
      <c r="B791" s="16" t="s">
        <v>1083</v>
      </c>
      <c r="C791" s="71" t="s">
        <v>1221</v>
      </c>
      <c r="D791" s="2" t="s">
        <v>1222</v>
      </c>
      <c r="E791" s="2" t="s">
        <v>1224</v>
      </c>
      <c r="F791" s="9">
        <v>200</v>
      </c>
      <c r="G791" s="1" t="s">
        <v>19</v>
      </c>
      <c r="H791" s="41">
        <v>8</v>
      </c>
      <c r="I791" s="44">
        <f t="shared" si="48"/>
        <v>1600</v>
      </c>
      <c r="J791" s="543">
        <v>7.5</v>
      </c>
      <c r="K791" s="528">
        <f t="shared" si="49"/>
        <v>0.5</v>
      </c>
      <c r="L791" s="522">
        <f t="shared" si="50"/>
        <v>100</v>
      </c>
      <c r="M791" s="523">
        <f t="shared" si="51"/>
        <v>6.25E-2</v>
      </c>
      <c r="N791" s="34" t="s">
        <v>38</v>
      </c>
      <c r="O791" s="2" t="s">
        <v>39</v>
      </c>
    </row>
    <row r="792" spans="1:15">
      <c r="A792" s="71">
        <v>2023</v>
      </c>
      <c r="B792" s="16" t="s">
        <v>1083</v>
      </c>
      <c r="C792" s="71" t="s">
        <v>1221</v>
      </c>
      <c r="D792" s="2" t="s">
        <v>1222</v>
      </c>
      <c r="E792" s="2" t="s">
        <v>1224</v>
      </c>
      <c r="F792" s="9">
        <v>200</v>
      </c>
      <c r="G792" s="1" t="s">
        <v>19</v>
      </c>
      <c r="H792" s="41">
        <v>8</v>
      </c>
      <c r="I792" s="44">
        <f t="shared" si="48"/>
        <v>1600</v>
      </c>
      <c r="J792" s="543">
        <v>7.5</v>
      </c>
      <c r="K792" s="528">
        <f t="shared" si="49"/>
        <v>0.5</v>
      </c>
      <c r="L792" s="522">
        <f t="shared" si="50"/>
        <v>100</v>
      </c>
      <c r="M792" s="523">
        <f t="shared" si="51"/>
        <v>6.25E-2</v>
      </c>
      <c r="N792" s="34" t="s">
        <v>38</v>
      </c>
      <c r="O792" s="2" t="s">
        <v>39</v>
      </c>
    </row>
    <row r="793" spans="1:15">
      <c r="A793" s="71">
        <v>2023</v>
      </c>
      <c r="B793" s="16" t="s">
        <v>1083</v>
      </c>
      <c r="C793" s="71" t="s">
        <v>1221</v>
      </c>
      <c r="D793" s="2" t="s">
        <v>1222</v>
      </c>
      <c r="E793" s="2" t="s">
        <v>787</v>
      </c>
      <c r="F793" s="9">
        <v>200</v>
      </c>
      <c r="G793" s="1" t="s">
        <v>19</v>
      </c>
      <c r="H793" s="41">
        <v>385</v>
      </c>
      <c r="I793" s="44">
        <f t="shared" si="48"/>
        <v>77000</v>
      </c>
      <c r="J793" s="543">
        <v>220</v>
      </c>
      <c r="K793" s="521">
        <f t="shared" si="49"/>
        <v>165</v>
      </c>
      <c r="L793" s="522">
        <f t="shared" si="50"/>
        <v>33000</v>
      </c>
      <c r="M793" s="523">
        <f t="shared" si="51"/>
        <v>0.42857142857142855</v>
      </c>
      <c r="N793" s="34" t="s">
        <v>38</v>
      </c>
      <c r="O793" s="2" t="s">
        <v>39</v>
      </c>
    </row>
    <row r="794" spans="1:15">
      <c r="A794" s="71">
        <v>2023</v>
      </c>
      <c r="B794" s="16" t="s">
        <v>1083</v>
      </c>
      <c r="C794" s="71" t="s">
        <v>1221</v>
      </c>
      <c r="D794" s="2" t="s">
        <v>1222</v>
      </c>
      <c r="E794" s="2" t="s">
        <v>787</v>
      </c>
      <c r="F794" s="9">
        <v>200</v>
      </c>
      <c r="G794" s="1" t="s">
        <v>19</v>
      </c>
      <c r="H794" s="8">
        <v>385</v>
      </c>
      <c r="I794" s="44">
        <f t="shared" si="48"/>
        <v>77000</v>
      </c>
      <c r="J794" s="539">
        <v>220</v>
      </c>
      <c r="K794" s="521">
        <f t="shared" si="49"/>
        <v>165</v>
      </c>
      <c r="L794" s="522">
        <f t="shared" si="50"/>
        <v>33000</v>
      </c>
      <c r="M794" s="523">
        <f t="shared" si="51"/>
        <v>0.42857142857142855</v>
      </c>
      <c r="N794" s="34" t="s">
        <v>38</v>
      </c>
      <c r="O794" s="2" t="s">
        <v>39</v>
      </c>
    </row>
    <row r="795" spans="1:15">
      <c r="A795" s="71">
        <v>2023</v>
      </c>
      <c r="B795" s="16" t="s">
        <v>1083</v>
      </c>
      <c r="C795" s="71" t="s">
        <v>1221</v>
      </c>
      <c r="D795" s="2" t="s">
        <v>1222</v>
      </c>
      <c r="E795" s="2" t="s">
        <v>787</v>
      </c>
      <c r="F795" s="9">
        <v>220</v>
      </c>
      <c r="G795" s="1" t="s">
        <v>19</v>
      </c>
      <c r="H795" s="8">
        <v>385</v>
      </c>
      <c r="I795" s="44">
        <f t="shared" si="48"/>
        <v>84700</v>
      </c>
      <c r="J795" s="539">
        <v>220</v>
      </c>
      <c r="K795" s="521">
        <f t="shared" si="49"/>
        <v>165</v>
      </c>
      <c r="L795" s="522">
        <f t="shared" si="50"/>
        <v>36300</v>
      </c>
      <c r="M795" s="523">
        <f t="shared" si="51"/>
        <v>0.42857142857142855</v>
      </c>
      <c r="N795" s="34" t="s">
        <v>38</v>
      </c>
      <c r="O795" s="2" t="s">
        <v>39</v>
      </c>
    </row>
    <row r="796" spans="1:15">
      <c r="A796" s="71">
        <v>2023</v>
      </c>
      <c r="B796" s="16" t="s">
        <v>1083</v>
      </c>
      <c r="C796" s="71" t="s">
        <v>1221</v>
      </c>
      <c r="D796" s="2" t="s">
        <v>1222</v>
      </c>
      <c r="E796" s="2" t="s">
        <v>1225</v>
      </c>
      <c r="F796" s="9">
        <v>200</v>
      </c>
      <c r="G796" s="1" t="s">
        <v>19</v>
      </c>
      <c r="H796" s="8">
        <v>230</v>
      </c>
      <c r="I796" s="44">
        <f t="shared" si="48"/>
        <v>46000</v>
      </c>
      <c r="J796" s="539">
        <v>225</v>
      </c>
      <c r="K796" s="521">
        <f t="shared" si="49"/>
        <v>5</v>
      </c>
      <c r="L796" s="522">
        <f t="shared" si="50"/>
        <v>1000</v>
      </c>
      <c r="M796" s="523">
        <f t="shared" si="51"/>
        <v>2.1739130434782608E-2</v>
      </c>
      <c r="N796" s="34" t="s">
        <v>38</v>
      </c>
      <c r="O796" s="2" t="s">
        <v>39</v>
      </c>
    </row>
    <row r="797" spans="1:15">
      <c r="A797" s="71">
        <v>2023</v>
      </c>
      <c r="B797" s="16" t="s">
        <v>1083</v>
      </c>
      <c r="C797" s="71" t="s">
        <v>1221</v>
      </c>
      <c r="D797" s="2" t="s">
        <v>1222</v>
      </c>
      <c r="E797" s="2" t="s">
        <v>1225</v>
      </c>
      <c r="F797" s="9">
        <v>200</v>
      </c>
      <c r="G797" s="1" t="s">
        <v>19</v>
      </c>
      <c r="H797" s="8">
        <v>230</v>
      </c>
      <c r="I797" s="44">
        <f t="shared" si="48"/>
        <v>46000</v>
      </c>
      <c r="J797" s="539">
        <v>225</v>
      </c>
      <c r="K797" s="521">
        <f t="shared" si="49"/>
        <v>5</v>
      </c>
      <c r="L797" s="522">
        <f t="shared" si="50"/>
        <v>1000</v>
      </c>
      <c r="M797" s="523">
        <f t="shared" si="51"/>
        <v>2.1739130434782608E-2</v>
      </c>
      <c r="N797" s="34" t="s">
        <v>38</v>
      </c>
      <c r="O797" s="2" t="s">
        <v>39</v>
      </c>
    </row>
    <row r="798" spans="1:15">
      <c r="A798" s="71">
        <v>2023</v>
      </c>
      <c r="B798" s="16" t="s">
        <v>1083</v>
      </c>
      <c r="C798" s="71" t="s">
        <v>1221</v>
      </c>
      <c r="D798" s="2" t="s">
        <v>1222</v>
      </c>
      <c r="E798" s="2" t="s">
        <v>1225</v>
      </c>
      <c r="F798" s="9">
        <v>200</v>
      </c>
      <c r="G798" s="1" t="s">
        <v>19</v>
      </c>
      <c r="H798" s="8">
        <v>230</v>
      </c>
      <c r="I798" s="44">
        <f t="shared" si="48"/>
        <v>46000</v>
      </c>
      <c r="J798" s="539">
        <v>225</v>
      </c>
      <c r="K798" s="521">
        <f t="shared" si="49"/>
        <v>5</v>
      </c>
      <c r="L798" s="522">
        <f t="shared" si="50"/>
        <v>1000</v>
      </c>
      <c r="M798" s="523">
        <f t="shared" si="51"/>
        <v>2.1739130434782608E-2</v>
      </c>
      <c r="N798" s="34" t="s">
        <v>38</v>
      </c>
      <c r="O798" s="2" t="s">
        <v>39</v>
      </c>
    </row>
    <row r="799" spans="1:15">
      <c r="A799" s="71">
        <v>2023</v>
      </c>
      <c r="B799" s="16" t="s">
        <v>1083</v>
      </c>
      <c r="C799" s="71" t="s">
        <v>1226</v>
      </c>
      <c r="D799" s="2" t="s">
        <v>1227</v>
      </c>
      <c r="E799" s="2" t="s">
        <v>1228</v>
      </c>
      <c r="F799" s="9">
        <v>2100</v>
      </c>
      <c r="G799" s="1" t="s">
        <v>615</v>
      </c>
      <c r="H799" s="8">
        <v>38</v>
      </c>
      <c r="I799" s="44">
        <f t="shared" si="48"/>
        <v>79800</v>
      </c>
      <c r="J799" s="539">
        <v>36</v>
      </c>
      <c r="K799" s="521">
        <f t="shared" si="49"/>
        <v>2</v>
      </c>
      <c r="L799" s="522">
        <f t="shared" si="50"/>
        <v>4200</v>
      </c>
      <c r="M799" s="523">
        <f t="shared" si="51"/>
        <v>5.2631578947368418E-2</v>
      </c>
      <c r="N799" s="34" t="s">
        <v>38</v>
      </c>
      <c r="O799" s="2" t="s">
        <v>39</v>
      </c>
    </row>
    <row r="800" spans="1:15">
      <c r="A800" s="71">
        <v>2023</v>
      </c>
      <c r="B800" s="16" t="s">
        <v>1083</v>
      </c>
      <c r="C800" s="71" t="s">
        <v>1226</v>
      </c>
      <c r="D800" s="2" t="s">
        <v>1227</v>
      </c>
      <c r="E800" s="2" t="s">
        <v>1229</v>
      </c>
      <c r="F800" s="9">
        <v>2000</v>
      </c>
      <c r="G800" s="1" t="s">
        <v>19</v>
      </c>
      <c r="H800" s="8">
        <v>78</v>
      </c>
      <c r="I800" s="44">
        <f t="shared" si="48"/>
        <v>156000</v>
      </c>
      <c r="J800" s="539">
        <v>75</v>
      </c>
      <c r="K800" s="521">
        <f t="shared" si="49"/>
        <v>3</v>
      </c>
      <c r="L800" s="522">
        <f t="shared" si="50"/>
        <v>6000</v>
      </c>
      <c r="M800" s="523">
        <f t="shared" si="51"/>
        <v>3.8461538461538464E-2</v>
      </c>
      <c r="N800" s="34" t="s">
        <v>38</v>
      </c>
      <c r="O800" s="2" t="s">
        <v>39</v>
      </c>
    </row>
    <row r="801" spans="1:15">
      <c r="A801" s="71">
        <v>2023</v>
      </c>
      <c r="B801" s="16" t="s">
        <v>1083</v>
      </c>
      <c r="C801" s="71" t="s">
        <v>1226</v>
      </c>
      <c r="D801" s="2" t="s">
        <v>1227</v>
      </c>
      <c r="E801" s="2" t="s">
        <v>1230</v>
      </c>
      <c r="F801" s="9">
        <v>2000</v>
      </c>
      <c r="G801" s="1" t="s">
        <v>19</v>
      </c>
      <c r="H801" s="8">
        <v>87</v>
      </c>
      <c r="I801" s="44">
        <f t="shared" si="48"/>
        <v>174000</v>
      </c>
      <c r="J801" s="539">
        <v>85</v>
      </c>
      <c r="K801" s="521">
        <f t="shared" si="49"/>
        <v>2</v>
      </c>
      <c r="L801" s="522">
        <f t="shared" si="50"/>
        <v>4000</v>
      </c>
      <c r="M801" s="523">
        <f t="shared" si="51"/>
        <v>2.2988505747126436E-2</v>
      </c>
      <c r="N801" s="34" t="s">
        <v>38</v>
      </c>
      <c r="O801" s="2" t="s">
        <v>39</v>
      </c>
    </row>
    <row r="802" spans="1:15">
      <c r="A802" s="71">
        <v>2023</v>
      </c>
      <c r="B802" s="16" t="s">
        <v>1083</v>
      </c>
      <c r="C802" s="71" t="s">
        <v>1226</v>
      </c>
      <c r="D802" s="2" t="s">
        <v>1227</v>
      </c>
      <c r="E802" s="2" t="s">
        <v>1231</v>
      </c>
      <c r="F802" s="9">
        <v>2000</v>
      </c>
      <c r="G802" s="1" t="s">
        <v>19</v>
      </c>
      <c r="H802" s="8">
        <v>18</v>
      </c>
      <c r="I802" s="44">
        <f t="shared" si="48"/>
        <v>36000</v>
      </c>
      <c r="J802" s="539">
        <v>18</v>
      </c>
      <c r="K802" s="521">
        <f t="shared" si="49"/>
        <v>0</v>
      </c>
      <c r="L802" s="522">
        <f t="shared" si="50"/>
        <v>0</v>
      </c>
      <c r="M802" s="523">
        <f t="shared" si="51"/>
        <v>0</v>
      </c>
      <c r="N802" s="34" t="s">
        <v>38</v>
      </c>
      <c r="O802" s="2" t="s">
        <v>39</v>
      </c>
    </row>
    <row r="803" spans="1:15">
      <c r="A803" s="71">
        <v>2023</v>
      </c>
      <c r="B803" s="16" t="s">
        <v>1083</v>
      </c>
      <c r="C803" s="71" t="s">
        <v>1226</v>
      </c>
      <c r="D803" s="2" t="s">
        <v>1227</v>
      </c>
      <c r="E803" s="2" t="s">
        <v>1232</v>
      </c>
      <c r="F803" s="9">
        <v>8000</v>
      </c>
      <c r="G803" s="1" t="s">
        <v>19</v>
      </c>
      <c r="H803" s="8">
        <v>5.5</v>
      </c>
      <c r="I803" s="44">
        <f t="shared" si="48"/>
        <v>44000</v>
      </c>
      <c r="J803" s="539">
        <v>5.5</v>
      </c>
      <c r="K803" s="521">
        <f t="shared" si="49"/>
        <v>0</v>
      </c>
      <c r="L803" s="522">
        <f t="shared" si="50"/>
        <v>0</v>
      </c>
      <c r="M803" s="523">
        <f t="shared" si="51"/>
        <v>0</v>
      </c>
      <c r="N803" s="34" t="s">
        <v>38</v>
      </c>
      <c r="O803" s="2" t="s">
        <v>39</v>
      </c>
    </row>
    <row r="804" spans="1:15">
      <c r="A804" s="71">
        <v>2023</v>
      </c>
      <c r="B804" s="16" t="s">
        <v>1083</v>
      </c>
      <c r="C804" s="71" t="s">
        <v>1226</v>
      </c>
      <c r="D804" s="2" t="s">
        <v>1227</v>
      </c>
      <c r="E804" s="2" t="s">
        <v>1233</v>
      </c>
      <c r="F804" s="9">
        <v>2400</v>
      </c>
      <c r="G804" s="1" t="s">
        <v>19</v>
      </c>
      <c r="H804" s="8">
        <v>140</v>
      </c>
      <c r="I804" s="44">
        <f t="shared" si="48"/>
        <v>336000</v>
      </c>
      <c r="J804" s="539">
        <v>136</v>
      </c>
      <c r="K804" s="521">
        <f t="shared" si="49"/>
        <v>4</v>
      </c>
      <c r="L804" s="522">
        <f t="shared" si="50"/>
        <v>9600</v>
      </c>
      <c r="M804" s="523">
        <f t="shared" si="51"/>
        <v>2.8571428571428571E-2</v>
      </c>
      <c r="N804" s="34" t="s">
        <v>38</v>
      </c>
      <c r="O804" s="2" t="s">
        <v>39</v>
      </c>
    </row>
    <row r="805" spans="1:15">
      <c r="A805" s="71">
        <v>2023</v>
      </c>
      <c r="B805" s="16" t="s">
        <v>1083</v>
      </c>
      <c r="C805" s="71" t="s">
        <v>1226</v>
      </c>
      <c r="D805" s="2" t="s">
        <v>1227</v>
      </c>
      <c r="E805" s="2" t="s">
        <v>1234</v>
      </c>
      <c r="F805" s="9">
        <v>8000</v>
      </c>
      <c r="G805" s="1" t="s">
        <v>19</v>
      </c>
      <c r="H805" s="8">
        <v>10.5</v>
      </c>
      <c r="I805" s="44">
        <f t="shared" si="48"/>
        <v>84000</v>
      </c>
      <c r="J805" s="539">
        <v>10</v>
      </c>
      <c r="K805" s="521">
        <f t="shared" si="49"/>
        <v>0.5</v>
      </c>
      <c r="L805" s="522">
        <f t="shared" si="50"/>
        <v>4000</v>
      </c>
      <c r="M805" s="523">
        <f t="shared" si="51"/>
        <v>4.7619047619047616E-2</v>
      </c>
      <c r="N805" s="34" t="s">
        <v>38</v>
      </c>
      <c r="O805" s="2" t="s">
        <v>39</v>
      </c>
    </row>
    <row r="806" spans="1:15">
      <c r="A806" s="71">
        <v>2023</v>
      </c>
      <c r="B806" s="16" t="s">
        <v>1083</v>
      </c>
      <c r="C806" s="71" t="s">
        <v>1226</v>
      </c>
      <c r="D806" s="2" t="s">
        <v>1227</v>
      </c>
      <c r="E806" s="2" t="s">
        <v>1235</v>
      </c>
      <c r="F806" s="9">
        <v>2480</v>
      </c>
      <c r="G806" s="1" t="s">
        <v>19</v>
      </c>
      <c r="H806" s="8">
        <v>44</v>
      </c>
      <c r="I806" s="44">
        <f t="shared" si="48"/>
        <v>109120</v>
      </c>
      <c r="J806" s="539">
        <v>42</v>
      </c>
      <c r="K806" s="521">
        <f t="shared" si="49"/>
        <v>2</v>
      </c>
      <c r="L806" s="522">
        <f t="shared" si="50"/>
        <v>4960</v>
      </c>
      <c r="M806" s="523">
        <f t="shared" si="51"/>
        <v>4.5454545454545456E-2</v>
      </c>
      <c r="N806" s="34" t="s">
        <v>38</v>
      </c>
      <c r="O806" s="2" t="s">
        <v>39</v>
      </c>
    </row>
    <row r="807" spans="1:15">
      <c r="A807" s="71">
        <v>2023</v>
      </c>
      <c r="B807" s="16" t="s">
        <v>1083</v>
      </c>
      <c r="C807" s="71" t="s">
        <v>1226</v>
      </c>
      <c r="D807" s="2" t="s">
        <v>1227</v>
      </c>
      <c r="E807" s="2" t="s">
        <v>1236</v>
      </c>
      <c r="F807" s="9">
        <v>2480</v>
      </c>
      <c r="G807" s="1" t="s">
        <v>19</v>
      </c>
      <c r="H807" s="8">
        <v>32</v>
      </c>
      <c r="I807" s="44">
        <f t="shared" si="48"/>
        <v>79360</v>
      </c>
      <c r="J807" s="539">
        <v>30</v>
      </c>
      <c r="K807" s="521">
        <f t="shared" si="49"/>
        <v>2</v>
      </c>
      <c r="L807" s="522">
        <f t="shared" si="50"/>
        <v>4960</v>
      </c>
      <c r="M807" s="523">
        <f t="shared" si="51"/>
        <v>6.25E-2</v>
      </c>
      <c r="N807" s="34" t="s">
        <v>38</v>
      </c>
      <c r="O807" s="2" t="s">
        <v>39</v>
      </c>
    </row>
    <row r="808" spans="1:15">
      <c r="A808" s="71">
        <v>2023</v>
      </c>
      <c r="B808" s="16" t="s">
        <v>1083</v>
      </c>
      <c r="C808" s="71" t="s">
        <v>1226</v>
      </c>
      <c r="D808" s="2" t="s">
        <v>1227</v>
      </c>
      <c r="E808" s="2" t="s">
        <v>1237</v>
      </c>
      <c r="F808" s="9">
        <v>2480</v>
      </c>
      <c r="G808" s="1" t="s">
        <v>19</v>
      </c>
      <c r="H808" s="8">
        <v>34</v>
      </c>
      <c r="I808" s="44">
        <f t="shared" si="48"/>
        <v>84320</v>
      </c>
      <c r="J808" s="539">
        <v>32</v>
      </c>
      <c r="K808" s="521">
        <f t="shared" si="49"/>
        <v>2</v>
      </c>
      <c r="L808" s="522">
        <f t="shared" si="50"/>
        <v>4960</v>
      </c>
      <c r="M808" s="523">
        <f t="shared" si="51"/>
        <v>5.8823529411764705E-2</v>
      </c>
      <c r="N808" s="34" t="s">
        <v>38</v>
      </c>
      <c r="O808" s="2" t="s">
        <v>39</v>
      </c>
    </row>
    <row r="809" spans="1:15">
      <c r="A809" s="71">
        <v>2023</v>
      </c>
      <c r="B809" s="16" t="s">
        <v>1083</v>
      </c>
      <c r="C809" s="71" t="s">
        <v>1226</v>
      </c>
      <c r="D809" s="2" t="s">
        <v>1227</v>
      </c>
      <c r="E809" s="2" t="s">
        <v>1238</v>
      </c>
      <c r="F809" s="9">
        <v>1860</v>
      </c>
      <c r="G809" s="1" t="s">
        <v>19</v>
      </c>
      <c r="H809" s="8">
        <v>85</v>
      </c>
      <c r="I809" s="44">
        <f t="shared" si="48"/>
        <v>158100</v>
      </c>
      <c r="J809" s="539">
        <v>82</v>
      </c>
      <c r="K809" s="521">
        <f t="shared" si="49"/>
        <v>3</v>
      </c>
      <c r="L809" s="522">
        <f t="shared" si="50"/>
        <v>5580</v>
      </c>
      <c r="M809" s="523">
        <f t="shared" si="51"/>
        <v>3.5294117647058823E-2</v>
      </c>
      <c r="N809" s="34" t="s">
        <v>38</v>
      </c>
      <c r="O809" s="2" t="s">
        <v>39</v>
      </c>
    </row>
    <row r="810" spans="1:15">
      <c r="A810" s="71">
        <v>2023</v>
      </c>
      <c r="B810" s="16" t="s">
        <v>1083</v>
      </c>
      <c r="C810" s="71" t="s">
        <v>1226</v>
      </c>
      <c r="D810" s="2" t="s">
        <v>1227</v>
      </c>
      <c r="E810" s="2" t="s">
        <v>1239</v>
      </c>
      <c r="F810" s="9">
        <v>2404</v>
      </c>
      <c r="G810" s="1" t="s">
        <v>19</v>
      </c>
      <c r="H810" s="8">
        <v>630</v>
      </c>
      <c r="I810" s="44">
        <f t="shared" si="48"/>
        <v>1514520</v>
      </c>
      <c r="J810" s="539">
        <v>600</v>
      </c>
      <c r="K810" s="521">
        <f t="shared" si="49"/>
        <v>30</v>
      </c>
      <c r="L810" s="522">
        <f t="shared" si="50"/>
        <v>72120</v>
      </c>
      <c r="M810" s="523">
        <f t="shared" si="51"/>
        <v>4.7619047619047616E-2</v>
      </c>
      <c r="N810" s="34" t="s">
        <v>38</v>
      </c>
      <c r="O810" s="2" t="s">
        <v>39</v>
      </c>
    </row>
    <row r="811" spans="1:15">
      <c r="A811" s="71">
        <v>2023</v>
      </c>
      <c r="B811" s="16" t="s">
        <v>1083</v>
      </c>
      <c r="C811" s="71" t="s">
        <v>1226</v>
      </c>
      <c r="D811" s="2" t="s">
        <v>1227</v>
      </c>
      <c r="E811" s="2" t="s">
        <v>1240</v>
      </c>
      <c r="F811" s="9">
        <v>700</v>
      </c>
      <c r="G811" s="1" t="s">
        <v>19</v>
      </c>
      <c r="H811" s="8">
        <v>65</v>
      </c>
      <c r="I811" s="44">
        <f t="shared" si="48"/>
        <v>45500</v>
      </c>
      <c r="J811" s="539">
        <v>65</v>
      </c>
      <c r="K811" s="521">
        <f t="shared" si="49"/>
        <v>0</v>
      </c>
      <c r="L811" s="522">
        <f t="shared" si="50"/>
        <v>0</v>
      </c>
      <c r="M811" s="523">
        <f t="shared" si="51"/>
        <v>0</v>
      </c>
      <c r="N811" s="34" t="s">
        <v>38</v>
      </c>
      <c r="O811" s="2" t="s">
        <v>39</v>
      </c>
    </row>
    <row r="812" spans="1:15">
      <c r="A812" s="71">
        <v>2023</v>
      </c>
      <c r="B812" s="16" t="s">
        <v>1083</v>
      </c>
      <c r="C812" s="71" t="s">
        <v>1226</v>
      </c>
      <c r="D812" s="2" t="s">
        <v>1227</v>
      </c>
      <c r="E812" s="2" t="s">
        <v>1241</v>
      </c>
      <c r="F812" s="9">
        <v>5000</v>
      </c>
      <c r="G812" s="1" t="s">
        <v>19</v>
      </c>
      <c r="H812" s="8">
        <v>10.5</v>
      </c>
      <c r="I812" s="44">
        <f t="shared" si="48"/>
        <v>52500</v>
      </c>
      <c r="J812" s="539">
        <v>10</v>
      </c>
      <c r="K812" s="521">
        <f t="shared" si="49"/>
        <v>0.5</v>
      </c>
      <c r="L812" s="522">
        <f t="shared" si="50"/>
        <v>2500</v>
      </c>
      <c r="M812" s="523">
        <f t="shared" si="51"/>
        <v>4.7619047619047616E-2</v>
      </c>
      <c r="N812" s="34" t="s">
        <v>38</v>
      </c>
      <c r="O812" s="2" t="s">
        <v>39</v>
      </c>
    </row>
    <row r="813" spans="1:15">
      <c r="A813" s="71">
        <v>2023</v>
      </c>
      <c r="B813" s="16" t="s">
        <v>1083</v>
      </c>
      <c r="C813" s="71" t="s">
        <v>1226</v>
      </c>
      <c r="D813" s="2" t="s">
        <v>1227</v>
      </c>
      <c r="E813" s="2" t="s">
        <v>1242</v>
      </c>
      <c r="F813" s="9">
        <v>600</v>
      </c>
      <c r="G813" s="1" t="s">
        <v>302</v>
      </c>
      <c r="H813" s="8">
        <v>80</v>
      </c>
      <c r="I813" s="44">
        <f t="shared" si="48"/>
        <v>48000</v>
      </c>
      <c r="J813" s="539">
        <v>72</v>
      </c>
      <c r="K813" s="521">
        <f t="shared" si="49"/>
        <v>8</v>
      </c>
      <c r="L813" s="522">
        <f t="shared" si="50"/>
        <v>4800</v>
      </c>
      <c r="M813" s="523">
        <f t="shared" si="51"/>
        <v>0.1</v>
      </c>
      <c r="N813" s="34" t="s">
        <v>38</v>
      </c>
      <c r="O813" s="2" t="s">
        <v>39</v>
      </c>
    </row>
    <row r="814" spans="1:15">
      <c r="A814" s="71">
        <v>2023</v>
      </c>
      <c r="B814" s="16" t="s">
        <v>1083</v>
      </c>
      <c r="C814" s="71" t="s">
        <v>1243</v>
      </c>
      <c r="D814" s="2" t="s">
        <v>270</v>
      </c>
      <c r="E814" s="2" t="s">
        <v>1244</v>
      </c>
      <c r="F814" s="9">
        <v>1</v>
      </c>
      <c r="G814" s="1" t="s">
        <v>302</v>
      </c>
      <c r="H814" s="8">
        <v>189652</v>
      </c>
      <c r="I814" s="44">
        <f t="shared" si="48"/>
        <v>189652</v>
      </c>
      <c r="J814" s="539">
        <v>186816</v>
      </c>
      <c r="K814" s="521">
        <f t="shared" si="49"/>
        <v>2836</v>
      </c>
      <c r="L814" s="522">
        <f t="shared" si="50"/>
        <v>2836</v>
      </c>
      <c r="M814" s="523">
        <f t="shared" si="51"/>
        <v>1.4953704680151014E-2</v>
      </c>
      <c r="N814" s="34" t="s">
        <v>38</v>
      </c>
      <c r="O814" s="2" t="s">
        <v>105</v>
      </c>
    </row>
    <row r="815" spans="1:15">
      <c r="A815" s="71">
        <v>2023</v>
      </c>
      <c r="B815" s="16" t="s">
        <v>1083</v>
      </c>
      <c r="C815" s="71" t="s">
        <v>1245</v>
      </c>
      <c r="D815" s="2" t="s">
        <v>708</v>
      </c>
      <c r="E815" s="2" t="s">
        <v>293</v>
      </c>
      <c r="F815" s="9">
        <v>346.45</v>
      </c>
      <c r="G815" s="1" t="s">
        <v>37</v>
      </c>
      <c r="H815" s="8">
        <f>J815+0.23</f>
        <v>363.41</v>
      </c>
      <c r="I815" s="44">
        <f t="shared" si="48"/>
        <v>125903.39450000001</v>
      </c>
      <c r="J815" s="539">
        <v>363.18</v>
      </c>
      <c r="K815" s="521">
        <f t="shared" si="49"/>
        <v>0.23000000000001819</v>
      </c>
      <c r="L815" s="522">
        <f t="shared" si="50"/>
        <v>79.683500000006305</v>
      </c>
      <c r="M815" s="523">
        <f t="shared" si="51"/>
        <v>6.3289397650042147E-4</v>
      </c>
      <c r="N815" s="34" t="s">
        <v>38</v>
      </c>
      <c r="O815" s="2" t="s">
        <v>105</v>
      </c>
    </row>
    <row r="816" spans="1:15">
      <c r="A816" s="71">
        <v>2023</v>
      </c>
      <c r="B816" s="16" t="s">
        <v>1083</v>
      </c>
      <c r="C816" s="71" t="s">
        <v>1246</v>
      </c>
      <c r="D816" s="2" t="s">
        <v>1042</v>
      </c>
      <c r="E816" s="2" t="s">
        <v>472</v>
      </c>
      <c r="F816" s="9">
        <v>216</v>
      </c>
      <c r="G816" s="1" t="s">
        <v>37</v>
      </c>
      <c r="H816" s="8">
        <v>369</v>
      </c>
      <c r="I816" s="44">
        <f t="shared" si="48"/>
        <v>79704</v>
      </c>
      <c r="J816" s="539">
        <v>334</v>
      </c>
      <c r="K816" s="521">
        <f t="shared" si="49"/>
        <v>35</v>
      </c>
      <c r="L816" s="522">
        <f t="shared" si="50"/>
        <v>7560</v>
      </c>
      <c r="M816" s="523">
        <f t="shared" si="51"/>
        <v>9.4850948509485097E-2</v>
      </c>
      <c r="N816" s="34" t="s">
        <v>22</v>
      </c>
      <c r="O816" s="2" t="s">
        <v>105</v>
      </c>
    </row>
    <row r="817" spans="1:15">
      <c r="A817" s="71">
        <v>2023</v>
      </c>
      <c r="B817" s="16" t="s">
        <v>1083</v>
      </c>
      <c r="C817" s="71" t="s">
        <v>1247</v>
      </c>
      <c r="D817" s="2" t="s">
        <v>708</v>
      </c>
      <c r="E817" s="2" t="s">
        <v>1248</v>
      </c>
      <c r="F817" s="9">
        <v>364.42</v>
      </c>
      <c r="G817" s="1" t="s">
        <v>37</v>
      </c>
      <c r="H817" s="8">
        <f>J817+0.23</f>
        <v>347.21000000000004</v>
      </c>
      <c r="I817" s="44">
        <f t="shared" si="48"/>
        <v>126530.26820000002</v>
      </c>
      <c r="J817" s="539">
        <v>346.98</v>
      </c>
      <c r="K817" s="521">
        <f t="shared" si="49"/>
        <v>0.23000000000001819</v>
      </c>
      <c r="L817" s="522">
        <f t="shared" si="50"/>
        <v>83.81660000000663</v>
      </c>
      <c r="M817" s="523">
        <f t="shared" si="51"/>
        <v>6.6242331730082134E-4</v>
      </c>
      <c r="N817" s="34" t="s">
        <v>38</v>
      </c>
      <c r="O817" s="2" t="s">
        <v>105</v>
      </c>
    </row>
    <row r="818" spans="1:15">
      <c r="A818" s="71">
        <v>2023</v>
      </c>
      <c r="B818" s="16" t="s">
        <v>1083</v>
      </c>
      <c r="C818" s="71" t="s">
        <v>1249</v>
      </c>
      <c r="D818" s="2" t="s">
        <v>1042</v>
      </c>
      <c r="E818" s="2" t="s">
        <v>711</v>
      </c>
      <c r="F818" s="465">
        <v>2258</v>
      </c>
      <c r="G818" s="1" t="s">
        <v>37</v>
      </c>
      <c r="H818" s="8">
        <v>369</v>
      </c>
      <c r="I818" s="44">
        <f t="shared" si="48"/>
        <v>833202</v>
      </c>
      <c r="J818" s="539">
        <v>334</v>
      </c>
      <c r="K818" s="521">
        <f t="shared" si="49"/>
        <v>35</v>
      </c>
      <c r="L818" s="522">
        <f t="shared" si="50"/>
        <v>79030</v>
      </c>
      <c r="M818" s="523">
        <f t="shared" si="51"/>
        <v>9.4850948509485097E-2</v>
      </c>
      <c r="N818" s="34" t="s">
        <v>22</v>
      </c>
      <c r="O818" s="2" t="s">
        <v>105</v>
      </c>
    </row>
    <row r="819" spans="1:15">
      <c r="A819" s="71">
        <v>2023</v>
      </c>
      <c r="B819" s="16" t="s">
        <v>1083</v>
      </c>
      <c r="C819" s="71" t="s">
        <v>1250</v>
      </c>
      <c r="D819" s="2" t="s">
        <v>68</v>
      </c>
      <c r="E819" s="2" t="s">
        <v>962</v>
      </c>
      <c r="F819" s="465">
        <v>487.1</v>
      </c>
      <c r="G819" s="1" t="s">
        <v>37</v>
      </c>
      <c r="H819" s="8">
        <v>360</v>
      </c>
      <c r="I819" s="44">
        <f t="shared" si="48"/>
        <v>175356</v>
      </c>
      <c r="J819" s="539">
        <v>345</v>
      </c>
      <c r="K819" s="521">
        <f t="shared" si="49"/>
        <v>15</v>
      </c>
      <c r="L819" s="522">
        <f t="shared" si="50"/>
        <v>7306.5</v>
      </c>
      <c r="M819" s="523">
        <f t="shared" si="51"/>
        <v>4.1666666666666664E-2</v>
      </c>
      <c r="N819" s="34" t="s">
        <v>22</v>
      </c>
      <c r="O819" s="2" t="s">
        <v>105</v>
      </c>
    </row>
    <row r="820" spans="1:15">
      <c r="A820" s="71">
        <v>2023</v>
      </c>
      <c r="B820" s="16" t="s">
        <v>1083</v>
      </c>
      <c r="C820" s="71" t="s">
        <v>1251</v>
      </c>
      <c r="D820" s="2" t="s">
        <v>1252</v>
      </c>
      <c r="E820" s="2" t="s">
        <v>1253</v>
      </c>
      <c r="F820" s="465">
        <v>10320</v>
      </c>
      <c r="G820" s="1" t="s">
        <v>37</v>
      </c>
      <c r="H820" s="8">
        <v>34.22</v>
      </c>
      <c r="I820" s="44">
        <f t="shared" si="48"/>
        <v>353150.39999999997</v>
      </c>
      <c r="J820" s="539">
        <v>34.04</v>
      </c>
      <c r="K820" s="521">
        <f t="shared" si="49"/>
        <v>0.17999999999999972</v>
      </c>
      <c r="L820" s="522">
        <f t="shared" si="50"/>
        <v>1857.5999999999972</v>
      </c>
      <c r="M820" s="523">
        <f t="shared" si="51"/>
        <v>5.2600818234950237E-3</v>
      </c>
      <c r="N820" s="34" t="s">
        <v>22</v>
      </c>
      <c r="O820" s="2" t="s">
        <v>105</v>
      </c>
    </row>
    <row r="821" spans="1:15">
      <c r="A821" s="71">
        <v>2023</v>
      </c>
      <c r="B821" s="16" t="s">
        <v>1083</v>
      </c>
      <c r="C821" s="71" t="s">
        <v>1254</v>
      </c>
      <c r="D821" s="2" t="s">
        <v>1042</v>
      </c>
      <c r="E821" s="2" t="s">
        <v>711</v>
      </c>
      <c r="F821" s="465">
        <v>2413</v>
      </c>
      <c r="G821" s="1" t="s">
        <v>37</v>
      </c>
      <c r="H821" s="8">
        <v>369</v>
      </c>
      <c r="I821" s="44">
        <f t="shared" si="48"/>
        <v>890397</v>
      </c>
      <c r="J821" s="539">
        <v>334</v>
      </c>
      <c r="K821" s="521">
        <f t="shared" si="49"/>
        <v>35</v>
      </c>
      <c r="L821" s="522">
        <f t="shared" si="50"/>
        <v>84455</v>
      </c>
      <c r="M821" s="523">
        <f t="shared" si="51"/>
        <v>9.4850948509485097E-2</v>
      </c>
      <c r="N821" s="30" t="s">
        <v>22</v>
      </c>
      <c r="O821" s="2" t="s">
        <v>105</v>
      </c>
    </row>
    <row r="822" spans="1:15">
      <c r="A822" s="71">
        <v>2023</v>
      </c>
      <c r="B822" s="16" t="s">
        <v>1083</v>
      </c>
      <c r="C822" s="71" t="s">
        <v>1255</v>
      </c>
      <c r="D822" s="2" t="s">
        <v>290</v>
      </c>
      <c r="E822" s="2" t="s">
        <v>1256</v>
      </c>
      <c r="F822" s="465">
        <v>1</v>
      </c>
      <c r="G822" s="1" t="s">
        <v>285</v>
      </c>
      <c r="H822" s="8">
        <v>59000</v>
      </c>
      <c r="I822" s="44">
        <f t="shared" si="48"/>
        <v>59000</v>
      </c>
      <c r="J822" s="539">
        <v>57500</v>
      </c>
      <c r="K822" s="521">
        <f t="shared" si="49"/>
        <v>1500</v>
      </c>
      <c r="L822" s="522">
        <f t="shared" si="50"/>
        <v>1500</v>
      </c>
      <c r="M822" s="523">
        <f t="shared" si="51"/>
        <v>2.5423728813559324E-2</v>
      </c>
      <c r="N822" s="30" t="s">
        <v>22</v>
      </c>
      <c r="O822" s="2" t="s">
        <v>105</v>
      </c>
    </row>
    <row r="823" spans="1:15">
      <c r="A823" s="71">
        <v>2023</v>
      </c>
      <c r="B823" s="16" t="s">
        <v>1083</v>
      </c>
      <c r="C823" s="71" t="s">
        <v>1257</v>
      </c>
      <c r="D823" s="2" t="s">
        <v>1042</v>
      </c>
      <c r="E823" s="2" t="s">
        <v>1141</v>
      </c>
      <c r="F823" s="465">
        <v>100</v>
      </c>
      <c r="G823" s="1" t="s">
        <v>37</v>
      </c>
      <c r="H823" s="8">
        <v>367</v>
      </c>
      <c r="I823" s="44">
        <f t="shared" si="48"/>
        <v>36700</v>
      </c>
      <c r="J823" s="539">
        <v>352</v>
      </c>
      <c r="K823" s="521">
        <f t="shared" si="49"/>
        <v>15</v>
      </c>
      <c r="L823" s="522">
        <f t="shared" si="50"/>
        <v>1500</v>
      </c>
      <c r="M823" s="523">
        <f t="shared" si="51"/>
        <v>4.0871934604904632E-2</v>
      </c>
      <c r="N823" s="34" t="s">
        <v>22</v>
      </c>
      <c r="O823" s="2" t="s">
        <v>105</v>
      </c>
    </row>
    <row r="824" spans="1:15">
      <c r="A824" s="71">
        <v>2023</v>
      </c>
      <c r="B824" s="16" t="s">
        <v>1083</v>
      </c>
      <c r="C824" s="71" t="s">
        <v>1258</v>
      </c>
      <c r="D824" s="2" t="s">
        <v>94</v>
      </c>
      <c r="E824" s="2" t="s">
        <v>456</v>
      </c>
      <c r="F824" s="465">
        <v>300</v>
      </c>
      <c r="G824" s="1" t="s">
        <v>19</v>
      </c>
      <c r="H824" s="8">
        <v>2.65</v>
      </c>
      <c r="I824" s="44">
        <f t="shared" si="48"/>
        <v>795</v>
      </c>
      <c r="J824" s="539">
        <v>2.5499999999999998</v>
      </c>
      <c r="K824" s="521">
        <f t="shared" si="49"/>
        <v>0.10000000000000009</v>
      </c>
      <c r="L824" s="522">
        <f t="shared" si="50"/>
        <v>30.000000000000028</v>
      </c>
      <c r="M824" s="523">
        <f t="shared" si="51"/>
        <v>3.7735849056603807E-2</v>
      </c>
      <c r="N824" s="34" t="s">
        <v>22</v>
      </c>
      <c r="O824" s="2" t="s">
        <v>105</v>
      </c>
    </row>
    <row r="825" spans="1:15">
      <c r="A825" s="71">
        <v>2023</v>
      </c>
      <c r="B825" s="16" t="s">
        <v>1083</v>
      </c>
      <c r="C825" s="71" t="s">
        <v>1258</v>
      </c>
      <c r="D825" s="2" t="s">
        <v>94</v>
      </c>
      <c r="E825" s="2" t="s">
        <v>973</v>
      </c>
      <c r="F825" s="465">
        <v>1</v>
      </c>
      <c r="G825" s="1" t="s">
        <v>1259</v>
      </c>
      <c r="H825" s="8">
        <v>6000</v>
      </c>
      <c r="I825" s="44">
        <f t="shared" si="48"/>
        <v>6000</v>
      </c>
      <c r="J825" s="539">
        <v>5470</v>
      </c>
      <c r="K825" s="521">
        <f t="shared" si="49"/>
        <v>530</v>
      </c>
      <c r="L825" s="522">
        <f t="shared" si="50"/>
        <v>530</v>
      </c>
      <c r="M825" s="523">
        <f t="shared" si="51"/>
        <v>8.8333333333333333E-2</v>
      </c>
      <c r="N825" s="34" t="s">
        <v>22</v>
      </c>
      <c r="O825" s="2" t="s">
        <v>105</v>
      </c>
    </row>
    <row r="826" spans="1:15">
      <c r="A826" s="71">
        <v>2023</v>
      </c>
      <c r="B826" s="16" t="s">
        <v>1083</v>
      </c>
      <c r="C826" s="71" t="s">
        <v>1260</v>
      </c>
      <c r="D826" s="2" t="s">
        <v>17</v>
      </c>
      <c r="E826" s="2" t="s">
        <v>1261</v>
      </c>
      <c r="F826" s="465">
        <v>72</v>
      </c>
      <c r="G826" s="1" t="s">
        <v>19</v>
      </c>
      <c r="H826" s="8">
        <v>69</v>
      </c>
      <c r="I826" s="44">
        <f t="shared" si="48"/>
        <v>4968</v>
      </c>
      <c r="J826" s="539">
        <v>64</v>
      </c>
      <c r="K826" s="521">
        <f t="shared" si="49"/>
        <v>5</v>
      </c>
      <c r="L826" s="522">
        <f t="shared" si="50"/>
        <v>360</v>
      </c>
      <c r="M826" s="523">
        <f t="shared" si="51"/>
        <v>7.2463768115942032E-2</v>
      </c>
      <c r="N826" s="34" t="s">
        <v>22</v>
      </c>
      <c r="O826" s="2" t="s">
        <v>21</v>
      </c>
    </row>
    <row r="827" spans="1:15">
      <c r="A827" s="71">
        <v>2023</v>
      </c>
      <c r="B827" s="16" t="s">
        <v>1083</v>
      </c>
      <c r="C827" s="71" t="s">
        <v>1262</v>
      </c>
      <c r="D827" s="2" t="s">
        <v>110</v>
      </c>
      <c r="E827" s="2" t="s">
        <v>1263</v>
      </c>
      <c r="F827" s="465">
        <v>1</v>
      </c>
      <c r="G827" s="1" t="s">
        <v>19</v>
      </c>
      <c r="H827" s="8">
        <v>8090</v>
      </c>
      <c r="I827" s="44">
        <f t="shared" si="48"/>
        <v>8090</v>
      </c>
      <c r="J827" s="539">
        <v>7890</v>
      </c>
      <c r="K827" s="521">
        <f t="shared" si="49"/>
        <v>200</v>
      </c>
      <c r="L827" s="522">
        <f t="shared" si="50"/>
        <v>200</v>
      </c>
      <c r="M827" s="523">
        <f t="shared" si="51"/>
        <v>2.4721878862793572E-2</v>
      </c>
      <c r="N827" s="34" t="s">
        <v>38</v>
      </c>
      <c r="O827" s="2" t="s">
        <v>21</v>
      </c>
    </row>
    <row r="828" spans="1:15">
      <c r="A828" s="71">
        <v>2023</v>
      </c>
      <c r="B828" s="16" t="s">
        <v>1083</v>
      </c>
      <c r="C828" s="71" t="s">
        <v>1264</v>
      </c>
      <c r="D828" s="2" t="s">
        <v>1176</v>
      </c>
      <c r="E828" s="2" t="s">
        <v>1265</v>
      </c>
      <c r="F828" s="465">
        <v>5</v>
      </c>
      <c r="G828" s="1" t="s">
        <v>59</v>
      </c>
      <c r="H828" s="8">
        <v>9500</v>
      </c>
      <c r="I828" s="44">
        <f t="shared" si="48"/>
        <v>47500</v>
      </c>
      <c r="J828" s="539">
        <v>9000</v>
      </c>
      <c r="K828" s="521">
        <f t="shared" si="49"/>
        <v>500</v>
      </c>
      <c r="L828" s="522">
        <f t="shared" si="50"/>
        <v>2500</v>
      </c>
      <c r="M828" s="523">
        <f t="shared" si="51"/>
        <v>5.2631578947368418E-2</v>
      </c>
      <c r="N828" s="34" t="s">
        <v>22</v>
      </c>
      <c r="O828" s="2" t="s">
        <v>21</v>
      </c>
    </row>
    <row r="829" spans="1:15">
      <c r="A829" s="71">
        <v>2023</v>
      </c>
      <c r="B829" s="16" t="s">
        <v>1083</v>
      </c>
      <c r="C829" s="71" t="s">
        <v>1266</v>
      </c>
      <c r="D829" s="2" t="s">
        <v>1112</v>
      </c>
      <c r="E829" s="2" t="s">
        <v>1267</v>
      </c>
      <c r="F829" s="465">
        <v>1</v>
      </c>
      <c r="G829" s="1" t="s">
        <v>59</v>
      </c>
      <c r="H829" s="8">
        <v>10000</v>
      </c>
      <c r="I829" s="44">
        <f t="shared" si="48"/>
        <v>10000</v>
      </c>
      <c r="J829" s="539">
        <v>9500</v>
      </c>
      <c r="K829" s="521">
        <f t="shared" si="49"/>
        <v>500</v>
      </c>
      <c r="L829" s="522">
        <f t="shared" si="50"/>
        <v>500</v>
      </c>
      <c r="M829" s="523">
        <f t="shared" si="51"/>
        <v>0.05</v>
      </c>
      <c r="N829" s="34" t="s">
        <v>22</v>
      </c>
      <c r="O829" s="2" t="s">
        <v>21</v>
      </c>
    </row>
    <row r="830" spans="1:15">
      <c r="A830" s="71">
        <v>2023</v>
      </c>
      <c r="B830" s="16" t="s">
        <v>1083</v>
      </c>
      <c r="C830" s="71" t="s">
        <v>1268</v>
      </c>
      <c r="D830" s="2" t="s">
        <v>118</v>
      </c>
      <c r="E830" s="2" t="s">
        <v>1269</v>
      </c>
      <c r="F830" s="465">
        <v>1</v>
      </c>
      <c r="G830" s="1" t="s">
        <v>19</v>
      </c>
      <c r="H830" s="8">
        <v>2490</v>
      </c>
      <c r="I830" s="44">
        <f t="shared" si="48"/>
        <v>2490</v>
      </c>
      <c r="J830" s="539">
        <v>1950</v>
      </c>
      <c r="K830" s="521">
        <f t="shared" si="49"/>
        <v>540</v>
      </c>
      <c r="L830" s="522">
        <f t="shared" si="50"/>
        <v>540</v>
      </c>
      <c r="M830" s="523">
        <f t="shared" si="51"/>
        <v>0.21686746987951808</v>
      </c>
      <c r="N830" s="34" t="s">
        <v>22</v>
      </c>
      <c r="O830" s="2" t="s">
        <v>21</v>
      </c>
    </row>
    <row r="831" spans="1:15">
      <c r="A831" s="71">
        <v>2023</v>
      </c>
      <c r="B831" s="16" t="s">
        <v>1083</v>
      </c>
      <c r="C831" s="71" t="s">
        <v>1270</v>
      </c>
      <c r="D831" s="2" t="s">
        <v>118</v>
      </c>
      <c r="E831" s="2" t="s">
        <v>1271</v>
      </c>
      <c r="F831" s="465">
        <v>1</v>
      </c>
      <c r="G831" s="1" t="s">
        <v>19</v>
      </c>
      <c r="H831" s="8">
        <v>9190</v>
      </c>
      <c r="I831" s="44">
        <f t="shared" si="48"/>
        <v>9190</v>
      </c>
      <c r="J831" s="539">
        <v>8788</v>
      </c>
      <c r="K831" s="521">
        <f t="shared" si="49"/>
        <v>402</v>
      </c>
      <c r="L831" s="522">
        <f t="shared" si="50"/>
        <v>402</v>
      </c>
      <c r="M831" s="523">
        <f t="shared" si="51"/>
        <v>4.3743199129488576E-2</v>
      </c>
      <c r="N831" s="34" t="s">
        <v>22</v>
      </c>
      <c r="O831" s="2" t="s">
        <v>21</v>
      </c>
    </row>
    <row r="832" spans="1:15">
      <c r="A832" s="71">
        <v>2023</v>
      </c>
      <c r="B832" s="16" t="s">
        <v>1083</v>
      </c>
      <c r="C832" s="71" t="s">
        <v>1272</v>
      </c>
      <c r="D832" s="2" t="s">
        <v>182</v>
      </c>
      <c r="E832" s="2" t="s">
        <v>1273</v>
      </c>
      <c r="F832" s="465">
        <v>1</v>
      </c>
      <c r="G832" s="1" t="s">
        <v>19</v>
      </c>
      <c r="H832" s="8">
        <v>3850</v>
      </c>
      <c r="I832" s="44">
        <f t="shared" si="48"/>
        <v>3850</v>
      </c>
      <c r="J832" s="539">
        <v>3750</v>
      </c>
      <c r="K832" s="521">
        <f t="shared" si="49"/>
        <v>100</v>
      </c>
      <c r="L832" s="522">
        <f t="shared" si="50"/>
        <v>100</v>
      </c>
      <c r="M832" s="523">
        <f t="shared" si="51"/>
        <v>2.5974025974025976E-2</v>
      </c>
      <c r="N832" s="34" t="s">
        <v>22</v>
      </c>
      <c r="O832" s="2" t="s">
        <v>21</v>
      </c>
    </row>
    <row r="833" spans="1:15">
      <c r="A833" s="71">
        <v>2023</v>
      </c>
      <c r="B833" s="16" t="s">
        <v>1083</v>
      </c>
      <c r="C833" s="71" t="s">
        <v>1274</v>
      </c>
      <c r="D833" s="2" t="s">
        <v>17</v>
      </c>
      <c r="E833" s="2" t="s">
        <v>1275</v>
      </c>
      <c r="F833" s="465">
        <v>1</v>
      </c>
      <c r="G833" s="1" t="s">
        <v>19</v>
      </c>
      <c r="H833" s="8">
        <v>2700</v>
      </c>
      <c r="I833" s="44">
        <f t="shared" si="48"/>
        <v>2700</v>
      </c>
      <c r="J833" s="539">
        <v>2600</v>
      </c>
      <c r="K833" s="521">
        <f t="shared" si="49"/>
        <v>100</v>
      </c>
      <c r="L833" s="522">
        <f t="shared" si="50"/>
        <v>100</v>
      </c>
      <c r="M833" s="523">
        <f t="shared" si="51"/>
        <v>3.7037037037037035E-2</v>
      </c>
      <c r="N833" s="34" t="s">
        <v>22</v>
      </c>
      <c r="O833" s="2" t="s">
        <v>21</v>
      </c>
    </row>
    <row r="834" spans="1:15">
      <c r="A834" s="71">
        <v>2023</v>
      </c>
      <c r="B834" s="16" t="s">
        <v>1083</v>
      </c>
      <c r="C834" s="71" t="s">
        <v>1274</v>
      </c>
      <c r="D834" s="2" t="s">
        <v>17</v>
      </c>
      <c r="E834" s="2" t="s">
        <v>1276</v>
      </c>
      <c r="F834" s="465">
        <v>1</v>
      </c>
      <c r="G834" s="1" t="s">
        <v>19</v>
      </c>
      <c r="H834" s="8">
        <v>2600</v>
      </c>
      <c r="I834" s="44">
        <f t="shared" si="48"/>
        <v>2600</v>
      </c>
      <c r="J834" s="539">
        <v>2500</v>
      </c>
      <c r="K834" s="521">
        <f t="shared" si="49"/>
        <v>100</v>
      </c>
      <c r="L834" s="522">
        <f t="shared" si="50"/>
        <v>100</v>
      </c>
      <c r="M834" s="523">
        <f t="shared" si="51"/>
        <v>3.8461538461538464E-2</v>
      </c>
      <c r="N834" s="34" t="s">
        <v>22</v>
      </c>
      <c r="O834" s="2" t="s">
        <v>21</v>
      </c>
    </row>
    <row r="835" spans="1:15">
      <c r="A835" s="71">
        <v>2023</v>
      </c>
      <c r="B835" s="16" t="s">
        <v>1083</v>
      </c>
      <c r="C835" s="71" t="s">
        <v>1277</v>
      </c>
      <c r="D835" s="2" t="s">
        <v>96</v>
      </c>
      <c r="E835" s="2" t="s">
        <v>902</v>
      </c>
      <c r="F835" s="465">
        <v>5</v>
      </c>
      <c r="G835" s="1" t="s">
        <v>19</v>
      </c>
      <c r="H835" s="8">
        <v>240</v>
      </c>
      <c r="I835" s="44">
        <f t="shared" ref="I835:I898" si="52">H835*F835</f>
        <v>1200</v>
      </c>
      <c r="J835" s="539">
        <v>168</v>
      </c>
      <c r="K835" s="521">
        <f t="shared" ref="K835:K898" si="53">H835-J835</f>
        <v>72</v>
      </c>
      <c r="L835" s="522">
        <f t="shared" ref="L835:L891" si="54">K835*F835</f>
        <v>360</v>
      </c>
      <c r="M835" s="523">
        <f t="shared" ref="M835:M898" si="55">K835/H835</f>
        <v>0.3</v>
      </c>
      <c r="N835" s="30" t="s">
        <v>22</v>
      </c>
      <c r="O835" s="2" t="s">
        <v>21</v>
      </c>
    </row>
    <row r="836" spans="1:15">
      <c r="A836" s="71">
        <v>2023</v>
      </c>
      <c r="B836" s="16" t="s">
        <v>1083</v>
      </c>
      <c r="C836" s="71" t="s">
        <v>1278</v>
      </c>
      <c r="D836" s="2" t="s">
        <v>1279</v>
      </c>
      <c r="E836" s="2" t="s">
        <v>1280</v>
      </c>
      <c r="F836" s="465">
        <v>200</v>
      </c>
      <c r="G836" s="1" t="s">
        <v>231</v>
      </c>
      <c r="H836" s="8">
        <v>145</v>
      </c>
      <c r="I836" s="44">
        <f t="shared" si="52"/>
        <v>29000</v>
      </c>
      <c r="J836" s="539">
        <v>125</v>
      </c>
      <c r="K836" s="521">
        <f t="shared" si="53"/>
        <v>20</v>
      </c>
      <c r="L836" s="522">
        <f t="shared" si="54"/>
        <v>4000</v>
      </c>
      <c r="M836" s="523">
        <f t="shared" si="55"/>
        <v>0.13793103448275862</v>
      </c>
      <c r="N836" s="30" t="s">
        <v>22</v>
      </c>
      <c r="O836" s="2" t="s">
        <v>21</v>
      </c>
    </row>
    <row r="837" spans="1:15">
      <c r="A837" s="71">
        <v>2023</v>
      </c>
      <c r="B837" s="16" t="s">
        <v>1083</v>
      </c>
      <c r="C837" s="61" t="s">
        <v>1281</v>
      </c>
      <c r="D837" s="2" t="s">
        <v>398</v>
      </c>
      <c r="E837" s="150" t="s">
        <v>1282</v>
      </c>
      <c r="F837" s="465">
        <v>1</v>
      </c>
      <c r="G837" s="1" t="s">
        <v>59</v>
      </c>
      <c r="H837" s="8">
        <v>65500</v>
      </c>
      <c r="I837" s="44">
        <f t="shared" si="52"/>
        <v>65500</v>
      </c>
      <c r="J837" s="539">
        <v>59000</v>
      </c>
      <c r="K837" s="521">
        <f t="shared" si="53"/>
        <v>6500</v>
      </c>
      <c r="L837" s="522">
        <f t="shared" si="54"/>
        <v>6500</v>
      </c>
      <c r="M837" s="523">
        <f t="shared" si="55"/>
        <v>9.9236641221374045E-2</v>
      </c>
      <c r="N837" s="30" t="s">
        <v>38</v>
      </c>
      <c r="O837" s="2" t="s">
        <v>21</v>
      </c>
    </row>
    <row r="838" spans="1:15">
      <c r="A838" s="71">
        <v>2023</v>
      </c>
      <c r="B838" s="16" t="s">
        <v>1083</v>
      </c>
      <c r="C838" s="62" t="s">
        <v>1283</v>
      </c>
      <c r="D838" s="103" t="s">
        <v>590</v>
      </c>
      <c r="E838" s="150" t="s">
        <v>1284</v>
      </c>
      <c r="F838" s="465">
        <v>1</v>
      </c>
      <c r="G838" s="1" t="s">
        <v>63</v>
      </c>
      <c r="H838" s="8">
        <v>81110</v>
      </c>
      <c r="I838" s="44">
        <f t="shared" si="52"/>
        <v>81110</v>
      </c>
      <c r="J838" s="539">
        <v>80810</v>
      </c>
      <c r="K838" s="521">
        <f t="shared" si="53"/>
        <v>300</v>
      </c>
      <c r="L838" s="522">
        <f t="shared" si="54"/>
        <v>300</v>
      </c>
      <c r="M838" s="523">
        <f t="shared" si="55"/>
        <v>3.6986808038466279E-3</v>
      </c>
      <c r="N838" s="34" t="s">
        <v>38</v>
      </c>
      <c r="O838" s="2" t="s">
        <v>39</v>
      </c>
    </row>
    <row r="839" spans="1:15">
      <c r="A839" s="71">
        <v>2023</v>
      </c>
      <c r="B839" s="16" t="s">
        <v>1083</v>
      </c>
      <c r="C839" s="62" t="s">
        <v>1283</v>
      </c>
      <c r="D839" s="103" t="s">
        <v>590</v>
      </c>
      <c r="E839" s="150" t="s">
        <v>1285</v>
      </c>
      <c r="F839" s="465">
        <v>1</v>
      </c>
      <c r="G839" s="1" t="s">
        <v>63</v>
      </c>
      <c r="H839" s="8">
        <v>139000</v>
      </c>
      <c r="I839" s="44">
        <f t="shared" si="52"/>
        <v>139000</v>
      </c>
      <c r="J839" s="539">
        <v>134000</v>
      </c>
      <c r="K839" s="521">
        <f t="shared" si="53"/>
        <v>5000</v>
      </c>
      <c r="L839" s="522">
        <f t="shared" si="54"/>
        <v>5000</v>
      </c>
      <c r="M839" s="523">
        <f t="shared" si="55"/>
        <v>3.5971223021582732E-2</v>
      </c>
      <c r="N839" s="30" t="s">
        <v>38</v>
      </c>
      <c r="O839" s="2" t="s">
        <v>39</v>
      </c>
    </row>
    <row r="840" spans="1:15">
      <c r="A840" s="71">
        <v>2023</v>
      </c>
      <c r="B840" s="16" t="s">
        <v>1083</v>
      </c>
      <c r="C840" s="62" t="s">
        <v>1283</v>
      </c>
      <c r="D840" s="103" t="s">
        <v>590</v>
      </c>
      <c r="E840" s="150" t="s">
        <v>1286</v>
      </c>
      <c r="F840" s="465">
        <v>1</v>
      </c>
      <c r="G840" s="1" t="s">
        <v>63</v>
      </c>
      <c r="H840" s="8">
        <v>12300</v>
      </c>
      <c r="I840" s="44">
        <f t="shared" si="52"/>
        <v>12300</v>
      </c>
      <c r="J840" s="539">
        <v>11800</v>
      </c>
      <c r="K840" s="521">
        <f t="shared" si="53"/>
        <v>500</v>
      </c>
      <c r="L840" s="522">
        <f t="shared" si="54"/>
        <v>500</v>
      </c>
      <c r="M840" s="523">
        <f t="shared" si="55"/>
        <v>4.065040650406504E-2</v>
      </c>
      <c r="N840" s="30" t="s">
        <v>38</v>
      </c>
      <c r="O840" s="2" t="s">
        <v>39</v>
      </c>
    </row>
    <row r="841" spans="1:15">
      <c r="A841" s="71">
        <v>2023</v>
      </c>
      <c r="B841" s="16" t="s">
        <v>1083</v>
      </c>
      <c r="C841" s="62" t="s">
        <v>1283</v>
      </c>
      <c r="D841" s="103" t="s">
        <v>590</v>
      </c>
      <c r="E841" s="150" t="s">
        <v>1287</v>
      </c>
      <c r="F841" s="465">
        <v>1</v>
      </c>
      <c r="G841" s="1" t="s">
        <v>63</v>
      </c>
      <c r="H841" s="8">
        <v>21000</v>
      </c>
      <c r="I841" s="44">
        <f t="shared" si="52"/>
        <v>21000</v>
      </c>
      <c r="J841" s="539">
        <v>20000</v>
      </c>
      <c r="K841" s="521">
        <f t="shared" si="53"/>
        <v>1000</v>
      </c>
      <c r="L841" s="522">
        <f t="shared" si="54"/>
        <v>1000</v>
      </c>
      <c r="M841" s="523">
        <f t="shared" si="55"/>
        <v>4.7619047619047616E-2</v>
      </c>
      <c r="N841" s="30" t="s">
        <v>38</v>
      </c>
      <c r="O841" s="2" t="s">
        <v>39</v>
      </c>
    </row>
    <row r="842" spans="1:15">
      <c r="A842" s="71">
        <v>2023</v>
      </c>
      <c r="B842" s="16" t="s">
        <v>1083</v>
      </c>
      <c r="C842" s="62" t="s">
        <v>1283</v>
      </c>
      <c r="D842" s="103" t="s">
        <v>590</v>
      </c>
      <c r="E842" s="150" t="s">
        <v>1288</v>
      </c>
      <c r="F842" s="465">
        <v>4</v>
      </c>
      <c r="G842" s="1" t="s">
        <v>63</v>
      </c>
      <c r="H842" s="8">
        <v>38500</v>
      </c>
      <c r="I842" s="44">
        <f t="shared" si="52"/>
        <v>154000</v>
      </c>
      <c r="J842" s="539">
        <v>37000</v>
      </c>
      <c r="K842" s="521">
        <f t="shared" si="53"/>
        <v>1500</v>
      </c>
      <c r="L842" s="522">
        <f t="shared" si="54"/>
        <v>6000</v>
      </c>
      <c r="M842" s="523">
        <f t="shared" si="55"/>
        <v>3.896103896103896E-2</v>
      </c>
      <c r="N842" s="30" t="s">
        <v>38</v>
      </c>
      <c r="O842" s="2" t="s">
        <v>39</v>
      </c>
    </row>
    <row r="843" spans="1:15">
      <c r="A843" s="71">
        <v>2023</v>
      </c>
      <c r="B843" s="16" t="s">
        <v>1083</v>
      </c>
      <c r="C843" s="62" t="s">
        <v>1283</v>
      </c>
      <c r="D843" s="103" t="s">
        <v>590</v>
      </c>
      <c r="E843" s="150" t="s">
        <v>1289</v>
      </c>
      <c r="F843" s="465">
        <v>2</v>
      </c>
      <c r="G843" s="1" t="s">
        <v>63</v>
      </c>
      <c r="H843" s="8">
        <v>38500</v>
      </c>
      <c r="I843" s="44">
        <f t="shared" si="52"/>
        <v>77000</v>
      </c>
      <c r="J843" s="539">
        <v>37000</v>
      </c>
      <c r="K843" s="521">
        <f t="shared" si="53"/>
        <v>1500</v>
      </c>
      <c r="L843" s="522">
        <f t="shared" si="54"/>
        <v>3000</v>
      </c>
      <c r="M843" s="523">
        <f t="shared" si="55"/>
        <v>3.896103896103896E-2</v>
      </c>
      <c r="N843" s="30" t="s">
        <v>38</v>
      </c>
      <c r="O843" s="2" t="s">
        <v>39</v>
      </c>
    </row>
    <row r="844" spans="1:15">
      <c r="A844" s="71">
        <v>2023</v>
      </c>
      <c r="B844" s="16" t="s">
        <v>1083</v>
      </c>
      <c r="C844" s="62" t="s">
        <v>1290</v>
      </c>
      <c r="D844" s="103" t="s">
        <v>590</v>
      </c>
      <c r="E844" s="150" t="s">
        <v>1291</v>
      </c>
      <c r="F844" s="465">
        <v>1</v>
      </c>
      <c r="G844" s="1" t="s">
        <v>63</v>
      </c>
      <c r="H844" s="8">
        <v>72000</v>
      </c>
      <c r="I844" s="44">
        <f t="shared" si="52"/>
        <v>72000</v>
      </c>
      <c r="J844" s="539">
        <v>69500</v>
      </c>
      <c r="K844" s="521">
        <f t="shared" si="53"/>
        <v>2500</v>
      </c>
      <c r="L844" s="522">
        <f t="shared" si="54"/>
        <v>2500</v>
      </c>
      <c r="M844" s="523">
        <f t="shared" si="55"/>
        <v>3.4722222222222224E-2</v>
      </c>
      <c r="N844" s="30" t="s">
        <v>38</v>
      </c>
      <c r="O844" s="2" t="s">
        <v>39</v>
      </c>
    </row>
    <row r="845" spans="1:15">
      <c r="A845" s="71">
        <v>2023</v>
      </c>
      <c r="B845" s="16" t="s">
        <v>1083</v>
      </c>
      <c r="C845" s="62" t="s">
        <v>1290</v>
      </c>
      <c r="D845" s="103" t="s">
        <v>590</v>
      </c>
      <c r="E845" s="150" t="s">
        <v>1292</v>
      </c>
      <c r="F845" s="465">
        <v>2</v>
      </c>
      <c r="G845" s="1" t="s">
        <v>63</v>
      </c>
      <c r="H845" s="8">
        <v>6600</v>
      </c>
      <c r="I845" s="44">
        <f t="shared" si="52"/>
        <v>13200</v>
      </c>
      <c r="J845" s="539">
        <v>6500</v>
      </c>
      <c r="K845" s="521">
        <f t="shared" si="53"/>
        <v>100</v>
      </c>
      <c r="L845" s="522">
        <f t="shared" si="54"/>
        <v>200</v>
      </c>
      <c r="M845" s="523">
        <f t="shared" si="55"/>
        <v>1.5151515151515152E-2</v>
      </c>
      <c r="N845" s="30" t="s">
        <v>38</v>
      </c>
      <c r="O845" s="2" t="s">
        <v>39</v>
      </c>
    </row>
    <row r="846" spans="1:15">
      <c r="A846" s="71">
        <v>2023</v>
      </c>
      <c r="B846" s="16" t="s">
        <v>1083</v>
      </c>
      <c r="C846" s="62" t="s">
        <v>1290</v>
      </c>
      <c r="D846" s="103" t="s">
        <v>590</v>
      </c>
      <c r="E846" s="150" t="s">
        <v>1293</v>
      </c>
      <c r="F846" s="465">
        <v>1</v>
      </c>
      <c r="G846" s="1" t="s">
        <v>63</v>
      </c>
      <c r="H846" s="8">
        <v>81500</v>
      </c>
      <c r="I846" s="44">
        <f t="shared" si="52"/>
        <v>81500</v>
      </c>
      <c r="J846" s="539">
        <v>79000</v>
      </c>
      <c r="K846" s="521">
        <f t="shared" si="53"/>
        <v>2500</v>
      </c>
      <c r="L846" s="522">
        <f t="shared" si="54"/>
        <v>2500</v>
      </c>
      <c r="M846" s="523">
        <f t="shared" si="55"/>
        <v>3.0674846625766871E-2</v>
      </c>
      <c r="N846" s="30" t="s">
        <v>38</v>
      </c>
      <c r="O846" s="2" t="s">
        <v>39</v>
      </c>
    </row>
    <row r="847" spans="1:15">
      <c r="A847" s="71">
        <v>2023</v>
      </c>
      <c r="B847" s="16" t="s">
        <v>1083</v>
      </c>
      <c r="C847" s="62" t="s">
        <v>1290</v>
      </c>
      <c r="D847" s="103" t="s">
        <v>590</v>
      </c>
      <c r="E847" s="150" t="s">
        <v>1294</v>
      </c>
      <c r="F847" s="465">
        <v>1</v>
      </c>
      <c r="G847" s="1" t="s">
        <v>63</v>
      </c>
      <c r="H847" s="8">
        <v>37000</v>
      </c>
      <c r="I847" s="44">
        <f t="shared" si="52"/>
        <v>37000</v>
      </c>
      <c r="J847" s="539">
        <v>36000</v>
      </c>
      <c r="K847" s="521">
        <f t="shared" si="53"/>
        <v>1000</v>
      </c>
      <c r="L847" s="522">
        <f t="shared" si="54"/>
        <v>1000</v>
      </c>
      <c r="M847" s="523">
        <f t="shared" si="55"/>
        <v>2.7027027027027029E-2</v>
      </c>
      <c r="N847" s="30" t="s">
        <v>38</v>
      </c>
      <c r="O847" s="2" t="s">
        <v>39</v>
      </c>
    </row>
    <row r="848" spans="1:15">
      <c r="A848" s="71">
        <v>2023</v>
      </c>
      <c r="B848" s="16" t="s">
        <v>1295</v>
      </c>
      <c r="C848" s="62" t="s">
        <v>1296</v>
      </c>
      <c r="D848" s="103" t="s">
        <v>35</v>
      </c>
      <c r="E848" s="2" t="s">
        <v>1297</v>
      </c>
      <c r="F848" s="9">
        <v>22000</v>
      </c>
      <c r="G848" s="1" t="s">
        <v>499</v>
      </c>
      <c r="H848" s="8">
        <v>363</v>
      </c>
      <c r="I848" s="44">
        <f t="shared" si="52"/>
        <v>7986000</v>
      </c>
      <c r="J848" s="539">
        <v>350</v>
      </c>
      <c r="K848" s="521">
        <f t="shared" si="53"/>
        <v>13</v>
      </c>
      <c r="L848" s="522">
        <f t="shared" si="54"/>
        <v>286000</v>
      </c>
      <c r="M848" s="523">
        <f t="shared" si="55"/>
        <v>3.5812672176308541E-2</v>
      </c>
      <c r="N848" s="28" t="s">
        <v>38</v>
      </c>
      <c r="O848" s="2" t="s">
        <v>39</v>
      </c>
    </row>
    <row r="849" spans="1:15">
      <c r="A849" s="71">
        <v>2023</v>
      </c>
      <c r="B849" s="16" t="s">
        <v>1295</v>
      </c>
      <c r="C849" s="62" t="s">
        <v>1298</v>
      </c>
      <c r="D849" s="103" t="s">
        <v>17</v>
      </c>
      <c r="E849" s="2" t="s">
        <v>717</v>
      </c>
      <c r="F849" s="9">
        <v>24</v>
      </c>
      <c r="G849" s="1" t="s">
        <v>19</v>
      </c>
      <c r="H849" s="8">
        <v>69</v>
      </c>
      <c r="I849" s="44">
        <f t="shared" si="52"/>
        <v>1656</v>
      </c>
      <c r="J849" s="539">
        <v>64</v>
      </c>
      <c r="K849" s="521">
        <f t="shared" si="53"/>
        <v>5</v>
      </c>
      <c r="L849" s="522">
        <f t="shared" si="54"/>
        <v>120</v>
      </c>
      <c r="M849" s="523">
        <f t="shared" si="55"/>
        <v>7.2463768115942032E-2</v>
      </c>
      <c r="N849" s="28" t="s">
        <v>22</v>
      </c>
      <c r="O849" s="2" t="s">
        <v>21</v>
      </c>
    </row>
    <row r="850" spans="1:15">
      <c r="A850" s="71">
        <v>2023</v>
      </c>
      <c r="B850" s="16" t="s">
        <v>1295</v>
      </c>
      <c r="C850" s="47" t="s">
        <v>1299</v>
      </c>
      <c r="D850" s="103" t="s">
        <v>17</v>
      </c>
      <c r="E850" s="2" t="s">
        <v>1300</v>
      </c>
      <c r="F850" s="9">
        <v>48</v>
      </c>
      <c r="G850" s="1" t="s">
        <v>19</v>
      </c>
      <c r="H850" s="8">
        <v>69</v>
      </c>
      <c r="I850" s="44">
        <f t="shared" si="52"/>
        <v>3312</v>
      </c>
      <c r="J850" s="539">
        <v>64</v>
      </c>
      <c r="K850" s="521">
        <f t="shared" si="53"/>
        <v>5</v>
      </c>
      <c r="L850" s="522">
        <f t="shared" si="54"/>
        <v>240</v>
      </c>
      <c r="M850" s="523">
        <f t="shared" si="55"/>
        <v>7.2463768115942032E-2</v>
      </c>
      <c r="N850" s="28" t="s">
        <v>22</v>
      </c>
      <c r="O850" s="2" t="s">
        <v>21</v>
      </c>
    </row>
    <row r="851" spans="1:15">
      <c r="A851" s="71">
        <v>2023</v>
      </c>
      <c r="B851" s="16" t="s">
        <v>1295</v>
      </c>
      <c r="C851" s="62" t="s">
        <v>1301</v>
      </c>
      <c r="D851" s="103" t="s">
        <v>17</v>
      </c>
      <c r="E851" s="2" t="s">
        <v>1302</v>
      </c>
      <c r="F851" s="9">
        <v>1</v>
      </c>
      <c r="G851" s="1" t="s">
        <v>19</v>
      </c>
      <c r="H851" s="8">
        <v>12900</v>
      </c>
      <c r="I851" s="44">
        <f t="shared" si="52"/>
        <v>12900</v>
      </c>
      <c r="J851" s="539">
        <v>12000</v>
      </c>
      <c r="K851" s="521">
        <f t="shared" si="53"/>
        <v>900</v>
      </c>
      <c r="L851" s="522">
        <f t="shared" si="54"/>
        <v>900</v>
      </c>
      <c r="M851" s="523">
        <f t="shared" si="55"/>
        <v>6.9767441860465115E-2</v>
      </c>
      <c r="N851" s="28" t="s">
        <v>22</v>
      </c>
      <c r="O851" s="2" t="s">
        <v>21</v>
      </c>
    </row>
    <row r="852" spans="1:15">
      <c r="A852" s="71">
        <v>2023</v>
      </c>
      <c r="B852" s="16" t="s">
        <v>1295</v>
      </c>
      <c r="C852" s="62" t="s">
        <v>1303</v>
      </c>
      <c r="D852" s="103" t="s">
        <v>1304</v>
      </c>
      <c r="E852" s="2" t="s">
        <v>1305</v>
      </c>
      <c r="F852" s="9">
        <v>1</v>
      </c>
      <c r="G852" s="1" t="s">
        <v>19</v>
      </c>
      <c r="H852" s="8">
        <v>155000</v>
      </c>
      <c r="I852" s="44">
        <f t="shared" si="52"/>
        <v>155000</v>
      </c>
      <c r="J852" s="539">
        <v>137500</v>
      </c>
      <c r="K852" s="521">
        <f t="shared" si="53"/>
        <v>17500</v>
      </c>
      <c r="L852" s="522">
        <f t="shared" si="54"/>
        <v>17500</v>
      </c>
      <c r="M852" s="523">
        <f t="shared" si="55"/>
        <v>0.11290322580645161</v>
      </c>
      <c r="N852" s="28" t="s">
        <v>22</v>
      </c>
      <c r="O852" s="2" t="s">
        <v>21</v>
      </c>
    </row>
    <row r="853" spans="1:15">
      <c r="A853" s="71">
        <v>2023</v>
      </c>
      <c r="B853" s="16" t="s">
        <v>1295</v>
      </c>
      <c r="C853" s="62" t="s">
        <v>1306</v>
      </c>
      <c r="D853" s="103" t="s">
        <v>430</v>
      </c>
      <c r="E853" s="2" t="s">
        <v>1307</v>
      </c>
      <c r="F853" s="9">
        <v>500</v>
      </c>
      <c r="G853" s="1" t="s">
        <v>19</v>
      </c>
      <c r="H853" s="8">
        <v>65</v>
      </c>
      <c r="I853" s="44">
        <f t="shared" si="52"/>
        <v>32500</v>
      </c>
      <c r="J853" s="539">
        <v>43</v>
      </c>
      <c r="K853" s="521">
        <f t="shared" si="53"/>
        <v>22</v>
      </c>
      <c r="L853" s="522">
        <f t="shared" si="54"/>
        <v>11000</v>
      </c>
      <c r="M853" s="523">
        <f t="shared" si="55"/>
        <v>0.33846153846153848</v>
      </c>
      <c r="N853" s="28" t="s">
        <v>22</v>
      </c>
      <c r="O853" s="2" t="s">
        <v>21</v>
      </c>
    </row>
    <row r="854" spans="1:15">
      <c r="A854" s="71">
        <v>2023</v>
      </c>
      <c r="B854" s="16" t="s">
        <v>1295</v>
      </c>
      <c r="C854" s="62" t="s">
        <v>1308</v>
      </c>
      <c r="D854" s="103" t="s">
        <v>335</v>
      </c>
      <c r="E854" s="2" t="s">
        <v>336</v>
      </c>
      <c r="F854" s="9">
        <v>56000</v>
      </c>
      <c r="G854" s="1" t="s">
        <v>337</v>
      </c>
      <c r="H854" s="8">
        <v>37.75</v>
      </c>
      <c r="I854" s="44">
        <f t="shared" si="52"/>
        <v>2114000</v>
      </c>
      <c r="J854" s="539">
        <v>37</v>
      </c>
      <c r="K854" s="521">
        <f t="shared" si="53"/>
        <v>0.75</v>
      </c>
      <c r="L854" s="522">
        <f t="shared" si="54"/>
        <v>42000</v>
      </c>
      <c r="M854" s="523">
        <f t="shared" si="55"/>
        <v>1.9867549668874173E-2</v>
      </c>
      <c r="N854" s="28" t="s">
        <v>22</v>
      </c>
      <c r="O854" s="2" t="s">
        <v>39</v>
      </c>
    </row>
    <row r="855" spans="1:15">
      <c r="A855" s="71">
        <v>2023</v>
      </c>
      <c r="B855" s="16" t="s">
        <v>1295</v>
      </c>
      <c r="C855" s="62" t="s">
        <v>1309</v>
      </c>
      <c r="D855" s="103" t="s">
        <v>1042</v>
      </c>
      <c r="E855" s="2" t="s">
        <v>889</v>
      </c>
      <c r="F855" s="9">
        <v>1958.7</v>
      </c>
      <c r="G855" s="1" t="s">
        <v>37</v>
      </c>
      <c r="H855" s="8">
        <v>366</v>
      </c>
      <c r="I855" s="44">
        <f t="shared" si="52"/>
        <v>716884.20000000007</v>
      </c>
      <c r="J855" s="539">
        <v>329</v>
      </c>
      <c r="K855" s="521">
        <f t="shared" si="53"/>
        <v>37</v>
      </c>
      <c r="L855" s="522">
        <f t="shared" si="54"/>
        <v>72471.900000000009</v>
      </c>
      <c r="M855" s="523">
        <f t="shared" si="55"/>
        <v>0.10109289617486339</v>
      </c>
      <c r="N855" s="28" t="s">
        <v>22</v>
      </c>
      <c r="O855" s="2" t="s">
        <v>105</v>
      </c>
    </row>
    <row r="856" spans="1:15">
      <c r="A856" s="71">
        <v>2023</v>
      </c>
      <c r="B856" s="16" t="s">
        <v>1295</v>
      </c>
      <c r="C856" s="62" t="s">
        <v>1310</v>
      </c>
      <c r="D856" s="103" t="s">
        <v>174</v>
      </c>
      <c r="E856" s="2" t="s">
        <v>1311</v>
      </c>
      <c r="F856" s="9">
        <v>6</v>
      </c>
      <c r="G856" s="1" t="s">
        <v>19</v>
      </c>
      <c r="H856" s="8">
        <v>800</v>
      </c>
      <c r="I856" s="44">
        <f t="shared" si="52"/>
        <v>4800</v>
      </c>
      <c r="J856" s="539">
        <v>400</v>
      </c>
      <c r="K856" s="521">
        <f t="shared" si="53"/>
        <v>400</v>
      </c>
      <c r="L856" s="522">
        <f t="shared" si="54"/>
        <v>2400</v>
      </c>
      <c r="M856" s="523">
        <f t="shared" si="55"/>
        <v>0.5</v>
      </c>
      <c r="N856" s="28" t="s">
        <v>22</v>
      </c>
      <c r="O856" s="2" t="s">
        <v>105</v>
      </c>
    </row>
    <row r="857" spans="1:15">
      <c r="A857" s="71">
        <v>2023</v>
      </c>
      <c r="B857" s="16" t="s">
        <v>1295</v>
      </c>
      <c r="C857" s="62" t="s">
        <v>1312</v>
      </c>
      <c r="D857" s="103" t="s">
        <v>192</v>
      </c>
      <c r="E857" s="2" t="s">
        <v>976</v>
      </c>
      <c r="F857" s="9">
        <v>4200</v>
      </c>
      <c r="G857" s="1" t="s">
        <v>337</v>
      </c>
      <c r="H857" s="8">
        <v>57</v>
      </c>
      <c r="I857" s="44">
        <f t="shared" si="52"/>
        <v>239400</v>
      </c>
      <c r="J857" s="539">
        <v>56.5</v>
      </c>
      <c r="K857" s="521">
        <f t="shared" si="53"/>
        <v>0.5</v>
      </c>
      <c r="L857" s="522">
        <f t="shared" si="54"/>
        <v>2100</v>
      </c>
      <c r="M857" s="523">
        <f t="shared" si="55"/>
        <v>8.771929824561403E-3</v>
      </c>
      <c r="N857" s="28" t="s">
        <v>38</v>
      </c>
      <c r="O857" s="2" t="s">
        <v>105</v>
      </c>
    </row>
    <row r="858" spans="1:15">
      <c r="A858" s="71">
        <v>2023</v>
      </c>
      <c r="B858" s="16" t="s">
        <v>1295</v>
      </c>
      <c r="C858" s="73" t="s">
        <v>1313</v>
      </c>
      <c r="D858" s="2" t="s">
        <v>68</v>
      </c>
      <c r="E858" s="2" t="s">
        <v>755</v>
      </c>
      <c r="F858" s="9">
        <v>1194.8</v>
      </c>
      <c r="G858" s="1" t="s">
        <v>37</v>
      </c>
      <c r="H858" s="8">
        <v>345</v>
      </c>
      <c r="I858" s="44">
        <f t="shared" si="52"/>
        <v>412206</v>
      </c>
      <c r="J858" s="539">
        <v>340</v>
      </c>
      <c r="K858" s="521">
        <f t="shared" si="53"/>
        <v>5</v>
      </c>
      <c r="L858" s="522">
        <f t="shared" si="54"/>
        <v>5974</v>
      </c>
      <c r="M858" s="523">
        <f t="shared" si="55"/>
        <v>1.4492753623188406E-2</v>
      </c>
      <c r="N858" s="28" t="s">
        <v>22</v>
      </c>
      <c r="O858" s="2" t="s">
        <v>105</v>
      </c>
    </row>
    <row r="859" spans="1:15">
      <c r="A859" s="71">
        <v>2023</v>
      </c>
      <c r="B859" s="16" t="s">
        <v>1295</v>
      </c>
      <c r="C859" s="73" t="s">
        <v>1314</v>
      </c>
      <c r="D859" s="2" t="s">
        <v>1042</v>
      </c>
      <c r="E859" s="2" t="s">
        <v>889</v>
      </c>
      <c r="F859" s="9">
        <v>3171.8</v>
      </c>
      <c r="G859" s="1" t="s">
        <v>37</v>
      </c>
      <c r="H859" s="8">
        <v>366</v>
      </c>
      <c r="I859" s="44">
        <f t="shared" si="52"/>
        <v>1160878.8</v>
      </c>
      <c r="J859" s="539">
        <v>329</v>
      </c>
      <c r="K859" s="521">
        <f t="shared" si="53"/>
        <v>37</v>
      </c>
      <c r="L859" s="522">
        <f t="shared" si="54"/>
        <v>117356.6</v>
      </c>
      <c r="M859" s="523">
        <f t="shared" si="55"/>
        <v>0.10109289617486339</v>
      </c>
      <c r="N859" s="28" t="s">
        <v>22</v>
      </c>
      <c r="O859" s="2" t="s">
        <v>105</v>
      </c>
    </row>
    <row r="860" spans="1:15">
      <c r="A860" s="71">
        <v>2023</v>
      </c>
      <c r="B860" s="16" t="s">
        <v>1295</v>
      </c>
      <c r="C860" s="73" t="s">
        <v>1315</v>
      </c>
      <c r="D860" s="2" t="s">
        <v>94</v>
      </c>
      <c r="E860" s="2" t="s">
        <v>1038</v>
      </c>
      <c r="F860" s="9">
        <v>200</v>
      </c>
      <c r="G860" s="1" t="s">
        <v>19</v>
      </c>
      <c r="H860" s="8">
        <v>15.5</v>
      </c>
      <c r="I860" s="44">
        <f t="shared" si="52"/>
        <v>3100</v>
      </c>
      <c r="J860" s="539">
        <v>14.76</v>
      </c>
      <c r="K860" s="521">
        <f t="shared" si="53"/>
        <v>0.74000000000000021</v>
      </c>
      <c r="L860" s="522">
        <f t="shared" si="54"/>
        <v>148.00000000000006</v>
      </c>
      <c r="M860" s="523">
        <f t="shared" si="55"/>
        <v>4.7741935483870984E-2</v>
      </c>
      <c r="N860" s="28" t="s">
        <v>22</v>
      </c>
      <c r="O860" s="2" t="s">
        <v>105</v>
      </c>
    </row>
    <row r="861" spans="1:15">
      <c r="A861" s="71">
        <v>2023</v>
      </c>
      <c r="B861" s="16" t="s">
        <v>1295</v>
      </c>
      <c r="C861" s="73" t="s">
        <v>1315</v>
      </c>
      <c r="D861" s="2" t="s">
        <v>94</v>
      </c>
      <c r="E861" s="2" t="s">
        <v>1316</v>
      </c>
      <c r="F861" s="9">
        <v>200</v>
      </c>
      <c r="G861" s="1" t="s">
        <v>19</v>
      </c>
      <c r="H861" s="8">
        <v>15.5</v>
      </c>
      <c r="I861" s="44">
        <f t="shared" si="52"/>
        <v>3100</v>
      </c>
      <c r="J861" s="539">
        <v>14.76</v>
      </c>
      <c r="K861" s="521">
        <f t="shared" si="53"/>
        <v>0.74000000000000021</v>
      </c>
      <c r="L861" s="522">
        <f t="shared" si="54"/>
        <v>148.00000000000006</v>
      </c>
      <c r="M861" s="523">
        <f t="shared" si="55"/>
        <v>4.7741935483870984E-2</v>
      </c>
      <c r="N861" s="28" t="s">
        <v>22</v>
      </c>
      <c r="O861" s="2" t="s">
        <v>105</v>
      </c>
    </row>
    <row r="862" spans="1:15">
      <c r="A862" s="71">
        <v>2023</v>
      </c>
      <c r="B862" s="16" t="s">
        <v>1295</v>
      </c>
      <c r="C862" s="73" t="s">
        <v>1315</v>
      </c>
      <c r="D862" s="2" t="s">
        <v>94</v>
      </c>
      <c r="E862" s="2" t="s">
        <v>550</v>
      </c>
      <c r="F862" s="9">
        <v>200</v>
      </c>
      <c r="G862" s="1" t="s">
        <v>19</v>
      </c>
      <c r="H862" s="8">
        <v>49</v>
      </c>
      <c r="I862" s="44">
        <f t="shared" si="52"/>
        <v>9800</v>
      </c>
      <c r="J862" s="539">
        <v>47.56</v>
      </c>
      <c r="K862" s="521">
        <f t="shared" si="53"/>
        <v>1.4399999999999977</v>
      </c>
      <c r="L862" s="522">
        <f t="shared" si="54"/>
        <v>287.99999999999955</v>
      </c>
      <c r="M862" s="523">
        <f t="shared" si="55"/>
        <v>2.938775510204077E-2</v>
      </c>
      <c r="N862" s="28" t="s">
        <v>22</v>
      </c>
      <c r="O862" s="2" t="s">
        <v>105</v>
      </c>
    </row>
    <row r="863" spans="1:15">
      <c r="A863" s="71">
        <v>2023</v>
      </c>
      <c r="B863" s="16" t="s">
        <v>1295</v>
      </c>
      <c r="C863" s="73" t="s">
        <v>1315</v>
      </c>
      <c r="D863" s="2" t="s">
        <v>94</v>
      </c>
      <c r="E863" s="2" t="s">
        <v>971</v>
      </c>
      <c r="F863" s="9">
        <v>30</v>
      </c>
      <c r="G863" s="1" t="s">
        <v>615</v>
      </c>
      <c r="H863" s="8">
        <v>115</v>
      </c>
      <c r="I863" s="44">
        <f t="shared" si="52"/>
        <v>3450</v>
      </c>
      <c r="J863" s="539">
        <v>100</v>
      </c>
      <c r="K863" s="521">
        <f t="shared" si="53"/>
        <v>15</v>
      </c>
      <c r="L863" s="522">
        <f t="shared" si="54"/>
        <v>450</v>
      </c>
      <c r="M863" s="523">
        <f t="shared" si="55"/>
        <v>0.13043478260869565</v>
      </c>
      <c r="N863" s="28" t="s">
        <v>22</v>
      </c>
      <c r="O863" s="2" t="s">
        <v>105</v>
      </c>
    </row>
    <row r="864" spans="1:15">
      <c r="A864" s="71">
        <v>2023</v>
      </c>
      <c r="B864" s="16" t="s">
        <v>1295</v>
      </c>
      <c r="C864" s="73" t="s">
        <v>1315</v>
      </c>
      <c r="D864" s="2" t="s">
        <v>94</v>
      </c>
      <c r="E864" s="2" t="s">
        <v>1317</v>
      </c>
      <c r="F864" s="9">
        <v>200</v>
      </c>
      <c r="G864" s="1" t="s">
        <v>19</v>
      </c>
      <c r="H864" s="8">
        <v>7.85</v>
      </c>
      <c r="I864" s="44">
        <f t="shared" si="52"/>
        <v>1570</v>
      </c>
      <c r="J864" s="539">
        <v>7.47</v>
      </c>
      <c r="K864" s="521">
        <f t="shared" si="53"/>
        <v>0.37999999999999989</v>
      </c>
      <c r="L864" s="522">
        <f t="shared" si="54"/>
        <v>75.999999999999972</v>
      </c>
      <c r="M864" s="523">
        <f t="shared" si="55"/>
        <v>4.84076433121019E-2</v>
      </c>
      <c r="N864" s="28" t="s">
        <v>22</v>
      </c>
      <c r="O864" s="2" t="s">
        <v>105</v>
      </c>
    </row>
    <row r="865" spans="1:15">
      <c r="A865" s="71">
        <v>2023</v>
      </c>
      <c r="B865" s="16" t="s">
        <v>1295</v>
      </c>
      <c r="C865" s="73" t="s">
        <v>1318</v>
      </c>
      <c r="D865" s="2" t="s">
        <v>1042</v>
      </c>
      <c r="E865" s="2" t="s">
        <v>1319</v>
      </c>
      <c r="F865" s="9">
        <v>100</v>
      </c>
      <c r="G865" s="1" t="s">
        <v>37</v>
      </c>
      <c r="H865" s="8">
        <v>564</v>
      </c>
      <c r="I865" s="44">
        <f t="shared" si="52"/>
        <v>56400</v>
      </c>
      <c r="J865" s="539">
        <v>356</v>
      </c>
      <c r="K865" s="521">
        <f t="shared" si="53"/>
        <v>208</v>
      </c>
      <c r="L865" s="522">
        <f t="shared" si="54"/>
        <v>20800</v>
      </c>
      <c r="M865" s="523">
        <f t="shared" si="55"/>
        <v>0.36879432624113473</v>
      </c>
      <c r="N865" s="28" t="s">
        <v>22</v>
      </c>
      <c r="O865" s="2" t="s">
        <v>105</v>
      </c>
    </row>
    <row r="866" spans="1:15">
      <c r="A866" s="71">
        <v>2023</v>
      </c>
      <c r="B866" s="16" t="s">
        <v>1295</v>
      </c>
      <c r="C866" s="73" t="s">
        <v>1320</v>
      </c>
      <c r="D866" s="2" t="s">
        <v>1042</v>
      </c>
      <c r="E866" s="2" t="s">
        <v>42</v>
      </c>
      <c r="F866" s="9">
        <v>378</v>
      </c>
      <c r="G866" s="1" t="s">
        <v>37</v>
      </c>
      <c r="H866" s="8">
        <v>366</v>
      </c>
      <c r="I866" s="44">
        <f t="shared" si="52"/>
        <v>138348</v>
      </c>
      <c r="J866" s="539">
        <v>329</v>
      </c>
      <c r="K866" s="521">
        <f t="shared" si="53"/>
        <v>37</v>
      </c>
      <c r="L866" s="522">
        <f t="shared" si="54"/>
        <v>13986</v>
      </c>
      <c r="M866" s="523">
        <f t="shared" si="55"/>
        <v>0.10109289617486339</v>
      </c>
      <c r="N866" s="28" t="s">
        <v>22</v>
      </c>
      <c r="O866" s="2" t="s">
        <v>105</v>
      </c>
    </row>
    <row r="867" spans="1:15">
      <c r="A867" s="71">
        <v>2023</v>
      </c>
      <c r="B867" s="16" t="s">
        <v>1295</v>
      </c>
      <c r="C867" s="73" t="s">
        <v>1321</v>
      </c>
      <c r="D867" s="2" t="s">
        <v>1042</v>
      </c>
      <c r="E867" s="2" t="s">
        <v>216</v>
      </c>
      <c r="F867" s="9">
        <v>422</v>
      </c>
      <c r="G867" s="1" t="s">
        <v>37</v>
      </c>
      <c r="H867" s="8">
        <v>366</v>
      </c>
      <c r="I867" s="44">
        <f t="shared" si="52"/>
        <v>154452</v>
      </c>
      <c r="J867" s="539">
        <v>329</v>
      </c>
      <c r="K867" s="521">
        <f t="shared" si="53"/>
        <v>37</v>
      </c>
      <c r="L867" s="522">
        <f t="shared" si="54"/>
        <v>15614</v>
      </c>
      <c r="M867" s="523">
        <f t="shared" si="55"/>
        <v>0.10109289617486339</v>
      </c>
      <c r="N867" s="28" t="s">
        <v>22</v>
      </c>
      <c r="O867" s="2" t="s">
        <v>105</v>
      </c>
    </row>
    <row r="868" spans="1:15">
      <c r="A868" s="71">
        <v>2023</v>
      </c>
      <c r="B868" s="16" t="s">
        <v>1295</v>
      </c>
      <c r="C868" s="73" t="s">
        <v>1322</v>
      </c>
      <c r="D868" s="2" t="s">
        <v>1000</v>
      </c>
      <c r="E868" s="2" t="s">
        <v>1323</v>
      </c>
      <c r="F868" s="9">
        <v>1</v>
      </c>
      <c r="G868" s="1" t="s">
        <v>302</v>
      </c>
      <c r="H868" s="8">
        <v>2995</v>
      </c>
      <c r="I868" s="44">
        <f t="shared" si="52"/>
        <v>2995</v>
      </c>
      <c r="J868" s="539">
        <v>2250</v>
      </c>
      <c r="K868" s="521">
        <f t="shared" si="53"/>
        <v>745</v>
      </c>
      <c r="L868" s="522">
        <f t="shared" si="54"/>
        <v>745</v>
      </c>
      <c r="M868" s="523">
        <f t="shared" si="55"/>
        <v>0.24874791318864775</v>
      </c>
      <c r="N868" s="28" t="s">
        <v>22</v>
      </c>
      <c r="O868" s="2" t="s">
        <v>105</v>
      </c>
    </row>
    <row r="869" spans="1:15">
      <c r="A869" s="71">
        <v>2023</v>
      </c>
      <c r="B869" s="16" t="s">
        <v>1295</v>
      </c>
      <c r="C869" s="61" t="s">
        <v>1324</v>
      </c>
      <c r="D869" s="32" t="s">
        <v>430</v>
      </c>
      <c r="E869" s="43" t="s">
        <v>1325</v>
      </c>
      <c r="F869" s="54">
        <v>200</v>
      </c>
      <c r="G869" s="45" t="s">
        <v>19</v>
      </c>
      <c r="H869" s="49">
        <v>3</v>
      </c>
      <c r="I869" s="44">
        <f t="shared" si="52"/>
        <v>600</v>
      </c>
      <c r="J869" s="518">
        <v>2</v>
      </c>
      <c r="K869" s="532">
        <f t="shared" si="53"/>
        <v>1</v>
      </c>
      <c r="L869" s="545">
        <f t="shared" si="54"/>
        <v>200</v>
      </c>
      <c r="M869" s="523">
        <f t="shared" si="55"/>
        <v>0.33333333333333331</v>
      </c>
      <c r="N869" s="28" t="s">
        <v>22</v>
      </c>
      <c r="O869" s="2" t="s">
        <v>21</v>
      </c>
    </row>
    <row r="870" spans="1:15">
      <c r="A870" s="71">
        <v>2023</v>
      </c>
      <c r="B870" s="16" t="s">
        <v>1295</v>
      </c>
      <c r="C870" s="62" t="s">
        <v>1326</v>
      </c>
      <c r="D870" s="47" t="s">
        <v>926</v>
      </c>
      <c r="E870" s="47" t="s">
        <v>123</v>
      </c>
      <c r="F870" s="51">
        <v>50</v>
      </c>
      <c r="G870" s="45" t="s">
        <v>19</v>
      </c>
      <c r="H870" s="44">
        <v>110</v>
      </c>
      <c r="I870" s="44">
        <f t="shared" si="52"/>
        <v>5500</v>
      </c>
      <c r="J870" s="544">
        <v>78</v>
      </c>
      <c r="K870" s="529">
        <f t="shared" si="53"/>
        <v>32</v>
      </c>
      <c r="L870" s="533">
        <f t="shared" si="54"/>
        <v>1600</v>
      </c>
      <c r="M870" s="531">
        <f t="shared" si="55"/>
        <v>0.29090909090909089</v>
      </c>
      <c r="N870" s="125" t="s">
        <v>22</v>
      </c>
      <c r="O870" s="32" t="s">
        <v>21</v>
      </c>
    </row>
    <row r="871" spans="1:15">
      <c r="A871" s="71">
        <v>2023</v>
      </c>
      <c r="B871" s="16" t="s">
        <v>1295</v>
      </c>
      <c r="C871" s="62" t="s">
        <v>1326</v>
      </c>
      <c r="D871" s="47" t="s">
        <v>926</v>
      </c>
      <c r="E871" s="47" t="s">
        <v>122</v>
      </c>
      <c r="F871" s="51">
        <v>50</v>
      </c>
      <c r="G871" s="42" t="s">
        <v>19</v>
      </c>
      <c r="H871" s="44">
        <v>150</v>
      </c>
      <c r="I871" s="44">
        <f t="shared" si="52"/>
        <v>7500</v>
      </c>
      <c r="J871" s="544">
        <v>147</v>
      </c>
      <c r="K871" s="529">
        <f t="shared" si="53"/>
        <v>3</v>
      </c>
      <c r="L871" s="533">
        <f t="shared" si="54"/>
        <v>150</v>
      </c>
      <c r="M871" s="531">
        <f t="shared" si="55"/>
        <v>0.02</v>
      </c>
      <c r="N871" s="84" t="s">
        <v>22</v>
      </c>
      <c r="O871" s="47" t="s">
        <v>21</v>
      </c>
    </row>
    <row r="872" spans="1:15">
      <c r="A872" s="71">
        <v>2023</v>
      </c>
      <c r="B872" s="16" t="s">
        <v>1295</v>
      </c>
      <c r="C872" s="62" t="s">
        <v>1327</v>
      </c>
      <c r="D872" s="47" t="s">
        <v>253</v>
      </c>
      <c r="E872" s="47" t="s">
        <v>1328</v>
      </c>
      <c r="F872" s="51">
        <v>1</v>
      </c>
      <c r="G872" s="42" t="s">
        <v>19</v>
      </c>
      <c r="H872" s="44">
        <v>4290</v>
      </c>
      <c r="I872" s="44">
        <f t="shared" si="52"/>
        <v>4290</v>
      </c>
      <c r="J872" s="544">
        <v>3990</v>
      </c>
      <c r="K872" s="529">
        <f t="shared" si="53"/>
        <v>300</v>
      </c>
      <c r="L872" s="533">
        <f t="shared" si="54"/>
        <v>300</v>
      </c>
      <c r="M872" s="531">
        <f t="shared" si="55"/>
        <v>6.9930069930069935E-2</v>
      </c>
      <c r="N872" s="84" t="s">
        <v>22</v>
      </c>
      <c r="O872" s="47" t="s">
        <v>21</v>
      </c>
    </row>
    <row r="873" spans="1:15">
      <c r="A873" s="71">
        <v>2023</v>
      </c>
      <c r="B873" s="16" t="s">
        <v>1295</v>
      </c>
      <c r="C873" s="62" t="s">
        <v>1329</v>
      </c>
      <c r="D873" s="47" t="s">
        <v>118</v>
      </c>
      <c r="E873" s="47" t="s">
        <v>1330</v>
      </c>
      <c r="F873" s="51">
        <v>1</v>
      </c>
      <c r="G873" s="42" t="s">
        <v>19</v>
      </c>
      <c r="H873" s="44">
        <v>18350</v>
      </c>
      <c r="I873" s="44">
        <f t="shared" si="52"/>
        <v>18350</v>
      </c>
      <c r="J873" s="544">
        <v>18150</v>
      </c>
      <c r="K873" s="529">
        <f t="shared" si="53"/>
        <v>200</v>
      </c>
      <c r="L873" s="533">
        <f t="shared" si="54"/>
        <v>200</v>
      </c>
      <c r="M873" s="531">
        <f t="shared" si="55"/>
        <v>1.0899182561307902E-2</v>
      </c>
      <c r="N873" s="84" t="s">
        <v>22</v>
      </c>
      <c r="O873" s="47" t="s">
        <v>21</v>
      </c>
    </row>
    <row r="874" spans="1:15">
      <c r="A874" s="71">
        <v>2023</v>
      </c>
      <c r="B874" s="16" t="s">
        <v>1295</v>
      </c>
      <c r="C874" s="62" t="s">
        <v>1331</v>
      </c>
      <c r="D874" s="47" t="s">
        <v>1332</v>
      </c>
      <c r="E874" s="47" t="s">
        <v>1333</v>
      </c>
      <c r="F874" s="51">
        <v>1</v>
      </c>
      <c r="G874" s="42" t="s">
        <v>569</v>
      </c>
      <c r="H874" s="44">
        <v>141000</v>
      </c>
      <c r="I874" s="44">
        <f t="shared" si="52"/>
        <v>141000</v>
      </c>
      <c r="J874" s="544">
        <v>134000</v>
      </c>
      <c r="K874" s="529">
        <f t="shared" si="53"/>
        <v>7000</v>
      </c>
      <c r="L874" s="533">
        <f t="shared" si="54"/>
        <v>7000</v>
      </c>
      <c r="M874" s="531">
        <f t="shared" si="55"/>
        <v>4.9645390070921988E-2</v>
      </c>
      <c r="N874" s="84" t="s">
        <v>38</v>
      </c>
      <c r="O874" s="47" t="s">
        <v>21</v>
      </c>
    </row>
    <row r="875" spans="1:15">
      <c r="A875" s="71">
        <v>2023</v>
      </c>
      <c r="B875" s="16" t="s">
        <v>1295</v>
      </c>
      <c r="C875" s="62" t="s">
        <v>1334</v>
      </c>
      <c r="D875" s="47" t="s">
        <v>1332</v>
      </c>
      <c r="E875" s="47" t="s">
        <v>1335</v>
      </c>
      <c r="F875" s="51">
        <v>1</v>
      </c>
      <c r="G875" s="42" t="s">
        <v>569</v>
      </c>
      <c r="H875" s="44">
        <v>17000</v>
      </c>
      <c r="I875" s="44">
        <f t="shared" si="52"/>
        <v>17000</v>
      </c>
      <c r="J875" s="544">
        <v>16700</v>
      </c>
      <c r="K875" s="529">
        <f t="shared" si="53"/>
        <v>300</v>
      </c>
      <c r="L875" s="533">
        <f t="shared" si="54"/>
        <v>300</v>
      </c>
      <c r="M875" s="531">
        <f t="shared" si="55"/>
        <v>1.7647058823529412E-2</v>
      </c>
      <c r="N875" s="84" t="s">
        <v>38</v>
      </c>
      <c r="O875" s="47" t="s">
        <v>21</v>
      </c>
    </row>
    <row r="876" spans="1:15">
      <c r="A876" s="71">
        <v>2023</v>
      </c>
      <c r="B876" s="16" t="s">
        <v>1295</v>
      </c>
      <c r="C876" s="62" t="s">
        <v>1336</v>
      </c>
      <c r="D876" s="47" t="s">
        <v>1337</v>
      </c>
      <c r="E876" s="47" t="s">
        <v>1338</v>
      </c>
      <c r="F876" s="51">
        <v>4</v>
      </c>
      <c r="G876" s="42" t="s">
        <v>19</v>
      </c>
      <c r="H876" s="44">
        <v>940</v>
      </c>
      <c r="I876" s="44">
        <f t="shared" si="52"/>
        <v>3760</v>
      </c>
      <c r="J876" s="544">
        <v>890</v>
      </c>
      <c r="K876" s="529">
        <f t="shared" si="53"/>
        <v>50</v>
      </c>
      <c r="L876" s="533">
        <f t="shared" si="54"/>
        <v>200</v>
      </c>
      <c r="M876" s="531">
        <f t="shared" si="55"/>
        <v>5.3191489361702128E-2</v>
      </c>
      <c r="N876" s="84" t="s">
        <v>20</v>
      </c>
      <c r="O876" s="47" t="s">
        <v>21</v>
      </c>
    </row>
    <row r="877" spans="1:15">
      <c r="A877" s="71">
        <v>2023</v>
      </c>
      <c r="B877" s="16" t="s">
        <v>1295</v>
      </c>
      <c r="C877" s="62" t="s">
        <v>1336</v>
      </c>
      <c r="D877" s="47" t="s">
        <v>1337</v>
      </c>
      <c r="E877" s="47" t="s">
        <v>1339</v>
      </c>
      <c r="F877" s="51">
        <v>3</v>
      </c>
      <c r="G877" s="42" t="s">
        <v>19</v>
      </c>
      <c r="H877" s="44">
        <v>940</v>
      </c>
      <c r="I877" s="44">
        <f t="shared" si="52"/>
        <v>2820</v>
      </c>
      <c r="J877" s="544">
        <v>890</v>
      </c>
      <c r="K877" s="529">
        <f t="shared" si="53"/>
        <v>50</v>
      </c>
      <c r="L877" s="533">
        <f t="shared" si="54"/>
        <v>150</v>
      </c>
      <c r="M877" s="531">
        <f t="shared" si="55"/>
        <v>5.3191489361702128E-2</v>
      </c>
      <c r="N877" s="84" t="s">
        <v>20</v>
      </c>
      <c r="O877" s="47" t="s">
        <v>21</v>
      </c>
    </row>
    <row r="878" spans="1:15">
      <c r="A878" s="71">
        <v>2023</v>
      </c>
      <c r="B878" s="16" t="s">
        <v>1295</v>
      </c>
      <c r="C878" s="62" t="s">
        <v>1336</v>
      </c>
      <c r="D878" s="47" t="s">
        <v>1337</v>
      </c>
      <c r="E878" s="47" t="s">
        <v>1340</v>
      </c>
      <c r="F878" s="51">
        <v>2</v>
      </c>
      <c r="G878" s="42" t="s">
        <v>19</v>
      </c>
      <c r="H878" s="44">
        <v>1290</v>
      </c>
      <c r="I878" s="44">
        <f t="shared" si="52"/>
        <v>2580</v>
      </c>
      <c r="J878" s="544">
        <v>1090</v>
      </c>
      <c r="K878" s="529">
        <f t="shared" si="53"/>
        <v>200</v>
      </c>
      <c r="L878" s="533">
        <f t="shared" si="54"/>
        <v>400</v>
      </c>
      <c r="M878" s="531">
        <f t="shared" si="55"/>
        <v>0.15503875968992248</v>
      </c>
      <c r="N878" s="84" t="s">
        <v>20</v>
      </c>
      <c r="O878" s="47" t="s">
        <v>21</v>
      </c>
    </row>
    <row r="879" spans="1:15">
      <c r="A879" s="71">
        <v>2023</v>
      </c>
      <c r="B879" s="16" t="s">
        <v>1295</v>
      </c>
      <c r="C879" s="62" t="s">
        <v>1341</v>
      </c>
      <c r="D879" s="47" t="s">
        <v>24</v>
      </c>
      <c r="E879" s="47" t="s">
        <v>1342</v>
      </c>
      <c r="F879" s="51">
        <v>5</v>
      </c>
      <c r="G879" s="42" t="s">
        <v>19</v>
      </c>
      <c r="H879" s="44">
        <v>24500</v>
      </c>
      <c r="I879" s="44">
        <f t="shared" si="52"/>
        <v>122500</v>
      </c>
      <c r="J879" s="544">
        <v>23600</v>
      </c>
      <c r="K879" s="529">
        <f t="shared" si="53"/>
        <v>900</v>
      </c>
      <c r="L879" s="533">
        <f t="shared" si="54"/>
        <v>4500</v>
      </c>
      <c r="M879" s="531">
        <f t="shared" si="55"/>
        <v>3.6734693877551024E-2</v>
      </c>
      <c r="N879" s="84" t="s">
        <v>22</v>
      </c>
      <c r="O879" s="47" t="s">
        <v>21</v>
      </c>
    </row>
    <row r="880" spans="1:15">
      <c r="A880" s="71">
        <v>2023</v>
      </c>
      <c r="B880" s="16" t="s">
        <v>1295</v>
      </c>
      <c r="C880" s="62" t="s">
        <v>1343</v>
      </c>
      <c r="D880" s="47" t="s">
        <v>118</v>
      </c>
      <c r="E880" s="47" t="s">
        <v>1344</v>
      </c>
      <c r="F880" s="51">
        <v>3</v>
      </c>
      <c r="G880" s="42" t="s">
        <v>19</v>
      </c>
      <c r="H880" s="44">
        <v>3950</v>
      </c>
      <c r="I880" s="44">
        <f t="shared" si="52"/>
        <v>11850</v>
      </c>
      <c r="J880" s="544">
        <v>3670</v>
      </c>
      <c r="K880" s="529">
        <f t="shared" si="53"/>
        <v>280</v>
      </c>
      <c r="L880" s="533">
        <f t="shared" si="54"/>
        <v>840</v>
      </c>
      <c r="M880" s="531">
        <f t="shared" si="55"/>
        <v>7.0886075949367092E-2</v>
      </c>
      <c r="N880" s="84" t="s">
        <v>22</v>
      </c>
      <c r="O880" s="47" t="s">
        <v>21</v>
      </c>
    </row>
    <row r="881" spans="1:15">
      <c r="A881" s="71">
        <v>2023</v>
      </c>
      <c r="B881" s="16" t="s">
        <v>1295</v>
      </c>
      <c r="C881" s="62" t="s">
        <v>1345</v>
      </c>
      <c r="D881" s="47" t="s">
        <v>24</v>
      </c>
      <c r="E881" s="47" t="s">
        <v>1346</v>
      </c>
      <c r="F881" s="51">
        <v>2</v>
      </c>
      <c r="G881" s="42" t="s">
        <v>19</v>
      </c>
      <c r="H881" s="44">
        <v>2500</v>
      </c>
      <c r="I881" s="44">
        <f t="shared" si="52"/>
        <v>5000</v>
      </c>
      <c r="J881" s="544">
        <v>2200</v>
      </c>
      <c r="K881" s="529">
        <f t="shared" si="53"/>
        <v>300</v>
      </c>
      <c r="L881" s="533">
        <f t="shared" si="54"/>
        <v>600</v>
      </c>
      <c r="M881" s="531">
        <f t="shared" si="55"/>
        <v>0.12</v>
      </c>
      <c r="N881" s="84" t="s">
        <v>22</v>
      </c>
      <c r="O881" s="47" t="s">
        <v>21</v>
      </c>
    </row>
    <row r="882" spans="1:15">
      <c r="A882" s="71">
        <v>2023</v>
      </c>
      <c r="B882" s="16" t="s">
        <v>1295</v>
      </c>
      <c r="C882" s="62" t="s">
        <v>1347</v>
      </c>
      <c r="D882" s="47" t="s">
        <v>17</v>
      </c>
      <c r="E882" s="47" t="s">
        <v>1348</v>
      </c>
      <c r="F882" s="51">
        <v>1</v>
      </c>
      <c r="G882" s="42" t="s">
        <v>19</v>
      </c>
      <c r="H882" s="44">
        <v>17500</v>
      </c>
      <c r="I882" s="44">
        <f t="shared" si="52"/>
        <v>17500</v>
      </c>
      <c r="J882" s="544">
        <v>15000</v>
      </c>
      <c r="K882" s="529">
        <f t="shared" si="53"/>
        <v>2500</v>
      </c>
      <c r="L882" s="533">
        <f t="shared" si="54"/>
        <v>2500</v>
      </c>
      <c r="M882" s="531">
        <f t="shared" si="55"/>
        <v>0.14285714285714285</v>
      </c>
      <c r="N882" s="84" t="s">
        <v>22</v>
      </c>
      <c r="O882" s="47" t="s">
        <v>21</v>
      </c>
    </row>
    <row r="883" spans="1:15">
      <c r="A883" s="71">
        <v>2023</v>
      </c>
      <c r="B883" s="16" t="s">
        <v>1295</v>
      </c>
      <c r="C883" s="62" t="s">
        <v>1347</v>
      </c>
      <c r="D883" s="47" t="s">
        <v>17</v>
      </c>
      <c r="E883" s="47" t="s">
        <v>1349</v>
      </c>
      <c r="F883" s="51">
        <v>1</v>
      </c>
      <c r="G883" s="42" t="s">
        <v>19</v>
      </c>
      <c r="H883" s="44">
        <v>1849</v>
      </c>
      <c r="I883" s="44">
        <f t="shared" si="52"/>
        <v>1849</v>
      </c>
      <c r="J883" s="544">
        <v>1550</v>
      </c>
      <c r="K883" s="529">
        <f t="shared" si="53"/>
        <v>299</v>
      </c>
      <c r="L883" s="533">
        <f t="shared" si="54"/>
        <v>299</v>
      </c>
      <c r="M883" s="531">
        <f t="shared" si="55"/>
        <v>0.16170903190914007</v>
      </c>
      <c r="N883" s="84" t="s">
        <v>22</v>
      </c>
      <c r="O883" s="47" t="s">
        <v>21</v>
      </c>
    </row>
    <row r="884" spans="1:15">
      <c r="A884" s="71">
        <v>2023</v>
      </c>
      <c r="B884" s="16" t="s">
        <v>1295</v>
      </c>
      <c r="C884" s="62" t="s">
        <v>1350</v>
      </c>
      <c r="D884" s="47" t="s">
        <v>17</v>
      </c>
      <c r="E884" s="47" t="s">
        <v>1351</v>
      </c>
      <c r="F884" s="51">
        <v>1</v>
      </c>
      <c r="G884" s="42" t="s">
        <v>19</v>
      </c>
      <c r="H884" s="44">
        <v>4200</v>
      </c>
      <c r="I884" s="44">
        <f t="shared" si="52"/>
        <v>4200</v>
      </c>
      <c r="J884" s="544">
        <v>4000</v>
      </c>
      <c r="K884" s="529">
        <f t="shared" si="53"/>
        <v>200</v>
      </c>
      <c r="L884" s="533">
        <f t="shared" si="54"/>
        <v>200</v>
      </c>
      <c r="M884" s="531">
        <f t="shared" si="55"/>
        <v>4.7619047619047616E-2</v>
      </c>
      <c r="N884" s="84" t="s">
        <v>22</v>
      </c>
      <c r="O884" s="47" t="s">
        <v>21</v>
      </c>
    </row>
    <row r="885" spans="1:15">
      <c r="A885" s="71">
        <v>2023</v>
      </c>
      <c r="B885" s="16" t="s">
        <v>1295</v>
      </c>
      <c r="C885" s="62" t="s">
        <v>1352</v>
      </c>
      <c r="D885" s="47" t="s">
        <v>1353</v>
      </c>
      <c r="E885" s="47" t="s">
        <v>1354</v>
      </c>
      <c r="F885" s="51">
        <v>9</v>
      </c>
      <c r="G885" s="42" t="s">
        <v>19</v>
      </c>
      <c r="H885" s="44">
        <v>2950</v>
      </c>
      <c r="I885" s="44">
        <f t="shared" si="52"/>
        <v>26550</v>
      </c>
      <c r="J885" s="544">
        <v>2455</v>
      </c>
      <c r="K885" s="529">
        <f t="shared" si="53"/>
        <v>495</v>
      </c>
      <c r="L885" s="533">
        <f t="shared" si="54"/>
        <v>4455</v>
      </c>
      <c r="M885" s="531">
        <f t="shared" si="55"/>
        <v>0.16779661016949152</v>
      </c>
      <c r="N885" s="84" t="s">
        <v>22</v>
      </c>
      <c r="O885" s="47" t="s">
        <v>21</v>
      </c>
    </row>
    <row r="886" spans="1:15">
      <c r="A886" s="71">
        <v>2023</v>
      </c>
      <c r="B886" s="16" t="s">
        <v>1295</v>
      </c>
      <c r="C886" s="429" t="s">
        <v>1355</v>
      </c>
      <c r="D886" s="88" t="s">
        <v>174</v>
      </c>
      <c r="E886" s="88" t="s">
        <v>1173</v>
      </c>
      <c r="F886" s="51">
        <v>2000</v>
      </c>
      <c r="G886" s="42" t="s">
        <v>19</v>
      </c>
      <c r="H886" s="44">
        <v>2.8</v>
      </c>
      <c r="I886" s="44">
        <f t="shared" si="52"/>
        <v>5600</v>
      </c>
      <c r="J886" s="544">
        <v>2</v>
      </c>
      <c r="K886" s="529">
        <f t="shared" si="53"/>
        <v>0.79999999999999982</v>
      </c>
      <c r="L886" s="533">
        <f t="shared" si="54"/>
        <v>1599.9999999999995</v>
      </c>
      <c r="M886" s="531">
        <f t="shared" si="55"/>
        <v>0.28571428571428564</v>
      </c>
      <c r="N886" s="84" t="s">
        <v>22</v>
      </c>
      <c r="O886" s="47" t="s">
        <v>21</v>
      </c>
    </row>
    <row r="887" spans="1:15">
      <c r="A887" s="71">
        <v>2023</v>
      </c>
      <c r="B887" s="16" t="s">
        <v>1295</v>
      </c>
      <c r="C887" s="429" t="s">
        <v>1355</v>
      </c>
      <c r="D887" s="88" t="s">
        <v>174</v>
      </c>
      <c r="E887" s="88" t="s">
        <v>1356</v>
      </c>
      <c r="F887" s="51">
        <v>1000</v>
      </c>
      <c r="G887" s="42" t="s">
        <v>19</v>
      </c>
      <c r="H887" s="44">
        <v>45</v>
      </c>
      <c r="I887" s="44">
        <f t="shared" si="52"/>
        <v>45000</v>
      </c>
      <c r="J887" s="544">
        <v>35</v>
      </c>
      <c r="K887" s="529">
        <f t="shared" si="53"/>
        <v>10</v>
      </c>
      <c r="L887" s="533">
        <f t="shared" si="54"/>
        <v>10000</v>
      </c>
      <c r="M887" s="531">
        <f t="shared" si="55"/>
        <v>0.22222222222222221</v>
      </c>
      <c r="N887" s="84" t="s">
        <v>22</v>
      </c>
      <c r="O887" s="47" t="s">
        <v>21</v>
      </c>
    </row>
    <row r="888" spans="1:15">
      <c r="A888" s="71">
        <v>2023</v>
      </c>
      <c r="B888" s="16" t="s">
        <v>1295</v>
      </c>
      <c r="C888" s="62" t="s">
        <v>1357</v>
      </c>
      <c r="D888" s="47" t="s">
        <v>94</v>
      </c>
      <c r="E888" s="47" t="s">
        <v>101</v>
      </c>
      <c r="F888" s="51">
        <v>20</v>
      </c>
      <c r="G888" s="42" t="s">
        <v>29</v>
      </c>
      <c r="H888" s="44">
        <v>720</v>
      </c>
      <c r="I888" s="44">
        <f t="shared" si="52"/>
        <v>14400</v>
      </c>
      <c r="J888" s="544">
        <v>600</v>
      </c>
      <c r="K888" s="529">
        <f t="shared" si="53"/>
        <v>120</v>
      </c>
      <c r="L888" s="533">
        <f t="shared" si="54"/>
        <v>2400</v>
      </c>
      <c r="M888" s="531">
        <f t="shared" si="55"/>
        <v>0.16666666666666666</v>
      </c>
      <c r="N888" s="84" t="s">
        <v>22</v>
      </c>
      <c r="O888" s="47" t="s">
        <v>21</v>
      </c>
    </row>
    <row r="889" spans="1:15">
      <c r="A889" s="71">
        <v>2023</v>
      </c>
      <c r="B889" s="16" t="s">
        <v>1295</v>
      </c>
      <c r="C889" s="62" t="s">
        <v>1358</v>
      </c>
      <c r="D889" s="47" t="s">
        <v>1359</v>
      </c>
      <c r="E889" s="47" t="s">
        <v>1360</v>
      </c>
      <c r="F889" s="51">
        <v>1</v>
      </c>
      <c r="G889" s="42" t="s">
        <v>59</v>
      </c>
      <c r="H889" s="44">
        <v>148000</v>
      </c>
      <c r="I889" s="44">
        <f t="shared" si="52"/>
        <v>148000</v>
      </c>
      <c r="J889" s="544">
        <v>142000</v>
      </c>
      <c r="K889" s="529">
        <f t="shared" si="53"/>
        <v>6000</v>
      </c>
      <c r="L889" s="533">
        <f t="shared" si="54"/>
        <v>6000</v>
      </c>
      <c r="M889" s="531">
        <f t="shared" si="55"/>
        <v>4.0540540540540543E-2</v>
      </c>
      <c r="N889" s="84" t="s">
        <v>22</v>
      </c>
      <c r="O889" s="47" t="s">
        <v>21</v>
      </c>
    </row>
    <row r="890" spans="1:15">
      <c r="A890" s="71">
        <v>2023</v>
      </c>
      <c r="B890" s="16" t="s">
        <v>1295</v>
      </c>
      <c r="C890" s="62" t="s">
        <v>1361</v>
      </c>
      <c r="D890" s="47" t="s">
        <v>103</v>
      </c>
      <c r="E890" s="47" t="s">
        <v>1362</v>
      </c>
      <c r="F890" s="51">
        <v>1</v>
      </c>
      <c r="G890" s="42" t="s">
        <v>285</v>
      </c>
      <c r="H890" s="44">
        <v>38000</v>
      </c>
      <c r="I890" s="44">
        <f t="shared" si="52"/>
        <v>38000</v>
      </c>
      <c r="J890" s="544">
        <v>37000</v>
      </c>
      <c r="K890" s="529">
        <f t="shared" si="53"/>
        <v>1000</v>
      </c>
      <c r="L890" s="533">
        <f t="shared" si="54"/>
        <v>1000</v>
      </c>
      <c r="M890" s="531">
        <f t="shared" si="55"/>
        <v>2.6315789473684209E-2</v>
      </c>
      <c r="N890" s="84" t="s">
        <v>22</v>
      </c>
      <c r="O890" s="47" t="s">
        <v>105</v>
      </c>
    </row>
    <row r="891" spans="1:15">
      <c r="A891" s="71">
        <v>2023</v>
      </c>
      <c r="B891" s="16" t="s">
        <v>1295</v>
      </c>
      <c r="C891" s="62" t="s">
        <v>1363</v>
      </c>
      <c r="D891" s="47" t="s">
        <v>68</v>
      </c>
      <c r="E891" s="47" t="s">
        <v>755</v>
      </c>
      <c r="F891" s="51">
        <v>1152.2</v>
      </c>
      <c r="G891" s="42" t="s">
        <v>37</v>
      </c>
      <c r="H891" s="44">
        <v>345</v>
      </c>
      <c r="I891" s="44">
        <f t="shared" si="52"/>
        <v>397509</v>
      </c>
      <c r="J891" s="544">
        <v>338</v>
      </c>
      <c r="K891" s="529">
        <f t="shared" si="53"/>
        <v>7</v>
      </c>
      <c r="L891" s="533">
        <f t="shared" si="54"/>
        <v>8065.4000000000005</v>
      </c>
      <c r="M891" s="531">
        <f t="shared" si="55"/>
        <v>2.0289855072463767E-2</v>
      </c>
      <c r="N891" s="84" t="s">
        <v>22</v>
      </c>
      <c r="O891" s="47" t="s">
        <v>105</v>
      </c>
    </row>
    <row r="892" spans="1:15">
      <c r="A892" s="71">
        <v>2023</v>
      </c>
      <c r="B892" s="16" t="s">
        <v>1295</v>
      </c>
      <c r="C892" s="62" t="s">
        <v>1364</v>
      </c>
      <c r="D892" s="47" t="s">
        <v>1042</v>
      </c>
      <c r="E892" s="47" t="s">
        <v>1141</v>
      </c>
      <c r="F892" s="51">
        <v>200</v>
      </c>
      <c r="G892" s="42" t="s">
        <v>37</v>
      </c>
      <c r="H892" s="44">
        <v>366</v>
      </c>
      <c r="I892" s="44">
        <f t="shared" si="52"/>
        <v>73200</v>
      </c>
      <c r="J892" s="544">
        <v>346</v>
      </c>
      <c r="K892" s="529">
        <f t="shared" si="53"/>
        <v>20</v>
      </c>
      <c r="L892" s="533">
        <f>I892-K892</f>
        <v>73180</v>
      </c>
      <c r="M892" s="531">
        <f t="shared" si="55"/>
        <v>5.4644808743169397E-2</v>
      </c>
      <c r="N892" s="47" t="s">
        <v>22</v>
      </c>
      <c r="O892" s="47" t="s">
        <v>105</v>
      </c>
    </row>
    <row r="893" spans="1:15">
      <c r="A893" s="71">
        <v>2023</v>
      </c>
      <c r="B893" s="16" t="s">
        <v>1295</v>
      </c>
      <c r="C893" s="62" t="s">
        <v>1365</v>
      </c>
      <c r="D893" s="47" t="s">
        <v>1366</v>
      </c>
      <c r="E893" s="47" t="s">
        <v>1367</v>
      </c>
      <c r="F893" s="51">
        <v>40</v>
      </c>
      <c r="G893" s="42" t="s">
        <v>1368</v>
      </c>
      <c r="H893" s="44">
        <v>2102</v>
      </c>
      <c r="I893" s="44">
        <f t="shared" si="52"/>
        <v>84080</v>
      </c>
      <c r="J893" s="544">
        <v>2090</v>
      </c>
      <c r="K893" s="529">
        <f t="shared" si="53"/>
        <v>12</v>
      </c>
      <c r="L893" s="532">
        <f>I893-K893</f>
        <v>84068</v>
      </c>
      <c r="M893" s="531">
        <f t="shared" si="55"/>
        <v>5.708848715509039E-3</v>
      </c>
      <c r="N893" s="84" t="s">
        <v>38</v>
      </c>
      <c r="O893" s="47" t="s">
        <v>39</v>
      </c>
    </row>
    <row r="894" spans="1:15">
      <c r="A894" s="71">
        <v>2023</v>
      </c>
      <c r="B894" s="16" t="s">
        <v>1295</v>
      </c>
      <c r="C894" s="62" t="s">
        <v>1369</v>
      </c>
      <c r="D894" s="47" t="s">
        <v>94</v>
      </c>
      <c r="E894" s="47" t="s">
        <v>1038</v>
      </c>
      <c r="F894" s="51">
        <v>1300</v>
      </c>
      <c r="G894" s="42" t="s">
        <v>19</v>
      </c>
      <c r="H894" s="44">
        <v>15.5</v>
      </c>
      <c r="I894" s="44">
        <f t="shared" si="52"/>
        <v>20150</v>
      </c>
      <c r="J894" s="544">
        <v>14.76</v>
      </c>
      <c r="K894" s="529">
        <f t="shared" si="53"/>
        <v>0.74000000000000021</v>
      </c>
      <c r="L894" s="532">
        <f>I894-K894</f>
        <v>20149.259999999998</v>
      </c>
      <c r="M894" s="531">
        <f t="shared" si="55"/>
        <v>4.7741935483870984E-2</v>
      </c>
      <c r="N894" s="47" t="s">
        <v>22</v>
      </c>
      <c r="O894" s="47" t="s">
        <v>105</v>
      </c>
    </row>
    <row r="895" spans="1:15">
      <c r="A895" s="71">
        <v>2023</v>
      </c>
      <c r="B895" s="16" t="s">
        <v>1295</v>
      </c>
      <c r="C895" s="62" t="s">
        <v>1369</v>
      </c>
      <c r="D895" s="47" t="s">
        <v>94</v>
      </c>
      <c r="E895" s="47" t="s">
        <v>1316</v>
      </c>
      <c r="F895" s="51">
        <v>200</v>
      </c>
      <c r="G895" s="42" t="s">
        <v>19</v>
      </c>
      <c r="H895" s="44">
        <v>15.5</v>
      </c>
      <c r="I895" s="44">
        <f t="shared" si="52"/>
        <v>3100</v>
      </c>
      <c r="J895" s="544">
        <v>14.76</v>
      </c>
      <c r="K895" s="529">
        <f t="shared" si="53"/>
        <v>0.74000000000000021</v>
      </c>
      <c r="L895" s="533">
        <f t="shared" ref="L895:L958" si="56">K895*F895</f>
        <v>148.00000000000006</v>
      </c>
      <c r="M895" s="531">
        <f t="shared" si="55"/>
        <v>4.7741935483870984E-2</v>
      </c>
      <c r="N895" s="47" t="s">
        <v>22</v>
      </c>
      <c r="O895" s="47" t="s">
        <v>105</v>
      </c>
    </row>
    <row r="896" spans="1:15">
      <c r="A896" s="71">
        <v>2023</v>
      </c>
      <c r="B896" s="16" t="s">
        <v>1295</v>
      </c>
      <c r="C896" s="62" t="s">
        <v>1369</v>
      </c>
      <c r="D896" s="47" t="s">
        <v>94</v>
      </c>
      <c r="E896" s="47" t="s">
        <v>550</v>
      </c>
      <c r="F896" s="51">
        <v>200</v>
      </c>
      <c r="G896" s="42" t="s">
        <v>19</v>
      </c>
      <c r="H896" s="44">
        <v>49</v>
      </c>
      <c r="I896" s="44">
        <f t="shared" si="52"/>
        <v>9800</v>
      </c>
      <c r="J896" s="544">
        <v>47.56</v>
      </c>
      <c r="K896" s="529">
        <f t="shared" si="53"/>
        <v>1.4399999999999977</v>
      </c>
      <c r="L896" s="533">
        <f t="shared" si="56"/>
        <v>287.99999999999955</v>
      </c>
      <c r="M896" s="531">
        <f t="shared" si="55"/>
        <v>2.938775510204077E-2</v>
      </c>
      <c r="N896" s="47" t="s">
        <v>22</v>
      </c>
      <c r="O896" s="47" t="s">
        <v>105</v>
      </c>
    </row>
    <row r="897" spans="1:15">
      <c r="A897" s="71">
        <v>2023</v>
      </c>
      <c r="B897" s="16" t="s">
        <v>1295</v>
      </c>
      <c r="C897" s="62" t="s">
        <v>1369</v>
      </c>
      <c r="D897" s="47" t="s">
        <v>94</v>
      </c>
      <c r="E897" s="47" t="s">
        <v>456</v>
      </c>
      <c r="F897" s="51">
        <v>600</v>
      </c>
      <c r="G897" s="42" t="s">
        <v>19</v>
      </c>
      <c r="H897" s="44">
        <v>2.65</v>
      </c>
      <c r="I897" s="44">
        <f t="shared" si="52"/>
        <v>1590</v>
      </c>
      <c r="J897" s="544">
        <v>2.5499999999999998</v>
      </c>
      <c r="K897" s="529">
        <f t="shared" si="53"/>
        <v>0.10000000000000009</v>
      </c>
      <c r="L897" s="533">
        <f t="shared" si="56"/>
        <v>60.000000000000057</v>
      </c>
      <c r="M897" s="531">
        <f t="shared" si="55"/>
        <v>3.7735849056603807E-2</v>
      </c>
      <c r="N897" s="47" t="s">
        <v>22</v>
      </c>
      <c r="O897" s="47" t="s">
        <v>105</v>
      </c>
    </row>
    <row r="898" spans="1:15">
      <c r="A898" s="71">
        <v>2023</v>
      </c>
      <c r="B898" s="16" t="s">
        <v>1295</v>
      </c>
      <c r="C898" s="62" t="s">
        <v>1370</v>
      </c>
      <c r="D898" s="47" t="s">
        <v>1042</v>
      </c>
      <c r="E898" s="47" t="s">
        <v>472</v>
      </c>
      <c r="F898" s="51">
        <v>470</v>
      </c>
      <c r="G898" s="42" t="s">
        <v>37</v>
      </c>
      <c r="H898" s="44">
        <v>366</v>
      </c>
      <c r="I898" s="44">
        <f t="shared" si="52"/>
        <v>172020</v>
      </c>
      <c r="J898" s="544">
        <v>329</v>
      </c>
      <c r="K898" s="529">
        <f t="shared" si="53"/>
        <v>37</v>
      </c>
      <c r="L898" s="533">
        <f t="shared" si="56"/>
        <v>17390</v>
      </c>
      <c r="M898" s="531">
        <f t="shared" si="55"/>
        <v>0.10109289617486339</v>
      </c>
      <c r="N898" s="47" t="s">
        <v>22</v>
      </c>
      <c r="O898" s="47" t="s">
        <v>105</v>
      </c>
    </row>
    <row r="899" spans="1:15">
      <c r="A899" s="71">
        <v>2023</v>
      </c>
      <c r="B899" s="16" t="s">
        <v>1295</v>
      </c>
      <c r="C899" s="62" t="s">
        <v>1371</v>
      </c>
      <c r="D899" s="47" t="s">
        <v>1042</v>
      </c>
      <c r="E899" s="47" t="s">
        <v>147</v>
      </c>
      <c r="F899" s="51">
        <v>405</v>
      </c>
      <c r="G899" s="42" t="s">
        <v>37</v>
      </c>
      <c r="H899" s="44">
        <v>366</v>
      </c>
      <c r="I899" s="44">
        <f t="shared" ref="I899:I962" si="57">H899*F899</f>
        <v>148230</v>
      </c>
      <c r="J899" s="544">
        <v>329</v>
      </c>
      <c r="K899" s="529">
        <f t="shared" ref="K899:K962" si="58">H899-J899</f>
        <v>37</v>
      </c>
      <c r="L899" s="533">
        <f t="shared" si="56"/>
        <v>14985</v>
      </c>
      <c r="M899" s="531">
        <f t="shared" ref="M899:M962" si="59">K899/H899</f>
        <v>0.10109289617486339</v>
      </c>
      <c r="N899" s="47" t="s">
        <v>22</v>
      </c>
      <c r="O899" s="47" t="s">
        <v>105</v>
      </c>
    </row>
    <row r="900" spans="1:15">
      <c r="A900" s="71">
        <v>2023</v>
      </c>
      <c r="B900" s="16" t="s">
        <v>1295</v>
      </c>
      <c r="C900" s="62" t="s">
        <v>1372</v>
      </c>
      <c r="D900" s="47" t="s">
        <v>290</v>
      </c>
      <c r="E900" s="47" t="s">
        <v>1373</v>
      </c>
      <c r="F900" s="51">
        <v>1</v>
      </c>
      <c r="G900" s="42" t="s">
        <v>285</v>
      </c>
      <c r="H900" s="44">
        <v>38000</v>
      </c>
      <c r="I900" s="44">
        <f t="shared" si="57"/>
        <v>38000</v>
      </c>
      <c r="J900" s="544">
        <v>37500</v>
      </c>
      <c r="K900" s="529">
        <f t="shared" si="58"/>
        <v>500</v>
      </c>
      <c r="L900" s="533">
        <f t="shared" si="56"/>
        <v>500</v>
      </c>
      <c r="M900" s="531">
        <f t="shared" si="59"/>
        <v>1.3157894736842105E-2</v>
      </c>
      <c r="N900" s="47" t="s">
        <v>22</v>
      </c>
      <c r="O900" s="47" t="s">
        <v>105</v>
      </c>
    </row>
    <row r="901" spans="1:15">
      <c r="A901" s="71">
        <v>2023</v>
      </c>
      <c r="B901" s="16" t="s">
        <v>1295</v>
      </c>
      <c r="C901" s="62" t="s">
        <v>1374</v>
      </c>
      <c r="D901" s="47" t="s">
        <v>1375</v>
      </c>
      <c r="E901" s="47" t="s">
        <v>308</v>
      </c>
      <c r="F901" s="51">
        <v>3000</v>
      </c>
      <c r="G901" s="42" t="s">
        <v>552</v>
      </c>
      <c r="H901" s="44">
        <v>190</v>
      </c>
      <c r="I901" s="44">
        <f t="shared" si="57"/>
        <v>570000</v>
      </c>
      <c r="J901" s="544">
        <v>189.5</v>
      </c>
      <c r="K901" s="529">
        <f t="shared" si="58"/>
        <v>0.5</v>
      </c>
      <c r="L901" s="533">
        <f t="shared" si="56"/>
        <v>1500</v>
      </c>
      <c r="M901" s="531">
        <f t="shared" si="59"/>
        <v>2.631578947368421E-3</v>
      </c>
      <c r="N901" s="84" t="s">
        <v>38</v>
      </c>
      <c r="O901" s="47" t="s">
        <v>105</v>
      </c>
    </row>
    <row r="902" spans="1:15">
      <c r="A902" s="71">
        <v>2023</v>
      </c>
      <c r="B902" s="16" t="s">
        <v>1295</v>
      </c>
      <c r="C902" s="62" t="s">
        <v>1376</v>
      </c>
      <c r="D902" s="47" t="s">
        <v>290</v>
      </c>
      <c r="E902" s="47" t="s">
        <v>1377</v>
      </c>
      <c r="F902" s="51">
        <v>1</v>
      </c>
      <c r="G902" s="42" t="s">
        <v>285</v>
      </c>
      <c r="H902" s="44">
        <v>57000</v>
      </c>
      <c r="I902" s="44">
        <f t="shared" si="57"/>
        <v>57000</v>
      </c>
      <c r="J902" s="544">
        <v>40000</v>
      </c>
      <c r="K902" s="529">
        <f t="shared" si="58"/>
        <v>17000</v>
      </c>
      <c r="L902" s="533">
        <f t="shared" si="56"/>
        <v>17000</v>
      </c>
      <c r="M902" s="531">
        <f t="shared" si="59"/>
        <v>0.2982456140350877</v>
      </c>
      <c r="N902" s="47" t="s">
        <v>22</v>
      </c>
      <c r="O902" s="47" t="s">
        <v>105</v>
      </c>
    </row>
    <row r="903" spans="1:15">
      <c r="A903" s="71">
        <v>2023</v>
      </c>
      <c r="B903" s="16" t="s">
        <v>1295</v>
      </c>
      <c r="C903" s="62" t="s">
        <v>1378</v>
      </c>
      <c r="D903" s="47" t="s">
        <v>708</v>
      </c>
      <c r="E903" s="47" t="s">
        <v>1185</v>
      </c>
      <c r="F903" s="51">
        <v>4000</v>
      </c>
      <c r="G903" s="42" t="s">
        <v>37</v>
      </c>
      <c r="H903" s="44">
        <v>349.85</v>
      </c>
      <c r="I903" s="44">
        <f t="shared" si="57"/>
        <v>1399400</v>
      </c>
      <c r="J903" s="544">
        <v>325</v>
      </c>
      <c r="K903" s="529">
        <f t="shared" si="58"/>
        <v>24.850000000000023</v>
      </c>
      <c r="L903" s="533">
        <f t="shared" si="56"/>
        <v>99400.000000000087</v>
      </c>
      <c r="M903" s="531">
        <f t="shared" si="59"/>
        <v>7.1030441617836282E-2</v>
      </c>
      <c r="N903" s="84" t="s">
        <v>20</v>
      </c>
      <c r="O903" s="47" t="s">
        <v>105</v>
      </c>
    </row>
    <row r="904" spans="1:15">
      <c r="A904" s="71">
        <v>2023</v>
      </c>
      <c r="B904" s="16" t="s">
        <v>1295</v>
      </c>
      <c r="C904" s="62" t="s">
        <v>1379</v>
      </c>
      <c r="D904" s="47" t="s">
        <v>35</v>
      </c>
      <c r="E904" s="47" t="s">
        <v>1380</v>
      </c>
      <c r="F904" s="51">
        <v>1100</v>
      </c>
      <c r="G904" s="42" t="s">
        <v>37</v>
      </c>
      <c r="H904" s="44">
        <v>366</v>
      </c>
      <c r="I904" s="44">
        <f t="shared" si="57"/>
        <v>402600</v>
      </c>
      <c r="J904" s="544">
        <v>350</v>
      </c>
      <c r="K904" s="529">
        <f t="shared" si="58"/>
        <v>16</v>
      </c>
      <c r="L904" s="533">
        <f t="shared" si="56"/>
        <v>17600</v>
      </c>
      <c r="M904" s="531">
        <f t="shared" si="59"/>
        <v>4.3715846994535519E-2</v>
      </c>
      <c r="N904" s="84" t="s">
        <v>20</v>
      </c>
      <c r="O904" s="47" t="s">
        <v>105</v>
      </c>
    </row>
    <row r="905" spans="1:15">
      <c r="A905" s="71">
        <v>2023</v>
      </c>
      <c r="B905" s="16" t="s">
        <v>1295</v>
      </c>
      <c r="C905" s="62" t="s">
        <v>1381</v>
      </c>
      <c r="D905" s="47" t="s">
        <v>110</v>
      </c>
      <c r="E905" s="47" t="s">
        <v>1382</v>
      </c>
      <c r="F905" s="51">
        <v>1</v>
      </c>
      <c r="G905" s="42" t="s">
        <v>19</v>
      </c>
      <c r="H905" s="44">
        <v>11900</v>
      </c>
      <c r="I905" s="44">
        <f t="shared" si="57"/>
        <v>11900</v>
      </c>
      <c r="J905" s="544">
        <v>11500</v>
      </c>
      <c r="K905" s="529">
        <f t="shared" si="58"/>
        <v>400</v>
      </c>
      <c r="L905" s="533">
        <f t="shared" si="56"/>
        <v>400</v>
      </c>
      <c r="M905" s="531">
        <f t="shared" si="59"/>
        <v>3.3613445378151259E-2</v>
      </c>
      <c r="N905" s="47" t="s">
        <v>38</v>
      </c>
      <c r="O905" s="47" t="s">
        <v>21</v>
      </c>
    </row>
    <row r="906" spans="1:15">
      <c r="A906" s="71">
        <v>2023</v>
      </c>
      <c r="B906" s="16" t="s">
        <v>1295</v>
      </c>
      <c r="C906" s="62" t="s">
        <v>1383</v>
      </c>
      <c r="D906" s="74" t="s">
        <v>118</v>
      </c>
      <c r="E906" s="47" t="s">
        <v>1384</v>
      </c>
      <c r="F906" s="51">
        <v>2</v>
      </c>
      <c r="G906" s="42" t="s">
        <v>19</v>
      </c>
      <c r="H906" s="44">
        <v>3950</v>
      </c>
      <c r="I906" s="44">
        <f t="shared" si="57"/>
        <v>7900</v>
      </c>
      <c r="J906" s="544">
        <v>3900</v>
      </c>
      <c r="K906" s="529">
        <f t="shared" si="58"/>
        <v>50</v>
      </c>
      <c r="L906" s="533">
        <f t="shared" si="56"/>
        <v>100</v>
      </c>
      <c r="M906" s="531">
        <f t="shared" si="59"/>
        <v>1.2658227848101266E-2</v>
      </c>
      <c r="N906" s="47" t="s">
        <v>22</v>
      </c>
      <c r="O906" s="47" t="s">
        <v>21</v>
      </c>
    </row>
    <row r="907" spans="1:15">
      <c r="A907" s="71">
        <v>2023</v>
      </c>
      <c r="B907" s="16" t="s">
        <v>1295</v>
      </c>
      <c r="C907" s="62" t="s">
        <v>1385</v>
      </c>
      <c r="D907" s="47" t="s">
        <v>96</v>
      </c>
      <c r="E907" s="47" t="s">
        <v>97</v>
      </c>
      <c r="F907" s="51">
        <v>50</v>
      </c>
      <c r="G907" s="42" t="s">
        <v>98</v>
      </c>
      <c r="H907" s="44">
        <v>275</v>
      </c>
      <c r="I907" s="44">
        <f t="shared" si="57"/>
        <v>13750</v>
      </c>
      <c r="J907" s="544">
        <v>140</v>
      </c>
      <c r="K907" s="529">
        <f t="shared" si="58"/>
        <v>135</v>
      </c>
      <c r="L907" s="533">
        <f t="shared" si="56"/>
        <v>6750</v>
      </c>
      <c r="M907" s="531">
        <f t="shared" si="59"/>
        <v>0.49090909090909091</v>
      </c>
      <c r="N907" s="47" t="s">
        <v>22</v>
      </c>
      <c r="O907" s="47" t="s">
        <v>21</v>
      </c>
    </row>
    <row r="908" spans="1:15">
      <c r="A908" s="71">
        <v>2023</v>
      </c>
      <c r="B908" s="16" t="s">
        <v>1295</v>
      </c>
      <c r="C908" s="62" t="s">
        <v>1385</v>
      </c>
      <c r="D908" s="47" t="s">
        <v>96</v>
      </c>
      <c r="E908" s="47" t="s">
        <v>99</v>
      </c>
      <c r="F908" s="51">
        <v>30</v>
      </c>
      <c r="G908" s="42" t="s">
        <v>98</v>
      </c>
      <c r="H908" s="44">
        <v>805</v>
      </c>
      <c r="I908" s="44">
        <f t="shared" si="57"/>
        <v>24150</v>
      </c>
      <c r="J908" s="544">
        <v>432</v>
      </c>
      <c r="K908" s="529">
        <f t="shared" si="58"/>
        <v>373</v>
      </c>
      <c r="L908" s="533">
        <f t="shared" si="56"/>
        <v>11190</v>
      </c>
      <c r="M908" s="531">
        <f t="shared" si="59"/>
        <v>0.46335403726708074</v>
      </c>
      <c r="N908" s="47" t="s">
        <v>22</v>
      </c>
      <c r="O908" s="47" t="s">
        <v>21</v>
      </c>
    </row>
    <row r="909" spans="1:15">
      <c r="A909" s="71">
        <v>2023</v>
      </c>
      <c r="B909" s="16" t="s">
        <v>1295</v>
      </c>
      <c r="C909" s="62" t="s">
        <v>1385</v>
      </c>
      <c r="D909" s="47" t="s">
        <v>96</v>
      </c>
      <c r="E909" s="47" t="s">
        <v>774</v>
      </c>
      <c r="F909" s="51">
        <v>30</v>
      </c>
      <c r="G909" s="42" t="s">
        <v>98</v>
      </c>
      <c r="H909" s="44">
        <v>1425</v>
      </c>
      <c r="I909" s="44">
        <f t="shared" si="57"/>
        <v>42750</v>
      </c>
      <c r="J909" s="544">
        <v>1050</v>
      </c>
      <c r="K909" s="529">
        <f t="shared" si="58"/>
        <v>375</v>
      </c>
      <c r="L909" s="533">
        <f t="shared" si="56"/>
        <v>11250</v>
      </c>
      <c r="M909" s="531">
        <f t="shared" si="59"/>
        <v>0.26315789473684209</v>
      </c>
      <c r="N909" s="47" t="s">
        <v>22</v>
      </c>
      <c r="O909" s="47" t="s">
        <v>21</v>
      </c>
    </row>
    <row r="910" spans="1:15">
      <c r="A910" s="71">
        <v>2023</v>
      </c>
      <c r="B910" s="16" t="s">
        <v>1295</v>
      </c>
      <c r="C910" s="62" t="s">
        <v>1386</v>
      </c>
      <c r="D910" s="47" t="s">
        <v>17</v>
      </c>
      <c r="E910" s="47" t="s">
        <v>25</v>
      </c>
      <c r="F910" s="51">
        <v>36</v>
      </c>
      <c r="G910" s="42" t="s">
        <v>1387</v>
      </c>
      <c r="H910" s="44">
        <v>44.5</v>
      </c>
      <c r="I910" s="44">
        <f t="shared" si="57"/>
        <v>1602</v>
      </c>
      <c r="J910" s="544">
        <v>38.5</v>
      </c>
      <c r="K910" s="529">
        <f t="shared" si="58"/>
        <v>6</v>
      </c>
      <c r="L910" s="533">
        <f t="shared" si="56"/>
        <v>216</v>
      </c>
      <c r="M910" s="531">
        <f t="shared" si="59"/>
        <v>0.1348314606741573</v>
      </c>
      <c r="N910" s="47" t="s">
        <v>22</v>
      </c>
      <c r="O910" s="47" t="s">
        <v>21</v>
      </c>
    </row>
    <row r="911" spans="1:15">
      <c r="A911" s="71">
        <v>2023</v>
      </c>
      <c r="B911" s="16" t="s">
        <v>1295</v>
      </c>
      <c r="C911" s="62" t="s">
        <v>1386</v>
      </c>
      <c r="D911" s="47" t="s">
        <v>17</v>
      </c>
      <c r="E911" s="47" t="s">
        <v>1388</v>
      </c>
      <c r="F911" s="51">
        <v>104</v>
      </c>
      <c r="G911" s="42" t="s">
        <v>1387</v>
      </c>
      <c r="H911" s="44">
        <v>69</v>
      </c>
      <c r="I911" s="44">
        <f t="shared" si="57"/>
        <v>7176</v>
      </c>
      <c r="J911" s="544">
        <v>64</v>
      </c>
      <c r="K911" s="529">
        <f t="shared" si="58"/>
        <v>5</v>
      </c>
      <c r="L911" s="533">
        <f t="shared" si="56"/>
        <v>520</v>
      </c>
      <c r="M911" s="531">
        <f t="shared" si="59"/>
        <v>7.2463768115942032E-2</v>
      </c>
      <c r="N911" s="47" t="s">
        <v>22</v>
      </c>
      <c r="O911" s="47" t="s">
        <v>21</v>
      </c>
    </row>
    <row r="912" spans="1:15">
      <c r="A912" s="71">
        <v>2023</v>
      </c>
      <c r="B912" s="16" t="s">
        <v>1295</v>
      </c>
      <c r="C912" s="62" t="s">
        <v>1389</v>
      </c>
      <c r="D912" s="47" t="s">
        <v>1390</v>
      </c>
      <c r="E912" s="47" t="s">
        <v>1391</v>
      </c>
      <c r="F912" s="51">
        <v>10</v>
      </c>
      <c r="G912" s="42" t="s">
        <v>19</v>
      </c>
      <c r="H912" s="44">
        <v>420</v>
      </c>
      <c r="I912" s="44">
        <f t="shared" si="57"/>
        <v>4200</v>
      </c>
      <c r="J912" s="544">
        <v>411.21</v>
      </c>
      <c r="K912" s="529">
        <f t="shared" si="58"/>
        <v>8.7900000000000205</v>
      </c>
      <c r="L912" s="533">
        <f t="shared" si="56"/>
        <v>87.900000000000205</v>
      </c>
      <c r="M912" s="531">
        <f t="shared" si="59"/>
        <v>2.0928571428571477E-2</v>
      </c>
      <c r="N912" s="47" t="s">
        <v>22</v>
      </c>
      <c r="O912" s="47" t="s">
        <v>21</v>
      </c>
    </row>
    <row r="913" spans="1:15">
      <c r="A913" s="71">
        <v>2023</v>
      </c>
      <c r="B913" s="16" t="s">
        <v>1295</v>
      </c>
      <c r="C913" s="62" t="s">
        <v>1389</v>
      </c>
      <c r="D913" s="47" t="s">
        <v>1390</v>
      </c>
      <c r="E913" s="47" t="s">
        <v>1392</v>
      </c>
      <c r="F913" s="51">
        <v>10</v>
      </c>
      <c r="G913" s="42" t="s">
        <v>19</v>
      </c>
      <c r="H913" s="44">
        <v>150</v>
      </c>
      <c r="I913" s="44">
        <f t="shared" si="57"/>
        <v>1500</v>
      </c>
      <c r="J913" s="544">
        <v>144.86000000000001</v>
      </c>
      <c r="K913" s="529">
        <f t="shared" si="58"/>
        <v>5.1399999999999864</v>
      </c>
      <c r="L913" s="533">
        <f t="shared" si="56"/>
        <v>51.399999999999864</v>
      </c>
      <c r="M913" s="531">
        <f t="shared" si="59"/>
        <v>3.4266666666666577E-2</v>
      </c>
      <c r="N913" s="47" t="s">
        <v>22</v>
      </c>
      <c r="O913" s="47" t="s">
        <v>21</v>
      </c>
    </row>
    <row r="914" spans="1:15">
      <c r="A914" s="71">
        <v>2023</v>
      </c>
      <c r="B914" s="16" t="s">
        <v>1295</v>
      </c>
      <c r="C914" s="62" t="s">
        <v>1393</v>
      </c>
      <c r="D914" s="47" t="s">
        <v>505</v>
      </c>
      <c r="E914" s="47" t="s">
        <v>1394</v>
      </c>
      <c r="F914" s="51">
        <v>10</v>
      </c>
      <c r="G914" s="42" t="s">
        <v>19</v>
      </c>
      <c r="H914" s="44">
        <v>1450</v>
      </c>
      <c r="I914" s="44">
        <f t="shared" si="57"/>
        <v>14500</v>
      </c>
      <c r="J914" s="544">
        <v>1290</v>
      </c>
      <c r="K914" s="529">
        <f t="shared" si="58"/>
        <v>160</v>
      </c>
      <c r="L914" s="533">
        <f t="shared" si="56"/>
        <v>1600</v>
      </c>
      <c r="M914" s="531">
        <f t="shared" si="59"/>
        <v>0.1103448275862069</v>
      </c>
      <c r="N914" s="47" t="s">
        <v>22</v>
      </c>
      <c r="O914" s="47" t="s">
        <v>21</v>
      </c>
    </row>
    <row r="915" spans="1:15">
      <c r="A915" s="71">
        <v>2023</v>
      </c>
      <c r="B915" s="16" t="s">
        <v>1295</v>
      </c>
      <c r="C915" s="62" t="s">
        <v>1393</v>
      </c>
      <c r="D915" s="47" t="s">
        <v>505</v>
      </c>
      <c r="E915" s="47" t="s">
        <v>1395</v>
      </c>
      <c r="F915" s="51">
        <v>10</v>
      </c>
      <c r="G915" s="42" t="s">
        <v>19</v>
      </c>
      <c r="H915" s="44">
        <v>690</v>
      </c>
      <c r="I915" s="44">
        <f t="shared" si="57"/>
        <v>6900</v>
      </c>
      <c r="J915" s="544">
        <v>450</v>
      </c>
      <c r="K915" s="529">
        <f t="shared" si="58"/>
        <v>240</v>
      </c>
      <c r="L915" s="533">
        <f t="shared" si="56"/>
        <v>2400</v>
      </c>
      <c r="M915" s="531">
        <f t="shared" si="59"/>
        <v>0.34782608695652173</v>
      </c>
      <c r="N915" s="47" t="s">
        <v>22</v>
      </c>
      <c r="O915" s="47" t="s">
        <v>21</v>
      </c>
    </row>
    <row r="916" spans="1:15">
      <c r="A916" s="71">
        <v>2023</v>
      </c>
      <c r="B916" s="16" t="s">
        <v>1295</v>
      </c>
      <c r="C916" s="62" t="s">
        <v>1396</v>
      </c>
      <c r="D916" s="47" t="s">
        <v>1304</v>
      </c>
      <c r="E916" s="47" t="s">
        <v>1397</v>
      </c>
      <c r="F916" s="51">
        <v>1</v>
      </c>
      <c r="G916" s="42" t="s">
        <v>569</v>
      </c>
      <c r="H916" s="44">
        <v>786700</v>
      </c>
      <c r="I916" s="44">
        <f t="shared" si="57"/>
        <v>786700</v>
      </c>
      <c r="J916" s="544">
        <v>733540</v>
      </c>
      <c r="K916" s="529">
        <f t="shared" si="58"/>
        <v>53160</v>
      </c>
      <c r="L916" s="533">
        <f t="shared" si="56"/>
        <v>53160</v>
      </c>
      <c r="M916" s="531">
        <f t="shared" si="59"/>
        <v>6.7573407906444644E-2</v>
      </c>
      <c r="N916" s="47" t="s">
        <v>22</v>
      </c>
      <c r="O916" s="47" t="s">
        <v>21</v>
      </c>
    </row>
    <row r="917" spans="1:15">
      <c r="A917" s="71">
        <v>2023</v>
      </c>
      <c r="B917" s="16" t="s">
        <v>1295</v>
      </c>
      <c r="C917" s="62" t="s">
        <v>1398</v>
      </c>
      <c r="D917" s="47" t="s">
        <v>522</v>
      </c>
      <c r="E917" s="47" t="s">
        <v>1399</v>
      </c>
      <c r="F917" s="51">
        <v>1</v>
      </c>
      <c r="G917" s="42" t="s">
        <v>569</v>
      </c>
      <c r="H917" s="44">
        <v>45420</v>
      </c>
      <c r="I917" s="44">
        <f t="shared" si="57"/>
        <v>45420</v>
      </c>
      <c r="J917" s="544">
        <v>43000</v>
      </c>
      <c r="K917" s="529">
        <f t="shared" si="58"/>
        <v>2420</v>
      </c>
      <c r="L917" s="533">
        <f t="shared" si="56"/>
        <v>2420</v>
      </c>
      <c r="M917" s="531">
        <f t="shared" si="59"/>
        <v>5.3280493174812857E-2</v>
      </c>
      <c r="N917" s="47" t="s">
        <v>22</v>
      </c>
      <c r="O917" s="47" t="s">
        <v>21</v>
      </c>
    </row>
    <row r="918" spans="1:15">
      <c r="A918" s="71">
        <v>2023</v>
      </c>
      <c r="B918" s="16" t="s">
        <v>1400</v>
      </c>
      <c r="C918" s="62" t="s">
        <v>1401</v>
      </c>
      <c r="D918" s="47" t="s">
        <v>68</v>
      </c>
      <c r="E918" s="47" t="s">
        <v>755</v>
      </c>
      <c r="F918" s="51">
        <v>559.6</v>
      </c>
      <c r="G918" s="42" t="s">
        <v>37</v>
      </c>
      <c r="H918" s="44">
        <v>350</v>
      </c>
      <c r="I918" s="44">
        <f t="shared" si="57"/>
        <v>195860</v>
      </c>
      <c r="J918" s="544">
        <v>340</v>
      </c>
      <c r="K918" s="529">
        <f t="shared" si="58"/>
        <v>10</v>
      </c>
      <c r="L918" s="533">
        <f t="shared" si="56"/>
        <v>5596</v>
      </c>
      <c r="M918" s="531">
        <f t="shared" si="59"/>
        <v>2.8571428571428571E-2</v>
      </c>
      <c r="N918" s="84" t="s">
        <v>22</v>
      </c>
      <c r="O918" s="47" t="s">
        <v>105</v>
      </c>
    </row>
    <row r="919" spans="1:15">
      <c r="A919" s="71">
        <v>2023</v>
      </c>
      <c r="B919" s="16" t="s">
        <v>1400</v>
      </c>
      <c r="C919" s="62" t="s">
        <v>1402</v>
      </c>
      <c r="D919" s="47" t="s">
        <v>1042</v>
      </c>
      <c r="E919" s="47" t="s">
        <v>889</v>
      </c>
      <c r="F919" s="51">
        <v>1912</v>
      </c>
      <c r="G919" s="42" t="s">
        <v>37</v>
      </c>
      <c r="H919" s="44">
        <v>365</v>
      </c>
      <c r="I919" s="44">
        <f t="shared" si="57"/>
        <v>697880</v>
      </c>
      <c r="J919" s="544">
        <v>328.5</v>
      </c>
      <c r="K919" s="529">
        <f t="shared" si="58"/>
        <v>36.5</v>
      </c>
      <c r="L919" s="533">
        <f t="shared" si="56"/>
        <v>69788</v>
      </c>
      <c r="M919" s="531">
        <f t="shared" si="59"/>
        <v>0.1</v>
      </c>
      <c r="N919" s="84" t="s">
        <v>22</v>
      </c>
      <c r="O919" s="47" t="s">
        <v>105</v>
      </c>
    </row>
    <row r="920" spans="1:15">
      <c r="A920" s="71">
        <v>2023</v>
      </c>
      <c r="B920" s="16" t="s">
        <v>1400</v>
      </c>
      <c r="C920" s="62" t="s">
        <v>1403</v>
      </c>
      <c r="D920" s="47" t="s">
        <v>94</v>
      </c>
      <c r="E920" s="47" t="s">
        <v>456</v>
      </c>
      <c r="F920" s="51">
        <v>300</v>
      </c>
      <c r="G920" s="42" t="s">
        <v>19</v>
      </c>
      <c r="H920" s="44">
        <v>2.65</v>
      </c>
      <c r="I920" s="44">
        <f t="shared" si="57"/>
        <v>795</v>
      </c>
      <c r="J920" s="544">
        <v>2.5499999999999998</v>
      </c>
      <c r="K920" s="529">
        <f t="shared" si="58"/>
        <v>0.10000000000000009</v>
      </c>
      <c r="L920" s="533">
        <f t="shared" si="56"/>
        <v>30.000000000000028</v>
      </c>
      <c r="M920" s="531">
        <f t="shared" si="59"/>
        <v>3.7735849056603807E-2</v>
      </c>
      <c r="N920" s="84" t="s">
        <v>22</v>
      </c>
      <c r="O920" s="47" t="s">
        <v>105</v>
      </c>
    </row>
    <row r="921" spans="1:15">
      <c r="A921" s="71">
        <v>2023</v>
      </c>
      <c r="B921" s="16" t="s">
        <v>1400</v>
      </c>
      <c r="C921" s="62" t="s">
        <v>1404</v>
      </c>
      <c r="D921" s="47" t="s">
        <v>1042</v>
      </c>
      <c r="E921" s="47" t="s">
        <v>614</v>
      </c>
      <c r="F921" s="51">
        <v>100</v>
      </c>
      <c r="G921" s="42" t="s">
        <v>615</v>
      </c>
      <c r="H921" s="44">
        <v>151</v>
      </c>
      <c r="I921" s="44">
        <f t="shared" si="57"/>
        <v>15100</v>
      </c>
      <c r="J921" s="544">
        <v>141.96</v>
      </c>
      <c r="K921" s="529">
        <f t="shared" si="58"/>
        <v>9.039999999999992</v>
      </c>
      <c r="L921" s="533">
        <f t="shared" si="56"/>
        <v>903.9999999999992</v>
      </c>
      <c r="M921" s="531">
        <f t="shared" si="59"/>
        <v>5.9867549668874122E-2</v>
      </c>
      <c r="N921" s="84" t="s">
        <v>22</v>
      </c>
      <c r="O921" s="47" t="s">
        <v>105</v>
      </c>
    </row>
    <row r="922" spans="1:15">
      <c r="A922" s="71">
        <v>2023</v>
      </c>
      <c r="B922" s="16" t="s">
        <v>1400</v>
      </c>
      <c r="C922" s="62" t="s">
        <v>1405</v>
      </c>
      <c r="D922" s="47" t="s">
        <v>335</v>
      </c>
      <c r="E922" s="47" t="s">
        <v>336</v>
      </c>
      <c r="F922" s="51">
        <v>14000</v>
      </c>
      <c r="G922" s="42" t="s">
        <v>337</v>
      </c>
      <c r="H922" s="44">
        <v>37.75</v>
      </c>
      <c r="I922" s="44">
        <f t="shared" si="57"/>
        <v>528500</v>
      </c>
      <c r="J922" s="544">
        <v>37.5</v>
      </c>
      <c r="K922" s="529">
        <f t="shared" si="58"/>
        <v>0.25</v>
      </c>
      <c r="L922" s="533">
        <f t="shared" si="56"/>
        <v>3500</v>
      </c>
      <c r="M922" s="531">
        <f t="shared" si="59"/>
        <v>6.6225165562913907E-3</v>
      </c>
      <c r="N922" s="47" t="s">
        <v>38</v>
      </c>
      <c r="O922" s="47" t="s">
        <v>39</v>
      </c>
    </row>
    <row r="923" spans="1:15">
      <c r="A923" s="71">
        <v>2023</v>
      </c>
      <c r="B923" s="16" t="s">
        <v>1400</v>
      </c>
      <c r="C923" s="62" t="s">
        <v>1406</v>
      </c>
      <c r="D923" s="47" t="s">
        <v>335</v>
      </c>
      <c r="E923" s="47" t="s">
        <v>336</v>
      </c>
      <c r="F923" s="51">
        <v>14000</v>
      </c>
      <c r="G923" s="42" t="s">
        <v>337</v>
      </c>
      <c r="H923" s="44">
        <v>37.75</v>
      </c>
      <c r="I923" s="44">
        <f t="shared" si="57"/>
        <v>528500</v>
      </c>
      <c r="J923" s="544">
        <v>37.5</v>
      </c>
      <c r="K923" s="529">
        <f t="shared" si="58"/>
        <v>0.25</v>
      </c>
      <c r="L923" s="533">
        <f t="shared" si="56"/>
        <v>3500</v>
      </c>
      <c r="M923" s="531">
        <f t="shared" si="59"/>
        <v>6.6225165562913907E-3</v>
      </c>
      <c r="N923" s="47" t="s">
        <v>38</v>
      </c>
      <c r="O923" s="47" t="s">
        <v>39</v>
      </c>
    </row>
    <row r="924" spans="1:15">
      <c r="A924" s="71">
        <v>2023</v>
      </c>
      <c r="B924" s="16" t="s">
        <v>1400</v>
      </c>
      <c r="C924" s="62" t="s">
        <v>1407</v>
      </c>
      <c r="D924" s="47" t="s">
        <v>501</v>
      </c>
      <c r="E924" s="47" t="s">
        <v>502</v>
      </c>
      <c r="F924" s="51">
        <v>20000</v>
      </c>
      <c r="G924" s="42" t="s">
        <v>37</v>
      </c>
      <c r="H924" s="44">
        <v>81.5</v>
      </c>
      <c r="I924" s="44">
        <f t="shared" si="57"/>
        <v>1630000</v>
      </c>
      <c r="J924" s="544">
        <v>69.5</v>
      </c>
      <c r="K924" s="529">
        <f t="shared" si="58"/>
        <v>12</v>
      </c>
      <c r="L924" s="533">
        <f t="shared" si="56"/>
        <v>240000</v>
      </c>
      <c r="M924" s="531">
        <f t="shared" si="59"/>
        <v>0.14723926380368099</v>
      </c>
      <c r="N924" s="84" t="s">
        <v>22</v>
      </c>
      <c r="O924" s="47" t="s">
        <v>39</v>
      </c>
    </row>
    <row r="925" spans="1:15">
      <c r="A925" s="71">
        <v>2023</v>
      </c>
      <c r="B925" s="16" t="s">
        <v>1400</v>
      </c>
      <c r="C925" s="62" t="s">
        <v>1407</v>
      </c>
      <c r="D925" s="47" t="s">
        <v>501</v>
      </c>
      <c r="E925" s="47" t="s">
        <v>503</v>
      </c>
      <c r="F925" s="51">
        <v>40000</v>
      </c>
      <c r="G925" s="42" t="s">
        <v>37</v>
      </c>
      <c r="H925" s="44">
        <v>91.5</v>
      </c>
      <c r="I925" s="44">
        <f t="shared" si="57"/>
        <v>3660000</v>
      </c>
      <c r="J925" s="544">
        <v>88</v>
      </c>
      <c r="K925" s="529">
        <f t="shared" si="58"/>
        <v>3.5</v>
      </c>
      <c r="L925" s="533">
        <f t="shared" si="56"/>
        <v>140000</v>
      </c>
      <c r="M925" s="531">
        <f t="shared" si="59"/>
        <v>3.825136612021858E-2</v>
      </c>
      <c r="N925" s="84" t="s">
        <v>22</v>
      </c>
      <c r="O925" s="47" t="s">
        <v>39</v>
      </c>
    </row>
    <row r="926" spans="1:15">
      <c r="A926" s="71">
        <v>2023</v>
      </c>
      <c r="B926" s="16" t="s">
        <v>1400</v>
      </c>
      <c r="C926" s="62" t="s">
        <v>1408</v>
      </c>
      <c r="D926" s="47" t="s">
        <v>1409</v>
      </c>
      <c r="E926" s="47" t="s">
        <v>1410</v>
      </c>
      <c r="F926" s="51">
        <v>1</v>
      </c>
      <c r="G926" s="42" t="s">
        <v>19</v>
      </c>
      <c r="H926" s="44">
        <v>12600</v>
      </c>
      <c r="I926" s="44">
        <f t="shared" si="57"/>
        <v>12600</v>
      </c>
      <c r="J926" s="544">
        <v>11970</v>
      </c>
      <c r="K926" s="529">
        <f t="shared" si="58"/>
        <v>630</v>
      </c>
      <c r="L926" s="533">
        <f t="shared" si="56"/>
        <v>630</v>
      </c>
      <c r="M926" s="531">
        <f t="shared" si="59"/>
        <v>0.05</v>
      </c>
      <c r="N926" s="47" t="s">
        <v>22</v>
      </c>
      <c r="O926" s="47" t="s">
        <v>21</v>
      </c>
    </row>
    <row r="927" spans="1:15">
      <c r="A927" s="71">
        <v>2023</v>
      </c>
      <c r="B927" s="16" t="s">
        <v>1400</v>
      </c>
      <c r="C927" s="62" t="s">
        <v>1411</v>
      </c>
      <c r="D927" s="47" t="s">
        <v>17</v>
      </c>
      <c r="E927" s="47" t="s">
        <v>1412</v>
      </c>
      <c r="F927" s="51">
        <v>24</v>
      </c>
      <c r="G927" s="42" t="s">
        <v>19</v>
      </c>
      <c r="H927" s="44">
        <v>69</v>
      </c>
      <c r="I927" s="44">
        <f t="shared" si="57"/>
        <v>1656</v>
      </c>
      <c r="J927" s="544">
        <v>64</v>
      </c>
      <c r="K927" s="529">
        <f t="shared" si="58"/>
        <v>5</v>
      </c>
      <c r="L927" s="533">
        <f t="shared" si="56"/>
        <v>120</v>
      </c>
      <c r="M927" s="531">
        <f t="shared" si="59"/>
        <v>7.2463768115942032E-2</v>
      </c>
      <c r="N927" s="47" t="s">
        <v>22</v>
      </c>
      <c r="O927" s="47" t="s">
        <v>21</v>
      </c>
    </row>
    <row r="928" spans="1:15">
      <c r="A928" s="71">
        <v>2023</v>
      </c>
      <c r="B928" s="16" t="s">
        <v>1400</v>
      </c>
      <c r="C928" s="62" t="s">
        <v>1413</v>
      </c>
      <c r="D928" s="47" t="s">
        <v>673</v>
      </c>
      <c r="E928" s="47" t="s">
        <v>1414</v>
      </c>
      <c r="F928" s="51">
        <v>10</v>
      </c>
      <c r="G928" s="42" t="s">
        <v>1415</v>
      </c>
      <c r="H928" s="44">
        <v>1540</v>
      </c>
      <c r="I928" s="44">
        <f t="shared" si="57"/>
        <v>15400</v>
      </c>
      <c r="J928" s="544">
        <v>1350</v>
      </c>
      <c r="K928" s="529">
        <f t="shared" si="58"/>
        <v>190</v>
      </c>
      <c r="L928" s="533">
        <f t="shared" si="56"/>
        <v>1900</v>
      </c>
      <c r="M928" s="531">
        <f t="shared" si="59"/>
        <v>0.12337662337662338</v>
      </c>
      <c r="N928" s="47" t="s">
        <v>20</v>
      </c>
      <c r="O928" s="47" t="s">
        <v>21</v>
      </c>
    </row>
    <row r="929" spans="1:15">
      <c r="A929" s="71">
        <v>2023</v>
      </c>
      <c r="B929" s="16" t="s">
        <v>1400</v>
      </c>
      <c r="C929" s="62" t="s">
        <v>1416</v>
      </c>
      <c r="D929" s="47" t="s">
        <v>78</v>
      </c>
      <c r="E929" s="47" t="s">
        <v>1417</v>
      </c>
      <c r="F929" s="51">
        <v>500</v>
      </c>
      <c r="G929" s="42" t="s">
        <v>19</v>
      </c>
      <c r="H929" s="44">
        <v>14</v>
      </c>
      <c r="I929" s="44">
        <f t="shared" si="57"/>
        <v>7000</v>
      </c>
      <c r="J929" s="544">
        <v>13</v>
      </c>
      <c r="K929" s="529">
        <f t="shared" si="58"/>
        <v>1</v>
      </c>
      <c r="L929" s="533">
        <f t="shared" si="56"/>
        <v>500</v>
      </c>
      <c r="M929" s="531">
        <f t="shared" si="59"/>
        <v>7.1428571428571425E-2</v>
      </c>
      <c r="N929" s="47" t="s">
        <v>22</v>
      </c>
      <c r="O929" s="47" t="s">
        <v>21</v>
      </c>
    </row>
    <row r="930" spans="1:15">
      <c r="A930" s="71">
        <v>2023</v>
      </c>
      <c r="B930" s="16" t="s">
        <v>1400</v>
      </c>
      <c r="C930" s="62" t="s">
        <v>1418</v>
      </c>
      <c r="D930" s="47" t="s">
        <v>17</v>
      </c>
      <c r="E930" s="47" t="s">
        <v>1419</v>
      </c>
      <c r="F930" s="51">
        <v>1500</v>
      </c>
      <c r="G930" s="42" t="s">
        <v>19</v>
      </c>
      <c r="H930" s="44">
        <v>0.75</v>
      </c>
      <c r="I930" s="44">
        <f t="shared" si="57"/>
        <v>1125</v>
      </c>
      <c r="J930" s="544">
        <v>0.5</v>
      </c>
      <c r="K930" s="529">
        <f t="shared" si="58"/>
        <v>0.25</v>
      </c>
      <c r="L930" s="533">
        <f t="shared" si="56"/>
        <v>375</v>
      </c>
      <c r="M930" s="531">
        <f t="shared" si="59"/>
        <v>0.33333333333333331</v>
      </c>
      <c r="N930" s="47" t="s">
        <v>22</v>
      </c>
      <c r="O930" s="47" t="s">
        <v>21</v>
      </c>
    </row>
    <row r="931" spans="1:15">
      <c r="A931" s="71">
        <v>2023</v>
      </c>
      <c r="B931" s="16" t="s">
        <v>1400</v>
      </c>
      <c r="C931" s="62" t="s">
        <v>1418</v>
      </c>
      <c r="D931" s="47" t="s">
        <v>17</v>
      </c>
      <c r="E931" s="47" t="s">
        <v>1420</v>
      </c>
      <c r="F931" s="51">
        <v>1500</v>
      </c>
      <c r="G931" s="42" t="s">
        <v>19</v>
      </c>
      <c r="H931" s="44">
        <v>2.5</v>
      </c>
      <c r="I931" s="44">
        <f t="shared" si="57"/>
        <v>3750</v>
      </c>
      <c r="J931" s="544">
        <v>1.25</v>
      </c>
      <c r="K931" s="529">
        <f t="shared" si="58"/>
        <v>1.25</v>
      </c>
      <c r="L931" s="533">
        <f t="shared" si="56"/>
        <v>1875</v>
      </c>
      <c r="M931" s="531">
        <f t="shared" si="59"/>
        <v>0.5</v>
      </c>
      <c r="N931" s="47" t="s">
        <v>22</v>
      </c>
      <c r="O931" s="47" t="s">
        <v>21</v>
      </c>
    </row>
    <row r="932" spans="1:15">
      <c r="A932" s="71">
        <v>2023</v>
      </c>
      <c r="B932" s="16" t="s">
        <v>1400</v>
      </c>
      <c r="C932" s="62" t="s">
        <v>1418</v>
      </c>
      <c r="D932" s="47" t="s">
        <v>17</v>
      </c>
      <c r="E932" s="47" t="s">
        <v>1421</v>
      </c>
      <c r="F932" s="51">
        <v>1500</v>
      </c>
      <c r="G932" s="42" t="s">
        <v>19</v>
      </c>
      <c r="H932" s="44">
        <v>1.25</v>
      </c>
      <c r="I932" s="44">
        <f t="shared" si="57"/>
        <v>1875</v>
      </c>
      <c r="J932" s="544">
        <v>0.5</v>
      </c>
      <c r="K932" s="529">
        <f t="shared" si="58"/>
        <v>0.75</v>
      </c>
      <c r="L932" s="533">
        <f t="shared" si="56"/>
        <v>1125</v>
      </c>
      <c r="M932" s="531">
        <f t="shared" si="59"/>
        <v>0.6</v>
      </c>
      <c r="N932" s="47" t="s">
        <v>22</v>
      </c>
      <c r="O932" s="47" t="s">
        <v>21</v>
      </c>
    </row>
    <row r="933" spans="1:15">
      <c r="A933" s="71">
        <v>2023</v>
      </c>
      <c r="B933" s="16" t="s">
        <v>1400</v>
      </c>
      <c r="C933" s="62" t="s">
        <v>1418</v>
      </c>
      <c r="D933" s="47" t="s">
        <v>17</v>
      </c>
      <c r="E933" s="47" t="s">
        <v>1300</v>
      </c>
      <c r="F933" s="51">
        <v>48</v>
      </c>
      <c r="G933" s="42" t="s">
        <v>19</v>
      </c>
      <c r="H933" s="44">
        <v>69</v>
      </c>
      <c r="I933" s="44">
        <f t="shared" si="57"/>
        <v>3312</v>
      </c>
      <c r="J933" s="544">
        <v>64</v>
      </c>
      <c r="K933" s="529">
        <f t="shared" si="58"/>
        <v>5</v>
      </c>
      <c r="L933" s="533">
        <f t="shared" si="56"/>
        <v>240</v>
      </c>
      <c r="M933" s="531">
        <f t="shared" si="59"/>
        <v>7.2463768115942032E-2</v>
      </c>
      <c r="N933" s="47" t="s">
        <v>22</v>
      </c>
      <c r="O933" s="47" t="s">
        <v>21</v>
      </c>
    </row>
    <row r="934" spans="1:15">
      <c r="A934" s="71">
        <v>2023</v>
      </c>
      <c r="B934" s="16" t="s">
        <v>1400</v>
      </c>
      <c r="C934" s="62" t="s">
        <v>1422</v>
      </c>
      <c r="D934" s="47" t="s">
        <v>673</v>
      </c>
      <c r="E934" s="47" t="s">
        <v>1414</v>
      </c>
      <c r="F934" s="51">
        <v>5</v>
      </c>
      <c r="G934" s="42" t="s">
        <v>1415</v>
      </c>
      <c r="H934" s="44">
        <v>1540</v>
      </c>
      <c r="I934" s="44">
        <f t="shared" si="57"/>
        <v>7700</v>
      </c>
      <c r="J934" s="544">
        <v>1350</v>
      </c>
      <c r="K934" s="529">
        <f t="shared" si="58"/>
        <v>190</v>
      </c>
      <c r="L934" s="533">
        <f t="shared" si="56"/>
        <v>950</v>
      </c>
      <c r="M934" s="531">
        <f t="shared" si="59"/>
        <v>0.12337662337662338</v>
      </c>
      <c r="N934" s="47" t="s">
        <v>20</v>
      </c>
      <c r="O934" s="47" t="s">
        <v>21</v>
      </c>
    </row>
    <row r="935" spans="1:15">
      <c r="A935" s="71">
        <v>2023</v>
      </c>
      <c r="B935" s="16" t="s">
        <v>1400</v>
      </c>
      <c r="C935" s="62" t="s">
        <v>1423</v>
      </c>
      <c r="D935" s="47" t="s">
        <v>94</v>
      </c>
      <c r="E935" s="47" t="s">
        <v>1038</v>
      </c>
      <c r="F935" s="51">
        <v>1800</v>
      </c>
      <c r="G935" s="42" t="s">
        <v>19</v>
      </c>
      <c r="H935" s="44">
        <v>15.5</v>
      </c>
      <c r="I935" s="44">
        <f t="shared" si="57"/>
        <v>27900</v>
      </c>
      <c r="J935" s="544">
        <v>14.76</v>
      </c>
      <c r="K935" s="529">
        <f t="shared" si="58"/>
        <v>0.74000000000000021</v>
      </c>
      <c r="L935" s="533">
        <f t="shared" si="56"/>
        <v>1332.0000000000005</v>
      </c>
      <c r="M935" s="531">
        <f t="shared" si="59"/>
        <v>4.7741935483870984E-2</v>
      </c>
      <c r="N935" s="84" t="s">
        <v>22</v>
      </c>
      <c r="O935" s="47" t="s">
        <v>105</v>
      </c>
    </row>
    <row r="936" spans="1:15">
      <c r="A936" s="71">
        <v>2023</v>
      </c>
      <c r="B936" s="16" t="s">
        <v>1400</v>
      </c>
      <c r="C936" s="62" t="s">
        <v>1423</v>
      </c>
      <c r="D936" s="47" t="s">
        <v>94</v>
      </c>
      <c r="E936" s="47" t="s">
        <v>550</v>
      </c>
      <c r="F936" s="51">
        <v>200</v>
      </c>
      <c r="G936" s="42" t="s">
        <v>19</v>
      </c>
      <c r="H936" s="44">
        <v>49</v>
      </c>
      <c r="I936" s="44">
        <f t="shared" si="57"/>
        <v>9800</v>
      </c>
      <c r="J936" s="544">
        <v>47.56</v>
      </c>
      <c r="K936" s="529">
        <f t="shared" si="58"/>
        <v>1.4399999999999977</v>
      </c>
      <c r="L936" s="533">
        <f t="shared" si="56"/>
        <v>287.99999999999955</v>
      </c>
      <c r="M936" s="531">
        <f t="shared" si="59"/>
        <v>2.938775510204077E-2</v>
      </c>
      <c r="N936" s="84" t="s">
        <v>22</v>
      </c>
      <c r="O936" s="47" t="s">
        <v>105</v>
      </c>
    </row>
    <row r="937" spans="1:15">
      <c r="A937" s="71">
        <v>2023</v>
      </c>
      <c r="B937" s="16" t="s">
        <v>1400</v>
      </c>
      <c r="C937" s="62" t="s">
        <v>1423</v>
      </c>
      <c r="D937" s="47" t="s">
        <v>94</v>
      </c>
      <c r="E937" s="47" t="s">
        <v>457</v>
      </c>
      <c r="F937" s="51">
        <v>100</v>
      </c>
      <c r="G937" s="42" t="s">
        <v>19</v>
      </c>
      <c r="H937" s="44">
        <v>5.2</v>
      </c>
      <c r="I937" s="44">
        <f t="shared" si="57"/>
        <v>520</v>
      </c>
      <c r="J937" s="544">
        <v>5.0999999999999996</v>
      </c>
      <c r="K937" s="529">
        <f t="shared" si="58"/>
        <v>0.10000000000000053</v>
      </c>
      <c r="L937" s="533">
        <f t="shared" si="56"/>
        <v>10.000000000000053</v>
      </c>
      <c r="M937" s="531">
        <f t="shared" si="59"/>
        <v>1.9230769230769332E-2</v>
      </c>
      <c r="N937" s="84" t="s">
        <v>22</v>
      </c>
      <c r="O937" s="47" t="s">
        <v>105</v>
      </c>
    </row>
    <row r="938" spans="1:15">
      <c r="A938" s="71">
        <v>2023</v>
      </c>
      <c r="B938" s="16" t="s">
        <v>1400</v>
      </c>
      <c r="C938" s="62" t="s">
        <v>1423</v>
      </c>
      <c r="D938" s="47" t="s">
        <v>94</v>
      </c>
      <c r="E938" s="47" t="s">
        <v>638</v>
      </c>
      <c r="F938" s="51">
        <v>100</v>
      </c>
      <c r="G938" s="42" t="s">
        <v>19</v>
      </c>
      <c r="H938" s="44">
        <v>5.2</v>
      </c>
      <c r="I938" s="44">
        <f t="shared" si="57"/>
        <v>520</v>
      </c>
      <c r="J938" s="544">
        <v>5.0999999999999996</v>
      </c>
      <c r="K938" s="529">
        <f t="shared" si="58"/>
        <v>0.10000000000000053</v>
      </c>
      <c r="L938" s="533">
        <f t="shared" si="56"/>
        <v>10.000000000000053</v>
      </c>
      <c r="M938" s="531">
        <f t="shared" si="59"/>
        <v>1.9230769230769332E-2</v>
      </c>
      <c r="N938" s="84" t="s">
        <v>22</v>
      </c>
      <c r="O938" s="47" t="s">
        <v>105</v>
      </c>
    </row>
    <row r="939" spans="1:15">
      <c r="A939" s="71">
        <v>2023</v>
      </c>
      <c r="B939" s="16" t="s">
        <v>1400</v>
      </c>
      <c r="C939" s="62" t="s">
        <v>1423</v>
      </c>
      <c r="D939" s="47" t="s">
        <v>94</v>
      </c>
      <c r="E939" s="47" t="s">
        <v>458</v>
      </c>
      <c r="F939" s="51">
        <v>100</v>
      </c>
      <c r="G939" s="42" t="s">
        <v>19</v>
      </c>
      <c r="H939" s="44">
        <v>9.5</v>
      </c>
      <c r="I939" s="44">
        <f t="shared" si="57"/>
        <v>950</v>
      </c>
      <c r="J939" s="544">
        <v>9.35</v>
      </c>
      <c r="K939" s="529">
        <f t="shared" si="58"/>
        <v>0.15000000000000036</v>
      </c>
      <c r="L939" s="533">
        <f t="shared" si="56"/>
        <v>15.000000000000036</v>
      </c>
      <c r="M939" s="531">
        <f t="shared" si="59"/>
        <v>1.5789473684210565E-2</v>
      </c>
      <c r="N939" s="84" t="s">
        <v>22</v>
      </c>
      <c r="O939" s="47" t="s">
        <v>105</v>
      </c>
    </row>
    <row r="940" spans="1:15">
      <c r="A940" s="71">
        <v>2023</v>
      </c>
      <c r="B940" s="16" t="s">
        <v>1400</v>
      </c>
      <c r="C940" s="62" t="s">
        <v>1424</v>
      </c>
      <c r="D940" s="47" t="s">
        <v>270</v>
      </c>
      <c r="E940" s="47" t="s">
        <v>1425</v>
      </c>
      <c r="F940" s="51">
        <v>4</v>
      </c>
      <c r="G940" s="42" t="s">
        <v>302</v>
      </c>
      <c r="H940" s="44">
        <v>15030</v>
      </c>
      <c r="I940" s="44">
        <f t="shared" si="57"/>
        <v>60120</v>
      </c>
      <c r="J940" s="544">
        <v>14504</v>
      </c>
      <c r="K940" s="529">
        <f t="shared" si="58"/>
        <v>526</v>
      </c>
      <c r="L940" s="533">
        <f t="shared" si="56"/>
        <v>2104</v>
      </c>
      <c r="M940" s="531">
        <f t="shared" si="59"/>
        <v>3.4996673320026615E-2</v>
      </c>
      <c r="N940" s="84" t="s">
        <v>38</v>
      </c>
      <c r="O940" s="47" t="s">
        <v>105</v>
      </c>
    </row>
    <row r="941" spans="1:15">
      <c r="A941" s="71">
        <v>2023</v>
      </c>
      <c r="B941" s="16" t="s">
        <v>1400</v>
      </c>
      <c r="C941" s="62" t="s">
        <v>1426</v>
      </c>
      <c r="D941" s="47" t="s">
        <v>335</v>
      </c>
      <c r="E941" s="47" t="s">
        <v>336</v>
      </c>
      <c r="F941" s="51">
        <v>14000</v>
      </c>
      <c r="G941" s="42" t="s">
        <v>337</v>
      </c>
      <c r="H941" s="44">
        <v>37.75</v>
      </c>
      <c r="I941" s="44">
        <f t="shared" si="57"/>
        <v>528500</v>
      </c>
      <c r="J941" s="544">
        <v>37.5</v>
      </c>
      <c r="K941" s="529">
        <f t="shared" si="58"/>
        <v>0.25</v>
      </c>
      <c r="L941" s="533">
        <f t="shared" si="56"/>
        <v>3500</v>
      </c>
      <c r="M941" s="531">
        <f t="shared" si="59"/>
        <v>6.6225165562913907E-3</v>
      </c>
      <c r="N941" s="84" t="s">
        <v>38</v>
      </c>
      <c r="O941" s="47" t="s">
        <v>39</v>
      </c>
    </row>
    <row r="942" spans="1:15">
      <c r="A942" s="71">
        <v>2023</v>
      </c>
      <c r="B942" s="16" t="s">
        <v>1400</v>
      </c>
      <c r="C942" s="62" t="s">
        <v>1427</v>
      </c>
      <c r="D942" s="47" t="s">
        <v>501</v>
      </c>
      <c r="E942" s="47" t="s">
        <v>813</v>
      </c>
      <c r="F942" s="51">
        <v>80000</v>
      </c>
      <c r="G942" s="42" t="s">
        <v>499</v>
      </c>
      <c r="H942" s="44">
        <v>64.5</v>
      </c>
      <c r="I942" s="44">
        <f t="shared" si="57"/>
        <v>5160000</v>
      </c>
      <c r="J942" s="544">
        <v>62.5</v>
      </c>
      <c r="K942" s="529">
        <f t="shared" si="58"/>
        <v>2</v>
      </c>
      <c r="L942" s="533">
        <f t="shared" si="56"/>
        <v>160000</v>
      </c>
      <c r="M942" s="531">
        <f t="shared" si="59"/>
        <v>3.1007751937984496E-2</v>
      </c>
      <c r="N942" s="47" t="s">
        <v>22</v>
      </c>
      <c r="O942" s="47" t="s">
        <v>39</v>
      </c>
    </row>
    <row r="943" spans="1:15">
      <c r="A943" s="71">
        <v>2023</v>
      </c>
      <c r="B943" s="16" t="s">
        <v>1400</v>
      </c>
      <c r="C943" s="62" t="s">
        <v>1428</v>
      </c>
      <c r="D943" s="47" t="s">
        <v>1042</v>
      </c>
      <c r="E943" s="47" t="s">
        <v>454</v>
      </c>
      <c r="F943" s="51">
        <v>405</v>
      </c>
      <c r="G943" s="42" t="s">
        <v>37</v>
      </c>
      <c r="H943" s="44">
        <v>365</v>
      </c>
      <c r="I943" s="44">
        <f t="shared" si="57"/>
        <v>147825</v>
      </c>
      <c r="J943" s="544">
        <v>328.5</v>
      </c>
      <c r="K943" s="529">
        <f t="shared" si="58"/>
        <v>36.5</v>
      </c>
      <c r="L943" s="533">
        <f t="shared" si="56"/>
        <v>14782.5</v>
      </c>
      <c r="M943" s="531">
        <f t="shared" si="59"/>
        <v>0.1</v>
      </c>
      <c r="N943" s="84" t="s">
        <v>22</v>
      </c>
      <c r="O943" s="47" t="s">
        <v>105</v>
      </c>
    </row>
    <row r="944" spans="1:15">
      <c r="A944" s="71">
        <v>2023</v>
      </c>
      <c r="B944" s="16" t="s">
        <v>1400</v>
      </c>
      <c r="C944" s="62" t="s">
        <v>1429</v>
      </c>
      <c r="D944" s="47" t="s">
        <v>1430</v>
      </c>
      <c r="E944" s="47" t="s">
        <v>859</v>
      </c>
      <c r="F944" s="51">
        <v>12200</v>
      </c>
      <c r="G944" s="42" t="s">
        <v>337</v>
      </c>
      <c r="H944" s="44">
        <v>88</v>
      </c>
      <c r="I944" s="44">
        <f t="shared" si="57"/>
        <v>1073600</v>
      </c>
      <c r="J944" s="544">
        <v>81</v>
      </c>
      <c r="K944" s="529">
        <f t="shared" si="58"/>
        <v>7</v>
      </c>
      <c r="L944" s="533">
        <f t="shared" si="56"/>
        <v>85400</v>
      </c>
      <c r="M944" s="531">
        <f t="shared" si="59"/>
        <v>7.9545454545454544E-2</v>
      </c>
      <c r="N944" s="47" t="s">
        <v>22</v>
      </c>
      <c r="O944" s="47" t="s">
        <v>39</v>
      </c>
    </row>
    <row r="945" spans="1:15">
      <c r="A945" s="71">
        <v>2023</v>
      </c>
      <c r="B945" s="16" t="s">
        <v>1400</v>
      </c>
      <c r="C945" s="62" t="s">
        <v>1431</v>
      </c>
      <c r="D945" s="47" t="s">
        <v>174</v>
      </c>
      <c r="E945" s="47" t="s">
        <v>1432</v>
      </c>
      <c r="F945" s="51">
        <v>610</v>
      </c>
      <c r="G945" s="42" t="s">
        <v>19</v>
      </c>
      <c r="H945" s="44">
        <v>150</v>
      </c>
      <c r="I945" s="44">
        <f t="shared" si="57"/>
        <v>91500</v>
      </c>
      <c r="J945" s="544">
        <v>145</v>
      </c>
      <c r="K945" s="529">
        <f t="shared" si="58"/>
        <v>5</v>
      </c>
      <c r="L945" s="533">
        <f t="shared" si="56"/>
        <v>3050</v>
      </c>
      <c r="M945" s="531">
        <f t="shared" si="59"/>
        <v>3.3333333333333333E-2</v>
      </c>
      <c r="N945" s="84" t="s">
        <v>38</v>
      </c>
      <c r="O945" s="47" t="s">
        <v>105</v>
      </c>
    </row>
    <row r="946" spans="1:15">
      <c r="A946" s="71">
        <v>2023</v>
      </c>
      <c r="B946" s="16" t="s">
        <v>1400</v>
      </c>
      <c r="C946" s="62" t="s">
        <v>1433</v>
      </c>
      <c r="D946" s="47" t="s">
        <v>68</v>
      </c>
      <c r="E946" s="47" t="s">
        <v>755</v>
      </c>
      <c r="F946" s="51">
        <v>713.8</v>
      </c>
      <c r="G946" s="42" t="s">
        <v>37</v>
      </c>
      <c r="H946" s="44">
        <v>345</v>
      </c>
      <c r="I946" s="44">
        <f t="shared" si="57"/>
        <v>246260.99999999997</v>
      </c>
      <c r="J946" s="544">
        <v>340</v>
      </c>
      <c r="K946" s="529">
        <f t="shared" si="58"/>
        <v>5</v>
      </c>
      <c r="L946" s="533">
        <f t="shared" si="56"/>
        <v>3569</v>
      </c>
      <c r="M946" s="531">
        <f t="shared" si="59"/>
        <v>1.4492753623188406E-2</v>
      </c>
      <c r="N946" s="84" t="s">
        <v>22</v>
      </c>
      <c r="O946" s="47" t="s">
        <v>105</v>
      </c>
    </row>
    <row r="947" spans="1:15">
      <c r="A947" s="71">
        <v>2024</v>
      </c>
      <c r="B947" s="16" t="s">
        <v>15</v>
      </c>
      <c r="C947" s="62" t="s">
        <v>1434</v>
      </c>
      <c r="D947" s="47" t="s">
        <v>335</v>
      </c>
      <c r="E947" s="47" t="s">
        <v>336</v>
      </c>
      <c r="F947" s="99">
        <v>70000</v>
      </c>
      <c r="G947" s="488" t="s">
        <v>337</v>
      </c>
      <c r="H947" s="502">
        <v>37.25</v>
      </c>
      <c r="I947" s="502">
        <f t="shared" si="57"/>
        <v>2607500</v>
      </c>
      <c r="J947" s="529">
        <v>37</v>
      </c>
      <c r="K947" s="529">
        <f t="shared" si="58"/>
        <v>0.25</v>
      </c>
      <c r="L947" s="533">
        <f t="shared" si="56"/>
        <v>17500</v>
      </c>
      <c r="M947" s="531">
        <f t="shared" si="59"/>
        <v>6.7114093959731542E-3</v>
      </c>
      <c r="N947" s="47" t="s">
        <v>22</v>
      </c>
      <c r="O947" s="47" t="s">
        <v>39</v>
      </c>
    </row>
    <row r="948" spans="1:15">
      <c r="A948" s="71">
        <v>2024</v>
      </c>
      <c r="B948" s="16" t="s">
        <v>15</v>
      </c>
      <c r="C948" s="62" t="s">
        <v>1435</v>
      </c>
      <c r="D948" s="47" t="s">
        <v>633</v>
      </c>
      <c r="E948" s="47" t="s">
        <v>564</v>
      </c>
      <c r="F948" s="99">
        <v>20</v>
      </c>
      <c r="G948" s="42" t="s">
        <v>19</v>
      </c>
      <c r="H948" s="44">
        <v>920</v>
      </c>
      <c r="I948" s="502">
        <f t="shared" si="57"/>
        <v>18400</v>
      </c>
      <c r="J948" s="529">
        <v>900</v>
      </c>
      <c r="K948" s="529">
        <f t="shared" si="58"/>
        <v>20</v>
      </c>
      <c r="L948" s="533">
        <f t="shared" si="56"/>
        <v>400</v>
      </c>
      <c r="M948" s="531">
        <f t="shared" si="59"/>
        <v>2.1739130434782608E-2</v>
      </c>
      <c r="N948" s="47" t="s">
        <v>22</v>
      </c>
      <c r="O948" s="47" t="s">
        <v>105</v>
      </c>
    </row>
    <row r="949" spans="1:15">
      <c r="A949" s="71">
        <v>2024</v>
      </c>
      <c r="B949" s="16" t="s">
        <v>15</v>
      </c>
      <c r="C949" s="62" t="s">
        <v>1436</v>
      </c>
      <c r="D949" s="47" t="s">
        <v>1042</v>
      </c>
      <c r="E949" s="47" t="s">
        <v>215</v>
      </c>
      <c r="F949" s="99">
        <v>180</v>
      </c>
      <c r="G949" s="42" t="s">
        <v>37</v>
      </c>
      <c r="H949" s="44">
        <v>335</v>
      </c>
      <c r="I949" s="502">
        <f t="shared" si="57"/>
        <v>60300</v>
      </c>
      <c r="J949" s="529">
        <v>328.5</v>
      </c>
      <c r="K949" s="529">
        <f t="shared" si="58"/>
        <v>6.5</v>
      </c>
      <c r="L949" s="533">
        <f t="shared" si="56"/>
        <v>1170</v>
      </c>
      <c r="M949" s="531">
        <f t="shared" si="59"/>
        <v>1.9402985074626865E-2</v>
      </c>
      <c r="N949" s="47" t="s">
        <v>20</v>
      </c>
      <c r="O949" s="47" t="s">
        <v>105</v>
      </c>
    </row>
    <row r="950" spans="1:15">
      <c r="A950" s="71">
        <v>2024</v>
      </c>
      <c r="B950" s="16" t="s">
        <v>15</v>
      </c>
      <c r="C950" s="62" t="s">
        <v>1436</v>
      </c>
      <c r="D950" s="47" t="s">
        <v>1042</v>
      </c>
      <c r="E950" s="47" t="s">
        <v>216</v>
      </c>
      <c r="F950" s="99">
        <v>410</v>
      </c>
      <c r="G950" s="42" t="s">
        <v>37</v>
      </c>
      <c r="H950" s="44">
        <v>335</v>
      </c>
      <c r="I950" s="502">
        <f t="shared" si="57"/>
        <v>137350</v>
      </c>
      <c r="J950" s="529">
        <v>328.5</v>
      </c>
      <c r="K950" s="529">
        <f t="shared" si="58"/>
        <v>6.5</v>
      </c>
      <c r="L950" s="533">
        <f t="shared" si="56"/>
        <v>2665</v>
      </c>
      <c r="M950" s="531">
        <f t="shared" si="59"/>
        <v>1.9402985074626865E-2</v>
      </c>
      <c r="N950" s="47" t="s">
        <v>20</v>
      </c>
      <c r="O950" s="47" t="s">
        <v>105</v>
      </c>
    </row>
    <row r="951" spans="1:15">
      <c r="A951" s="71">
        <v>2024</v>
      </c>
      <c r="B951" s="16" t="s">
        <v>15</v>
      </c>
      <c r="C951" s="62" t="s">
        <v>1436</v>
      </c>
      <c r="D951" s="47" t="s">
        <v>1042</v>
      </c>
      <c r="E951" s="47" t="s">
        <v>653</v>
      </c>
      <c r="F951" s="99">
        <v>360</v>
      </c>
      <c r="G951" s="42" t="s">
        <v>37</v>
      </c>
      <c r="H951" s="44">
        <v>335</v>
      </c>
      <c r="I951" s="502">
        <f t="shared" si="57"/>
        <v>120600</v>
      </c>
      <c r="J951" s="529">
        <v>328.5</v>
      </c>
      <c r="K951" s="529">
        <f t="shared" si="58"/>
        <v>6.5</v>
      </c>
      <c r="L951" s="533">
        <f t="shared" si="56"/>
        <v>2340</v>
      </c>
      <c r="M951" s="531">
        <f t="shared" si="59"/>
        <v>1.9402985074626865E-2</v>
      </c>
      <c r="N951" s="47" t="s">
        <v>20</v>
      </c>
      <c r="O951" s="47" t="s">
        <v>105</v>
      </c>
    </row>
    <row r="952" spans="1:15">
      <c r="A952" s="71">
        <v>2024</v>
      </c>
      <c r="B952" s="16" t="s">
        <v>15</v>
      </c>
      <c r="C952" s="62" t="s">
        <v>1436</v>
      </c>
      <c r="D952" s="47" t="s">
        <v>1042</v>
      </c>
      <c r="E952" s="47" t="s">
        <v>557</v>
      </c>
      <c r="F952" s="99">
        <v>710</v>
      </c>
      <c r="G952" s="42" t="s">
        <v>37</v>
      </c>
      <c r="H952" s="44">
        <v>335</v>
      </c>
      <c r="I952" s="502">
        <f t="shared" si="57"/>
        <v>237850</v>
      </c>
      <c r="J952" s="529">
        <v>328.5</v>
      </c>
      <c r="K952" s="529">
        <f t="shared" si="58"/>
        <v>6.5</v>
      </c>
      <c r="L952" s="533">
        <f t="shared" si="56"/>
        <v>4615</v>
      </c>
      <c r="M952" s="531">
        <f t="shared" si="59"/>
        <v>1.9402985074626865E-2</v>
      </c>
      <c r="N952" s="47" t="s">
        <v>20</v>
      </c>
      <c r="O952" s="47" t="s">
        <v>105</v>
      </c>
    </row>
    <row r="953" spans="1:15">
      <c r="A953" s="71">
        <v>2024</v>
      </c>
      <c r="B953" s="16" t="s">
        <v>15</v>
      </c>
      <c r="C953" s="62" t="s">
        <v>1436</v>
      </c>
      <c r="D953" s="47" t="s">
        <v>1042</v>
      </c>
      <c r="E953" s="47" t="s">
        <v>147</v>
      </c>
      <c r="F953" s="99">
        <v>290</v>
      </c>
      <c r="G953" s="42" t="s">
        <v>37</v>
      </c>
      <c r="H953" s="44">
        <v>335</v>
      </c>
      <c r="I953" s="502">
        <f t="shared" si="57"/>
        <v>97150</v>
      </c>
      <c r="J953" s="529">
        <v>328.5</v>
      </c>
      <c r="K953" s="529">
        <f t="shared" si="58"/>
        <v>6.5</v>
      </c>
      <c r="L953" s="533">
        <f t="shared" si="56"/>
        <v>1885</v>
      </c>
      <c r="M953" s="531">
        <f t="shared" si="59"/>
        <v>1.9402985074626865E-2</v>
      </c>
      <c r="N953" s="47" t="s">
        <v>20</v>
      </c>
      <c r="O953" s="47" t="s">
        <v>105</v>
      </c>
    </row>
    <row r="954" spans="1:15">
      <c r="A954" s="71">
        <v>2024</v>
      </c>
      <c r="B954" s="16" t="s">
        <v>15</v>
      </c>
      <c r="C954" s="62" t="s">
        <v>1436</v>
      </c>
      <c r="D954" s="47" t="s">
        <v>1042</v>
      </c>
      <c r="E954" s="47" t="s">
        <v>559</v>
      </c>
      <c r="F954" s="99">
        <v>120</v>
      </c>
      <c r="G954" s="42" t="s">
        <v>37</v>
      </c>
      <c r="H954" s="44">
        <v>335</v>
      </c>
      <c r="I954" s="502">
        <f t="shared" si="57"/>
        <v>40200</v>
      </c>
      <c r="J954" s="529">
        <v>328.5</v>
      </c>
      <c r="K954" s="529">
        <f t="shared" si="58"/>
        <v>6.5</v>
      </c>
      <c r="L954" s="533">
        <f t="shared" si="56"/>
        <v>780</v>
      </c>
      <c r="M954" s="531">
        <f t="shared" si="59"/>
        <v>1.9402985074626865E-2</v>
      </c>
      <c r="N954" s="47" t="s">
        <v>20</v>
      </c>
      <c r="O954" s="47" t="s">
        <v>105</v>
      </c>
    </row>
    <row r="955" spans="1:15">
      <c r="A955" s="71">
        <v>2024</v>
      </c>
      <c r="B955" s="16" t="s">
        <v>15</v>
      </c>
      <c r="C955" s="62" t="s">
        <v>1436</v>
      </c>
      <c r="D955" s="47" t="s">
        <v>1042</v>
      </c>
      <c r="E955" s="47" t="s">
        <v>1437</v>
      </c>
      <c r="F955" s="99">
        <v>112</v>
      </c>
      <c r="G955" s="42" t="s">
        <v>37</v>
      </c>
      <c r="H955" s="44">
        <v>335</v>
      </c>
      <c r="I955" s="502">
        <f t="shared" si="57"/>
        <v>37520</v>
      </c>
      <c r="J955" s="529">
        <v>328.5</v>
      </c>
      <c r="K955" s="529">
        <f t="shared" si="58"/>
        <v>6.5</v>
      </c>
      <c r="L955" s="533">
        <f t="shared" si="56"/>
        <v>728</v>
      </c>
      <c r="M955" s="531">
        <f t="shared" si="59"/>
        <v>1.9402985074626865E-2</v>
      </c>
      <c r="N955" s="47" t="s">
        <v>20</v>
      </c>
      <c r="O955" s="47" t="s">
        <v>105</v>
      </c>
    </row>
    <row r="956" spans="1:15">
      <c r="A956" s="71">
        <v>2024</v>
      </c>
      <c r="B956" s="16" t="s">
        <v>15</v>
      </c>
      <c r="C956" s="62" t="s">
        <v>1436</v>
      </c>
      <c r="D956" s="47" t="s">
        <v>1042</v>
      </c>
      <c r="E956" s="47" t="s">
        <v>1438</v>
      </c>
      <c r="F956" s="99">
        <v>240</v>
      </c>
      <c r="G956" s="42" t="s">
        <v>37</v>
      </c>
      <c r="H956" s="44">
        <v>335</v>
      </c>
      <c r="I956" s="502">
        <f t="shared" si="57"/>
        <v>80400</v>
      </c>
      <c r="J956" s="529">
        <v>328.5</v>
      </c>
      <c r="K956" s="529">
        <f t="shared" si="58"/>
        <v>6.5</v>
      </c>
      <c r="L956" s="533">
        <f t="shared" si="56"/>
        <v>1560</v>
      </c>
      <c r="M956" s="531">
        <f t="shared" si="59"/>
        <v>1.9402985074626865E-2</v>
      </c>
      <c r="N956" s="47" t="s">
        <v>20</v>
      </c>
      <c r="O956" s="47" t="s">
        <v>105</v>
      </c>
    </row>
    <row r="957" spans="1:15">
      <c r="A957" s="71">
        <v>2024</v>
      </c>
      <c r="B957" s="16" t="s">
        <v>15</v>
      </c>
      <c r="C957" s="62" t="s">
        <v>1436</v>
      </c>
      <c r="D957" s="47" t="s">
        <v>1042</v>
      </c>
      <c r="E957" s="47" t="s">
        <v>1439</v>
      </c>
      <c r="F957" s="99">
        <v>703</v>
      </c>
      <c r="G957" s="42" t="s">
        <v>37</v>
      </c>
      <c r="H957" s="44">
        <v>335</v>
      </c>
      <c r="I957" s="502">
        <f t="shared" si="57"/>
        <v>235505</v>
      </c>
      <c r="J957" s="529">
        <v>328.5</v>
      </c>
      <c r="K957" s="529">
        <f t="shared" si="58"/>
        <v>6.5</v>
      </c>
      <c r="L957" s="533">
        <f t="shared" si="56"/>
        <v>4569.5</v>
      </c>
      <c r="M957" s="531">
        <f t="shared" si="59"/>
        <v>1.9402985074626865E-2</v>
      </c>
      <c r="N957" s="47" t="s">
        <v>20</v>
      </c>
      <c r="O957" s="47" t="s">
        <v>105</v>
      </c>
    </row>
    <row r="958" spans="1:15">
      <c r="A958" s="71">
        <v>2024</v>
      </c>
      <c r="B958" s="16" t="s">
        <v>15</v>
      </c>
      <c r="C958" s="62" t="s">
        <v>1440</v>
      </c>
      <c r="D958" s="47" t="s">
        <v>708</v>
      </c>
      <c r="E958" s="47" t="s">
        <v>45</v>
      </c>
      <c r="F958" s="99">
        <v>1600</v>
      </c>
      <c r="G958" s="42" t="s">
        <v>37</v>
      </c>
      <c r="H958" s="44">
        <v>345.97</v>
      </c>
      <c r="I958" s="502">
        <f t="shared" si="57"/>
        <v>553552</v>
      </c>
      <c r="J958" s="529">
        <v>339</v>
      </c>
      <c r="K958" s="529">
        <f t="shared" si="58"/>
        <v>6.9700000000000273</v>
      </c>
      <c r="L958" s="533">
        <f t="shared" si="56"/>
        <v>11152.000000000044</v>
      </c>
      <c r="M958" s="531">
        <f t="shared" si="59"/>
        <v>2.0146255455675426E-2</v>
      </c>
      <c r="N958" s="47" t="s">
        <v>20</v>
      </c>
      <c r="O958" s="47" t="s">
        <v>105</v>
      </c>
    </row>
    <row r="959" spans="1:15">
      <c r="A959" s="71">
        <v>2024</v>
      </c>
      <c r="B959" s="16" t="s">
        <v>15</v>
      </c>
      <c r="C959" s="62" t="s">
        <v>1440</v>
      </c>
      <c r="D959" s="47" t="s">
        <v>708</v>
      </c>
      <c r="E959" s="47" t="s">
        <v>206</v>
      </c>
      <c r="F959" s="99">
        <v>3600</v>
      </c>
      <c r="G959" s="42" t="s">
        <v>37</v>
      </c>
      <c r="H959" s="44">
        <v>345.74</v>
      </c>
      <c r="I959" s="502">
        <f t="shared" si="57"/>
        <v>1244664</v>
      </c>
      <c r="J959" s="529">
        <v>339</v>
      </c>
      <c r="K959" s="529">
        <f t="shared" si="58"/>
        <v>6.7400000000000091</v>
      </c>
      <c r="L959" s="533">
        <f t="shared" ref="L959:L1022" si="60">K959*F959</f>
        <v>24264.000000000033</v>
      </c>
      <c r="M959" s="531">
        <f t="shared" si="59"/>
        <v>1.9494417770579073E-2</v>
      </c>
      <c r="N959" s="47" t="s">
        <v>20</v>
      </c>
      <c r="O959" s="47" t="s">
        <v>105</v>
      </c>
    </row>
    <row r="960" spans="1:15">
      <c r="A960" s="71">
        <v>2024</v>
      </c>
      <c r="B960" s="16" t="s">
        <v>15</v>
      </c>
      <c r="C960" s="62" t="s">
        <v>1440</v>
      </c>
      <c r="D960" s="47" t="s">
        <v>708</v>
      </c>
      <c r="E960" s="47" t="s">
        <v>48</v>
      </c>
      <c r="F960" s="99">
        <v>1000</v>
      </c>
      <c r="G960" s="42" t="s">
        <v>37</v>
      </c>
      <c r="H960" s="44">
        <v>351.85</v>
      </c>
      <c r="I960" s="502">
        <f t="shared" si="57"/>
        <v>351850</v>
      </c>
      <c r="J960" s="529">
        <v>339</v>
      </c>
      <c r="K960" s="529">
        <f t="shared" si="58"/>
        <v>12.850000000000023</v>
      </c>
      <c r="L960" s="533">
        <f t="shared" si="60"/>
        <v>12850.000000000022</v>
      </c>
      <c r="M960" s="531">
        <f t="shared" si="59"/>
        <v>3.652124484865716E-2</v>
      </c>
      <c r="N960" s="47" t="s">
        <v>20</v>
      </c>
      <c r="O960" s="47" t="s">
        <v>105</v>
      </c>
    </row>
    <row r="961" spans="1:15">
      <c r="A961" s="71">
        <v>2024</v>
      </c>
      <c r="B961" s="16" t="s">
        <v>15</v>
      </c>
      <c r="C961" s="62" t="s">
        <v>1440</v>
      </c>
      <c r="D961" s="47" t="s">
        <v>708</v>
      </c>
      <c r="E961" s="47" t="s">
        <v>47</v>
      </c>
      <c r="F961" s="99">
        <v>1100</v>
      </c>
      <c r="G961" s="42" t="s">
        <v>37</v>
      </c>
      <c r="H961" s="44">
        <v>349.94</v>
      </c>
      <c r="I961" s="502">
        <f t="shared" si="57"/>
        <v>384934</v>
      </c>
      <c r="J961" s="529">
        <v>339</v>
      </c>
      <c r="K961" s="529">
        <f t="shared" si="58"/>
        <v>10.939999999999998</v>
      </c>
      <c r="L961" s="533">
        <f t="shared" si="60"/>
        <v>12033.999999999998</v>
      </c>
      <c r="M961" s="531">
        <f t="shared" si="59"/>
        <v>3.1262502143224548E-2</v>
      </c>
      <c r="N961" s="47" t="s">
        <v>20</v>
      </c>
      <c r="O961" s="47" t="s">
        <v>105</v>
      </c>
    </row>
    <row r="962" spans="1:15">
      <c r="A962" s="71">
        <v>2024</v>
      </c>
      <c r="B962" s="16" t="s">
        <v>15</v>
      </c>
      <c r="C962" s="62" t="s">
        <v>1440</v>
      </c>
      <c r="D962" s="47" t="s">
        <v>708</v>
      </c>
      <c r="E962" s="47" t="s">
        <v>49</v>
      </c>
      <c r="F962" s="99">
        <v>1600</v>
      </c>
      <c r="G962" s="42" t="s">
        <v>37</v>
      </c>
      <c r="H962" s="44">
        <v>347.33</v>
      </c>
      <c r="I962" s="502">
        <f t="shared" si="57"/>
        <v>555728</v>
      </c>
      <c r="J962" s="529">
        <v>339</v>
      </c>
      <c r="K962" s="529">
        <f t="shared" si="58"/>
        <v>8.3299999999999841</v>
      </c>
      <c r="L962" s="533">
        <f t="shared" si="60"/>
        <v>13327.999999999975</v>
      </c>
      <c r="M962" s="531">
        <f t="shared" si="59"/>
        <v>2.3982955690553608E-2</v>
      </c>
      <c r="N962" s="47" t="s">
        <v>20</v>
      </c>
      <c r="O962" s="47" t="s">
        <v>105</v>
      </c>
    </row>
    <row r="963" spans="1:15">
      <c r="A963" s="71">
        <v>2024</v>
      </c>
      <c r="B963" s="16" t="s">
        <v>15</v>
      </c>
      <c r="C963" s="62" t="s">
        <v>1440</v>
      </c>
      <c r="D963" s="47" t="s">
        <v>708</v>
      </c>
      <c r="E963" s="47" t="s">
        <v>207</v>
      </c>
      <c r="F963" s="99">
        <v>1200</v>
      </c>
      <c r="G963" s="42" t="s">
        <v>37</v>
      </c>
      <c r="H963" s="44">
        <v>346.2</v>
      </c>
      <c r="I963" s="502">
        <f t="shared" ref="I963:I1026" si="61">H963*F963</f>
        <v>415440</v>
      </c>
      <c r="J963" s="529">
        <v>339</v>
      </c>
      <c r="K963" s="529">
        <f t="shared" ref="K963:K1026" si="62">H963-J963</f>
        <v>7.1999999999999886</v>
      </c>
      <c r="L963" s="533">
        <f t="shared" si="60"/>
        <v>8639.9999999999854</v>
      </c>
      <c r="M963" s="531">
        <f t="shared" ref="M963:M1026" si="63">K963/H963</f>
        <v>2.0797227036395114E-2</v>
      </c>
      <c r="N963" s="47" t="s">
        <v>20</v>
      </c>
      <c r="O963" s="47" t="s">
        <v>105</v>
      </c>
    </row>
    <row r="964" spans="1:15">
      <c r="A964" s="71">
        <v>2024</v>
      </c>
      <c r="B964" s="16" t="s">
        <v>15</v>
      </c>
      <c r="C964" s="62" t="s">
        <v>1441</v>
      </c>
      <c r="D964" s="47" t="s">
        <v>1442</v>
      </c>
      <c r="E964" s="47" t="s">
        <v>46</v>
      </c>
      <c r="F964" s="99">
        <v>500</v>
      </c>
      <c r="G964" s="42" t="s">
        <v>37</v>
      </c>
      <c r="H964" s="44">
        <v>348.79</v>
      </c>
      <c r="I964" s="502">
        <f t="shared" si="61"/>
        <v>174395</v>
      </c>
      <c r="J964" s="529">
        <v>344.15</v>
      </c>
      <c r="K964" s="529">
        <f t="shared" si="62"/>
        <v>4.6400000000000432</v>
      </c>
      <c r="L964" s="533">
        <f t="shared" si="60"/>
        <v>2320.0000000000218</v>
      </c>
      <c r="M964" s="531">
        <f t="shared" si="63"/>
        <v>1.3303133690759606E-2</v>
      </c>
      <c r="N964" s="47" t="s">
        <v>20</v>
      </c>
      <c r="O964" s="47" t="s">
        <v>105</v>
      </c>
    </row>
    <row r="965" spans="1:15">
      <c r="A965" s="71">
        <v>2024</v>
      </c>
      <c r="B965" s="16" t="s">
        <v>15</v>
      </c>
      <c r="C965" s="62" t="s">
        <v>1441</v>
      </c>
      <c r="D965" s="47" t="s">
        <v>1442</v>
      </c>
      <c r="E965" s="47" t="s">
        <v>1134</v>
      </c>
      <c r="F965" s="99">
        <v>700</v>
      </c>
      <c r="G965" s="42" t="s">
        <v>37</v>
      </c>
      <c r="H965" s="44">
        <v>350.97</v>
      </c>
      <c r="I965" s="502">
        <f t="shared" si="61"/>
        <v>245679.00000000003</v>
      </c>
      <c r="J965" s="529">
        <v>346.33</v>
      </c>
      <c r="K965" s="529">
        <f t="shared" si="62"/>
        <v>4.6400000000000432</v>
      </c>
      <c r="L965" s="533">
        <f t="shared" si="60"/>
        <v>3248.00000000003</v>
      </c>
      <c r="M965" s="531">
        <f t="shared" si="63"/>
        <v>1.322050317690983E-2</v>
      </c>
      <c r="N965" s="47" t="s">
        <v>20</v>
      </c>
      <c r="O965" s="47" t="s">
        <v>105</v>
      </c>
    </row>
    <row r="966" spans="1:15">
      <c r="A966" s="71">
        <v>2024</v>
      </c>
      <c r="B966" s="16" t="s">
        <v>15</v>
      </c>
      <c r="C966" s="62" t="s">
        <v>1441</v>
      </c>
      <c r="D966" s="47" t="s">
        <v>1442</v>
      </c>
      <c r="E966" s="47" t="s">
        <v>50</v>
      </c>
      <c r="F966" s="99">
        <v>500</v>
      </c>
      <c r="G966" s="42" t="s">
        <v>37</v>
      </c>
      <c r="H966" s="44">
        <v>349.88</v>
      </c>
      <c r="I966" s="502">
        <f t="shared" si="61"/>
        <v>174940</v>
      </c>
      <c r="J966" s="529">
        <v>345.24</v>
      </c>
      <c r="K966" s="529">
        <f t="shared" si="62"/>
        <v>4.6399999999999864</v>
      </c>
      <c r="L966" s="533">
        <f t="shared" si="60"/>
        <v>2319.9999999999932</v>
      </c>
      <c r="M966" s="531">
        <f t="shared" si="63"/>
        <v>1.3261689722190426E-2</v>
      </c>
      <c r="N966" s="47" t="s">
        <v>20</v>
      </c>
      <c r="O966" s="47" t="s">
        <v>105</v>
      </c>
    </row>
    <row r="967" spans="1:15">
      <c r="A967" s="71">
        <v>2024</v>
      </c>
      <c r="B967" s="16" t="s">
        <v>15</v>
      </c>
      <c r="C967" s="62" t="s">
        <v>1441</v>
      </c>
      <c r="D967" s="47" t="s">
        <v>1442</v>
      </c>
      <c r="E967" s="47" t="s">
        <v>1137</v>
      </c>
      <c r="F967" s="99">
        <v>1100</v>
      </c>
      <c r="G967" s="42" t="s">
        <v>37</v>
      </c>
      <c r="H967" s="44">
        <v>347.69</v>
      </c>
      <c r="I967" s="502">
        <f t="shared" si="61"/>
        <v>382459</v>
      </c>
      <c r="J967" s="529">
        <v>343.05</v>
      </c>
      <c r="K967" s="529">
        <f t="shared" si="62"/>
        <v>4.6399999999999864</v>
      </c>
      <c r="L967" s="533">
        <f t="shared" si="60"/>
        <v>5103.9999999999854</v>
      </c>
      <c r="M967" s="531">
        <f t="shared" si="63"/>
        <v>1.3345221317840565E-2</v>
      </c>
      <c r="N967" s="47" t="s">
        <v>20</v>
      </c>
      <c r="O967" s="47" t="s">
        <v>105</v>
      </c>
    </row>
    <row r="968" spans="1:15">
      <c r="A968" s="71">
        <v>2024</v>
      </c>
      <c r="B968" s="16" t="s">
        <v>15</v>
      </c>
      <c r="C968" s="62" t="s">
        <v>1441</v>
      </c>
      <c r="D968" s="47" t="s">
        <v>1442</v>
      </c>
      <c r="E968" s="47" t="s">
        <v>52</v>
      </c>
      <c r="F968" s="99">
        <v>400</v>
      </c>
      <c r="G968" s="42" t="s">
        <v>37</v>
      </c>
      <c r="H968" s="44">
        <v>347.69</v>
      </c>
      <c r="I968" s="502">
        <f t="shared" si="61"/>
        <v>139076</v>
      </c>
      <c r="J968" s="529">
        <v>343.05</v>
      </c>
      <c r="K968" s="529">
        <f t="shared" si="62"/>
        <v>4.6399999999999864</v>
      </c>
      <c r="L968" s="533">
        <f t="shared" si="60"/>
        <v>1855.9999999999945</v>
      </c>
      <c r="M968" s="531">
        <f t="shared" si="63"/>
        <v>1.3345221317840565E-2</v>
      </c>
      <c r="N968" s="47" t="s">
        <v>20</v>
      </c>
      <c r="O968" s="47" t="s">
        <v>105</v>
      </c>
    </row>
    <row r="969" spans="1:15">
      <c r="A969" s="71">
        <v>2024</v>
      </c>
      <c r="B969" s="16" t="s">
        <v>15</v>
      </c>
      <c r="C969" s="62" t="s">
        <v>1441</v>
      </c>
      <c r="D969" s="47" t="s">
        <v>1442</v>
      </c>
      <c r="E969" s="442" t="s">
        <v>51</v>
      </c>
      <c r="F969" s="99">
        <v>500</v>
      </c>
      <c r="G969" s="42" t="s">
        <v>37</v>
      </c>
      <c r="H969" s="411">
        <v>348.79</v>
      </c>
      <c r="I969" s="502">
        <f t="shared" si="61"/>
        <v>174395</v>
      </c>
      <c r="J969" s="529">
        <v>344.15</v>
      </c>
      <c r="K969" s="529">
        <f t="shared" si="62"/>
        <v>4.6400000000000432</v>
      </c>
      <c r="L969" s="533">
        <f t="shared" si="60"/>
        <v>2320.0000000000218</v>
      </c>
      <c r="M969" s="531">
        <f t="shared" si="63"/>
        <v>1.3303133690759606E-2</v>
      </c>
      <c r="N969" s="47" t="s">
        <v>20</v>
      </c>
      <c r="O969" s="47" t="s">
        <v>105</v>
      </c>
    </row>
    <row r="970" spans="1:15">
      <c r="A970" s="71">
        <v>2024</v>
      </c>
      <c r="B970" s="16" t="s">
        <v>15</v>
      </c>
      <c r="C970" s="62" t="s">
        <v>1441</v>
      </c>
      <c r="D970" s="47" t="s">
        <v>1442</v>
      </c>
      <c r="E970" s="47" t="s">
        <v>209</v>
      </c>
      <c r="F970" s="99">
        <v>500</v>
      </c>
      <c r="G970" s="42" t="s">
        <v>37</v>
      </c>
      <c r="H970" s="44">
        <v>348.79</v>
      </c>
      <c r="I970" s="502">
        <f t="shared" si="61"/>
        <v>174395</v>
      </c>
      <c r="J970" s="529">
        <v>344.15</v>
      </c>
      <c r="K970" s="529">
        <f t="shared" si="62"/>
        <v>4.6400000000000432</v>
      </c>
      <c r="L970" s="533">
        <f t="shared" si="60"/>
        <v>2320.0000000000218</v>
      </c>
      <c r="M970" s="531">
        <f t="shared" si="63"/>
        <v>1.3303133690759606E-2</v>
      </c>
      <c r="N970" s="47" t="s">
        <v>20</v>
      </c>
      <c r="O970" s="47" t="s">
        <v>105</v>
      </c>
    </row>
    <row r="971" spans="1:15">
      <c r="A971" s="71">
        <v>2024</v>
      </c>
      <c r="B971" s="16" t="s">
        <v>15</v>
      </c>
      <c r="C971" s="62" t="s">
        <v>1441</v>
      </c>
      <c r="D971" s="47" t="s">
        <v>1442</v>
      </c>
      <c r="E971" s="47" t="s">
        <v>210</v>
      </c>
      <c r="F971" s="99">
        <v>500</v>
      </c>
      <c r="G971" s="42" t="s">
        <v>37</v>
      </c>
      <c r="H971" s="44">
        <v>347.69</v>
      </c>
      <c r="I971" s="502">
        <f t="shared" si="61"/>
        <v>173845</v>
      </c>
      <c r="J971" s="529">
        <v>343.05</v>
      </c>
      <c r="K971" s="529">
        <f t="shared" si="62"/>
        <v>4.6399999999999864</v>
      </c>
      <c r="L971" s="533">
        <f t="shared" si="60"/>
        <v>2319.9999999999932</v>
      </c>
      <c r="M971" s="531">
        <f t="shared" si="63"/>
        <v>1.3345221317840565E-2</v>
      </c>
      <c r="N971" s="47" t="s">
        <v>20</v>
      </c>
      <c r="O971" s="47" t="s">
        <v>105</v>
      </c>
    </row>
    <row r="972" spans="1:15">
      <c r="A972" s="71">
        <v>2024</v>
      </c>
      <c r="B972" s="16" t="s">
        <v>15</v>
      </c>
      <c r="C972" s="62" t="s">
        <v>1443</v>
      </c>
      <c r="D972" s="47" t="s">
        <v>27</v>
      </c>
      <c r="E972" s="47" t="s">
        <v>456</v>
      </c>
      <c r="F972" s="99">
        <v>300</v>
      </c>
      <c r="G972" s="42" t="s">
        <v>19</v>
      </c>
      <c r="H972" s="44">
        <v>2.5499999999999998</v>
      </c>
      <c r="I972" s="502">
        <f t="shared" si="61"/>
        <v>765</v>
      </c>
      <c r="J972" s="529">
        <v>2.5</v>
      </c>
      <c r="K972" s="529">
        <f t="shared" si="62"/>
        <v>4.9999999999999822E-2</v>
      </c>
      <c r="L972" s="533">
        <f t="shared" si="60"/>
        <v>14.999999999999947</v>
      </c>
      <c r="M972" s="531">
        <f t="shared" si="63"/>
        <v>1.9607843137254832E-2</v>
      </c>
      <c r="N972" s="84" t="s">
        <v>22</v>
      </c>
      <c r="O972" s="47" t="s">
        <v>105</v>
      </c>
    </row>
    <row r="973" spans="1:15">
      <c r="A973" s="71">
        <v>2024</v>
      </c>
      <c r="B973" s="16" t="s">
        <v>15</v>
      </c>
      <c r="C973" s="62" t="s">
        <v>1444</v>
      </c>
      <c r="D973" s="47" t="s">
        <v>94</v>
      </c>
      <c r="E973" s="47" t="s">
        <v>546</v>
      </c>
      <c r="F973" s="99">
        <v>100</v>
      </c>
      <c r="G973" s="42" t="s">
        <v>19</v>
      </c>
      <c r="H973" s="44">
        <v>183</v>
      </c>
      <c r="I973" s="502">
        <f t="shared" si="61"/>
        <v>18300</v>
      </c>
      <c r="J973" s="529">
        <v>182.25</v>
      </c>
      <c r="K973" s="529">
        <f t="shared" si="62"/>
        <v>0.75</v>
      </c>
      <c r="L973" s="533">
        <f t="shared" si="60"/>
        <v>75</v>
      </c>
      <c r="M973" s="531">
        <f t="shared" si="63"/>
        <v>4.0983606557377051E-3</v>
      </c>
      <c r="N973" s="84" t="s">
        <v>22</v>
      </c>
      <c r="O973" s="47" t="s">
        <v>105</v>
      </c>
    </row>
    <row r="974" spans="1:15">
      <c r="A974" s="71">
        <v>2024</v>
      </c>
      <c r="B974" s="16" t="s">
        <v>15</v>
      </c>
      <c r="C974" s="62" t="s">
        <v>1445</v>
      </c>
      <c r="D974" s="47" t="s">
        <v>68</v>
      </c>
      <c r="E974" s="47" t="s">
        <v>69</v>
      </c>
      <c r="F974" s="99">
        <v>46</v>
      </c>
      <c r="G974" s="42" t="s">
        <v>37</v>
      </c>
      <c r="H974" s="44">
        <v>350</v>
      </c>
      <c r="I974" s="502">
        <f t="shared" si="61"/>
        <v>16100</v>
      </c>
      <c r="J974" s="529">
        <v>340</v>
      </c>
      <c r="K974" s="529">
        <f t="shared" si="62"/>
        <v>10</v>
      </c>
      <c r="L974" s="533">
        <f t="shared" si="60"/>
        <v>460</v>
      </c>
      <c r="M974" s="531">
        <f t="shared" si="63"/>
        <v>2.8571428571428571E-2</v>
      </c>
      <c r="N974" s="84" t="s">
        <v>22</v>
      </c>
      <c r="O974" s="47" t="s">
        <v>105</v>
      </c>
    </row>
    <row r="975" spans="1:15">
      <c r="A975" s="71">
        <v>2024</v>
      </c>
      <c r="B975" s="16" t="s">
        <v>15</v>
      </c>
      <c r="C975" s="62" t="s">
        <v>1445</v>
      </c>
      <c r="D975" s="47" t="s">
        <v>68</v>
      </c>
      <c r="E975" s="47" t="s">
        <v>71</v>
      </c>
      <c r="F975" s="99">
        <v>90.5</v>
      </c>
      <c r="G975" s="42" t="s">
        <v>37</v>
      </c>
      <c r="H975" s="44">
        <v>350</v>
      </c>
      <c r="I975" s="502">
        <f t="shared" si="61"/>
        <v>31675</v>
      </c>
      <c r="J975" s="529">
        <v>340</v>
      </c>
      <c r="K975" s="529">
        <f t="shared" si="62"/>
        <v>10</v>
      </c>
      <c r="L975" s="533">
        <f t="shared" si="60"/>
        <v>905</v>
      </c>
      <c r="M975" s="531">
        <f t="shared" si="63"/>
        <v>2.8571428571428571E-2</v>
      </c>
      <c r="N975" s="84" t="s">
        <v>22</v>
      </c>
      <c r="O975" s="47" t="s">
        <v>105</v>
      </c>
    </row>
    <row r="976" spans="1:15">
      <c r="A976" s="71">
        <v>2024</v>
      </c>
      <c r="B976" s="16" t="s">
        <v>15</v>
      </c>
      <c r="C976" s="62" t="s">
        <v>1445</v>
      </c>
      <c r="D976" s="47" t="s">
        <v>68</v>
      </c>
      <c r="E976" s="47" t="s">
        <v>72</v>
      </c>
      <c r="F976" s="99">
        <v>135.5</v>
      </c>
      <c r="G976" s="42" t="s">
        <v>37</v>
      </c>
      <c r="H976" s="44">
        <v>350</v>
      </c>
      <c r="I976" s="502">
        <f t="shared" si="61"/>
        <v>47425</v>
      </c>
      <c r="J976" s="529">
        <v>340</v>
      </c>
      <c r="K976" s="529">
        <f t="shared" si="62"/>
        <v>10</v>
      </c>
      <c r="L976" s="533">
        <f t="shared" si="60"/>
        <v>1355</v>
      </c>
      <c r="M976" s="531">
        <f t="shared" si="63"/>
        <v>2.8571428571428571E-2</v>
      </c>
      <c r="N976" s="84" t="s">
        <v>22</v>
      </c>
      <c r="O976" s="47" t="s">
        <v>105</v>
      </c>
    </row>
    <row r="977" spans="1:15">
      <c r="A977" s="71">
        <v>2024</v>
      </c>
      <c r="B977" s="16" t="s">
        <v>15</v>
      </c>
      <c r="C977" s="62" t="s">
        <v>1445</v>
      </c>
      <c r="D977" s="47" t="s">
        <v>68</v>
      </c>
      <c r="E977" s="47" t="s">
        <v>271</v>
      </c>
      <c r="F977" s="99">
        <v>65</v>
      </c>
      <c r="G977" s="42" t="s">
        <v>37</v>
      </c>
      <c r="H977" s="44">
        <v>350</v>
      </c>
      <c r="I977" s="502">
        <f t="shared" si="61"/>
        <v>22750</v>
      </c>
      <c r="J977" s="529">
        <v>340</v>
      </c>
      <c r="K977" s="529">
        <f t="shared" si="62"/>
        <v>10</v>
      </c>
      <c r="L977" s="533">
        <f t="shared" si="60"/>
        <v>650</v>
      </c>
      <c r="M977" s="531">
        <f t="shared" si="63"/>
        <v>2.8571428571428571E-2</v>
      </c>
      <c r="N977" s="84" t="s">
        <v>22</v>
      </c>
      <c r="O977" s="47" t="s">
        <v>105</v>
      </c>
    </row>
    <row r="978" spans="1:15">
      <c r="A978" s="71">
        <v>2024</v>
      </c>
      <c r="B978" s="16" t="s">
        <v>15</v>
      </c>
      <c r="C978" s="62" t="s">
        <v>1445</v>
      </c>
      <c r="D978" s="47" t="s">
        <v>68</v>
      </c>
      <c r="E978" s="47" t="s">
        <v>73</v>
      </c>
      <c r="F978" s="99">
        <v>303.10000000000002</v>
      </c>
      <c r="G978" s="42" t="s">
        <v>37</v>
      </c>
      <c r="H978" s="44">
        <v>350</v>
      </c>
      <c r="I978" s="502">
        <f t="shared" si="61"/>
        <v>106085.00000000001</v>
      </c>
      <c r="J978" s="529">
        <v>340</v>
      </c>
      <c r="K978" s="529">
        <f t="shared" si="62"/>
        <v>10</v>
      </c>
      <c r="L978" s="533">
        <f t="shared" si="60"/>
        <v>3031</v>
      </c>
      <c r="M978" s="531">
        <f t="shared" si="63"/>
        <v>2.8571428571428571E-2</v>
      </c>
      <c r="N978" s="84" t="s">
        <v>22</v>
      </c>
      <c r="O978" s="47" t="s">
        <v>105</v>
      </c>
    </row>
    <row r="979" spans="1:15">
      <c r="A979" s="71">
        <v>2024</v>
      </c>
      <c r="B979" s="16" t="s">
        <v>15</v>
      </c>
      <c r="C979" s="62" t="s">
        <v>1446</v>
      </c>
      <c r="D979" s="47" t="s">
        <v>329</v>
      </c>
      <c r="E979" s="47" t="s">
        <v>1367</v>
      </c>
      <c r="F979" s="99">
        <v>40</v>
      </c>
      <c r="G979" s="42" t="s">
        <v>1368</v>
      </c>
      <c r="H979" s="44">
        <v>2280</v>
      </c>
      <c r="I979" s="502">
        <f t="shared" si="61"/>
        <v>91200</v>
      </c>
      <c r="J979" s="529">
        <v>2090</v>
      </c>
      <c r="K979" s="529">
        <f t="shared" si="62"/>
        <v>190</v>
      </c>
      <c r="L979" s="533">
        <f t="shared" si="60"/>
        <v>7600</v>
      </c>
      <c r="M979" s="531">
        <f t="shared" si="63"/>
        <v>8.3333333333333329E-2</v>
      </c>
      <c r="N979" s="47" t="s">
        <v>20</v>
      </c>
      <c r="O979" s="47" t="s">
        <v>39</v>
      </c>
    </row>
    <row r="980" spans="1:15">
      <c r="A980" s="71">
        <v>2024</v>
      </c>
      <c r="B980" s="16" t="s">
        <v>15</v>
      </c>
      <c r="C980" s="61" t="s">
        <v>1447</v>
      </c>
      <c r="D980" s="32" t="s">
        <v>501</v>
      </c>
      <c r="E980" s="43" t="s">
        <v>503</v>
      </c>
      <c r="F980" s="100">
        <v>20000</v>
      </c>
      <c r="G980" s="45" t="s">
        <v>37</v>
      </c>
      <c r="H980" s="49">
        <v>89.5</v>
      </c>
      <c r="I980" s="511">
        <f t="shared" si="61"/>
        <v>1790000</v>
      </c>
      <c r="J980" s="532">
        <v>86.5</v>
      </c>
      <c r="K980" s="532">
        <f t="shared" si="62"/>
        <v>3</v>
      </c>
      <c r="L980" s="545">
        <f t="shared" si="60"/>
        <v>60000</v>
      </c>
      <c r="M980" s="523">
        <f t="shared" si="63"/>
        <v>3.3519553072625698E-2</v>
      </c>
      <c r="N980" s="2" t="s">
        <v>22</v>
      </c>
      <c r="O980" s="2" t="s">
        <v>39</v>
      </c>
    </row>
    <row r="981" spans="1:15">
      <c r="A981" s="71">
        <v>2024</v>
      </c>
      <c r="B981" s="16" t="s">
        <v>15</v>
      </c>
      <c r="C981" s="62" t="s">
        <v>1447</v>
      </c>
      <c r="D981" s="47" t="s">
        <v>501</v>
      </c>
      <c r="E981" s="47" t="s">
        <v>813</v>
      </c>
      <c r="F981" s="99">
        <v>20000</v>
      </c>
      <c r="G981" s="42" t="s">
        <v>37</v>
      </c>
      <c r="H981" s="44">
        <v>65.5</v>
      </c>
      <c r="I981" s="511">
        <f t="shared" si="61"/>
        <v>1310000</v>
      </c>
      <c r="J981" s="529">
        <v>62.5</v>
      </c>
      <c r="K981" s="529">
        <f t="shared" si="62"/>
        <v>3</v>
      </c>
      <c r="L981" s="533">
        <f t="shared" si="60"/>
        <v>60000</v>
      </c>
      <c r="M981" s="531">
        <f t="shared" si="63"/>
        <v>4.5801526717557252E-2</v>
      </c>
      <c r="N981" s="2" t="s">
        <v>20</v>
      </c>
      <c r="O981" s="2" t="s">
        <v>39</v>
      </c>
    </row>
    <row r="982" spans="1:15">
      <c r="A982" s="71">
        <v>2024</v>
      </c>
      <c r="B982" s="16" t="s">
        <v>15</v>
      </c>
      <c r="C982" s="62" t="s">
        <v>1448</v>
      </c>
      <c r="D982" s="47" t="s">
        <v>94</v>
      </c>
      <c r="E982" s="55" t="s">
        <v>613</v>
      </c>
      <c r="F982" s="99">
        <v>200</v>
      </c>
      <c r="G982" s="42" t="s">
        <v>19</v>
      </c>
      <c r="H982" s="49">
        <v>26.5</v>
      </c>
      <c r="I982" s="511">
        <f t="shared" si="61"/>
        <v>5300</v>
      </c>
      <c r="J982" s="532">
        <v>24.6</v>
      </c>
      <c r="K982" s="532">
        <f t="shared" si="62"/>
        <v>1.8999999999999986</v>
      </c>
      <c r="L982" s="533">
        <f t="shared" si="60"/>
        <v>379.99999999999972</v>
      </c>
      <c r="M982" s="531">
        <f t="shared" si="63"/>
        <v>7.1698113207547112E-2</v>
      </c>
      <c r="N982" s="28" t="s">
        <v>22</v>
      </c>
      <c r="O982" s="2" t="s">
        <v>105</v>
      </c>
    </row>
    <row r="983" spans="1:15">
      <c r="A983" s="71">
        <v>2024</v>
      </c>
      <c r="B983" s="16" t="s">
        <v>15</v>
      </c>
      <c r="C983" s="62" t="s">
        <v>1449</v>
      </c>
      <c r="D983" s="47" t="s">
        <v>1042</v>
      </c>
      <c r="E983" s="47" t="s">
        <v>889</v>
      </c>
      <c r="F983" s="99">
        <v>6043</v>
      </c>
      <c r="G983" s="42" t="s">
        <v>37</v>
      </c>
      <c r="H983" s="44">
        <v>335</v>
      </c>
      <c r="I983" s="511">
        <f t="shared" si="61"/>
        <v>2024405</v>
      </c>
      <c r="J983" s="529">
        <v>334</v>
      </c>
      <c r="K983" s="532">
        <f t="shared" si="62"/>
        <v>1</v>
      </c>
      <c r="L983" s="533">
        <f t="shared" si="60"/>
        <v>6043</v>
      </c>
      <c r="M983" s="531">
        <f t="shared" si="63"/>
        <v>2.9850746268656717E-3</v>
      </c>
      <c r="N983" s="28" t="s">
        <v>22</v>
      </c>
      <c r="O983" s="2" t="s">
        <v>105</v>
      </c>
    </row>
    <row r="984" spans="1:15">
      <c r="A984" s="71">
        <v>2024</v>
      </c>
      <c r="B984" s="16" t="s">
        <v>15</v>
      </c>
      <c r="C984" s="62" t="s">
        <v>1450</v>
      </c>
      <c r="D984" s="47" t="s">
        <v>1042</v>
      </c>
      <c r="E984" s="47" t="s">
        <v>1451</v>
      </c>
      <c r="F984" s="99">
        <v>1372</v>
      </c>
      <c r="G984" s="42" t="s">
        <v>37</v>
      </c>
      <c r="H984" s="44">
        <v>335</v>
      </c>
      <c r="I984" s="511">
        <f t="shared" si="61"/>
        <v>459620</v>
      </c>
      <c r="J984" s="529">
        <v>334</v>
      </c>
      <c r="K984" s="532">
        <f t="shared" si="62"/>
        <v>1</v>
      </c>
      <c r="L984" s="533">
        <f t="shared" si="60"/>
        <v>1372</v>
      </c>
      <c r="M984" s="531">
        <f t="shared" si="63"/>
        <v>2.9850746268656717E-3</v>
      </c>
      <c r="N984" s="28" t="s">
        <v>22</v>
      </c>
      <c r="O984" s="2" t="s">
        <v>105</v>
      </c>
    </row>
    <row r="985" spans="1:15">
      <c r="A985" s="71">
        <v>2024</v>
      </c>
      <c r="B985" s="16" t="s">
        <v>15</v>
      </c>
      <c r="C985" s="62" t="s">
        <v>1452</v>
      </c>
      <c r="D985" s="47" t="s">
        <v>94</v>
      </c>
      <c r="E985" s="55" t="s">
        <v>550</v>
      </c>
      <c r="F985" s="100">
        <v>300</v>
      </c>
      <c r="G985" s="42" t="s">
        <v>19</v>
      </c>
      <c r="H985" s="49">
        <v>49</v>
      </c>
      <c r="I985" s="511">
        <f t="shared" si="61"/>
        <v>14700</v>
      </c>
      <c r="J985" s="532">
        <v>47.56</v>
      </c>
      <c r="K985" s="532">
        <f t="shared" si="62"/>
        <v>1.4399999999999977</v>
      </c>
      <c r="L985" s="533">
        <f t="shared" si="60"/>
        <v>431.99999999999932</v>
      </c>
      <c r="M985" s="531">
        <f t="shared" si="63"/>
        <v>2.938775510204077E-2</v>
      </c>
      <c r="N985" s="28" t="s">
        <v>22</v>
      </c>
      <c r="O985" s="2" t="s">
        <v>105</v>
      </c>
    </row>
    <row r="986" spans="1:15">
      <c r="A986" s="71">
        <v>2024</v>
      </c>
      <c r="B986" s="16" t="s">
        <v>15</v>
      </c>
      <c r="C986" s="62" t="s">
        <v>1453</v>
      </c>
      <c r="D986" s="47" t="s">
        <v>430</v>
      </c>
      <c r="E986" s="47" t="s">
        <v>1454</v>
      </c>
      <c r="F986" s="99">
        <v>1000</v>
      </c>
      <c r="G986" s="42" t="s">
        <v>19</v>
      </c>
      <c r="H986" s="44">
        <v>3.5</v>
      </c>
      <c r="I986" s="511">
        <f t="shared" si="61"/>
        <v>3500</v>
      </c>
      <c r="J986" s="529">
        <v>1.2</v>
      </c>
      <c r="K986" s="532">
        <f t="shared" si="62"/>
        <v>2.2999999999999998</v>
      </c>
      <c r="L986" s="533">
        <f t="shared" si="60"/>
        <v>2300</v>
      </c>
      <c r="M986" s="531">
        <f t="shared" si="63"/>
        <v>0.65714285714285714</v>
      </c>
      <c r="N986" s="28" t="s">
        <v>22</v>
      </c>
      <c r="O986" s="2" t="s">
        <v>21</v>
      </c>
    </row>
    <row r="987" spans="1:15">
      <c r="A987" s="71">
        <v>2024</v>
      </c>
      <c r="B987" s="16" t="s">
        <v>15</v>
      </c>
      <c r="C987" s="63" t="s">
        <v>1455</v>
      </c>
      <c r="D987" s="56" t="s">
        <v>96</v>
      </c>
      <c r="E987" s="56" t="s">
        <v>97</v>
      </c>
      <c r="F987" s="101">
        <v>50</v>
      </c>
      <c r="G987" s="42" t="s">
        <v>19</v>
      </c>
      <c r="H987" s="60">
        <v>275</v>
      </c>
      <c r="I987" s="511">
        <f t="shared" si="61"/>
        <v>13750</v>
      </c>
      <c r="J987" s="535">
        <v>140</v>
      </c>
      <c r="K987" s="532">
        <f t="shared" si="62"/>
        <v>135</v>
      </c>
      <c r="L987" s="533">
        <f t="shared" si="60"/>
        <v>6750</v>
      </c>
      <c r="M987" s="531">
        <f t="shared" si="63"/>
        <v>0.49090909090909091</v>
      </c>
      <c r="N987" s="28" t="s">
        <v>22</v>
      </c>
      <c r="O987" s="2" t="s">
        <v>21</v>
      </c>
    </row>
    <row r="988" spans="1:15">
      <c r="A988" s="71">
        <v>2024</v>
      </c>
      <c r="B988" s="16" t="s">
        <v>15</v>
      </c>
      <c r="C988" s="426" t="s">
        <v>1455</v>
      </c>
      <c r="D988" s="56" t="s">
        <v>96</v>
      </c>
      <c r="E988" s="56" t="s">
        <v>99</v>
      </c>
      <c r="F988" s="101">
        <v>50</v>
      </c>
      <c r="G988" s="42" t="s">
        <v>19</v>
      </c>
      <c r="H988" s="60">
        <v>805</v>
      </c>
      <c r="I988" s="511">
        <f t="shared" si="61"/>
        <v>40250</v>
      </c>
      <c r="J988" s="535">
        <v>432</v>
      </c>
      <c r="K988" s="532">
        <f t="shared" si="62"/>
        <v>373</v>
      </c>
      <c r="L988" s="533">
        <f t="shared" si="60"/>
        <v>18650</v>
      </c>
      <c r="M988" s="531">
        <f t="shared" si="63"/>
        <v>0.46335403726708074</v>
      </c>
      <c r="N988" s="28" t="s">
        <v>22</v>
      </c>
      <c r="O988" s="2" t="s">
        <v>21</v>
      </c>
    </row>
    <row r="989" spans="1:15">
      <c r="A989" s="71">
        <v>2024</v>
      </c>
      <c r="B989" s="16" t="s">
        <v>15</v>
      </c>
      <c r="C989" s="63" t="s">
        <v>1455</v>
      </c>
      <c r="D989" s="56" t="s">
        <v>96</v>
      </c>
      <c r="E989" s="56" t="s">
        <v>774</v>
      </c>
      <c r="F989" s="101">
        <v>50</v>
      </c>
      <c r="G989" s="42" t="s">
        <v>19</v>
      </c>
      <c r="H989" s="60">
        <v>1425</v>
      </c>
      <c r="I989" s="511">
        <f t="shared" si="61"/>
        <v>71250</v>
      </c>
      <c r="J989" s="535">
        <v>1050</v>
      </c>
      <c r="K989" s="532">
        <f t="shared" si="62"/>
        <v>375</v>
      </c>
      <c r="L989" s="533">
        <f t="shared" si="60"/>
        <v>18750</v>
      </c>
      <c r="M989" s="531">
        <f t="shared" si="63"/>
        <v>0.26315789473684209</v>
      </c>
      <c r="N989" s="28" t="s">
        <v>22</v>
      </c>
      <c r="O989" s="2" t="s">
        <v>21</v>
      </c>
    </row>
    <row r="990" spans="1:15">
      <c r="A990" s="71">
        <v>2024</v>
      </c>
      <c r="B990" s="16" t="s">
        <v>15</v>
      </c>
      <c r="C990" s="63" t="s">
        <v>1456</v>
      </c>
      <c r="D990" s="56" t="s">
        <v>17</v>
      </c>
      <c r="E990" s="56" t="s">
        <v>728</v>
      </c>
      <c r="F990" s="101">
        <v>5000</v>
      </c>
      <c r="G990" s="42" t="s">
        <v>19</v>
      </c>
      <c r="H990" s="60">
        <v>4.5</v>
      </c>
      <c r="I990" s="511">
        <f t="shared" si="61"/>
        <v>22500</v>
      </c>
      <c r="J990" s="535">
        <v>1.9</v>
      </c>
      <c r="K990" s="532">
        <f t="shared" si="62"/>
        <v>2.6</v>
      </c>
      <c r="L990" s="533">
        <f t="shared" si="60"/>
        <v>13000</v>
      </c>
      <c r="M990" s="531">
        <f t="shared" si="63"/>
        <v>0.57777777777777783</v>
      </c>
      <c r="N990" s="28" t="s">
        <v>22</v>
      </c>
      <c r="O990" s="2" t="s">
        <v>21</v>
      </c>
    </row>
    <row r="991" spans="1:15">
      <c r="A991" s="71">
        <v>2024</v>
      </c>
      <c r="B991" s="16" t="s">
        <v>15</v>
      </c>
      <c r="C991" s="63" t="s">
        <v>1457</v>
      </c>
      <c r="D991" s="56" t="s">
        <v>1458</v>
      </c>
      <c r="E991" s="56" t="s">
        <v>1459</v>
      </c>
      <c r="F991" s="101">
        <v>1</v>
      </c>
      <c r="G991" s="42" t="s">
        <v>19</v>
      </c>
      <c r="H991" s="60">
        <v>13000</v>
      </c>
      <c r="I991" s="511">
        <f t="shared" si="61"/>
        <v>13000</v>
      </c>
      <c r="J991" s="535">
        <v>12000</v>
      </c>
      <c r="K991" s="532">
        <f t="shared" si="62"/>
        <v>1000</v>
      </c>
      <c r="L991" s="533">
        <f t="shared" si="60"/>
        <v>1000</v>
      </c>
      <c r="M991" s="531">
        <f t="shared" si="63"/>
        <v>7.6923076923076927E-2</v>
      </c>
      <c r="N991" s="28" t="s">
        <v>38</v>
      </c>
      <c r="O991" s="2" t="s">
        <v>21</v>
      </c>
    </row>
    <row r="992" spans="1:15">
      <c r="A992" s="71">
        <v>2024</v>
      </c>
      <c r="B992" s="16" t="s">
        <v>15</v>
      </c>
      <c r="C992" s="63" t="s">
        <v>1460</v>
      </c>
      <c r="D992" s="56" t="s">
        <v>1461</v>
      </c>
      <c r="E992" s="56" t="s">
        <v>1462</v>
      </c>
      <c r="F992" s="101">
        <v>1</v>
      </c>
      <c r="G992" s="42" t="s">
        <v>285</v>
      </c>
      <c r="H992" s="60">
        <v>288000</v>
      </c>
      <c r="I992" s="511">
        <f t="shared" si="61"/>
        <v>288000</v>
      </c>
      <c r="J992" s="535">
        <v>271000</v>
      </c>
      <c r="K992" s="532">
        <f t="shared" si="62"/>
        <v>17000</v>
      </c>
      <c r="L992" s="533">
        <f t="shared" si="60"/>
        <v>17000</v>
      </c>
      <c r="M992" s="531">
        <f t="shared" si="63"/>
        <v>5.9027777777777776E-2</v>
      </c>
      <c r="N992" s="28" t="s">
        <v>38</v>
      </c>
      <c r="O992" s="2" t="s">
        <v>21</v>
      </c>
    </row>
    <row r="993" spans="1:15">
      <c r="A993" s="71">
        <v>2024</v>
      </c>
      <c r="B993" s="16" t="s">
        <v>15</v>
      </c>
      <c r="C993" s="63" t="s">
        <v>1463</v>
      </c>
      <c r="D993" s="56" t="s">
        <v>527</v>
      </c>
      <c r="E993" s="56" t="s">
        <v>1464</v>
      </c>
      <c r="F993" s="101">
        <v>1</v>
      </c>
      <c r="G993" s="42" t="s">
        <v>285</v>
      </c>
      <c r="H993" s="60">
        <v>528600</v>
      </c>
      <c r="I993" s="511">
        <f t="shared" si="61"/>
        <v>528600</v>
      </c>
      <c r="J993" s="535">
        <v>428600</v>
      </c>
      <c r="K993" s="532">
        <f t="shared" si="62"/>
        <v>100000</v>
      </c>
      <c r="L993" s="533">
        <f t="shared" si="60"/>
        <v>100000</v>
      </c>
      <c r="M993" s="531">
        <f t="shared" si="63"/>
        <v>0.18917896329928113</v>
      </c>
      <c r="N993" s="28" t="s">
        <v>22</v>
      </c>
      <c r="O993" s="2" t="s">
        <v>21</v>
      </c>
    </row>
    <row r="994" spans="1:15">
      <c r="A994" s="71">
        <v>2024</v>
      </c>
      <c r="B994" s="16" t="s">
        <v>15</v>
      </c>
      <c r="C994" s="63" t="s">
        <v>1465</v>
      </c>
      <c r="D994" s="56" t="s">
        <v>17</v>
      </c>
      <c r="E994" s="56" t="s">
        <v>382</v>
      </c>
      <c r="F994" s="101">
        <v>24</v>
      </c>
      <c r="G994" s="42" t="s">
        <v>19</v>
      </c>
      <c r="H994" s="60">
        <v>69</v>
      </c>
      <c r="I994" s="511">
        <f t="shared" si="61"/>
        <v>1656</v>
      </c>
      <c r="J994" s="535">
        <v>64</v>
      </c>
      <c r="K994" s="532">
        <f t="shared" si="62"/>
        <v>5</v>
      </c>
      <c r="L994" s="533">
        <f t="shared" si="60"/>
        <v>120</v>
      </c>
      <c r="M994" s="531">
        <f t="shared" si="63"/>
        <v>7.2463768115942032E-2</v>
      </c>
      <c r="N994" s="28" t="s">
        <v>22</v>
      </c>
      <c r="O994" s="2" t="s">
        <v>21</v>
      </c>
    </row>
    <row r="995" spans="1:15">
      <c r="A995" s="71">
        <v>2024</v>
      </c>
      <c r="B995" s="16" t="s">
        <v>15</v>
      </c>
      <c r="C995" s="63" t="s">
        <v>1466</v>
      </c>
      <c r="D995" s="56" t="s">
        <v>118</v>
      </c>
      <c r="E995" s="56" t="s">
        <v>1467</v>
      </c>
      <c r="F995" s="101">
        <v>3</v>
      </c>
      <c r="G995" s="42" t="s">
        <v>29</v>
      </c>
      <c r="H995" s="60">
        <v>770</v>
      </c>
      <c r="I995" s="511">
        <f t="shared" si="61"/>
        <v>2310</v>
      </c>
      <c r="J995" s="535">
        <v>695</v>
      </c>
      <c r="K995" s="532">
        <f t="shared" si="62"/>
        <v>75</v>
      </c>
      <c r="L995" s="533">
        <f t="shared" si="60"/>
        <v>225</v>
      </c>
      <c r="M995" s="531">
        <f t="shared" si="63"/>
        <v>9.7402597402597407E-2</v>
      </c>
      <c r="N995" s="28" t="s">
        <v>22</v>
      </c>
      <c r="O995" s="2" t="s">
        <v>21</v>
      </c>
    </row>
    <row r="996" spans="1:15">
      <c r="A996" s="71">
        <v>2024</v>
      </c>
      <c r="B996" s="16" t="s">
        <v>15</v>
      </c>
      <c r="C996" s="63" t="s">
        <v>1466</v>
      </c>
      <c r="D996" s="56" t="s">
        <v>118</v>
      </c>
      <c r="E996" s="56" t="s">
        <v>1468</v>
      </c>
      <c r="F996" s="101">
        <v>5</v>
      </c>
      <c r="G996" s="42" t="s">
        <v>29</v>
      </c>
      <c r="H996" s="60">
        <v>770</v>
      </c>
      <c r="I996" s="511">
        <f t="shared" si="61"/>
        <v>3850</v>
      </c>
      <c r="J996" s="535">
        <v>695</v>
      </c>
      <c r="K996" s="532">
        <f t="shared" si="62"/>
        <v>75</v>
      </c>
      <c r="L996" s="533">
        <f t="shared" si="60"/>
        <v>375</v>
      </c>
      <c r="M996" s="531">
        <f t="shared" si="63"/>
        <v>9.7402597402597407E-2</v>
      </c>
      <c r="N996" s="28" t="s">
        <v>22</v>
      </c>
      <c r="O996" s="2" t="s">
        <v>21</v>
      </c>
    </row>
    <row r="997" spans="1:15">
      <c r="A997" s="71">
        <v>2024</v>
      </c>
      <c r="B997" s="16" t="s">
        <v>15</v>
      </c>
      <c r="C997" s="63" t="s">
        <v>1469</v>
      </c>
      <c r="D997" s="56" t="s">
        <v>1470</v>
      </c>
      <c r="E997" s="56" t="s">
        <v>1471</v>
      </c>
      <c r="F997" s="101">
        <v>100</v>
      </c>
      <c r="G997" s="59" t="s">
        <v>98</v>
      </c>
      <c r="H997" s="60">
        <v>3000</v>
      </c>
      <c r="I997" s="511">
        <f t="shared" si="61"/>
        <v>300000</v>
      </c>
      <c r="J997" s="535">
        <v>2850</v>
      </c>
      <c r="K997" s="532">
        <f t="shared" si="62"/>
        <v>150</v>
      </c>
      <c r="L997" s="533">
        <f t="shared" si="60"/>
        <v>15000</v>
      </c>
      <c r="M997" s="531">
        <f t="shared" si="63"/>
        <v>0.05</v>
      </c>
      <c r="N997" s="28" t="s">
        <v>38</v>
      </c>
      <c r="O997" s="2" t="s">
        <v>21</v>
      </c>
    </row>
    <row r="998" spans="1:15">
      <c r="A998" s="71">
        <v>2024</v>
      </c>
      <c r="B998" s="16" t="s">
        <v>15</v>
      </c>
      <c r="C998" s="63" t="s">
        <v>1472</v>
      </c>
      <c r="D998" s="56" t="s">
        <v>1473</v>
      </c>
      <c r="E998" s="56" t="s">
        <v>1474</v>
      </c>
      <c r="F998" s="101">
        <v>1</v>
      </c>
      <c r="G998" s="59" t="s">
        <v>285</v>
      </c>
      <c r="H998" s="60">
        <v>268000</v>
      </c>
      <c r="I998" s="511">
        <f t="shared" si="61"/>
        <v>268000</v>
      </c>
      <c r="J998" s="535">
        <v>254600</v>
      </c>
      <c r="K998" s="532">
        <f t="shared" si="62"/>
        <v>13400</v>
      </c>
      <c r="L998" s="533">
        <f t="shared" si="60"/>
        <v>13400</v>
      </c>
      <c r="M998" s="531">
        <f t="shared" si="63"/>
        <v>0.05</v>
      </c>
      <c r="N998" s="28" t="s">
        <v>38</v>
      </c>
      <c r="O998" s="2" t="s">
        <v>21</v>
      </c>
    </row>
    <row r="999" spans="1:15">
      <c r="A999" s="71">
        <v>2024</v>
      </c>
      <c r="B999" s="16" t="s">
        <v>15</v>
      </c>
      <c r="C999" s="63" t="s">
        <v>1472</v>
      </c>
      <c r="D999" s="56" t="s">
        <v>1473</v>
      </c>
      <c r="E999" s="56" t="s">
        <v>1474</v>
      </c>
      <c r="F999" s="101">
        <v>1</v>
      </c>
      <c r="G999" s="59" t="s">
        <v>285</v>
      </c>
      <c r="H999" s="60">
        <v>356440</v>
      </c>
      <c r="I999" s="511">
        <f t="shared" si="61"/>
        <v>356440</v>
      </c>
      <c r="J999" s="535">
        <v>355177.61</v>
      </c>
      <c r="K999" s="532">
        <f t="shared" si="62"/>
        <v>1262.390000000014</v>
      </c>
      <c r="L999" s="533">
        <f t="shared" si="60"/>
        <v>1262.390000000014</v>
      </c>
      <c r="M999" s="531">
        <f t="shared" si="63"/>
        <v>3.5416619907979296E-3</v>
      </c>
      <c r="N999" s="28" t="s">
        <v>30</v>
      </c>
      <c r="O999" s="2" t="s">
        <v>21</v>
      </c>
    </row>
    <row r="1000" spans="1:15">
      <c r="A1000" s="71">
        <v>2024</v>
      </c>
      <c r="B1000" s="16" t="s">
        <v>15</v>
      </c>
      <c r="C1000" s="63" t="s">
        <v>1475</v>
      </c>
      <c r="D1000" s="56" t="s">
        <v>1476</v>
      </c>
      <c r="E1000" s="56" t="s">
        <v>1477</v>
      </c>
      <c r="F1000" s="101">
        <v>1</v>
      </c>
      <c r="G1000" s="59" t="s">
        <v>285</v>
      </c>
      <c r="H1000" s="60">
        <v>233644.86</v>
      </c>
      <c r="I1000" s="511">
        <f t="shared" si="61"/>
        <v>233644.86</v>
      </c>
      <c r="J1000" s="535">
        <v>232817.37</v>
      </c>
      <c r="K1000" s="532">
        <f t="shared" si="62"/>
        <v>827.48999999999069</v>
      </c>
      <c r="L1000" s="533">
        <f t="shared" si="60"/>
        <v>827.48999999999069</v>
      </c>
      <c r="M1000" s="531">
        <f t="shared" si="63"/>
        <v>3.5416571971666347E-3</v>
      </c>
      <c r="N1000" s="28" t="s">
        <v>30</v>
      </c>
      <c r="O1000" s="2" t="s">
        <v>21</v>
      </c>
    </row>
    <row r="1001" spans="1:15">
      <c r="A1001" s="71">
        <v>2024</v>
      </c>
      <c r="B1001" s="16" t="s">
        <v>15</v>
      </c>
      <c r="C1001" s="63" t="s">
        <v>1478</v>
      </c>
      <c r="D1001" s="56" t="s">
        <v>174</v>
      </c>
      <c r="E1001" s="56" t="s">
        <v>1479</v>
      </c>
      <c r="F1001" s="101">
        <v>200</v>
      </c>
      <c r="G1001" s="42" t="s">
        <v>19</v>
      </c>
      <c r="H1001" s="60">
        <v>40</v>
      </c>
      <c r="I1001" s="511">
        <f t="shared" si="61"/>
        <v>8000</v>
      </c>
      <c r="J1001" s="535">
        <v>37</v>
      </c>
      <c r="K1001" s="532">
        <f t="shared" si="62"/>
        <v>3</v>
      </c>
      <c r="L1001" s="533">
        <f t="shared" si="60"/>
        <v>600</v>
      </c>
      <c r="M1001" s="531">
        <f t="shared" si="63"/>
        <v>7.4999999999999997E-2</v>
      </c>
      <c r="N1001" s="28" t="s">
        <v>38</v>
      </c>
      <c r="O1001" s="2" t="s">
        <v>105</v>
      </c>
    </row>
    <row r="1002" spans="1:15">
      <c r="A1002" s="71">
        <v>2024</v>
      </c>
      <c r="B1002" s="16" t="s">
        <v>15</v>
      </c>
      <c r="C1002" s="63" t="s">
        <v>1478</v>
      </c>
      <c r="D1002" s="56" t="s">
        <v>174</v>
      </c>
      <c r="E1002" s="56" t="s">
        <v>1480</v>
      </c>
      <c r="F1002" s="101">
        <v>200</v>
      </c>
      <c r="G1002" s="59" t="s">
        <v>19</v>
      </c>
      <c r="H1002" s="60">
        <v>40</v>
      </c>
      <c r="I1002" s="511">
        <f t="shared" si="61"/>
        <v>8000</v>
      </c>
      <c r="J1002" s="535">
        <v>37</v>
      </c>
      <c r="K1002" s="532">
        <f t="shared" si="62"/>
        <v>3</v>
      </c>
      <c r="L1002" s="533">
        <f t="shared" si="60"/>
        <v>600</v>
      </c>
      <c r="M1002" s="531">
        <f t="shared" si="63"/>
        <v>7.4999999999999997E-2</v>
      </c>
      <c r="N1002" s="28" t="s">
        <v>38</v>
      </c>
      <c r="O1002" s="2" t="s">
        <v>105</v>
      </c>
    </row>
    <row r="1003" spans="1:15">
      <c r="A1003" s="71">
        <v>2024</v>
      </c>
      <c r="B1003" s="16" t="s">
        <v>15</v>
      </c>
      <c r="C1003" s="63" t="s">
        <v>1478</v>
      </c>
      <c r="D1003" s="56" t="s">
        <v>174</v>
      </c>
      <c r="E1003" s="56" t="s">
        <v>1481</v>
      </c>
      <c r="F1003" s="101">
        <v>200</v>
      </c>
      <c r="G1003" s="59" t="s">
        <v>19</v>
      </c>
      <c r="H1003" s="60">
        <v>40</v>
      </c>
      <c r="I1003" s="511">
        <f t="shared" si="61"/>
        <v>8000</v>
      </c>
      <c r="J1003" s="535">
        <v>37</v>
      </c>
      <c r="K1003" s="532">
        <f t="shared" si="62"/>
        <v>3</v>
      </c>
      <c r="L1003" s="533">
        <f t="shared" si="60"/>
        <v>600</v>
      </c>
      <c r="M1003" s="531">
        <f t="shared" si="63"/>
        <v>7.4999999999999997E-2</v>
      </c>
      <c r="N1003" s="28" t="s">
        <v>38</v>
      </c>
      <c r="O1003" s="2" t="s">
        <v>105</v>
      </c>
    </row>
    <row r="1004" spans="1:15">
      <c r="A1004" s="71">
        <v>2024</v>
      </c>
      <c r="B1004" s="16" t="s">
        <v>15</v>
      </c>
      <c r="C1004" s="63" t="s">
        <v>1478</v>
      </c>
      <c r="D1004" s="56" t="s">
        <v>174</v>
      </c>
      <c r="E1004" s="56" t="s">
        <v>1482</v>
      </c>
      <c r="F1004" s="101">
        <v>200</v>
      </c>
      <c r="G1004" s="59" t="s">
        <v>19</v>
      </c>
      <c r="H1004" s="60">
        <v>40</v>
      </c>
      <c r="I1004" s="511">
        <f t="shared" si="61"/>
        <v>8000</v>
      </c>
      <c r="J1004" s="535">
        <v>37</v>
      </c>
      <c r="K1004" s="532">
        <f t="shared" si="62"/>
        <v>3</v>
      </c>
      <c r="L1004" s="533">
        <f t="shared" si="60"/>
        <v>600</v>
      </c>
      <c r="M1004" s="531">
        <f t="shared" si="63"/>
        <v>7.4999999999999997E-2</v>
      </c>
      <c r="N1004" s="28" t="s">
        <v>38</v>
      </c>
      <c r="O1004" s="2" t="s">
        <v>105</v>
      </c>
    </row>
    <row r="1005" spans="1:15">
      <c r="A1005" s="71">
        <v>2024</v>
      </c>
      <c r="B1005" s="16" t="s">
        <v>15</v>
      </c>
      <c r="C1005" s="426" t="s">
        <v>1483</v>
      </c>
      <c r="D1005" s="56" t="s">
        <v>1042</v>
      </c>
      <c r="E1005" s="56" t="s">
        <v>889</v>
      </c>
      <c r="F1005" s="101">
        <v>1768</v>
      </c>
      <c r="G1005" s="59" t="s">
        <v>37</v>
      </c>
      <c r="H1005" s="60">
        <v>335</v>
      </c>
      <c r="I1005" s="511">
        <f t="shared" si="61"/>
        <v>592280</v>
      </c>
      <c r="J1005" s="535">
        <v>334</v>
      </c>
      <c r="K1005" s="532">
        <f t="shared" si="62"/>
        <v>1</v>
      </c>
      <c r="L1005" s="533">
        <f t="shared" si="60"/>
        <v>1768</v>
      </c>
      <c r="M1005" s="531">
        <f t="shared" si="63"/>
        <v>2.9850746268656717E-3</v>
      </c>
      <c r="N1005" s="28" t="s">
        <v>22</v>
      </c>
      <c r="O1005" s="2" t="s">
        <v>105</v>
      </c>
    </row>
    <row r="1006" spans="1:15">
      <c r="A1006" s="71">
        <v>2024</v>
      </c>
      <c r="B1006" s="16" t="s">
        <v>15</v>
      </c>
      <c r="C1006" s="63" t="s">
        <v>1484</v>
      </c>
      <c r="D1006" s="56" t="s">
        <v>1042</v>
      </c>
      <c r="E1006" s="56" t="s">
        <v>889</v>
      </c>
      <c r="F1006" s="101">
        <v>2749</v>
      </c>
      <c r="G1006" s="59" t="s">
        <v>37</v>
      </c>
      <c r="H1006" s="60">
        <v>335</v>
      </c>
      <c r="I1006" s="511">
        <f t="shared" si="61"/>
        <v>920915</v>
      </c>
      <c r="J1006" s="535">
        <v>334</v>
      </c>
      <c r="K1006" s="532">
        <f t="shared" si="62"/>
        <v>1</v>
      </c>
      <c r="L1006" s="533">
        <f t="shared" si="60"/>
        <v>2749</v>
      </c>
      <c r="M1006" s="531">
        <f t="shared" si="63"/>
        <v>2.9850746268656717E-3</v>
      </c>
      <c r="N1006" s="28" t="s">
        <v>22</v>
      </c>
      <c r="O1006" s="2" t="s">
        <v>105</v>
      </c>
    </row>
    <row r="1007" spans="1:15">
      <c r="A1007" s="71">
        <v>2024</v>
      </c>
      <c r="B1007" s="16" t="s">
        <v>15</v>
      </c>
      <c r="C1007" s="63" t="s">
        <v>1485</v>
      </c>
      <c r="D1007" s="56" t="s">
        <v>94</v>
      </c>
      <c r="E1007" s="56" t="s">
        <v>1316</v>
      </c>
      <c r="F1007" s="101">
        <v>300</v>
      </c>
      <c r="G1007" s="59" t="s">
        <v>19</v>
      </c>
      <c r="H1007" s="60">
        <v>15.5</v>
      </c>
      <c r="I1007" s="511">
        <f t="shared" si="61"/>
        <v>4650</v>
      </c>
      <c r="J1007" s="535">
        <v>14.76</v>
      </c>
      <c r="K1007" s="532">
        <f t="shared" si="62"/>
        <v>0.74000000000000021</v>
      </c>
      <c r="L1007" s="533">
        <f t="shared" si="60"/>
        <v>222.00000000000006</v>
      </c>
      <c r="M1007" s="531">
        <f t="shared" si="63"/>
        <v>4.7741935483870984E-2</v>
      </c>
      <c r="N1007" s="28" t="s">
        <v>22</v>
      </c>
      <c r="O1007" s="2" t="s">
        <v>105</v>
      </c>
    </row>
    <row r="1008" spans="1:15">
      <c r="A1008" s="71">
        <v>2024</v>
      </c>
      <c r="B1008" s="16" t="s">
        <v>15</v>
      </c>
      <c r="C1008" s="63" t="s">
        <v>1485</v>
      </c>
      <c r="D1008" s="56" t="s">
        <v>94</v>
      </c>
      <c r="E1008" s="56" t="s">
        <v>546</v>
      </c>
      <c r="F1008" s="101">
        <v>200</v>
      </c>
      <c r="G1008" s="59" t="s">
        <v>19</v>
      </c>
      <c r="H1008" s="60">
        <v>185</v>
      </c>
      <c r="I1008" s="511">
        <f t="shared" si="61"/>
        <v>37000</v>
      </c>
      <c r="J1008" s="535">
        <v>182.25</v>
      </c>
      <c r="K1008" s="532">
        <f t="shared" si="62"/>
        <v>2.75</v>
      </c>
      <c r="L1008" s="533">
        <f t="shared" si="60"/>
        <v>550</v>
      </c>
      <c r="M1008" s="531">
        <f t="shared" si="63"/>
        <v>1.4864864864864866E-2</v>
      </c>
      <c r="N1008" s="28" t="s">
        <v>22</v>
      </c>
      <c r="O1008" s="2" t="s">
        <v>105</v>
      </c>
    </row>
    <row r="1009" spans="1:15">
      <c r="A1009" s="71">
        <v>2024</v>
      </c>
      <c r="B1009" s="16" t="s">
        <v>15</v>
      </c>
      <c r="C1009" s="63" t="s">
        <v>1485</v>
      </c>
      <c r="D1009" s="56" t="s">
        <v>94</v>
      </c>
      <c r="E1009" s="56" t="s">
        <v>457</v>
      </c>
      <c r="F1009" s="101">
        <v>100</v>
      </c>
      <c r="G1009" s="59" t="s">
        <v>19</v>
      </c>
      <c r="H1009" s="60">
        <v>5</v>
      </c>
      <c r="I1009" s="511">
        <f t="shared" si="61"/>
        <v>500</v>
      </c>
      <c r="J1009" s="535">
        <v>5.0999999999999996</v>
      </c>
      <c r="K1009" s="532">
        <f t="shared" si="62"/>
        <v>-9.9999999999999645E-2</v>
      </c>
      <c r="L1009" s="533">
        <f t="shared" si="60"/>
        <v>-9.9999999999999645</v>
      </c>
      <c r="M1009" s="531">
        <f t="shared" si="63"/>
        <v>-1.9999999999999928E-2</v>
      </c>
      <c r="N1009" s="28" t="s">
        <v>22</v>
      </c>
      <c r="O1009" s="2" t="s">
        <v>105</v>
      </c>
    </row>
    <row r="1010" spans="1:15">
      <c r="A1010" s="71">
        <v>2024</v>
      </c>
      <c r="B1010" s="16" t="s">
        <v>15</v>
      </c>
      <c r="C1010" s="63" t="s">
        <v>1485</v>
      </c>
      <c r="D1010" s="56" t="s">
        <v>94</v>
      </c>
      <c r="E1010" s="56" t="s">
        <v>458</v>
      </c>
      <c r="F1010" s="101">
        <v>100</v>
      </c>
      <c r="G1010" s="59" t="s">
        <v>19</v>
      </c>
      <c r="H1010" s="60">
        <v>9.5</v>
      </c>
      <c r="I1010" s="511">
        <f t="shared" si="61"/>
        <v>950</v>
      </c>
      <c r="J1010" s="535">
        <v>9.35</v>
      </c>
      <c r="K1010" s="532">
        <f t="shared" si="62"/>
        <v>0.15000000000000036</v>
      </c>
      <c r="L1010" s="533">
        <f t="shared" si="60"/>
        <v>15.000000000000036</v>
      </c>
      <c r="M1010" s="531">
        <f t="shared" si="63"/>
        <v>1.5789473684210565E-2</v>
      </c>
      <c r="N1010" s="28" t="s">
        <v>22</v>
      </c>
      <c r="O1010" s="2" t="s">
        <v>105</v>
      </c>
    </row>
    <row r="1011" spans="1:15">
      <c r="A1011" s="71">
        <v>2024</v>
      </c>
      <c r="B1011" s="16" t="s">
        <v>15</v>
      </c>
      <c r="C1011" s="63" t="s">
        <v>1486</v>
      </c>
      <c r="D1011" s="56" t="s">
        <v>1042</v>
      </c>
      <c r="E1011" s="56" t="s">
        <v>451</v>
      </c>
      <c r="F1011" s="101">
        <v>746</v>
      </c>
      <c r="G1011" s="59" t="s">
        <v>37</v>
      </c>
      <c r="H1011" s="60">
        <v>335</v>
      </c>
      <c r="I1011" s="511">
        <f t="shared" si="61"/>
        <v>249910</v>
      </c>
      <c r="J1011" s="535">
        <v>334</v>
      </c>
      <c r="K1011" s="532">
        <f t="shared" si="62"/>
        <v>1</v>
      </c>
      <c r="L1011" s="533">
        <f t="shared" si="60"/>
        <v>746</v>
      </c>
      <c r="M1011" s="531">
        <f t="shared" si="63"/>
        <v>2.9850746268656717E-3</v>
      </c>
      <c r="N1011" s="28" t="s">
        <v>22</v>
      </c>
      <c r="O1011" s="2" t="s">
        <v>105</v>
      </c>
    </row>
    <row r="1012" spans="1:15">
      <c r="A1012" s="71">
        <v>2024</v>
      </c>
      <c r="B1012" s="16" t="s">
        <v>15</v>
      </c>
      <c r="C1012" s="63" t="s">
        <v>1487</v>
      </c>
      <c r="D1012" s="56" t="s">
        <v>1488</v>
      </c>
      <c r="E1012" s="56" t="s">
        <v>755</v>
      </c>
      <c r="F1012" s="101">
        <v>1675</v>
      </c>
      <c r="G1012" s="59" t="s">
        <v>37</v>
      </c>
      <c r="H1012" s="60">
        <v>340</v>
      </c>
      <c r="I1012" s="511">
        <f t="shared" si="61"/>
        <v>569500</v>
      </c>
      <c r="J1012" s="535">
        <v>336</v>
      </c>
      <c r="K1012" s="532">
        <f t="shared" si="62"/>
        <v>4</v>
      </c>
      <c r="L1012" s="533">
        <f t="shared" si="60"/>
        <v>6700</v>
      </c>
      <c r="M1012" s="531">
        <f t="shared" si="63"/>
        <v>1.1764705882352941E-2</v>
      </c>
      <c r="N1012" s="28" t="s">
        <v>22</v>
      </c>
      <c r="O1012" s="2" t="s">
        <v>105</v>
      </c>
    </row>
    <row r="1013" spans="1:15">
      <c r="A1013" s="71">
        <v>2024</v>
      </c>
      <c r="B1013" s="16" t="s">
        <v>15</v>
      </c>
      <c r="C1013" s="63" t="s">
        <v>1489</v>
      </c>
      <c r="D1013" s="56" t="s">
        <v>1042</v>
      </c>
      <c r="E1013" s="56" t="s">
        <v>889</v>
      </c>
      <c r="F1013" s="101">
        <v>1868</v>
      </c>
      <c r="G1013" s="59" t="s">
        <v>37</v>
      </c>
      <c r="H1013" s="60">
        <v>335</v>
      </c>
      <c r="I1013" s="511">
        <f t="shared" si="61"/>
        <v>625780</v>
      </c>
      <c r="J1013" s="535">
        <v>334</v>
      </c>
      <c r="K1013" s="532">
        <f t="shared" si="62"/>
        <v>1</v>
      </c>
      <c r="L1013" s="533">
        <f t="shared" si="60"/>
        <v>1868</v>
      </c>
      <c r="M1013" s="531">
        <f t="shared" si="63"/>
        <v>2.9850746268656717E-3</v>
      </c>
      <c r="N1013" s="28" t="s">
        <v>22</v>
      </c>
      <c r="O1013" s="2" t="s">
        <v>105</v>
      </c>
    </row>
    <row r="1014" spans="1:15">
      <c r="A1014" s="71">
        <v>2024</v>
      </c>
      <c r="B1014" s="16" t="s">
        <v>15</v>
      </c>
      <c r="C1014" s="63" t="s">
        <v>1490</v>
      </c>
      <c r="D1014" s="56" t="s">
        <v>1042</v>
      </c>
      <c r="E1014" s="56" t="s">
        <v>1491</v>
      </c>
      <c r="F1014" s="101">
        <v>780</v>
      </c>
      <c r="G1014" s="59" t="s">
        <v>37</v>
      </c>
      <c r="H1014" s="60">
        <v>335</v>
      </c>
      <c r="I1014" s="511">
        <f t="shared" si="61"/>
        <v>261300</v>
      </c>
      <c r="J1014" s="535">
        <v>334</v>
      </c>
      <c r="K1014" s="532">
        <f t="shared" si="62"/>
        <v>1</v>
      </c>
      <c r="L1014" s="533">
        <f t="shared" si="60"/>
        <v>780</v>
      </c>
      <c r="M1014" s="531">
        <f t="shared" si="63"/>
        <v>2.9850746268656717E-3</v>
      </c>
      <c r="N1014" s="28" t="s">
        <v>22</v>
      </c>
      <c r="O1014" s="2" t="s">
        <v>105</v>
      </c>
    </row>
    <row r="1015" spans="1:15">
      <c r="A1015" s="71">
        <v>2024</v>
      </c>
      <c r="B1015" s="16" t="s">
        <v>15</v>
      </c>
      <c r="C1015" s="63" t="s">
        <v>1492</v>
      </c>
      <c r="D1015" s="56" t="s">
        <v>926</v>
      </c>
      <c r="E1015" s="56" t="s">
        <v>1323</v>
      </c>
      <c r="F1015" s="101">
        <v>3</v>
      </c>
      <c r="G1015" s="59" t="s">
        <v>302</v>
      </c>
      <c r="H1015" s="60">
        <v>5500</v>
      </c>
      <c r="I1015" s="511">
        <f t="shared" si="61"/>
        <v>16500</v>
      </c>
      <c r="J1015" s="535">
        <v>3890</v>
      </c>
      <c r="K1015" s="532">
        <f t="shared" si="62"/>
        <v>1610</v>
      </c>
      <c r="L1015" s="533">
        <f t="shared" si="60"/>
        <v>4830</v>
      </c>
      <c r="M1015" s="531">
        <f t="shared" si="63"/>
        <v>0.29272727272727272</v>
      </c>
      <c r="N1015" s="28" t="s">
        <v>22</v>
      </c>
      <c r="O1015" s="2" t="s">
        <v>105</v>
      </c>
    </row>
    <row r="1016" spans="1:15">
      <c r="A1016" s="71">
        <v>2024</v>
      </c>
      <c r="B1016" s="16" t="s">
        <v>15</v>
      </c>
      <c r="C1016" s="63" t="s">
        <v>1492</v>
      </c>
      <c r="D1016" s="56" t="s">
        <v>926</v>
      </c>
      <c r="E1016" s="56" t="s">
        <v>1493</v>
      </c>
      <c r="F1016" s="101">
        <v>1</v>
      </c>
      <c r="G1016" s="59" t="s">
        <v>302</v>
      </c>
      <c r="H1016" s="60">
        <v>6600</v>
      </c>
      <c r="I1016" s="511">
        <f t="shared" si="61"/>
        <v>6600</v>
      </c>
      <c r="J1016" s="535">
        <v>5300</v>
      </c>
      <c r="K1016" s="532">
        <f t="shared" si="62"/>
        <v>1300</v>
      </c>
      <c r="L1016" s="533">
        <f t="shared" si="60"/>
        <v>1300</v>
      </c>
      <c r="M1016" s="531">
        <f t="shared" si="63"/>
        <v>0.19696969696969696</v>
      </c>
      <c r="N1016" s="28" t="s">
        <v>22</v>
      </c>
      <c r="O1016" s="2" t="s">
        <v>105</v>
      </c>
    </row>
    <row r="1017" spans="1:15">
      <c r="A1017" s="71">
        <v>2024</v>
      </c>
      <c r="B1017" s="16" t="s">
        <v>15</v>
      </c>
      <c r="C1017" s="63" t="s">
        <v>1494</v>
      </c>
      <c r="D1017" s="56" t="s">
        <v>103</v>
      </c>
      <c r="E1017" s="56" t="s">
        <v>1495</v>
      </c>
      <c r="F1017" s="101">
        <v>1</v>
      </c>
      <c r="G1017" s="59" t="s">
        <v>285</v>
      </c>
      <c r="H1017" s="60">
        <v>45000</v>
      </c>
      <c r="I1017" s="511">
        <f t="shared" si="61"/>
        <v>45000</v>
      </c>
      <c r="J1017" s="535">
        <v>47000</v>
      </c>
      <c r="K1017" s="532">
        <f t="shared" si="62"/>
        <v>-2000</v>
      </c>
      <c r="L1017" s="533">
        <f t="shared" si="60"/>
        <v>-2000</v>
      </c>
      <c r="M1017" s="531">
        <f t="shared" si="63"/>
        <v>-4.4444444444444446E-2</v>
      </c>
      <c r="N1017" s="28" t="s">
        <v>22</v>
      </c>
      <c r="O1017" s="2" t="s">
        <v>105</v>
      </c>
    </row>
    <row r="1018" spans="1:15">
      <c r="A1018" s="71">
        <v>2024</v>
      </c>
      <c r="B1018" s="16" t="s">
        <v>15</v>
      </c>
      <c r="C1018" s="63" t="s">
        <v>1496</v>
      </c>
      <c r="D1018" s="56" t="s">
        <v>1497</v>
      </c>
      <c r="E1018" s="56" t="s">
        <v>1498</v>
      </c>
      <c r="F1018" s="101">
        <v>21</v>
      </c>
      <c r="G1018" s="59" t="s">
        <v>19</v>
      </c>
      <c r="H1018" s="60">
        <v>6200</v>
      </c>
      <c r="I1018" s="511">
        <f t="shared" si="61"/>
        <v>130200</v>
      </c>
      <c r="J1018" s="535">
        <v>6100</v>
      </c>
      <c r="K1018" s="532">
        <f t="shared" si="62"/>
        <v>100</v>
      </c>
      <c r="L1018" s="533">
        <f t="shared" si="60"/>
        <v>2100</v>
      </c>
      <c r="M1018" s="531">
        <f t="shared" si="63"/>
        <v>1.6129032258064516E-2</v>
      </c>
      <c r="N1018" s="28" t="s">
        <v>38</v>
      </c>
      <c r="O1018" s="2" t="s">
        <v>39</v>
      </c>
    </row>
    <row r="1019" spans="1:15">
      <c r="A1019" s="71">
        <v>2024</v>
      </c>
      <c r="B1019" s="16" t="s">
        <v>15</v>
      </c>
      <c r="C1019" s="63" t="s">
        <v>1499</v>
      </c>
      <c r="D1019" s="56" t="s">
        <v>174</v>
      </c>
      <c r="E1019" s="56" t="s">
        <v>1500</v>
      </c>
      <c r="F1019" s="101">
        <v>200</v>
      </c>
      <c r="G1019" s="59" t="s">
        <v>19</v>
      </c>
      <c r="H1019" s="60">
        <v>40</v>
      </c>
      <c r="I1019" s="511">
        <f t="shared" si="61"/>
        <v>8000</v>
      </c>
      <c r="J1019" s="535">
        <v>37</v>
      </c>
      <c r="K1019" s="532">
        <f t="shared" si="62"/>
        <v>3</v>
      </c>
      <c r="L1019" s="533">
        <f t="shared" si="60"/>
        <v>600</v>
      </c>
      <c r="M1019" s="531">
        <f t="shared" si="63"/>
        <v>7.4999999999999997E-2</v>
      </c>
      <c r="N1019" s="28" t="s">
        <v>38</v>
      </c>
      <c r="O1019" s="2" t="s">
        <v>105</v>
      </c>
    </row>
    <row r="1020" spans="1:15">
      <c r="A1020" s="71">
        <v>2024</v>
      </c>
      <c r="B1020" s="16" t="s">
        <v>15</v>
      </c>
      <c r="C1020" s="63" t="s">
        <v>1501</v>
      </c>
      <c r="D1020" s="56" t="s">
        <v>1042</v>
      </c>
      <c r="E1020" s="56" t="s">
        <v>889</v>
      </c>
      <c r="F1020" s="101">
        <v>3107</v>
      </c>
      <c r="G1020" s="59" t="s">
        <v>37</v>
      </c>
      <c r="H1020" s="60">
        <v>335</v>
      </c>
      <c r="I1020" s="511">
        <f t="shared" si="61"/>
        <v>1040845</v>
      </c>
      <c r="J1020" s="535">
        <v>334</v>
      </c>
      <c r="K1020" s="532">
        <f t="shared" si="62"/>
        <v>1</v>
      </c>
      <c r="L1020" s="533">
        <f t="shared" si="60"/>
        <v>3107</v>
      </c>
      <c r="M1020" s="531">
        <f t="shared" si="63"/>
        <v>2.9850746268656717E-3</v>
      </c>
      <c r="N1020" s="28" t="s">
        <v>22</v>
      </c>
      <c r="O1020" s="2" t="s">
        <v>105</v>
      </c>
    </row>
    <row r="1021" spans="1:15">
      <c r="A1021" s="71">
        <v>2024</v>
      </c>
      <c r="B1021" s="16" t="s">
        <v>15</v>
      </c>
      <c r="C1021" s="63" t="s">
        <v>1502</v>
      </c>
      <c r="D1021" s="56" t="s">
        <v>1042</v>
      </c>
      <c r="E1021" s="56" t="s">
        <v>1451</v>
      </c>
      <c r="F1021" s="101">
        <v>346</v>
      </c>
      <c r="G1021" s="59" t="s">
        <v>37</v>
      </c>
      <c r="H1021" s="60">
        <v>335</v>
      </c>
      <c r="I1021" s="511">
        <f t="shared" si="61"/>
        <v>115910</v>
      </c>
      <c r="J1021" s="535">
        <v>334</v>
      </c>
      <c r="K1021" s="532">
        <f t="shared" si="62"/>
        <v>1</v>
      </c>
      <c r="L1021" s="533">
        <f t="shared" si="60"/>
        <v>346</v>
      </c>
      <c r="M1021" s="531">
        <f t="shared" si="63"/>
        <v>2.9850746268656717E-3</v>
      </c>
      <c r="N1021" s="28" t="s">
        <v>22</v>
      </c>
      <c r="O1021" s="2" t="s">
        <v>105</v>
      </c>
    </row>
    <row r="1022" spans="1:15">
      <c r="A1022" s="71">
        <v>2024</v>
      </c>
      <c r="B1022" s="16" t="s">
        <v>15</v>
      </c>
      <c r="C1022" s="63" t="s">
        <v>1503</v>
      </c>
      <c r="D1022" s="56" t="s">
        <v>94</v>
      </c>
      <c r="E1022" s="56" t="s">
        <v>1038</v>
      </c>
      <c r="F1022" s="101">
        <v>500</v>
      </c>
      <c r="G1022" s="59" t="s">
        <v>19</v>
      </c>
      <c r="H1022" s="60">
        <v>15.5</v>
      </c>
      <c r="I1022" s="511">
        <f t="shared" si="61"/>
        <v>7750</v>
      </c>
      <c r="J1022" s="535">
        <v>14.76</v>
      </c>
      <c r="K1022" s="532">
        <f t="shared" si="62"/>
        <v>0.74000000000000021</v>
      </c>
      <c r="L1022" s="533">
        <f t="shared" si="60"/>
        <v>370.00000000000011</v>
      </c>
      <c r="M1022" s="531">
        <f t="shared" si="63"/>
        <v>4.7741935483870984E-2</v>
      </c>
      <c r="N1022" s="28" t="s">
        <v>22</v>
      </c>
      <c r="O1022" s="2" t="s">
        <v>105</v>
      </c>
    </row>
    <row r="1023" spans="1:15">
      <c r="A1023" s="71">
        <v>2024</v>
      </c>
      <c r="B1023" s="16" t="s">
        <v>15</v>
      </c>
      <c r="C1023" s="63" t="s">
        <v>1503</v>
      </c>
      <c r="D1023" s="56" t="s">
        <v>94</v>
      </c>
      <c r="E1023" s="56" t="s">
        <v>613</v>
      </c>
      <c r="F1023" s="101">
        <v>200</v>
      </c>
      <c r="G1023" s="59" t="s">
        <v>19</v>
      </c>
      <c r="H1023" s="60">
        <v>25</v>
      </c>
      <c r="I1023" s="511">
        <f t="shared" si="61"/>
        <v>5000</v>
      </c>
      <c r="J1023" s="535">
        <v>24.6</v>
      </c>
      <c r="K1023" s="532">
        <f t="shared" si="62"/>
        <v>0.39999999999999858</v>
      </c>
      <c r="L1023" s="533">
        <f t="shared" ref="L1023:L1086" si="64">K1023*F1023</f>
        <v>79.999999999999716</v>
      </c>
      <c r="M1023" s="531">
        <f t="shared" si="63"/>
        <v>1.5999999999999945E-2</v>
      </c>
      <c r="N1023" s="28" t="s">
        <v>22</v>
      </c>
      <c r="O1023" s="2" t="s">
        <v>105</v>
      </c>
    </row>
    <row r="1024" spans="1:15">
      <c r="A1024" s="71">
        <v>2024</v>
      </c>
      <c r="B1024" s="16" t="s">
        <v>15</v>
      </c>
      <c r="C1024" s="63" t="s">
        <v>1503</v>
      </c>
      <c r="D1024" s="56" t="s">
        <v>94</v>
      </c>
      <c r="E1024" s="56" t="s">
        <v>1038</v>
      </c>
      <c r="F1024" s="101">
        <v>500</v>
      </c>
      <c r="G1024" s="59" t="s">
        <v>19</v>
      </c>
      <c r="H1024" s="60">
        <v>15.5</v>
      </c>
      <c r="I1024" s="511">
        <f t="shared" si="61"/>
        <v>7750</v>
      </c>
      <c r="J1024" s="535">
        <v>14.76</v>
      </c>
      <c r="K1024" s="532">
        <f t="shared" si="62"/>
        <v>0.74000000000000021</v>
      </c>
      <c r="L1024" s="533">
        <f t="shared" si="64"/>
        <v>370.00000000000011</v>
      </c>
      <c r="M1024" s="531">
        <f t="shared" si="63"/>
        <v>4.7741935483870984E-2</v>
      </c>
      <c r="N1024" s="28" t="s">
        <v>22</v>
      </c>
      <c r="O1024" s="2" t="s">
        <v>105</v>
      </c>
    </row>
    <row r="1025" spans="1:15">
      <c r="A1025" s="71">
        <v>2024</v>
      </c>
      <c r="B1025" s="16" t="s">
        <v>15</v>
      </c>
      <c r="C1025" s="63" t="s">
        <v>1503</v>
      </c>
      <c r="D1025" s="83" t="s">
        <v>94</v>
      </c>
      <c r="E1025" s="56" t="s">
        <v>550</v>
      </c>
      <c r="F1025" s="101">
        <v>100</v>
      </c>
      <c r="G1025" s="59" t="s">
        <v>19</v>
      </c>
      <c r="H1025" s="60">
        <v>50</v>
      </c>
      <c r="I1025" s="511">
        <f t="shared" si="61"/>
        <v>5000</v>
      </c>
      <c r="J1025" s="535">
        <v>47.56</v>
      </c>
      <c r="K1025" s="532">
        <f t="shared" si="62"/>
        <v>2.4399999999999977</v>
      </c>
      <c r="L1025" s="533">
        <f t="shared" si="64"/>
        <v>243.99999999999977</v>
      </c>
      <c r="M1025" s="531">
        <f t="shared" si="63"/>
        <v>4.8799999999999955E-2</v>
      </c>
      <c r="N1025" s="28" t="s">
        <v>22</v>
      </c>
      <c r="O1025" s="2" t="s">
        <v>105</v>
      </c>
    </row>
    <row r="1026" spans="1:15">
      <c r="A1026" s="71">
        <v>2024</v>
      </c>
      <c r="B1026" s="16" t="s">
        <v>15</v>
      </c>
      <c r="C1026" s="134" t="s">
        <v>1503</v>
      </c>
      <c r="D1026" s="47" t="s">
        <v>94</v>
      </c>
      <c r="E1026" s="81" t="s">
        <v>1504</v>
      </c>
      <c r="F1026" s="101">
        <v>100</v>
      </c>
      <c r="G1026" s="59" t="s">
        <v>19</v>
      </c>
      <c r="H1026" s="60">
        <v>2.6</v>
      </c>
      <c r="I1026" s="511">
        <f t="shared" si="61"/>
        <v>260</v>
      </c>
      <c r="J1026" s="535">
        <v>2.5499999999999998</v>
      </c>
      <c r="K1026" s="532">
        <f t="shared" si="62"/>
        <v>5.0000000000000266E-2</v>
      </c>
      <c r="L1026" s="533">
        <f t="shared" si="64"/>
        <v>5.0000000000000266</v>
      </c>
      <c r="M1026" s="531">
        <f t="shared" si="63"/>
        <v>1.9230769230769332E-2</v>
      </c>
      <c r="N1026" s="28" t="s">
        <v>22</v>
      </c>
      <c r="O1026" s="2" t="s">
        <v>105</v>
      </c>
    </row>
    <row r="1027" spans="1:15">
      <c r="A1027" s="71">
        <v>2024</v>
      </c>
      <c r="B1027" s="16" t="s">
        <v>15</v>
      </c>
      <c r="C1027" s="134" t="s">
        <v>1505</v>
      </c>
      <c r="D1027" s="47" t="s">
        <v>118</v>
      </c>
      <c r="E1027" s="81" t="s">
        <v>941</v>
      </c>
      <c r="F1027" s="101">
        <v>10</v>
      </c>
      <c r="G1027" s="59" t="s">
        <v>37</v>
      </c>
      <c r="H1027" s="60">
        <v>1250</v>
      </c>
      <c r="I1027" s="511">
        <f t="shared" ref="I1027:I1090" si="65">H1027*F1027</f>
        <v>12500</v>
      </c>
      <c r="J1027" s="535">
        <v>1070</v>
      </c>
      <c r="K1027" s="532">
        <f t="shared" ref="K1027:K1090" si="66">H1027-J1027</f>
        <v>180</v>
      </c>
      <c r="L1027" s="533">
        <f t="shared" si="64"/>
        <v>1800</v>
      </c>
      <c r="M1027" s="531">
        <f t="shared" ref="M1027:M1090" si="67">K1027/H1027</f>
        <v>0.14399999999999999</v>
      </c>
      <c r="N1027" s="28" t="s">
        <v>22</v>
      </c>
      <c r="O1027" s="2" t="s">
        <v>21</v>
      </c>
    </row>
    <row r="1028" spans="1:15">
      <c r="A1028" s="71">
        <v>2024</v>
      </c>
      <c r="B1028" s="16" t="s">
        <v>15</v>
      </c>
      <c r="C1028" s="134" t="s">
        <v>1506</v>
      </c>
      <c r="D1028" s="47" t="s">
        <v>24</v>
      </c>
      <c r="E1028" s="81" t="s">
        <v>1507</v>
      </c>
      <c r="F1028" s="101">
        <v>200</v>
      </c>
      <c r="G1028" s="59" t="s">
        <v>1508</v>
      </c>
      <c r="H1028" s="60">
        <v>40</v>
      </c>
      <c r="I1028" s="511">
        <f t="shared" si="65"/>
        <v>8000</v>
      </c>
      <c r="J1028" s="535">
        <v>38</v>
      </c>
      <c r="K1028" s="532">
        <f t="shared" si="66"/>
        <v>2</v>
      </c>
      <c r="L1028" s="533">
        <f t="shared" si="64"/>
        <v>400</v>
      </c>
      <c r="M1028" s="531">
        <f t="shared" si="67"/>
        <v>0.05</v>
      </c>
      <c r="N1028" s="28" t="s">
        <v>22</v>
      </c>
      <c r="O1028" s="2" t="s">
        <v>21</v>
      </c>
    </row>
    <row r="1029" spans="1:15">
      <c r="A1029" s="71">
        <v>2024</v>
      </c>
      <c r="B1029" s="16" t="s">
        <v>15</v>
      </c>
      <c r="C1029" s="63" t="s">
        <v>1506</v>
      </c>
      <c r="D1029" s="56" t="s">
        <v>24</v>
      </c>
      <c r="E1029" s="56" t="s">
        <v>1509</v>
      </c>
      <c r="F1029" s="101">
        <v>200</v>
      </c>
      <c r="G1029" s="59" t="s">
        <v>1508</v>
      </c>
      <c r="H1029" s="60">
        <v>58</v>
      </c>
      <c r="I1029" s="511">
        <f t="shared" si="65"/>
        <v>11600</v>
      </c>
      <c r="J1029" s="535">
        <v>55</v>
      </c>
      <c r="K1029" s="532">
        <f t="shared" si="66"/>
        <v>3</v>
      </c>
      <c r="L1029" s="533">
        <f t="shared" si="64"/>
        <v>600</v>
      </c>
      <c r="M1029" s="531">
        <f t="shared" si="67"/>
        <v>5.1724137931034482E-2</v>
      </c>
      <c r="N1029" s="28" t="s">
        <v>22</v>
      </c>
      <c r="O1029" s="2" t="s">
        <v>21</v>
      </c>
    </row>
    <row r="1030" spans="1:15">
      <c r="A1030" s="71">
        <v>2024</v>
      </c>
      <c r="B1030" s="16" t="s">
        <v>15</v>
      </c>
      <c r="C1030" s="63" t="s">
        <v>1506</v>
      </c>
      <c r="D1030" s="56" t="s">
        <v>24</v>
      </c>
      <c r="E1030" s="56" t="s">
        <v>1510</v>
      </c>
      <c r="F1030" s="101">
        <v>100</v>
      </c>
      <c r="G1030" s="59" t="s">
        <v>1508</v>
      </c>
      <c r="H1030" s="60">
        <v>118</v>
      </c>
      <c r="I1030" s="511">
        <f t="shared" si="65"/>
        <v>11800</v>
      </c>
      <c r="J1030" s="535">
        <v>116</v>
      </c>
      <c r="K1030" s="532">
        <f t="shared" si="66"/>
        <v>2</v>
      </c>
      <c r="L1030" s="533">
        <f t="shared" si="64"/>
        <v>200</v>
      </c>
      <c r="M1030" s="531">
        <f t="shared" si="67"/>
        <v>1.6949152542372881E-2</v>
      </c>
      <c r="N1030" s="28" t="s">
        <v>22</v>
      </c>
      <c r="O1030" s="2" t="s">
        <v>21</v>
      </c>
    </row>
    <row r="1031" spans="1:15">
      <c r="A1031" s="71">
        <v>2024</v>
      </c>
      <c r="B1031" s="16" t="s">
        <v>15</v>
      </c>
      <c r="C1031" s="63" t="s">
        <v>1511</v>
      </c>
      <c r="D1031" s="56" t="s">
        <v>323</v>
      </c>
      <c r="E1031" s="56" t="s">
        <v>1512</v>
      </c>
      <c r="F1031" s="101">
        <v>12</v>
      </c>
      <c r="G1031" s="59" t="s">
        <v>588</v>
      </c>
      <c r="H1031" s="60">
        <v>6290</v>
      </c>
      <c r="I1031" s="511">
        <f t="shared" si="65"/>
        <v>75480</v>
      </c>
      <c r="J1031" s="535">
        <v>5910</v>
      </c>
      <c r="K1031" s="532">
        <f t="shared" si="66"/>
        <v>380</v>
      </c>
      <c r="L1031" s="533">
        <f t="shared" si="64"/>
        <v>4560</v>
      </c>
      <c r="M1031" s="531">
        <f t="shared" si="67"/>
        <v>6.0413354531001592E-2</v>
      </c>
      <c r="N1031" s="28" t="s">
        <v>20</v>
      </c>
      <c r="O1031" s="2" t="s">
        <v>21</v>
      </c>
    </row>
    <row r="1032" spans="1:15">
      <c r="A1032" s="71">
        <v>2024</v>
      </c>
      <c r="B1032" s="16" t="s">
        <v>15</v>
      </c>
      <c r="C1032" s="63" t="s">
        <v>1511</v>
      </c>
      <c r="D1032" s="56" t="s">
        <v>323</v>
      </c>
      <c r="E1032" s="56" t="s">
        <v>737</v>
      </c>
      <c r="F1032" s="101">
        <v>32</v>
      </c>
      <c r="G1032" s="59" t="s">
        <v>29</v>
      </c>
      <c r="H1032" s="60">
        <v>2190</v>
      </c>
      <c r="I1032" s="511">
        <f t="shared" si="65"/>
        <v>70080</v>
      </c>
      <c r="J1032" s="535">
        <v>1890</v>
      </c>
      <c r="K1032" s="532">
        <f t="shared" si="66"/>
        <v>300</v>
      </c>
      <c r="L1032" s="533">
        <f t="shared" si="64"/>
        <v>9600</v>
      </c>
      <c r="M1032" s="531">
        <f t="shared" si="67"/>
        <v>0.13698630136986301</v>
      </c>
      <c r="N1032" s="28" t="s">
        <v>20</v>
      </c>
      <c r="O1032" s="2" t="s">
        <v>21</v>
      </c>
    </row>
    <row r="1033" spans="1:15">
      <c r="A1033" s="71">
        <v>2024</v>
      </c>
      <c r="B1033" s="16" t="s">
        <v>15</v>
      </c>
      <c r="C1033" s="63" t="s">
        <v>1513</v>
      </c>
      <c r="D1033" s="56" t="s">
        <v>17</v>
      </c>
      <c r="E1033" s="56" t="s">
        <v>25</v>
      </c>
      <c r="F1033" s="101">
        <v>120</v>
      </c>
      <c r="G1033" s="59" t="s">
        <v>19</v>
      </c>
      <c r="H1033" s="60">
        <v>44.5</v>
      </c>
      <c r="I1033" s="511">
        <f t="shared" si="65"/>
        <v>5340</v>
      </c>
      <c r="J1033" s="535">
        <v>38.5</v>
      </c>
      <c r="K1033" s="532">
        <f t="shared" si="66"/>
        <v>6</v>
      </c>
      <c r="L1033" s="533">
        <f t="shared" si="64"/>
        <v>720</v>
      </c>
      <c r="M1033" s="531">
        <f t="shared" si="67"/>
        <v>0.1348314606741573</v>
      </c>
      <c r="N1033" s="28" t="s">
        <v>20</v>
      </c>
      <c r="O1033" s="2" t="s">
        <v>21</v>
      </c>
    </row>
    <row r="1034" spans="1:15">
      <c r="A1034" s="71">
        <v>2024</v>
      </c>
      <c r="B1034" s="16" t="s">
        <v>15</v>
      </c>
      <c r="C1034" s="63" t="s">
        <v>1514</v>
      </c>
      <c r="D1034" s="56" t="s">
        <v>118</v>
      </c>
      <c r="E1034" s="56" t="s">
        <v>1515</v>
      </c>
      <c r="F1034" s="101">
        <v>2</v>
      </c>
      <c r="G1034" s="59" t="s">
        <v>19</v>
      </c>
      <c r="H1034" s="60">
        <v>5239</v>
      </c>
      <c r="I1034" s="511">
        <f t="shared" si="65"/>
        <v>10478</v>
      </c>
      <c r="J1034" s="535">
        <v>3929.25</v>
      </c>
      <c r="K1034" s="532">
        <f t="shared" si="66"/>
        <v>1309.75</v>
      </c>
      <c r="L1034" s="533">
        <f t="shared" si="64"/>
        <v>2619.5</v>
      </c>
      <c r="M1034" s="531">
        <f t="shared" si="67"/>
        <v>0.25</v>
      </c>
      <c r="N1034" s="28" t="s">
        <v>22</v>
      </c>
      <c r="O1034" s="2" t="s">
        <v>21</v>
      </c>
    </row>
    <row r="1035" spans="1:15">
      <c r="A1035" s="71">
        <v>2024</v>
      </c>
      <c r="B1035" s="16" t="s">
        <v>15</v>
      </c>
      <c r="C1035" s="63" t="s">
        <v>1516</v>
      </c>
      <c r="D1035" s="56" t="s">
        <v>926</v>
      </c>
      <c r="E1035" s="56" t="s">
        <v>123</v>
      </c>
      <c r="F1035" s="101">
        <v>50</v>
      </c>
      <c r="G1035" s="59" t="s">
        <v>19</v>
      </c>
      <c r="H1035" s="60">
        <v>95</v>
      </c>
      <c r="I1035" s="511">
        <f t="shared" si="65"/>
        <v>4750</v>
      </c>
      <c r="J1035" s="535">
        <v>80</v>
      </c>
      <c r="K1035" s="532">
        <f t="shared" si="66"/>
        <v>15</v>
      </c>
      <c r="L1035" s="533">
        <f t="shared" si="64"/>
        <v>750</v>
      </c>
      <c r="M1035" s="531">
        <f t="shared" si="67"/>
        <v>0.15789473684210525</v>
      </c>
      <c r="N1035" s="28" t="s">
        <v>22</v>
      </c>
      <c r="O1035" s="2" t="s">
        <v>21</v>
      </c>
    </row>
    <row r="1036" spans="1:15">
      <c r="A1036" s="71">
        <v>2024</v>
      </c>
      <c r="B1036" s="16" t="s">
        <v>15</v>
      </c>
      <c r="C1036" s="63" t="s">
        <v>1516</v>
      </c>
      <c r="D1036" s="56" t="s">
        <v>926</v>
      </c>
      <c r="E1036" s="56" t="s">
        <v>122</v>
      </c>
      <c r="F1036" s="101">
        <v>50</v>
      </c>
      <c r="G1036" s="59" t="s">
        <v>19</v>
      </c>
      <c r="H1036" s="60">
        <v>165</v>
      </c>
      <c r="I1036" s="511">
        <f t="shared" si="65"/>
        <v>8250</v>
      </c>
      <c r="J1036" s="535">
        <v>150</v>
      </c>
      <c r="K1036" s="532">
        <f t="shared" si="66"/>
        <v>15</v>
      </c>
      <c r="L1036" s="533">
        <f t="shared" si="64"/>
        <v>750</v>
      </c>
      <c r="M1036" s="531">
        <f t="shared" si="67"/>
        <v>9.0909090909090912E-2</v>
      </c>
      <c r="N1036" s="28" t="s">
        <v>22</v>
      </c>
      <c r="O1036" s="2" t="s">
        <v>21</v>
      </c>
    </row>
    <row r="1037" spans="1:15">
      <c r="A1037" s="71">
        <v>2024</v>
      </c>
      <c r="B1037" s="16" t="s">
        <v>15</v>
      </c>
      <c r="C1037" s="63" t="s">
        <v>1517</v>
      </c>
      <c r="D1037" s="56" t="s">
        <v>17</v>
      </c>
      <c r="E1037" s="56" t="s">
        <v>1518</v>
      </c>
      <c r="F1037" s="101">
        <v>1</v>
      </c>
      <c r="G1037" s="59" t="s">
        <v>19</v>
      </c>
      <c r="H1037" s="60">
        <v>6500</v>
      </c>
      <c r="I1037" s="511">
        <f t="shared" si="65"/>
        <v>6500</v>
      </c>
      <c r="J1037" s="535">
        <v>6200</v>
      </c>
      <c r="K1037" s="532">
        <f t="shared" si="66"/>
        <v>300</v>
      </c>
      <c r="L1037" s="533">
        <f t="shared" si="64"/>
        <v>300</v>
      </c>
      <c r="M1037" s="531">
        <f t="shared" si="67"/>
        <v>4.6153846153846156E-2</v>
      </c>
      <c r="N1037" s="28" t="s">
        <v>22</v>
      </c>
      <c r="O1037" s="2" t="s">
        <v>21</v>
      </c>
    </row>
    <row r="1038" spans="1:15">
      <c r="A1038" s="71">
        <v>2024</v>
      </c>
      <c r="B1038" s="16" t="s">
        <v>15</v>
      </c>
      <c r="C1038" s="63" t="s">
        <v>1519</v>
      </c>
      <c r="D1038" s="56" t="s">
        <v>926</v>
      </c>
      <c r="E1038" s="56" t="s">
        <v>1520</v>
      </c>
      <c r="F1038" s="101">
        <v>100</v>
      </c>
      <c r="G1038" s="59" t="s">
        <v>19</v>
      </c>
      <c r="H1038" s="60">
        <v>125</v>
      </c>
      <c r="I1038" s="511">
        <f t="shared" si="65"/>
        <v>12500</v>
      </c>
      <c r="J1038" s="535">
        <v>115</v>
      </c>
      <c r="K1038" s="532">
        <f t="shared" si="66"/>
        <v>10</v>
      </c>
      <c r="L1038" s="533">
        <f t="shared" si="64"/>
        <v>1000</v>
      </c>
      <c r="M1038" s="531">
        <f t="shared" si="67"/>
        <v>0.08</v>
      </c>
      <c r="N1038" s="28" t="s">
        <v>22</v>
      </c>
      <c r="O1038" s="2" t="s">
        <v>21</v>
      </c>
    </row>
    <row r="1039" spans="1:15">
      <c r="A1039" s="71">
        <v>2024</v>
      </c>
      <c r="B1039" s="16" t="s">
        <v>15</v>
      </c>
      <c r="C1039" s="63" t="s">
        <v>1521</v>
      </c>
      <c r="D1039" s="56" t="s">
        <v>24</v>
      </c>
      <c r="E1039" s="56" t="s">
        <v>1522</v>
      </c>
      <c r="F1039" s="101">
        <v>1</v>
      </c>
      <c r="G1039" s="59" t="s">
        <v>19</v>
      </c>
      <c r="H1039" s="60">
        <v>4000</v>
      </c>
      <c r="I1039" s="511">
        <f t="shared" si="65"/>
        <v>4000</v>
      </c>
      <c r="J1039" s="535">
        <v>3250</v>
      </c>
      <c r="K1039" s="532">
        <f t="shared" si="66"/>
        <v>750</v>
      </c>
      <c r="L1039" s="533">
        <f t="shared" si="64"/>
        <v>750</v>
      </c>
      <c r="M1039" s="531">
        <f t="shared" si="67"/>
        <v>0.1875</v>
      </c>
      <c r="N1039" s="28" t="s">
        <v>22</v>
      </c>
      <c r="O1039" s="2" t="s">
        <v>21</v>
      </c>
    </row>
    <row r="1040" spans="1:15">
      <c r="A1040" s="71">
        <v>2024</v>
      </c>
      <c r="B1040" s="16" t="s">
        <v>15</v>
      </c>
      <c r="C1040" s="63" t="s">
        <v>1521</v>
      </c>
      <c r="D1040" s="56" t="s">
        <v>24</v>
      </c>
      <c r="E1040" s="56" t="s">
        <v>1523</v>
      </c>
      <c r="F1040" s="101">
        <v>2</v>
      </c>
      <c r="G1040" s="59" t="s">
        <v>19</v>
      </c>
      <c r="H1040" s="60">
        <v>4500</v>
      </c>
      <c r="I1040" s="511">
        <f t="shared" si="65"/>
        <v>9000</v>
      </c>
      <c r="J1040" s="535">
        <v>3350</v>
      </c>
      <c r="K1040" s="532">
        <f t="shared" si="66"/>
        <v>1150</v>
      </c>
      <c r="L1040" s="533">
        <f t="shared" si="64"/>
        <v>2300</v>
      </c>
      <c r="M1040" s="531">
        <f t="shared" si="67"/>
        <v>0.25555555555555554</v>
      </c>
      <c r="N1040" s="28" t="s">
        <v>22</v>
      </c>
      <c r="O1040" s="2" t="s">
        <v>21</v>
      </c>
    </row>
    <row r="1041" spans="1:15">
      <c r="A1041" s="71">
        <v>2024</v>
      </c>
      <c r="B1041" s="16" t="s">
        <v>15</v>
      </c>
      <c r="C1041" s="63" t="s">
        <v>1524</v>
      </c>
      <c r="D1041" s="56" t="s">
        <v>1525</v>
      </c>
      <c r="E1041" s="56" t="s">
        <v>1526</v>
      </c>
      <c r="F1041" s="101">
        <v>1</v>
      </c>
      <c r="G1041" s="59" t="s">
        <v>285</v>
      </c>
      <c r="H1041" s="60">
        <v>4800000</v>
      </c>
      <c r="I1041" s="511">
        <f t="shared" si="65"/>
        <v>4800000</v>
      </c>
      <c r="J1041" s="535">
        <v>4303738.32</v>
      </c>
      <c r="K1041" s="532">
        <f t="shared" si="66"/>
        <v>496261.6799999997</v>
      </c>
      <c r="L1041" s="533">
        <f t="shared" si="64"/>
        <v>496261.6799999997</v>
      </c>
      <c r="M1041" s="531">
        <f t="shared" si="67"/>
        <v>0.10338784999999993</v>
      </c>
      <c r="N1041" s="28" t="s">
        <v>22</v>
      </c>
      <c r="O1041" s="2" t="s">
        <v>21</v>
      </c>
    </row>
    <row r="1042" spans="1:15">
      <c r="A1042" s="71">
        <v>2024</v>
      </c>
      <c r="B1042" s="16" t="s">
        <v>15</v>
      </c>
      <c r="C1042" s="63" t="s">
        <v>1527</v>
      </c>
      <c r="D1042" s="56" t="s">
        <v>311</v>
      </c>
      <c r="E1042" s="56" t="s">
        <v>1528</v>
      </c>
      <c r="F1042" s="101">
        <v>5</v>
      </c>
      <c r="G1042" s="59" t="s">
        <v>19</v>
      </c>
      <c r="H1042" s="60">
        <v>21000</v>
      </c>
      <c r="I1042" s="511">
        <f t="shared" si="65"/>
        <v>105000</v>
      </c>
      <c r="J1042" s="535">
        <v>20000</v>
      </c>
      <c r="K1042" s="532">
        <f t="shared" si="66"/>
        <v>1000</v>
      </c>
      <c r="L1042" s="533">
        <f t="shared" si="64"/>
        <v>5000</v>
      </c>
      <c r="M1042" s="531">
        <f t="shared" si="67"/>
        <v>4.7619047619047616E-2</v>
      </c>
      <c r="N1042" s="28" t="s">
        <v>38</v>
      </c>
      <c r="O1042" s="2" t="s">
        <v>21</v>
      </c>
    </row>
    <row r="1043" spans="1:15">
      <c r="A1043" s="71">
        <v>2024</v>
      </c>
      <c r="B1043" s="16" t="s">
        <v>15</v>
      </c>
      <c r="C1043" s="63" t="s">
        <v>1527</v>
      </c>
      <c r="D1043" s="56" t="s">
        <v>311</v>
      </c>
      <c r="E1043" s="56" t="s">
        <v>1529</v>
      </c>
      <c r="F1043" s="101">
        <v>11</v>
      </c>
      <c r="G1043" s="59" t="s">
        <v>19</v>
      </c>
      <c r="H1043" s="60">
        <v>29000</v>
      </c>
      <c r="I1043" s="511">
        <f t="shared" si="65"/>
        <v>319000</v>
      </c>
      <c r="J1043" s="535">
        <v>28000</v>
      </c>
      <c r="K1043" s="532">
        <f t="shared" si="66"/>
        <v>1000</v>
      </c>
      <c r="L1043" s="533">
        <f t="shared" si="64"/>
        <v>11000</v>
      </c>
      <c r="M1043" s="531">
        <f t="shared" si="67"/>
        <v>3.4482758620689655E-2</v>
      </c>
      <c r="N1043" s="28" t="s">
        <v>38</v>
      </c>
      <c r="O1043" s="2" t="s">
        <v>21</v>
      </c>
    </row>
    <row r="1044" spans="1:15">
      <c r="A1044" s="71">
        <v>2024</v>
      </c>
      <c r="B1044" s="16" t="s">
        <v>15</v>
      </c>
      <c r="C1044" s="63" t="s">
        <v>1527</v>
      </c>
      <c r="D1044" s="56" t="s">
        <v>311</v>
      </c>
      <c r="E1044" s="56" t="s">
        <v>1530</v>
      </c>
      <c r="F1044" s="101">
        <v>5</v>
      </c>
      <c r="G1044" s="59" t="s">
        <v>19</v>
      </c>
      <c r="H1044" s="8">
        <v>24000</v>
      </c>
      <c r="I1044" s="511">
        <f t="shared" si="65"/>
        <v>120000</v>
      </c>
      <c r="J1044" s="535">
        <v>22000</v>
      </c>
      <c r="K1044" s="532">
        <f t="shared" si="66"/>
        <v>2000</v>
      </c>
      <c r="L1044" s="533">
        <f t="shared" si="64"/>
        <v>10000</v>
      </c>
      <c r="M1044" s="531">
        <f t="shared" si="67"/>
        <v>8.3333333333333329E-2</v>
      </c>
      <c r="N1044" s="28" t="s">
        <v>38</v>
      </c>
      <c r="O1044" s="2" t="s">
        <v>21</v>
      </c>
    </row>
    <row r="1045" spans="1:15">
      <c r="A1045" s="71">
        <v>2024</v>
      </c>
      <c r="B1045" s="16" t="s">
        <v>15</v>
      </c>
      <c r="C1045" s="63" t="s">
        <v>1531</v>
      </c>
      <c r="D1045" s="56" t="s">
        <v>926</v>
      </c>
      <c r="E1045" s="56" t="s">
        <v>1532</v>
      </c>
      <c r="F1045" s="101">
        <v>300</v>
      </c>
      <c r="G1045" s="59" t="s">
        <v>19</v>
      </c>
      <c r="H1045" s="8">
        <v>60</v>
      </c>
      <c r="I1045" s="511">
        <f t="shared" si="65"/>
        <v>18000</v>
      </c>
      <c r="J1045" s="535">
        <v>45</v>
      </c>
      <c r="K1045" s="532">
        <f t="shared" si="66"/>
        <v>15</v>
      </c>
      <c r="L1045" s="533">
        <f t="shared" si="64"/>
        <v>4500</v>
      </c>
      <c r="M1045" s="531">
        <f t="shared" si="67"/>
        <v>0.25</v>
      </c>
      <c r="N1045" s="28" t="s">
        <v>22</v>
      </c>
      <c r="O1045" s="2" t="s">
        <v>21</v>
      </c>
    </row>
    <row r="1046" spans="1:15">
      <c r="A1046" s="71">
        <v>2024</v>
      </c>
      <c r="B1046" s="16" t="s">
        <v>15</v>
      </c>
      <c r="C1046" s="63" t="s">
        <v>1531</v>
      </c>
      <c r="D1046" s="56" t="s">
        <v>926</v>
      </c>
      <c r="E1046" s="56" t="s">
        <v>123</v>
      </c>
      <c r="F1046" s="101">
        <v>300</v>
      </c>
      <c r="G1046" s="59" t="s">
        <v>19</v>
      </c>
      <c r="H1046" s="8">
        <v>95</v>
      </c>
      <c r="I1046" s="511">
        <f t="shared" si="65"/>
        <v>28500</v>
      </c>
      <c r="J1046" s="535">
        <v>80</v>
      </c>
      <c r="K1046" s="532">
        <f t="shared" si="66"/>
        <v>15</v>
      </c>
      <c r="L1046" s="533">
        <f t="shared" si="64"/>
        <v>4500</v>
      </c>
      <c r="M1046" s="531">
        <f t="shared" si="67"/>
        <v>0.15789473684210525</v>
      </c>
      <c r="N1046" s="28" t="s">
        <v>22</v>
      </c>
      <c r="O1046" s="2" t="s">
        <v>21</v>
      </c>
    </row>
    <row r="1047" spans="1:15">
      <c r="A1047" s="71">
        <v>2024</v>
      </c>
      <c r="B1047" s="16" t="s">
        <v>15</v>
      </c>
      <c r="C1047" s="63" t="s">
        <v>1531</v>
      </c>
      <c r="D1047" s="56" t="s">
        <v>926</v>
      </c>
      <c r="E1047" s="56" t="s">
        <v>122</v>
      </c>
      <c r="F1047" s="101">
        <v>400</v>
      </c>
      <c r="G1047" s="59" t="s">
        <v>19</v>
      </c>
      <c r="H1047" s="60">
        <v>165</v>
      </c>
      <c r="I1047" s="511">
        <f t="shared" si="65"/>
        <v>66000</v>
      </c>
      <c r="J1047" s="535">
        <v>150</v>
      </c>
      <c r="K1047" s="532">
        <f t="shared" si="66"/>
        <v>15</v>
      </c>
      <c r="L1047" s="533">
        <f t="shared" si="64"/>
        <v>6000</v>
      </c>
      <c r="M1047" s="531">
        <f t="shared" si="67"/>
        <v>9.0909090909090912E-2</v>
      </c>
      <c r="N1047" s="28" t="s">
        <v>22</v>
      </c>
      <c r="O1047" s="2" t="s">
        <v>21</v>
      </c>
    </row>
    <row r="1048" spans="1:15">
      <c r="A1048" s="71">
        <v>2024</v>
      </c>
      <c r="B1048" s="16" t="s">
        <v>15</v>
      </c>
      <c r="C1048" s="63" t="s">
        <v>1533</v>
      </c>
      <c r="D1048" s="56" t="s">
        <v>1470</v>
      </c>
      <c r="E1048" s="56" t="s">
        <v>1471</v>
      </c>
      <c r="F1048" s="101">
        <v>150</v>
      </c>
      <c r="G1048" s="59" t="s">
        <v>19</v>
      </c>
      <c r="H1048" s="60">
        <v>3000</v>
      </c>
      <c r="I1048" s="511">
        <f t="shared" si="65"/>
        <v>450000</v>
      </c>
      <c r="J1048" s="535">
        <v>2850</v>
      </c>
      <c r="K1048" s="532">
        <f t="shared" si="66"/>
        <v>150</v>
      </c>
      <c r="L1048" s="533">
        <f t="shared" si="64"/>
        <v>22500</v>
      </c>
      <c r="M1048" s="531">
        <f t="shared" si="67"/>
        <v>0.05</v>
      </c>
      <c r="N1048" s="28" t="s">
        <v>38</v>
      </c>
      <c r="O1048" s="2" t="s">
        <v>21</v>
      </c>
    </row>
    <row r="1049" spans="1:15">
      <c r="A1049" s="71">
        <v>2024</v>
      </c>
      <c r="B1049" s="16" t="s">
        <v>15</v>
      </c>
      <c r="C1049" s="63" t="s">
        <v>1534</v>
      </c>
      <c r="D1049" s="56" t="s">
        <v>24</v>
      </c>
      <c r="E1049" s="56" t="s">
        <v>1535</v>
      </c>
      <c r="F1049" s="101">
        <v>1</v>
      </c>
      <c r="G1049" s="59"/>
      <c r="H1049" s="60">
        <v>16184</v>
      </c>
      <c r="I1049" s="511">
        <f t="shared" si="65"/>
        <v>16184</v>
      </c>
      <c r="J1049" s="535">
        <v>15500</v>
      </c>
      <c r="K1049" s="532">
        <f t="shared" si="66"/>
        <v>684</v>
      </c>
      <c r="L1049" s="533">
        <f t="shared" si="64"/>
        <v>684</v>
      </c>
      <c r="M1049" s="531">
        <f t="shared" si="67"/>
        <v>4.2263964409293128E-2</v>
      </c>
      <c r="N1049" s="28" t="s">
        <v>22</v>
      </c>
      <c r="O1049" s="2" t="s">
        <v>21</v>
      </c>
    </row>
    <row r="1050" spans="1:15">
      <c r="A1050" s="71">
        <v>2024</v>
      </c>
      <c r="B1050" s="16" t="s">
        <v>15</v>
      </c>
      <c r="C1050" s="63" t="s">
        <v>1536</v>
      </c>
      <c r="D1050" s="56" t="s">
        <v>118</v>
      </c>
      <c r="E1050" s="56" t="s">
        <v>1537</v>
      </c>
      <c r="F1050" s="101">
        <v>5</v>
      </c>
      <c r="G1050" s="59"/>
      <c r="H1050" s="60">
        <v>3200</v>
      </c>
      <c r="I1050" s="511">
        <f t="shared" si="65"/>
        <v>16000</v>
      </c>
      <c r="J1050" s="535">
        <v>2837.25</v>
      </c>
      <c r="K1050" s="532">
        <f t="shared" si="66"/>
        <v>362.75</v>
      </c>
      <c r="L1050" s="533">
        <f t="shared" si="64"/>
        <v>1813.75</v>
      </c>
      <c r="M1050" s="531">
        <f t="shared" si="67"/>
        <v>0.113359375</v>
      </c>
      <c r="N1050" s="28" t="s">
        <v>22</v>
      </c>
      <c r="O1050" s="2" t="s">
        <v>21</v>
      </c>
    </row>
    <row r="1051" spans="1:15">
      <c r="A1051" s="71">
        <v>2024</v>
      </c>
      <c r="B1051" s="16" t="s">
        <v>178</v>
      </c>
      <c r="C1051" s="63" t="s">
        <v>1533</v>
      </c>
      <c r="D1051" s="56" t="s">
        <v>1470</v>
      </c>
      <c r="E1051" s="56" t="s">
        <v>33</v>
      </c>
      <c r="F1051" s="101">
        <v>1</v>
      </c>
      <c r="G1051" s="59" t="s">
        <v>59</v>
      </c>
      <c r="H1051" s="60">
        <v>777500</v>
      </c>
      <c r="I1051" s="511">
        <f t="shared" si="65"/>
        <v>777500</v>
      </c>
      <c r="J1051" s="535">
        <v>666021.5</v>
      </c>
      <c r="K1051" s="532">
        <f t="shared" si="66"/>
        <v>111478.5</v>
      </c>
      <c r="L1051" s="533">
        <f t="shared" si="64"/>
        <v>111478.5</v>
      </c>
      <c r="M1051" s="531">
        <f t="shared" si="67"/>
        <v>0.14338070739549838</v>
      </c>
      <c r="N1051" s="150" t="s">
        <v>33</v>
      </c>
      <c r="O1051" s="2" t="s">
        <v>21</v>
      </c>
    </row>
    <row r="1052" spans="1:15">
      <c r="A1052" s="71">
        <v>2024</v>
      </c>
      <c r="B1052" s="16" t="s">
        <v>178</v>
      </c>
      <c r="C1052" s="63" t="s">
        <v>1538</v>
      </c>
      <c r="D1052" s="56" t="s">
        <v>590</v>
      </c>
      <c r="E1052" s="56" t="s">
        <v>1539</v>
      </c>
      <c r="F1052" s="101">
        <v>5</v>
      </c>
      <c r="G1052" s="59" t="s">
        <v>63</v>
      </c>
      <c r="H1052" s="60">
        <v>38500</v>
      </c>
      <c r="I1052" s="511">
        <f t="shared" si="65"/>
        <v>192500</v>
      </c>
      <c r="J1052" s="535">
        <v>38000</v>
      </c>
      <c r="K1052" s="532">
        <f t="shared" si="66"/>
        <v>500</v>
      </c>
      <c r="L1052" s="533">
        <f t="shared" si="64"/>
        <v>2500</v>
      </c>
      <c r="M1052" s="531">
        <f t="shared" si="67"/>
        <v>1.2987012987012988E-2</v>
      </c>
      <c r="N1052" s="2" t="s">
        <v>38</v>
      </c>
      <c r="O1052" s="2" t="s">
        <v>39</v>
      </c>
    </row>
    <row r="1053" spans="1:15">
      <c r="A1053" s="71">
        <v>2024</v>
      </c>
      <c r="B1053" s="16" t="s">
        <v>178</v>
      </c>
      <c r="C1053" s="63" t="s">
        <v>1540</v>
      </c>
      <c r="D1053" s="56" t="s">
        <v>335</v>
      </c>
      <c r="E1053" s="56" t="s">
        <v>336</v>
      </c>
      <c r="F1053" s="101">
        <v>56000</v>
      </c>
      <c r="G1053" s="59" t="s">
        <v>337</v>
      </c>
      <c r="H1053" s="60">
        <v>36.75</v>
      </c>
      <c r="I1053" s="511">
        <f t="shared" si="65"/>
        <v>2058000</v>
      </c>
      <c r="J1053" s="535">
        <v>36</v>
      </c>
      <c r="K1053" s="532">
        <f t="shared" si="66"/>
        <v>0.75</v>
      </c>
      <c r="L1053" s="533">
        <f t="shared" si="64"/>
        <v>42000</v>
      </c>
      <c r="M1053" s="531">
        <f t="shared" si="67"/>
        <v>2.0408163265306121E-2</v>
      </c>
      <c r="N1053" s="2" t="s">
        <v>22</v>
      </c>
      <c r="O1053" s="2" t="s">
        <v>39</v>
      </c>
    </row>
    <row r="1054" spans="1:15">
      <c r="A1054" s="71">
        <v>2024</v>
      </c>
      <c r="B1054" s="16" t="s">
        <v>178</v>
      </c>
      <c r="C1054" s="63" t="s">
        <v>1541</v>
      </c>
      <c r="D1054" s="56" t="s">
        <v>27</v>
      </c>
      <c r="E1054" s="56" t="s">
        <v>1147</v>
      </c>
      <c r="F1054" s="101">
        <v>20</v>
      </c>
      <c r="G1054" s="59" t="s">
        <v>615</v>
      </c>
      <c r="H1054" s="60">
        <v>130</v>
      </c>
      <c r="I1054" s="511">
        <f t="shared" si="65"/>
        <v>2600</v>
      </c>
      <c r="J1054" s="535">
        <v>125</v>
      </c>
      <c r="K1054" s="532">
        <f t="shared" si="66"/>
        <v>5</v>
      </c>
      <c r="L1054" s="533">
        <f t="shared" si="64"/>
        <v>100</v>
      </c>
      <c r="M1054" s="531">
        <f t="shared" si="67"/>
        <v>3.8461538461538464E-2</v>
      </c>
      <c r="N1054" s="2" t="s">
        <v>22</v>
      </c>
      <c r="O1054" s="2" t="s">
        <v>105</v>
      </c>
    </row>
    <row r="1055" spans="1:15">
      <c r="A1055" s="71">
        <v>2024</v>
      </c>
      <c r="B1055" s="16" t="s">
        <v>178</v>
      </c>
      <c r="C1055" s="63" t="s">
        <v>1542</v>
      </c>
      <c r="D1055" s="56" t="s">
        <v>68</v>
      </c>
      <c r="E1055" s="56" t="s">
        <v>755</v>
      </c>
      <c r="F1055" s="101">
        <v>481.6</v>
      </c>
      <c r="G1055" s="59" t="s">
        <v>37</v>
      </c>
      <c r="H1055" s="60">
        <v>352</v>
      </c>
      <c r="I1055" s="511">
        <f t="shared" si="65"/>
        <v>169523.20000000001</v>
      </c>
      <c r="J1055" s="535">
        <v>345</v>
      </c>
      <c r="K1055" s="532">
        <f t="shared" si="66"/>
        <v>7</v>
      </c>
      <c r="L1055" s="533">
        <f t="shared" si="64"/>
        <v>3371.2000000000003</v>
      </c>
      <c r="M1055" s="531">
        <f t="shared" si="67"/>
        <v>1.9886363636363636E-2</v>
      </c>
      <c r="N1055" s="2" t="s">
        <v>22</v>
      </c>
      <c r="O1055" s="2" t="s">
        <v>105</v>
      </c>
    </row>
    <row r="1056" spans="1:15">
      <c r="A1056" s="71">
        <v>2024</v>
      </c>
      <c r="B1056" s="16" t="s">
        <v>178</v>
      </c>
      <c r="C1056" s="63" t="s">
        <v>1543</v>
      </c>
      <c r="D1056" s="56" t="s">
        <v>633</v>
      </c>
      <c r="E1056" s="56" t="s">
        <v>564</v>
      </c>
      <c r="F1056" s="101">
        <v>15</v>
      </c>
      <c r="G1056" s="59" t="s">
        <v>19</v>
      </c>
      <c r="H1056" s="60">
        <v>980</v>
      </c>
      <c r="I1056" s="511">
        <f t="shared" si="65"/>
        <v>14700</v>
      </c>
      <c r="J1056" s="535">
        <v>900</v>
      </c>
      <c r="K1056" s="532">
        <f t="shared" si="66"/>
        <v>80</v>
      </c>
      <c r="L1056" s="533">
        <f t="shared" si="64"/>
        <v>1200</v>
      </c>
      <c r="M1056" s="531">
        <f t="shared" si="67"/>
        <v>8.1632653061224483E-2</v>
      </c>
      <c r="N1056" s="2" t="s">
        <v>22</v>
      </c>
      <c r="O1056" s="2" t="s">
        <v>105</v>
      </c>
    </row>
    <row r="1057" spans="1:15">
      <c r="A1057" s="71">
        <v>2024</v>
      </c>
      <c r="B1057" s="16" t="s">
        <v>178</v>
      </c>
      <c r="C1057" s="63" t="s">
        <v>1544</v>
      </c>
      <c r="D1057" s="56" t="s">
        <v>27</v>
      </c>
      <c r="E1057" s="56" t="s">
        <v>456</v>
      </c>
      <c r="F1057" s="101">
        <v>300</v>
      </c>
      <c r="G1057" s="59" t="s">
        <v>19</v>
      </c>
      <c r="H1057" s="60">
        <v>2.5499999999999998</v>
      </c>
      <c r="I1057" s="511">
        <f t="shared" si="65"/>
        <v>765</v>
      </c>
      <c r="J1057" s="535">
        <v>2.5</v>
      </c>
      <c r="K1057" s="532">
        <f t="shared" si="66"/>
        <v>4.9999999999999822E-2</v>
      </c>
      <c r="L1057" s="533">
        <f t="shared" si="64"/>
        <v>14.999999999999947</v>
      </c>
      <c r="M1057" s="531">
        <f t="shared" si="67"/>
        <v>1.9607843137254832E-2</v>
      </c>
      <c r="N1057" s="28" t="s">
        <v>22</v>
      </c>
      <c r="O1057" s="2" t="s">
        <v>105</v>
      </c>
    </row>
    <row r="1058" spans="1:15">
      <c r="A1058" s="71">
        <v>2024</v>
      </c>
      <c r="B1058" s="16" t="s">
        <v>178</v>
      </c>
      <c r="C1058" s="63" t="s">
        <v>1545</v>
      </c>
      <c r="D1058" s="56" t="s">
        <v>1042</v>
      </c>
      <c r="E1058" s="414" t="s">
        <v>1546</v>
      </c>
      <c r="F1058" s="101">
        <v>1</v>
      </c>
      <c r="G1058" s="59" t="s">
        <v>285</v>
      </c>
      <c r="H1058" s="495">
        <v>90180</v>
      </c>
      <c r="I1058" s="511">
        <f t="shared" si="65"/>
        <v>90180</v>
      </c>
      <c r="J1058" s="535">
        <v>79385</v>
      </c>
      <c r="K1058" s="532">
        <f t="shared" si="66"/>
        <v>10795</v>
      </c>
      <c r="L1058" s="533">
        <f t="shared" si="64"/>
        <v>10795</v>
      </c>
      <c r="M1058" s="531">
        <f t="shared" si="67"/>
        <v>0.11970503437569306</v>
      </c>
      <c r="N1058" s="150" t="s">
        <v>33</v>
      </c>
      <c r="O1058" s="2" t="s">
        <v>105</v>
      </c>
    </row>
    <row r="1059" spans="1:15">
      <c r="A1059" s="71">
        <v>2024</v>
      </c>
      <c r="B1059" s="16" t="s">
        <v>178</v>
      </c>
      <c r="C1059" s="63" t="s">
        <v>1547</v>
      </c>
      <c r="D1059" s="56" t="s">
        <v>1042</v>
      </c>
      <c r="E1059" s="56" t="s">
        <v>1548</v>
      </c>
      <c r="F1059" s="101">
        <v>1800</v>
      </c>
      <c r="G1059" s="59" t="s">
        <v>37</v>
      </c>
      <c r="H1059" s="492">
        <v>368</v>
      </c>
      <c r="I1059" s="511">
        <f t="shared" si="65"/>
        <v>662400</v>
      </c>
      <c r="J1059" s="535">
        <v>334</v>
      </c>
      <c r="K1059" s="532">
        <f t="shared" si="66"/>
        <v>34</v>
      </c>
      <c r="L1059" s="533">
        <f t="shared" si="64"/>
        <v>61200</v>
      </c>
      <c r="M1059" s="531">
        <f t="shared" si="67"/>
        <v>9.2391304347826081E-2</v>
      </c>
      <c r="N1059" s="28" t="s">
        <v>22</v>
      </c>
      <c r="O1059" s="2" t="s">
        <v>105</v>
      </c>
    </row>
    <row r="1060" spans="1:15">
      <c r="A1060" s="71">
        <v>2024</v>
      </c>
      <c r="B1060" s="16" t="s">
        <v>178</v>
      </c>
      <c r="C1060" s="63" t="s">
        <v>1549</v>
      </c>
      <c r="D1060" s="56" t="s">
        <v>323</v>
      </c>
      <c r="E1060" s="56" t="s">
        <v>324</v>
      </c>
      <c r="F1060" s="101">
        <v>72</v>
      </c>
      <c r="G1060" s="59" t="s">
        <v>29</v>
      </c>
      <c r="H1060" s="60">
        <v>405</v>
      </c>
      <c r="I1060" s="511">
        <f t="shared" si="65"/>
        <v>29160</v>
      </c>
      <c r="J1060" s="535">
        <v>385</v>
      </c>
      <c r="K1060" s="532">
        <f t="shared" si="66"/>
        <v>20</v>
      </c>
      <c r="L1060" s="533">
        <f t="shared" si="64"/>
        <v>1440</v>
      </c>
      <c r="M1060" s="531">
        <f t="shared" si="67"/>
        <v>4.9382716049382713E-2</v>
      </c>
      <c r="N1060" s="28" t="s">
        <v>22</v>
      </c>
      <c r="O1060" s="2" t="s">
        <v>21</v>
      </c>
    </row>
    <row r="1061" spans="1:15">
      <c r="A1061" s="71">
        <v>2024</v>
      </c>
      <c r="B1061" s="16" t="s">
        <v>178</v>
      </c>
      <c r="C1061" s="63" t="s">
        <v>1550</v>
      </c>
      <c r="D1061" s="56" t="s">
        <v>110</v>
      </c>
      <c r="E1061" s="56" t="s">
        <v>1551</v>
      </c>
      <c r="F1061" s="101">
        <v>1</v>
      </c>
      <c r="G1061" s="59" t="s">
        <v>19</v>
      </c>
      <c r="H1061" s="60">
        <v>36890</v>
      </c>
      <c r="I1061" s="511">
        <f t="shared" si="65"/>
        <v>36890</v>
      </c>
      <c r="J1061" s="535">
        <v>34500</v>
      </c>
      <c r="K1061" s="532">
        <f t="shared" si="66"/>
        <v>2390</v>
      </c>
      <c r="L1061" s="533">
        <f t="shared" si="64"/>
        <v>2390</v>
      </c>
      <c r="M1061" s="531">
        <f t="shared" si="67"/>
        <v>6.478720520466251E-2</v>
      </c>
      <c r="N1061" s="28" t="s">
        <v>22</v>
      </c>
      <c r="O1061" s="2" t="s">
        <v>21</v>
      </c>
    </row>
    <row r="1062" spans="1:15">
      <c r="A1062" s="71">
        <v>2024</v>
      </c>
      <c r="B1062" s="16" t="s">
        <v>178</v>
      </c>
      <c r="C1062" s="63" t="s">
        <v>1552</v>
      </c>
      <c r="D1062" s="56" t="s">
        <v>1553</v>
      </c>
      <c r="E1062" s="56" t="s">
        <v>1554</v>
      </c>
      <c r="F1062" s="101">
        <v>1</v>
      </c>
      <c r="G1062" s="59" t="s">
        <v>19</v>
      </c>
      <c r="H1062" s="60">
        <v>550000</v>
      </c>
      <c r="I1062" s="511">
        <f t="shared" si="65"/>
        <v>550000</v>
      </c>
      <c r="J1062" s="535">
        <v>525000</v>
      </c>
      <c r="K1062" s="532">
        <f t="shared" si="66"/>
        <v>25000</v>
      </c>
      <c r="L1062" s="533">
        <f t="shared" si="64"/>
        <v>25000</v>
      </c>
      <c r="M1062" s="531">
        <f t="shared" si="67"/>
        <v>4.5454545454545456E-2</v>
      </c>
      <c r="N1062" s="28" t="s">
        <v>38</v>
      </c>
      <c r="O1062" s="2" t="s">
        <v>21</v>
      </c>
    </row>
    <row r="1063" spans="1:15">
      <c r="A1063" s="71">
        <v>2024</v>
      </c>
      <c r="B1063" s="16" t="s">
        <v>178</v>
      </c>
      <c r="C1063" s="63" t="s">
        <v>1555</v>
      </c>
      <c r="D1063" s="56" t="s">
        <v>1176</v>
      </c>
      <c r="E1063" s="56" t="s">
        <v>1556</v>
      </c>
      <c r="F1063" s="101">
        <v>8</v>
      </c>
      <c r="G1063" s="59" t="s">
        <v>285</v>
      </c>
      <c r="H1063" s="60">
        <v>9500</v>
      </c>
      <c r="I1063" s="511">
        <f t="shared" si="65"/>
        <v>76000</v>
      </c>
      <c r="J1063" s="535">
        <v>9000</v>
      </c>
      <c r="K1063" s="532">
        <f t="shared" si="66"/>
        <v>500</v>
      </c>
      <c r="L1063" s="533">
        <f t="shared" si="64"/>
        <v>4000</v>
      </c>
      <c r="M1063" s="531">
        <f t="shared" si="67"/>
        <v>5.2631578947368418E-2</v>
      </c>
      <c r="N1063" s="28" t="s">
        <v>22</v>
      </c>
      <c r="O1063" s="2" t="s">
        <v>21</v>
      </c>
    </row>
    <row r="1064" spans="1:15">
      <c r="A1064" s="71">
        <v>2024</v>
      </c>
      <c r="B1064" s="16" t="s">
        <v>178</v>
      </c>
      <c r="C1064" s="63" t="s">
        <v>1557</v>
      </c>
      <c r="D1064" s="56" t="s">
        <v>398</v>
      </c>
      <c r="E1064" s="56" t="s">
        <v>1558</v>
      </c>
      <c r="F1064" s="101">
        <v>1</v>
      </c>
      <c r="G1064" s="59" t="s">
        <v>285</v>
      </c>
      <c r="H1064" s="60">
        <v>268600</v>
      </c>
      <c r="I1064" s="511">
        <f t="shared" si="65"/>
        <v>268600</v>
      </c>
      <c r="J1064" s="535">
        <v>260000</v>
      </c>
      <c r="K1064" s="532">
        <f t="shared" si="66"/>
        <v>8600</v>
      </c>
      <c r="L1064" s="533">
        <f t="shared" si="64"/>
        <v>8600</v>
      </c>
      <c r="M1064" s="531">
        <f t="shared" si="67"/>
        <v>3.2017870439314963E-2</v>
      </c>
      <c r="N1064" s="28" t="s">
        <v>22</v>
      </c>
      <c r="O1064" s="2" t="s">
        <v>21</v>
      </c>
    </row>
    <row r="1065" spans="1:15">
      <c r="A1065" s="71">
        <v>2024</v>
      </c>
      <c r="B1065" s="16" t="s">
        <v>178</v>
      </c>
      <c r="C1065" s="63" t="s">
        <v>1559</v>
      </c>
      <c r="D1065" s="56" t="s">
        <v>1560</v>
      </c>
      <c r="E1065" s="56" t="s">
        <v>1561</v>
      </c>
      <c r="F1065" s="101">
        <v>2</v>
      </c>
      <c r="G1065" s="59" t="s">
        <v>19</v>
      </c>
      <c r="H1065" s="60">
        <v>1800</v>
      </c>
      <c r="I1065" s="511">
        <f t="shared" si="65"/>
        <v>3600</v>
      </c>
      <c r="J1065" s="535">
        <v>1100</v>
      </c>
      <c r="K1065" s="532">
        <f t="shared" si="66"/>
        <v>700</v>
      </c>
      <c r="L1065" s="533">
        <f t="shared" si="64"/>
        <v>1400</v>
      </c>
      <c r="M1065" s="531">
        <f t="shared" si="67"/>
        <v>0.3888888888888889</v>
      </c>
      <c r="N1065" s="28" t="s">
        <v>22</v>
      </c>
      <c r="O1065" s="2" t="s">
        <v>21</v>
      </c>
    </row>
    <row r="1066" spans="1:15">
      <c r="A1066" s="71">
        <v>2024</v>
      </c>
      <c r="B1066" s="16" t="s">
        <v>178</v>
      </c>
      <c r="C1066" s="63" t="s">
        <v>1562</v>
      </c>
      <c r="D1066" s="56" t="s">
        <v>1563</v>
      </c>
      <c r="E1066" s="56" t="s">
        <v>1564</v>
      </c>
      <c r="F1066" s="101">
        <v>2</v>
      </c>
      <c r="G1066" s="59" t="s">
        <v>19</v>
      </c>
      <c r="H1066" s="60">
        <v>1620</v>
      </c>
      <c r="I1066" s="511">
        <f t="shared" si="65"/>
        <v>3240</v>
      </c>
      <c r="J1066" s="535">
        <v>1250</v>
      </c>
      <c r="K1066" s="532">
        <f t="shared" si="66"/>
        <v>370</v>
      </c>
      <c r="L1066" s="533">
        <f t="shared" si="64"/>
        <v>740</v>
      </c>
      <c r="M1066" s="531">
        <f t="shared" si="67"/>
        <v>0.22839506172839505</v>
      </c>
      <c r="N1066" s="28" t="s">
        <v>22</v>
      </c>
      <c r="O1066" s="2" t="s">
        <v>21</v>
      </c>
    </row>
    <row r="1067" spans="1:15">
      <c r="A1067" s="71">
        <v>2024</v>
      </c>
      <c r="B1067" s="16" t="s">
        <v>178</v>
      </c>
      <c r="C1067" s="63" t="s">
        <v>1565</v>
      </c>
      <c r="D1067" s="56" t="s">
        <v>1566</v>
      </c>
      <c r="E1067" s="83" t="s">
        <v>1567</v>
      </c>
      <c r="F1067" s="136">
        <v>1</v>
      </c>
      <c r="G1067" s="137" t="s">
        <v>59</v>
      </c>
      <c r="H1067" s="60">
        <v>568900</v>
      </c>
      <c r="I1067" s="511">
        <f t="shared" si="65"/>
        <v>568900</v>
      </c>
      <c r="J1067" s="535">
        <v>512010</v>
      </c>
      <c r="K1067" s="532">
        <f t="shared" si="66"/>
        <v>56890</v>
      </c>
      <c r="L1067" s="533">
        <f t="shared" si="64"/>
        <v>56890</v>
      </c>
      <c r="M1067" s="531">
        <f t="shared" si="67"/>
        <v>0.1</v>
      </c>
      <c r="N1067" s="28" t="s">
        <v>38</v>
      </c>
      <c r="O1067" s="2" t="s">
        <v>21</v>
      </c>
    </row>
    <row r="1068" spans="1:15">
      <c r="A1068" s="71">
        <v>2024</v>
      </c>
      <c r="B1068" s="16" t="s">
        <v>178</v>
      </c>
      <c r="C1068" s="63" t="s">
        <v>1568</v>
      </c>
      <c r="D1068" s="82" t="s">
        <v>118</v>
      </c>
      <c r="E1068" s="69" t="s">
        <v>1569</v>
      </c>
      <c r="F1068" s="99">
        <v>1</v>
      </c>
      <c r="G1068" s="42" t="s">
        <v>19</v>
      </c>
      <c r="H1068" s="135">
        <v>11858</v>
      </c>
      <c r="I1068" s="511">
        <f t="shared" si="65"/>
        <v>11858</v>
      </c>
      <c r="J1068" s="535">
        <v>11650</v>
      </c>
      <c r="K1068" s="532">
        <f t="shared" si="66"/>
        <v>208</v>
      </c>
      <c r="L1068" s="533">
        <f t="shared" si="64"/>
        <v>208</v>
      </c>
      <c r="M1068" s="531">
        <f t="shared" si="67"/>
        <v>1.7540900657783774E-2</v>
      </c>
      <c r="N1068" s="28" t="s">
        <v>22</v>
      </c>
      <c r="O1068" s="2" t="s">
        <v>21</v>
      </c>
    </row>
    <row r="1069" spans="1:15">
      <c r="A1069" s="71">
        <v>2024</v>
      </c>
      <c r="B1069" s="16" t="s">
        <v>178</v>
      </c>
      <c r="C1069" s="63" t="s">
        <v>1570</v>
      </c>
      <c r="D1069" s="82" t="s">
        <v>17</v>
      </c>
      <c r="E1069" s="69" t="s">
        <v>163</v>
      </c>
      <c r="F1069" s="99">
        <v>1</v>
      </c>
      <c r="G1069" s="42" t="s">
        <v>19</v>
      </c>
      <c r="H1069" s="135">
        <v>3990</v>
      </c>
      <c r="I1069" s="511">
        <f t="shared" si="65"/>
        <v>3990</v>
      </c>
      <c r="J1069" s="535">
        <v>3800</v>
      </c>
      <c r="K1069" s="532">
        <f t="shared" si="66"/>
        <v>190</v>
      </c>
      <c r="L1069" s="533">
        <f t="shared" si="64"/>
        <v>190</v>
      </c>
      <c r="M1069" s="531">
        <f t="shared" si="67"/>
        <v>4.7619047619047616E-2</v>
      </c>
      <c r="N1069" s="28" t="s">
        <v>22</v>
      </c>
      <c r="O1069" s="2" t="s">
        <v>21</v>
      </c>
    </row>
    <row r="1070" spans="1:15">
      <c r="A1070" s="71">
        <v>2024</v>
      </c>
      <c r="B1070" s="16" t="s">
        <v>178</v>
      </c>
      <c r="C1070" s="63" t="s">
        <v>1571</v>
      </c>
      <c r="D1070" s="82" t="s">
        <v>68</v>
      </c>
      <c r="E1070" s="69" t="s">
        <v>755</v>
      </c>
      <c r="F1070" s="99">
        <v>858.6</v>
      </c>
      <c r="G1070" s="42" t="s">
        <v>37</v>
      </c>
      <c r="H1070" s="135">
        <v>340</v>
      </c>
      <c r="I1070" s="511">
        <f t="shared" si="65"/>
        <v>291924</v>
      </c>
      <c r="J1070" s="535">
        <v>339</v>
      </c>
      <c r="K1070" s="532">
        <f t="shared" si="66"/>
        <v>1</v>
      </c>
      <c r="L1070" s="533">
        <f t="shared" si="64"/>
        <v>858.6</v>
      </c>
      <c r="M1070" s="531">
        <f t="shared" si="67"/>
        <v>2.9411764705882353E-3</v>
      </c>
      <c r="N1070" s="28" t="s">
        <v>22</v>
      </c>
      <c r="O1070" s="2" t="s">
        <v>105</v>
      </c>
    </row>
    <row r="1071" spans="1:15">
      <c r="A1071" s="71">
        <v>2024</v>
      </c>
      <c r="B1071" s="16" t="s">
        <v>178</v>
      </c>
      <c r="C1071" s="63" t="s">
        <v>1572</v>
      </c>
      <c r="D1071" s="82" t="s">
        <v>633</v>
      </c>
      <c r="E1071" s="69" t="s">
        <v>1573</v>
      </c>
      <c r="F1071" s="99">
        <v>9</v>
      </c>
      <c r="G1071" s="42" t="s">
        <v>19</v>
      </c>
      <c r="H1071" s="135">
        <v>13000</v>
      </c>
      <c r="I1071" s="511">
        <f t="shared" si="65"/>
        <v>117000</v>
      </c>
      <c r="J1071" s="535">
        <v>12500</v>
      </c>
      <c r="K1071" s="532">
        <f t="shared" si="66"/>
        <v>500</v>
      </c>
      <c r="L1071" s="533">
        <f t="shared" si="64"/>
        <v>4500</v>
      </c>
      <c r="M1071" s="531">
        <f t="shared" si="67"/>
        <v>3.8461538461538464E-2</v>
      </c>
      <c r="N1071" s="2" t="s">
        <v>38</v>
      </c>
      <c r="O1071" s="2" t="s">
        <v>105</v>
      </c>
    </row>
    <row r="1072" spans="1:15">
      <c r="A1072" s="71">
        <v>2024</v>
      </c>
      <c r="B1072" s="16" t="s">
        <v>178</v>
      </c>
      <c r="C1072" s="63" t="s">
        <v>1574</v>
      </c>
      <c r="D1072" s="56" t="s">
        <v>1375</v>
      </c>
      <c r="E1072" s="56" t="s">
        <v>1575</v>
      </c>
      <c r="F1072" s="101">
        <v>3000</v>
      </c>
      <c r="G1072" s="59" t="s">
        <v>337</v>
      </c>
      <c r="H1072" s="60">
        <v>308</v>
      </c>
      <c r="I1072" s="511">
        <f t="shared" si="65"/>
        <v>924000</v>
      </c>
      <c r="J1072" s="535">
        <v>307</v>
      </c>
      <c r="K1072" s="532">
        <f t="shared" si="66"/>
        <v>1</v>
      </c>
      <c r="L1072" s="533">
        <f t="shared" si="64"/>
        <v>3000</v>
      </c>
      <c r="M1072" s="531">
        <f t="shared" si="67"/>
        <v>3.246753246753247E-3</v>
      </c>
      <c r="N1072" s="2" t="s">
        <v>38</v>
      </c>
      <c r="O1072" s="2" t="s">
        <v>105</v>
      </c>
    </row>
    <row r="1073" spans="1:15">
      <c r="A1073" s="71">
        <v>2024</v>
      </c>
      <c r="B1073" s="16" t="s">
        <v>178</v>
      </c>
      <c r="C1073" s="63" t="s">
        <v>1576</v>
      </c>
      <c r="D1073" s="56" t="s">
        <v>94</v>
      </c>
      <c r="E1073" s="56" t="s">
        <v>1038</v>
      </c>
      <c r="F1073" s="101">
        <v>200</v>
      </c>
      <c r="G1073" s="59" t="s">
        <v>19</v>
      </c>
      <c r="H1073" s="60">
        <v>15.5</v>
      </c>
      <c r="I1073" s="511">
        <f t="shared" si="65"/>
        <v>3100</v>
      </c>
      <c r="J1073" s="535">
        <v>14.76</v>
      </c>
      <c r="K1073" s="532">
        <f t="shared" si="66"/>
        <v>0.74000000000000021</v>
      </c>
      <c r="L1073" s="533">
        <f t="shared" si="64"/>
        <v>148.00000000000006</v>
      </c>
      <c r="M1073" s="531">
        <f t="shared" si="67"/>
        <v>4.7741935483870984E-2</v>
      </c>
      <c r="N1073" s="28" t="s">
        <v>22</v>
      </c>
      <c r="O1073" s="2" t="s">
        <v>105</v>
      </c>
    </row>
    <row r="1074" spans="1:15">
      <c r="A1074" s="71">
        <v>2024</v>
      </c>
      <c r="B1074" s="16" t="s">
        <v>178</v>
      </c>
      <c r="C1074" s="63" t="s">
        <v>1576</v>
      </c>
      <c r="D1074" s="56" t="s">
        <v>94</v>
      </c>
      <c r="E1074" s="56" t="s">
        <v>550</v>
      </c>
      <c r="F1074" s="101">
        <v>200</v>
      </c>
      <c r="G1074" s="59" t="s">
        <v>19</v>
      </c>
      <c r="H1074" s="60">
        <v>50</v>
      </c>
      <c r="I1074" s="511">
        <f t="shared" si="65"/>
        <v>10000</v>
      </c>
      <c r="J1074" s="535">
        <v>47.56</v>
      </c>
      <c r="K1074" s="532">
        <f t="shared" si="66"/>
        <v>2.4399999999999977</v>
      </c>
      <c r="L1074" s="533">
        <f t="shared" si="64"/>
        <v>487.99999999999955</v>
      </c>
      <c r="M1074" s="531">
        <f t="shared" si="67"/>
        <v>4.8799999999999955E-2</v>
      </c>
      <c r="N1074" s="28" t="s">
        <v>22</v>
      </c>
      <c r="O1074" s="2" t="s">
        <v>105</v>
      </c>
    </row>
    <row r="1075" spans="1:15">
      <c r="A1075" s="71">
        <v>2024</v>
      </c>
      <c r="B1075" s="16" t="s">
        <v>178</v>
      </c>
      <c r="C1075" s="63" t="s">
        <v>1577</v>
      </c>
      <c r="D1075" s="56" t="s">
        <v>1000</v>
      </c>
      <c r="E1075" s="56" t="s">
        <v>1323</v>
      </c>
      <c r="F1075" s="101">
        <v>3</v>
      </c>
      <c r="G1075" s="59" t="s">
        <v>302</v>
      </c>
      <c r="H1075" s="60">
        <v>3890</v>
      </c>
      <c r="I1075" s="511">
        <f t="shared" si="65"/>
        <v>11670</v>
      </c>
      <c r="J1075" s="535">
        <v>2600</v>
      </c>
      <c r="K1075" s="532">
        <f t="shared" si="66"/>
        <v>1290</v>
      </c>
      <c r="L1075" s="533">
        <f t="shared" si="64"/>
        <v>3870</v>
      </c>
      <c r="M1075" s="531">
        <f t="shared" si="67"/>
        <v>0.33161953727506427</v>
      </c>
      <c r="N1075" s="2" t="s">
        <v>22</v>
      </c>
      <c r="O1075" s="2" t="s">
        <v>105</v>
      </c>
    </row>
    <row r="1076" spans="1:15">
      <c r="A1076" s="71">
        <v>2024</v>
      </c>
      <c r="B1076" s="16" t="s">
        <v>178</v>
      </c>
      <c r="C1076" s="63" t="s">
        <v>1577</v>
      </c>
      <c r="D1076" s="56" t="s">
        <v>1000</v>
      </c>
      <c r="E1076" s="56" t="s">
        <v>1578</v>
      </c>
      <c r="F1076" s="101">
        <v>1</v>
      </c>
      <c r="G1076" s="59" t="s">
        <v>302</v>
      </c>
      <c r="H1076" s="60">
        <v>3950</v>
      </c>
      <c r="I1076" s="511">
        <f t="shared" si="65"/>
        <v>3950</v>
      </c>
      <c r="J1076" s="535">
        <v>2500</v>
      </c>
      <c r="K1076" s="532">
        <f t="shared" si="66"/>
        <v>1450</v>
      </c>
      <c r="L1076" s="533">
        <f t="shared" si="64"/>
        <v>1450</v>
      </c>
      <c r="M1076" s="531">
        <f t="shared" si="67"/>
        <v>0.36708860759493672</v>
      </c>
      <c r="N1076" s="2" t="s">
        <v>22</v>
      </c>
      <c r="O1076" s="2" t="s">
        <v>105</v>
      </c>
    </row>
    <row r="1077" spans="1:15">
      <c r="A1077" s="71">
        <v>2024</v>
      </c>
      <c r="B1077" s="16" t="s">
        <v>178</v>
      </c>
      <c r="C1077" s="63" t="s">
        <v>1579</v>
      </c>
      <c r="D1077" s="56" t="s">
        <v>335</v>
      </c>
      <c r="E1077" s="56" t="s">
        <v>336</v>
      </c>
      <c r="F1077" s="101">
        <v>14000</v>
      </c>
      <c r="G1077" s="59" t="s">
        <v>337</v>
      </c>
      <c r="H1077" s="60">
        <v>36.75</v>
      </c>
      <c r="I1077" s="511">
        <f t="shared" si="65"/>
        <v>514500</v>
      </c>
      <c r="J1077" s="535">
        <v>36</v>
      </c>
      <c r="K1077" s="532">
        <f t="shared" si="66"/>
        <v>0.75</v>
      </c>
      <c r="L1077" s="533">
        <f t="shared" si="64"/>
        <v>10500</v>
      </c>
      <c r="M1077" s="531">
        <f t="shared" si="67"/>
        <v>2.0408163265306121E-2</v>
      </c>
      <c r="N1077" s="2" t="s">
        <v>22</v>
      </c>
      <c r="O1077" s="2" t="s">
        <v>39</v>
      </c>
    </row>
    <row r="1078" spans="1:15">
      <c r="A1078" s="71">
        <v>2024</v>
      </c>
      <c r="B1078" s="16" t="s">
        <v>178</v>
      </c>
      <c r="C1078" s="63" t="s">
        <v>1580</v>
      </c>
      <c r="D1078" s="56" t="s">
        <v>329</v>
      </c>
      <c r="E1078" s="56" t="s">
        <v>1367</v>
      </c>
      <c r="F1078" s="101">
        <v>20</v>
      </c>
      <c r="G1078" s="59" t="s">
        <v>1368</v>
      </c>
      <c r="H1078" s="60">
        <v>2140</v>
      </c>
      <c r="I1078" s="511">
        <f t="shared" si="65"/>
        <v>42800</v>
      </c>
      <c r="J1078" s="535">
        <v>2090</v>
      </c>
      <c r="K1078" s="532">
        <f t="shared" si="66"/>
        <v>50</v>
      </c>
      <c r="L1078" s="533">
        <f t="shared" si="64"/>
        <v>1000</v>
      </c>
      <c r="M1078" s="531">
        <f t="shared" si="67"/>
        <v>2.336448598130841E-2</v>
      </c>
      <c r="N1078" s="2" t="s">
        <v>38</v>
      </c>
      <c r="O1078" s="2" t="s">
        <v>39</v>
      </c>
    </row>
    <row r="1079" spans="1:15">
      <c r="A1079" s="71">
        <v>2024</v>
      </c>
      <c r="B1079" s="16" t="s">
        <v>178</v>
      </c>
      <c r="C1079" s="63" t="s">
        <v>1581</v>
      </c>
      <c r="D1079" s="56" t="s">
        <v>68</v>
      </c>
      <c r="E1079" s="56" t="s">
        <v>755</v>
      </c>
      <c r="F1079" s="101">
        <v>815.9</v>
      </c>
      <c r="G1079" s="59" t="s">
        <v>37</v>
      </c>
      <c r="H1079" s="60">
        <v>350</v>
      </c>
      <c r="I1079" s="511">
        <f t="shared" si="65"/>
        <v>285565</v>
      </c>
      <c r="J1079" s="535">
        <v>345</v>
      </c>
      <c r="K1079" s="532">
        <f t="shared" si="66"/>
        <v>5</v>
      </c>
      <c r="L1079" s="533">
        <f t="shared" si="64"/>
        <v>4079.5</v>
      </c>
      <c r="M1079" s="531">
        <f t="shared" si="67"/>
        <v>1.4285714285714285E-2</v>
      </c>
      <c r="N1079" s="2" t="s">
        <v>22</v>
      </c>
      <c r="O1079" s="2" t="s">
        <v>105</v>
      </c>
    </row>
    <row r="1080" spans="1:15">
      <c r="A1080" s="71">
        <v>2024</v>
      </c>
      <c r="B1080" s="16" t="s">
        <v>178</v>
      </c>
      <c r="C1080" s="63" t="s">
        <v>1582</v>
      </c>
      <c r="D1080" s="56" t="s">
        <v>94</v>
      </c>
      <c r="E1080" s="56" t="s">
        <v>550</v>
      </c>
      <c r="F1080" s="101">
        <v>200</v>
      </c>
      <c r="G1080" s="59" t="s">
        <v>19</v>
      </c>
      <c r="H1080" s="60">
        <v>50</v>
      </c>
      <c r="I1080" s="511">
        <f t="shared" si="65"/>
        <v>10000</v>
      </c>
      <c r="J1080" s="535">
        <v>47.56</v>
      </c>
      <c r="K1080" s="532">
        <f t="shared" si="66"/>
        <v>2.4399999999999977</v>
      </c>
      <c r="L1080" s="533">
        <f t="shared" si="64"/>
        <v>487.99999999999955</v>
      </c>
      <c r="M1080" s="531">
        <f t="shared" si="67"/>
        <v>4.8799999999999955E-2</v>
      </c>
      <c r="N1080" s="2" t="s">
        <v>22</v>
      </c>
      <c r="O1080" s="2" t="s">
        <v>105</v>
      </c>
    </row>
    <row r="1081" spans="1:15">
      <c r="A1081" s="71">
        <v>2024</v>
      </c>
      <c r="B1081" s="16" t="s">
        <v>178</v>
      </c>
      <c r="C1081" s="63" t="s">
        <v>1582</v>
      </c>
      <c r="D1081" s="56" t="s">
        <v>94</v>
      </c>
      <c r="E1081" s="56" t="s">
        <v>546</v>
      </c>
      <c r="F1081" s="101">
        <v>100</v>
      </c>
      <c r="G1081" s="59" t="s">
        <v>19</v>
      </c>
      <c r="H1081" s="60">
        <v>185</v>
      </c>
      <c r="I1081" s="511">
        <f t="shared" si="65"/>
        <v>18500</v>
      </c>
      <c r="J1081" s="535">
        <v>182.25</v>
      </c>
      <c r="K1081" s="532">
        <f t="shared" si="66"/>
        <v>2.75</v>
      </c>
      <c r="L1081" s="533">
        <f t="shared" si="64"/>
        <v>275</v>
      </c>
      <c r="M1081" s="531">
        <f t="shared" si="67"/>
        <v>1.4864864864864866E-2</v>
      </c>
      <c r="N1081" s="2" t="s">
        <v>22</v>
      </c>
      <c r="O1081" s="2" t="s">
        <v>105</v>
      </c>
    </row>
    <row r="1082" spans="1:15">
      <c r="A1082" s="71">
        <v>2024</v>
      </c>
      <c r="B1082" s="16" t="s">
        <v>178</v>
      </c>
      <c r="C1082" s="63" t="s">
        <v>1583</v>
      </c>
      <c r="D1082" s="56" t="s">
        <v>1375</v>
      </c>
      <c r="E1082" s="56" t="s">
        <v>1584</v>
      </c>
      <c r="F1082" s="101">
        <v>500</v>
      </c>
      <c r="G1082" s="59" t="s">
        <v>37</v>
      </c>
      <c r="H1082" s="60">
        <v>138</v>
      </c>
      <c r="I1082" s="511">
        <f t="shared" si="65"/>
        <v>69000</v>
      </c>
      <c r="J1082" s="535">
        <v>137.5</v>
      </c>
      <c r="K1082" s="532">
        <f t="shared" si="66"/>
        <v>0.5</v>
      </c>
      <c r="L1082" s="533">
        <f t="shared" si="64"/>
        <v>250</v>
      </c>
      <c r="M1082" s="531">
        <f t="shared" si="67"/>
        <v>3.6231884057971015E-3</v>
      </c>
      <c r="N1082" s="2" t="s">
        <v>38</v>
      </c>
      <c r="O1082" s="2" t="s">
        <v>105</v>
      </c>
    </row>
    <row r="1083" spans="1:15">
      <c r="A1083" s="71">
        <v>2024</v>
      </c>
      <c r="B1083" s="16" t="s">
        <v>178</v>
      </c>
      <c r="C1083" s="63" t="s">
        <v>1583</v>
      </c>
      <c r="D1083" s="56" t="s">
        <v>1375</v>
      </c>
      <c r="E1083" s="56" t="s">
        <v>1585</v>
      </c>
      <c r="F1083" s="101">
        <v>500</v>
      </c>
      <c r="G1083" s="59" t="s">
        <v>37</v>
      </c>
      <c r="H1083" s="60">
        <v>159</v>
      </c>
      <c r="I1083" s="511">
        <f t="shared" si="65"/>
        <v>79500</v>
      </c>
      <c r="J1083" s="535">
        <v>158.5</v>
      </c>
      <c r="K1083" s="532">
        <f t="shared" si="66"/>
        <v>0.5</v>
      </c>
      <c r="L1083" s="533">
        <f t="shared" si="64"/>
        <v>250</v>
      </c>
      <c r="M1083" s="531">
        <f t="shared" si="67"/>
        <v>3.1446540880503146E-3</v>
      </c>
      <c r="N1083" s="2" t="s">
        <v>38</v>
      </c>
      <c r="O1083" s="2" t="s">
        <v>105</v>
      </c>
    </row>
    <row r="1084" spans="1:15">
      <c r="A1084" s="71">
        <v>2024</v>
      </c>
      <c r="B1084" s="16" t="s">
        <v>178</v>
      </c>
      <c r="C1084" s="63" t="s">
        <v>1586</v>
      </c>
      <c r="D1084" s="56" t="s">
        <v>1566</v>
      </c>
      <c r="E1084" s="56" t="s">
        <v>1587</v>
      </c>
      <c r="F1084" s="101">
        <v>1</v>
      </c>
      <c r="G1084" s="59" t="s">
        <v>59</v>
      </c>
      <c r="H1084" s="60">
        <v>291675</v>
      </c>
      <c r="I1084" s="511">
        <f t="shared" si="65"/>
        <v>291675</v>
      </c>
      <c r="J1084" s="546">
        <v>262507.5</v>
      </c>
      <c r="K1084" s="532">
        <f t="shared" si="66"/>
        <v>29167.5</v>
      </c>
      <c r="L1084" s="533">
        <f t="shared" si="64"/>
        <v>29167.5</v>
      </c>
      <c r="M1084" s="531">
        <f t="shared" si="67"/>
        <v>0.1</v>
      </c>
      <c r="N1084" s="2" t="s">
        <v>38</v>
      </c>
      <c r="O1084" s="2" t="s">
        <v>21</v>
      </c>
    </row>
    <row r="1085" spans="1:15">
      <c r="A1085" s="71">
        <v>2024</v>
      </c>
      <c r="B1085" s="16" t="s">
        <v>178</v>
      </c>
      <c r="C1085" s="63" t="s">
        <v>1588</v>
      </c>
      <c r="D1085" s="56" t="s">
        <v>430</v>
      </c>
      <c r="E1085" s="56" t="s">
        <v>1454</v>
      </c>
      <c r="F1085" s="101">
        <v>1000</v>
      </c>
      <c r="G1085" s="59" t="s">
        <v>19</v>
      </c>
      <c r="H1085" s="60">
        <v>3.5</v>
      </c>
      <c r="I1085" s="511">
        <f t="shared" si="65"/>
        <v>3500</v>
      </c>
      <c r="J1085" s="546">
        <v>1.2</v>
      </c>
      <c r="K1085" s="532">
        <f t="shared" si="66"/>
        <v>2.2999999999999998</v>
      </c>
      <c r="L1085" s="533">
        <f t="shared" si="64"/>
        <v>2300</v>
      </c>
      <c r="M1085" s="531">
        <f t="shared" si="67"/>
        <v>0.65714285714285714</v>
      </c>
      <c r="N1085" s="2" t="s">
        <v>22</v>
      </c>
      <c r="O1085" s="2" t="s">
        <v>21</v>
      </c>
    </row>
    <row r="1086" spans="1:15">
      <c r="A1086" s="71">
        <v>2024</v>
      </c>
      <c r="B1086" s="16" t="s">
        <v>178</v>
      </c>
      <c r="C1086" s="63" t="s">
        <v>1589</v>
      </c>
      <c r="D1086" s="56" t="s">
        <v>828</v>
      </c>
      <c r="E1086" s="56" t="s">
        <v>1590</v>
      </c>
      <c r="F1086" s="101">
        <v>1</v>
      </c>
      <c r="G1086" s="59" t="s">
        <v>19</v>
      </c>
      <c r="H1086" s="60">
        <v>3490</v>
      </c>
      <c r="I1086" s="511">
        <f t="shared" si="65"/>
        <v>3490</v>
      </c>
      <c r="J1086" s="546">
        <v>3200</v>
      </c>
      <c r="K1086" s="532">
        <f t="shared" si="66"/>
        <v>290</v>
      </c>
      <c r="L1086" s="533">
        <f t="shared" si="64"/>
        <v>290</v>
      </c>
      <c r="M1086" s="531">
        <f t="shared" si="67"/>
        <v>8.3094555873925502E-2</v>
      </c>
      <c r="N1086" s="2" t="s">
        <v>22</v>
      </c>
      <c r="O1086" s="2" t="s">
        <v>21</v>
      </c>
    </row>
    <row r="1087" spans="1:15">
      <c r="A1087" s="71">
        <v>2024</v>
      </c>
      <c r="B1087" s="16" t="s">
        <v>178</v>
      </c>
      <c r="C1087" s="63" t="s">
        <v>1591</v>
      </c>
      <c r="D1087" s="83" t="s">
        <v>17</v>
      </c>
      <c r="E1087" s="56" t="s">
        <v>382</v>
      </c>
      <c r="F1087" s="101">
        <v>24</v>
      </c>
      <c r="G1087" s="59" t="s">
        <v>19</v>
      </c>
      <c r="H1087" s="60">
        <v>69</v>
      </c>
      <c r="I1087" s="511">
        <f t="shared" si="65"/>
        <v>1656</v>
      </c>
      <c r="J1087" s="546">
        <v>64</v>
      </c>
      <c r="K1087" s="532">
        <f t="shared" si="66"/>
        <v>5</v>
      </c>
      <c r="L1087" s="533">
        <f t="shared" ref="L1087:L1150" si="68">K1087*F1087</f>
        <v>120</v>
      </c>
      <c r="M1087" s="531">
        <f t="shared" si="67"/>
        <v>7.2463768115942032E-2</v>
      </c>
      <c r="N1087" s="2" t="s">
        <v>22</v>
      </c>
      <c r="O1087" s="2" t="s">
        <v>21</v>
      </c>
    </row>
    <row r="1088" spans="1:15">
      <c r="A1088" s="71">
        <v>2024</v>
      </c>
      <c r="B1088" s="16" t="s">
        <v>178</v>
      </c>
      <c r="C1088" s="61" t="s">
        <v>1591</v>
      </c>
      <c r="D1088" s="32" t="s">
        <v>17</v>
      </c>
      <c r="E1088" s="2" t="s">
        <v>268</v>
      </c>
      <c r="F1088" s="462">
        <v>24</v>
      </c>
      <c r="G1088" s="472" t="s">
        <v>19</v>
      </c>
      <c r="H1088" s="49">
        <v>44.5</v>
      </c>
      <c r="I1088" s="511">
        <f t="shared" si="65"/>
        <v>1068</v>
      </c>
      <c r="J1088" s="547">
        <v>38.5</v>
      </c>
      <c r="K1088" s="532">
        <f t="shared" si="66"/>
        <v>6</v>
      </c>
      <c r="L1088" s="545">
        <f t="shared" si="68"/>
        <v>144</v>
      </c>
      <c r="M1088" s="527">
        <f t="shared" si="67"/>
        <v>0.1348314606741573</v>
      </c>
      <c r="N1088" s="32" t="s">
        <v>22</v>
      </c>
      <c r="O1088" s="32" t="s">
        <v>21</v>
      </c>
    </row>
    <row r="1089" spans="1:15">
      <c r="A1089" s="71">
        <v>2024</v>
      </c>
      <c r="B1089" s="16" t="s">
        <v>178</v>
      </c>
      <c r="C1089" s="61" t="s">
        <v>1592</v>
      </c>
      <c r="D1089" s="32" t="s">
        <v>118</v>
      </c>
      <c r="E1089" s="33" t="s">
        <v>1593</v>
      </c>
      <c r="F1089" s="463">
        <v>1</v>
      </c>
      <c r="G1089" s="456" t="s">
        <v>238</v>
      </c>
      <c r="H1089" s="44">
        <v>1950</v>
      </c>
      <c r="I1089" s="511">
        <f t="shared" si="65"/>
        <v>1950</v>
      </c>
      <c r="J1089" s="548">
        <v>1900</v>
      </c>
      <c r="K1089" s="529">
        <f t="shared" si="66"/>
        <v>50</v>
      </c>
      <c r="L1089" s="530">
        <f t="shared" si="68"/>
        <v>50</v>
      </c>
      <c r="M1089" s="536">
        <f t="shared" si="67"/>
        <v>2.564102564102564E-2</v>
      </c>
      <c r="N1089" s="32" t="s">
        <v>22</v>
      </c>
      <c r="O1089" s="32" t="s">
        <v>21</v>
      </c>
    </row>
    <row r="1090" spans="1:15">
      <c r="A1090" s="71">
        <v>2024</v>
      </c>
      <c r="B1090" s="16" t="s">
        <v>178</v>
      </c>
      <c r="C1090" s="61" t="s">
        <v>1594</v>
      </c>
      <c r="D1090" s="32" t="s">
        <v>118</v>
      </c>
      <c r="E1090" s="33" t="s">
        <v>1595</v>
      </c>
      <c r="F1090" s="463">
        <v>5</v>
      </c>
      <c r="G1090" s="456" t="s">
        <v>19</v>
      </c>
      <c r="H1090" s="44">
        <v>3750</v>
      </c>
      <c r="I1090" s="511">
        <f t="shared" si="65"/>
        <v>18750</v>
      </c>
      <c r="J1090" s="548">
        <v>3650</v>
      </c>
      <c r="K1090" s="529">
        <f t="shared" si="66"/>
        <v>100</v>
      </c>
      <c r="L1090" s="530">
        <f t="shared" si="68"/>
        <v>500</v>
      </c>
      <c r="M1090" s="536">
        <f t="shared" si="67"/>
        <v>2.6666666666666668E-2</v>
      </c>
      <c r="N1090" s="32" t="s">
        <v>22</v>
      </c>
      <c r="O1090" s="32" t="s">
        <v>21</v>
      </c>
    </row>
    <row r="1091" spans="1:15">
      <c r="A1091" s="71">
        <v>2024</v>
      </c>
      <c r="B1091" s="16" t="s">
        <v>178</v>
      </c>
      <c r="C1091" s="61" t="s">
        <v>1596</v>
      </c>
      <c r="D1091" s="32" t="s">
        <v>1042</v>
      </c>
      <c r="E1091" s="33" t="s">
        <v>1597</v>
      </c>
      <c r="F1091" s="463">
        <v>2340</v>
      </c>
      <c r="G1091" s="456" t="s">
        <v>37</v>
      </c>
      <c r="H1091" s="44">
        <v>365</v>
      </c>
      <c r="I1091" s="511">
        <f t="shared" ref="I1091:I1095" si="69">H1091*F1091</f>
        <v>854100</v>
      </c>
      <c r="J1091" s="548">
        <v>363</v>
      </c>
      <c r="K1091" s="529">
        <f t="shared" ref="K1091:K1154" si="70">H1091-J1091</f>
        <v>2</v>
      </c>
      <c r="L1091" s="530">
        <f t="shared" si="68"/>
        <v>4680</v>
      </c>
      <c r="M1091" s="536">
        <f t="shared" ref="M1091:M1154" si="71">K1091/H1091</f>
        <v>5.4794520547945206E-3</v>
      </c>
      <c r="N1091" s="32" t="s">
        <v>38</v>
      </c>
      <c r="O1091" s="32" t="s">
        <v>105</v>
      </c>
    </row>
    <row r="1092" spans="1:15">
      <c r="A1092" s="71">
        <v>2024</v>
      </c>
      <c r="B1092" s="16" t="s">
        <v>178</v>
      </c>
      <c r="C1092" s="61" t="s">
        <v>1598</v>
      </c>
      <c r="D1092" s="32" t="s">
        <v>633</v>
      </c>
      <c r="E1092" s="33" t="s">
        <v>564</v>
      </c>
      <c r="F1092" s="463">
        <v>20</v>
      </c>
      <c r="G1092" s="456" t="s">
        <v>19</v>
      </c>
      <c r="H1092" s="44">
        <v>980</v>
      </c>
      <c r="I1092" s="511">
        <f t="shared" si="69"/>
        <v>19600</v>
      </c>
      <c r="J1092" s="548">
        <v>900</v>
      </c>
      <c r="K1092" s="529">
        <f t="shared" si="70"/>
        <v>80</v>
      </c>
      <c r="L1092" s="530">
        <f t="shared" si="68"/>
        <v>1600</v>
      </c>
      <c r="M1092" s="536">
        <f t="shared" si="71"/>
        <v>8.1632653061224483E-2</v>
      </c>
      <c r="N1092" s="32" t="s">
        <v>22</v>
      </c>
      <c r="O1092" s="32" t="s">
        <v>105</v>
      </c>
    </row>
    <row r="1093" spans="1:15">
      <c r="A1093" s="71">
        <v>2024</v>
      </c>
      <c r="B1093" s="16" t="s">
        <v>178</v>
      </c>
      <c r="C1093" s="61" t="s">
        <v>1599</v>
      </c>
      <c r="D1093" s="32" t="s">
        <v>192</v>
      </c>
      <c r="E1093" s="33" t="s">
        <v>1600</v>
      </c>
      <c r="F1093" s="463">
        <v>50000</v>
      </c>
      <c r="G1093" s="456" t="s">
        <v>37</v>
      </c>
      <c r="H1093" s="44">
        <v>69</v>
      </c>
      <c r="I1093" s="511">
        <f t="shared" si="69"/>
        <v>3450000</v>
      </c>
      <c r="J1093" s="548">
        <v>68.25</v>
      </c>
      <c r="K1093" s="529">
        <f t="shared" si="70"/>
        <v>0.75</v>
      </c>
      <c r="L1093" s="530">
        <f t="shared" si="68"/>
        <v>37500</v>
      </c>
      <c r="M1093" s="536">
        <f t="shared" si="71"/>
        <v>1.0869565217391304E-2</v>
      </c>
      <c r="N1093" s="32" t="s">
        <v>22</v>
      </c>
      <c r="O1093" s="32" t="s">
        <v>39</v>
      </c>
    </row>
    <row r="1094" spans="1:15">
      <c r="A1094" s="71">
        <v>2024</v>
      </c>
      <c r="B1094" s="16" t="s">
        <v>178</v>
      </c>
      <c r="C1094" s="61" t="s">
        <v>1599</v>
      </c>
      <c r="D1094" s="32" t="s">
        <v>192</v>
      </c>
      <c r="E1094" s="33" t="s">
        <v>813</v>
      </c>
      <c r="F1094" s="463">
        <v>75000</v>
      </c>
      <c r="G1094" s="456" t="s">
        <v>37</v>
      </c>
      <c r="H1094" s="497">
        <v>63</v>
      </c>
      <c r="I1094" s="511">
        <f t="shared" si="69"/>
        <v>4725000</v>
      </c>
      <c r="J1094" s="548">
        <v>62.5</v>
      </c>
      <c r="K1094" s="529">
        <f t="shared" si="70"/>
        <v>0.5</v>
      </c>
      <c r="L1094" s="530">
        <f t="shared" si="68"/>
        <v>37500</v>
      </c>
      <c r="M1094" s="536">
        <f t="shared" si="71"/>
        <v>7.9365079365079361E-3</v>
      </c>
      <c r="N1094" s="32" t="s">
        <v>22</v>
      </c>
      <c r="O1094" s="32" t="s">
        <v>39</v>
      </c>
    </row>
    <row r="1095" spans="1:15">
      <c r="A1095" s="71">
        <v>2024</v>
      </c>
      <c r="B1095" s="16" t="s">
        <v>178</v>
      </c>
      <c r="C1095" s="61"/>
      <c r="D1095" s="32" t="s">
        <v>617</v>
      </c>
      <c r="E1095" s="33" t="s">
        <v>1601</v>
      </c>
      <c r="F1095" s="463">
        <v>18000</v>
      </c>
      <c r="G1095" s="456" t="s">
        <v>37</v>
      </c>
      <c r="H1095" s="497">
        <v>31.8</v>
      </c>
      <c r="I1095" s="511">
        <f t="shared" si="69"/>
        <v>572400</v>
      </c>
      <c r="J1095" s="548">
        <v>31.5</v>
      </c>
      <c r="K1095" s="529">
        <f t="shared" si="70"/>
        <v>0.30000000000000071</v>
      </c>
      <c r="L1095" s="530">
        <f t="shared" si="68"/>
        <v>5400.0000000000127</v>
      </c>
      <c r="M1095" s="536">
        <f t="shared" si="71"/>
        <v>9.4339622641509656E-3</v>
      </c>
      <c r="N1095" s="32" t="s">
        <v>22</v>
      </c>
      <c r="O1095" s="32" t="s">
        <v>39</v>
      </c>
    </row>
    <row r="1096" spans="1:15">
      <c r="A1096" s="71">
        <v>2024</v>
      </c>
      <c r="B1096" s="16" t="s">
        <v>178</v>
      </c>
      <c r="C1096" s="61"/>
      <c r="D1096" s="32" t="s">
        <v>1227</v>
      </c>
      <c r="E1096" s="33" t="s">
        <v>1602</v>
      </c>
      <c r="F1096" s="463">
        <v>1</v>
      </c>
      <c r="G1096" s="456" t="s">
        <v>1603</v>
      </c>
      <c r="H1096" s="502">
        <v>1665380</v>
      </c>
      <c r="I1096" s="511">
        <v>1665380</v>
      </c>
      <c r="J1096" s="548">
        <v>1631970</v>
      </c>
      <c r="K1096" s="529">
        <f t="shared" si="70"/>
        <v>33410</v>
      </c>
      <c r="L1096" s="530">
        <f t="shared" si="68"/>
        <v>33410</v>
      </c>
      <c r="M1096" s="536">
        <f t="shared" si="71"/>
        <v>2.0061487468325548E-2</v>
      </c>
      <c r="N1096" s="32" t="s">
        <v>22</v>
      </c>
      <c r="O1096" s="32" t="s">
        <v>39</v>
      </c>
    </row>
    <row r="1097" spans="1:15">
      <c r="A1097" s="71">
        <v>2024</v>
      </c>
      <c r="B1097" s="16" t="s">
        <v>327</v>
      </c>
      <c r="C1097" s="62" t="s">
        <v>1604</v>
      </c>
      <c r="D1097" s="47" t="s">
        <v>617</v>
      </c>
      <c r="E1097" s="47" t="s">
        <v>1601</v>
      </c>
      <c r="F1097" s="99">
        <v>24000</v>
      </c>
      <c r="G1097" s="42" t="s">
        <v>1605</v>
      </c>
      <c r="H1097" s="44">
        <v>31.8</v>
      </c>
      <c r="I1097" s="49">
        <f t="shared" ref="I1097:I1128" si="72">H1097*F1097</f>
        <v>763200</v>
      </c>
      <c r="J1097" s="529">
        <v>31.5</v>
      </c>
      <c r="K1097" s="529">
        <f t="shared" si="70"/>
        <v>0.30000000000000071</v>
      </c>
      <c r="L1097" s="530">
        <f t="shared" si="68"/>
        <v>7200.0000000000173</v>
      </c>
      <c r="M1097" s="536">
        <f t="shared" si="71"/>
        <v>9.4339622641509656E-3</v>
      </c>
      <c r="N1097" s="64" t="s">
        <v>22</v>
      </c>
      <c r="O1097" s="32" t="s">
        <v>39</v>
      </c>
    </row>
    <row r="1098" spans="1:15">
      <c r="A1098" s="71">
        <v>2024</v>
      </c>
      <c r="B1098" s="16" t="s">
        <v>327</v>
      </c>
      <c r="C1098" s="62" t="s">
        <v>1606</v>
      </c>
      <c r="D1098" s="47" t="s">
        <v>200</v>
      </c>
      <c r="E1098" s="47" t="s">
        <v>1607</v>
      </c>
      <c r="F1098" s="99">
        <v>1</v>
      </c>
      <c r="G1098" s="42" t="s">
        <v>1608</v>
      </c>
      <c r="H1098" s="44">
        <v>53000</v>
      </c>
      <c r="I1098" s="49">
        <f t="shared" si="72"/>
        <v>53000</v>
      </c>
      <c r="J1098" s="529">
        <v>51000</v>
      </c>
      <c r="K1098" s="529">
        <f t="shared" si="70"/>
        <v>2000</v>
      </c>
      <c r="L1098" s="530">
        <f t="shared" si="68"/>
        <v>2000</v>
      </c>
      <c r="M1098" s="536">
        <f t="shared" si="71"/>
        <v>3.7735849056603772E-2</v>
      </c>
      <c r="N1098" s="50" t="s">
        <v>38</v>
      </c>
      <c r="O1098" s="32" t="s">
        <v>39</v>
      </c>
    </row>
    <row r="1099" spans="1:15">
      <c r="A1099" s="71">
        <v>2024</v>
      </c>
      <c r="B1099" s="16" t="s">
        <v>327</v>
      </c>
      <c r="C1099" s="62" t="s">
        <v>1606</v>
      </c>
      <c r="D1099" s="47" t="s">
        <v>200</v>
      </c>
      <c r="E1099" s="47" t="s">
        <v>1609</v>
      </c>
      <c r="F1099" s="99">
        <v>24</v>
      </c>
      <c r="G1099" s="42" t="s">
        <v>1608</v>
      </c>
      <c r="H1099" s="44">
        <v>18000</v>
      </c>
      <c r="I1099" s="49">
        <f t="shared" si="72"/>
        <v>432000</v>
      </c>
      <c r="J1099" s="529">
        <v>17000</v>
      </c>
      <c r="K1099" s="529">
        <f t="shared" si="70"/>
        <v>1000</v>
      </c>
      <c r="L1099" s="530">
        <f t="shared" si="68"/>
        <v>24000</v>
      </c>
      <c r="M1099" s="536">
        <f t="shared" si="71"/>
        <v>5.5555555555555552E-2</v>
      </c>
      <c r="N1099" s="50" t="s">
        <v>38</v>
      </c>
      <c r="O1099" s="32" t="s">
        <v>39</v>
      </c>
    </row>
    <row r="1100" spans="1:15">
      <c r="A1100" s="71">
        <v>2024</v>
      </c>
      <c r="B1100" s="16" t="s">
        <v>327</v>
      </c>
      <c r="C1100" s="62" t="s">
        <v>1610</v>
      </c>
      <c r="D1100" s="47" t="s">
        <v>1611</v>
      </c>
      <c r="E1100" s="47" t="s">
        <v>1612</v>
      </c>
      <c r="F1100" s="99">
        <v>1</v>
      </c>
      <c r="G1100" s="42" t="s">
        <v>569</v>
      </c>
      <c r="H1100" s="44">
        <v>98230</v>
      </c>
      <c r="I1100" s="49">
        <f t="shared" si="72"/>
        <v>98230</v>
      </c>
      <c r="J1100" s="529">
        <v>94842</v>
      </c>
      <c r="K1100" s="529">
        <f t="shared" si="70"/>
        <v>3388</v>
      </c>
      <c r="L1100" s="530">
        <f t="shared" si="68"/>
        <v>3388</v>
      </c>
      <c r="M1100" s="536">
        <f t="shared" si="71"/>
        <v>3.4490481522956327E-2</v>
      </c>
      <c r="N1100" s="50" t="s">
        <v>22</v>
      </c>
      <c r="O1100" s="32" t="s">
        <v>39</v>
      </c>
    </row>
    <row r="1101" spans="1:15">
      <c r="A1101" s="71">
        <v>2024</v>
      </c>
      <c r="B1101" s="16" t="s">
        <v>327</v>
      </c>
      <c r="C1101" s="62" t="s">
        <v>1613</v>
      </c>
      <c r="D1101" s="47" t="s">
        <v>776</v>
      </c>
      <c r="E1101" s="47" t="s">
        <v>503</v>
      </c>
      <c r="F1101" s="99">
        <v>140000</v>
      </c>
      <c r="G1101" s="42" t="s">
        <v>1605</v>
      </c>
      <c r="H1101" s="44">
        <v>85.6</v>
      </c>
      <c r="I1101" s="49">
        <f t="shared" si="72"/>
        <v>11984000</v>
      </c>
      <c r="J1101" s="529">
        <v>83.44</v>
      </c>
      <c r="K1101" s="529">
        <f t="shared" si="70"/>
        <v>2.1599999999999966</v>
      </c>
      <c r="L1101" s="530">
        <f t="shared" si="68"/>
        <v>302399.99999999953</v>
      </c>
      <c r="M1101" s="536">
        <f t="shared" si="71"/>
        <v>2.5233644859813047E-2</v>
      </c>
      <c r="N1101" s="50" t="s">
        <v>22</v>
      </c>
      <c r="O1101" s="32" t="s">
        <v>39</v>
      </c>
    </row>
    <row r="1102" spans="1:15">
      <c r="A1102" s="71">
        <v>2024</v>
      </c>
      <c r="B1102" s="16" t="s">
        <v>327</v>
      </c>
      <c r="C1102" s="62" t="s">
        <v>1614</v>
      </c>
      <c r="D1102" s="47" t="s">
        <v>1119</v>
      </c>
      <c r="E1102" s="47" t="s">
        <v>1615</v>
      </c>
      <c r="F1102" s="99">
        <v>172</v>
      </c>
      <c r="G1102" s="42" t="s">
        <v>1616</v>
      </c>
      <c r="H1102" s="44">
        <v>84</v>
      </c>
      <c r="I1102" s="49">
        <f t="shared" si="72"/>
        <v>14448</v>
      </c>
      <c r="J1102" s="529">
        <v>80</v>
      </c>
      <c r="K1102" s="529">
        <f t="shared" si="70"/>
        <v>4</v>
      </c>
      <c r="L1102" s="530">
        <f t="shared" si="68"/>
        <v>688</v>
      </c>
      <c r="M1102" s="536">
        <f t="shared" si="71"/>
        <v>4.7619047619047616E-2</v>
      </c>
      <c r="N1102" s="50" t="s">
        <v>22</v>
      </c>
      <c r="O1102" s="32" t="s">
        <v>39</v>
      </c>
    </row>
    <row r="1103" spans="1:15">
      <c r="A1103" s="71">
        <v>2024</v>
      </c>
      <c r="B1103" s="16" t="s">
        <v>327</v>
      </c>
      <c r="C1103" s="62" t="s">
        <v>1614</v>
      </c>
      <c r="D1103" s="47" t="s">
        <v>1119</v>
      </c>
      <c r="E1103" s="47" t="s">
        <v>1617</v>
      </c>
      <c r="F1103" s="99">
        <v>172</v>
      </c>
      <c r="G1103" s="42" t="s">
        <v>1616</v>
      </c>
      <c r="H1103" s="44">
        <v>83</v>
      </c>
      <c r="I1103" s="49">
        <f t="shared" si="72"/>
        <v>14276</v>
      </c>
      <c r="J1103" s="529">
        <v>80</v>
      </c>
      <c r="K1103" s="529">
        <f t="shared" si="70"/>
        <v>3</v>
      </c>
      <c r="L1103" s="530">
        <f t="shared" si="68"/>
        <v>516</v>
      </c>
      <c r="M1103" s="536">
        <f t="shared" si="71"/>
        <v>3.614457831325301E-2</v>
      </c>
      <c r="N1103" s="50" t="s">
        <v>22</v>
      </c>
      <c r="O1103" s="32" t="s">
        <v>39</v>
      </c>
    </row>
    <row r="1104" spans="1:15">
      <c r="A1104" s="71">
        <v>2024</v>
      </c>
      <c r="B1104" s="16" t="s">
        <v>327</v>
      </c>
      <c r="C1104" s="62" t="s">
        <v>1618</v>
      </c>
      <c r="D1104" s="47" t="s">
        <v>1619</v>
      </c>
      <c r="E1104" s="47" t="s">
        <v>1620</v>
      </c>
      <c r="F1104" s="99">
        <v>1</v>
      </c>
      <c r="G1104" s="42" t="s">
        <v>238</v>
      </c>
      <c r="H1104" s="44">
        <v>250000</v>
      </c>
      <c r="I1104" s="49">
        <f t="shared" si="72"/>
        <v>250000</v>
      </c>
      <c r="J1104" s="529">
        <v>245000</v>
      </c>
      <c r="K1104" s="529">
        <f t="shared" si="70"/>
        <v>5000</v>
      </c>
      <c r="L1104" s="530">
        <f t="shared" si="68"/>
        <v>5000</v>
      </c>
      <c r="M1104" s="536">
        <f t="shared" si="71"/>
        <v>0.02</v>
      </c>
      <c r="N1104" s="13" t="s">
        <v>38</v>
      </c>
      <c r="O1104" s="32" t="s">
        <v>21</v>
      </c>
    </row>
    <row r="1105" spans="1:15">
      <c r="A1105" s="71">
        <v>2024</v>
      </c>
      <c r="B1105" s="16" t="s">
        <v>327</v>
      </c>
      <c r="C1105" s="62" t="s">
        <v>1621</v>
      </c>
      <c r="D1105" s="47" t="s">
        <v>1622</v>
      </c>
      <c r="E1105" s="47" t="s">
        <v>1623</v>
      </c>
      <c r="F1105" s="99">
        <v>1</v>
      </c>
      <c r="G1105" s="42" t="s">
        <v>59</v>
      </c>
      <c r="H1105" s="44">
        <v>69055</v>
      </c>
      <c r="I1105" s="49">
        <f t="shared" si="72"/>
        <v>69055</v>
      </c>
      <c r="J1105" s="529">
        <v>68000</v>
      </c>
      <c r="K1105" s="529">
        <f t="shared" si="70"/>
        <v>1055</v>
      </c>
      <c r="L1105" s="530">
        <f t="shared" si="68"/>
        <v>1055</v>
      </c>
      <c r="M1105" s="536">
        <f t="shared" si="71"/>
        <v>1.5277677213815075E-2</v>
      </c>
      <c r="N1105" s="13" t="s">
        <v>22</v>
      </c>
      <c r="O1105" s="32" t="s">
        <v>21</v>
      </c>
    </row>
    <row r="1106" spans="1:15">
      <c r="A1106" s="71">
        <v>2024</v>
      </c>
      <c r="B1106" s="16" t="s">
        <v>327</v>
      </c>
      <c r="C1106" s="62" t="s">
        <v>1624</v>
      </c>
      <c r="D1106" s="47" t="s">
        <v>1625</v>
      </c>
      <c r="E1106" s="47" t="s">
        <v>1626</v>
      </c>
      <c r="F1106" s="99">
        <v>3</v>
      </c>
      <c r="G1106" s="42" t="s">
        <v>59</v>
      </c>
      <c r="H1106" s="44">
        <v>15000</v>
      </c>
      <c r="I1106" s="49">
        <f t="shared" si="72"/>
        <v>45000</v>
      </c>
      <c r="J1106" s="529">
        <v>13500</v>
      </c>
      <c r="K1106" s="529">
        <f t="shared" si="70"/>
        <v>1500</v>
      </c>
      <c r="L1106" s="530">
        <f t="shared" si="68"/>
        <v>4500</v>
      </c>
      <c r="M1106" s="536">
        <f t="shared" si="71"/>
        <v>0.1</v>
      </c>
      <c r="N1106" s="13" t="s">
        <v>22</v>
      </c>
      <c r="O1106" s="32" t="s">
        <v>21</v>
      </c>
    </row>
    <row r="1107" spans="1:15">
      <c r="A1107" s="71">
        <v>2024</v>
      </c>
      <c r="B1107" s="16" t="s">
        <v>327</v>
      </c>
      <c r="C1107" s="62" t="s">
        <v>1624</v>
      </c>
      <c r="D1107" s="47" t="s">
        <v>1625</v>
      </c>
      <c r="E1107" s="47" t="s">
        <v>1627</v>
      </c>
      <c r="F1107" s="99">
        <v>1</v>
      </c>
      <c r="G1107" s="42" t="s">
        <v>59</v>
      </c>
      <c r="H1107" s="44">
        <v>30000</v>
      </c>
      <c r="I1107" s="49">
        <f t="shared" si="72"/>
        <v>30000</v>
      </c>
      <c r="J1107" s="529">
        <v>24500</v>
      </c>
      <c r="K1107" s="529">
        <f t="shared" si="70"/>
        <v>5500</v>
      </c>
      <c r="L1107" s="530">
        <f t="shared" si="68"/>
        <v>5500</v>
      </c>
      <c r="M1107" s="536">
        <f t="shared" si="71"/>
        <v>0.18333333333333332</v>
      </c>
      <c r="N1107" s="13" t="s">
        <v>22</v>
      </c>
      <c r="O1107" s="32" t="s">
        <v>21</v>
      </c>
    </row>
    <row r="1108" spans="1:15">
      <c r="A1108" s="71">
        <v>2024</v>
      </c>
      <c r="B1108" s="16" t="s">
        <v>327</v>
      </c>
      <c r="C1108" s="62" t="s">
        <v>1628</v>
      </c>
      <c r="D1108" s="47" t="s">
        <v>345</v>
      </c>
      <c r="E1108" s="47" t="s">
        <v>1629</v>
      </c>
      <c r="F1108" s="99">
        <v>1</v>
      </c>
      <c r="G1108" s="42" t="s">
        <v>59</v>
      </c>
      <c r="H1108" s="44">
        <v>198000</v>
      </c>
      <c r="I1108" s="49">
        <f t="shared" si="72"/>
        <v>198000</v>
      </c>
      <c r="J1108" s="529">
        <v>191000</v>
      </c>
      <c r="K1108" s="529">
        <f t="shared" si="70"/>
        <v>7000</v>
      </c>
      <c r="L1108" s="530">
        <f t="shared" si="68"/>
        <v>7000</v>
      </c>
      <c r="M1108" s="536">
        <f t="shared" si="71"/>
        <v>3.5353535353535352E-2</v>
      </c>
      <c r="N1108" s="13" t="s">
        <v>38</v>
      </c>
      <c r="O1108" s="32" t="s">
        <v>21</v>
      </c>
    </row>
    <row r="1109" spans="1:15">
      <c r="A1109" s="71">
        <v>2024</v>
      </c>
      <c r="B1109" s="16" t="s">
        <v>327</v>
      </c>
      <c r="C1109" s="62" t="s">
        <v>1630</v>
      </c>
      <c r="D1109" s="2" t="s">
        <v>1631</v>
      </c>
      <c r="E1109" s="2" t="s">
        <v>1632</v>
      </c>
      <c r="F1109" s="469">
        <v>1</v>
      </c>
      <c r="G1109" s="42" t="s">
        <v>59</v>
      </c>
      <c r="H1109" s="44">
        <v>5400</v>
      </c>
      <c r="I1109" s="49">
        <f t="shared" si="72"/>
        <v>5400</v>
      </c>
      <c r="J1109" s="529">
        <v>5000</v>
      </c>
      <c r="K1109" s="529">
        <f t="shared" si="70"/>
        <v>400</v>
      </c>
      <c r="L1109" s="530">
        <f t="shared" si="68"/>
        <v>400</v>
      </c>
      <c r="M1109" s="536">
        <f t="shared" si="71"/>
        <v>7.407407407407407E-2</v>
      </c>
      <c r="N1109" s="13" t="s">
        <v>22</v>
      </c>
      <c r="O1109" s="47" t="s">
        <v>21</v>
      </c>
    </row>
    <row r="1110" spans="1:15">
      <c r="A1110" s="71">
        <v>2024</v>
      </c>
      <c r="B1110" s="16" t="s">
        <v>327</v>
      </c>
      <c r="C1110" s="47" t="s">
        <v>1633</v>
      </c>
      <c r="D1110" s="2" t="s">
        <v>430</v>
      </c>
      <c r="E1110" s="2" t="s">
        <v>55</v>
      </c>
      <c r="F1110" s="99">
        <v>2000</v>
      </c>
      <c r="G1110" s="42" t="s">
        <v>19</v>
      </c>
      <c r="H1110" s="44">
        <v>4.5</v>
      </c>
      <c r="I1110" s="49">
        <f t="shared" si="72"/>
        <v>9000</v>
      </c>
      <c r="J1110" s="529">
        <v>1.75</v>
      </c>
      <c r="K1110" s="529">
        <f t="shared" si="70"/>
        <v>2.75</v>
      </c>
      <c r="L1110" s="530">
        <f t="shared" si="68"/>
        <v>5500</v>
      </c>
      <c r="M1110" s="536">
        <f t="shared" si="71"/>
        <v>0.61111111111111116</v>
      </c>
      <c r="N1110" s="13" t="s">
        <v>22</v>
      </c>
      <c r="O1110" s="47" t="s">
        <v>21</v>
      </c>
    </row>
    <row r="1111" spans="1:15">
      <c r="A1111" s="71">
        <v>2024</v>
      </c>
      <c r="B1111" s="16" t="s">
        <v>327</v>
      </c>
      <c r="C1111" s="47" t="s">
        <v>1633</v>
      </c>
      <c r="D1111" s="47" t="s">
        <v>430</v>
      </c>
      <c r="E1111" s="47" t="s">
        <v>1634</v>
      </c>
      <c r="F1111" s="99">
        <v>1000</v>
      </c>
      <c r="G1111" s="42" t="s">
        <v>19</v>
      </c>
      <c r="H1111" s="44">
        <v>4</v>
      </c>
      <c r="I1111" s="49">
        <f t="shared" si="72"/>
        <v>4000</v>
      </c>
      <c r="J1111" s="529">
        <v>3</v>
      </c>
      <c r="K1111" s="529">
        <f t="shared" si="70"/>
        <v>1</v>
      </c>
      <c r="L1111" s="530">
        <f t="shared" si="68"/>
        <v>1000</v>
      </c>
      <c r="M1111" s="536">
        <f t="shared" si="71"/>
        <v>0.25</v>
      </c>
      <c r="N1111" s="13" t="s">
        <v>22</v>
      </c>
      <c r="O1111" s="47" t="s">
        <v>21</v>
      </c>
    </row>
    <row r="1112" spans="1:15">
      <c r="A1112" s="71">
        <v>2024</v>
      </c>
      <c r="B1112" s="16" t="s">
        <v>327</v>
      </c>
      <c r="C1112" s="47" t="s">
        <v>1635</v>
      </c>
      <c r="D1112" s="47" t="s">
        <v>430</v>
      </c>
      <c r="E1112" s="47" t="s">
        <v>1454</v>
      </c>
      <c r="F1112" s="99">
        <v>2000</v>
      </c>
      <c r="G1112" s="42" t="s">
        <v>19</v>
      </c>
      <c r="H1112" s="44">
        <v>2.5</v>
      </c>
      <c r="I1112" s="49">
        <f t="shared" si="72"/>
        <v>5000</v>
      </c>
      <c r="J1112" s="529">
        <v>1.2</v>
      </c>
      <c r="K1112" s="529">
        <f t="shared" si="70"/>
        <v>1.3</v>
      </c>
      <c r="L1112" s="530">
        <f t="shared" si="68"/>
        <v>2600</v>
      </c>
      <c r="M1112" s="536">
        <f t="shared" si="71"/>
        <v>0.52</v>
      </c>
      <c r="N1112" s="13" t="s">
        <v>22</v>
      </c>
      <c r="O1112" s="47" t="s">
        <v>21</v>
      </c>
    </row>
    <row r="1113" spans="1:15">
      <c r="A1113" s="71">
        <v>2024</v>
      </c>
      <c r="B1113" s="16" t="s">
        <v>327</v>
      </c>
      <c r="C1113" s="62" t="s">
        <v>1636</v>
      </c>
      <c r="D1113" s="47" t="s">
        <v>398</v>
      </c>
      <c r="E1113" s="47" t="s">
        <v>1637</v>
      </c>
      <c r="F1113" s="99">
        <v>1</v>
      </c>
      <c r="G1113" s="42" t="s">
        <v>59</v>
      </c>
      <c r="H1113" s="44">
        <v>347305</v>
      </c>
      <c r="I1113" s="49">
        <f t="shared" si="72"/>
        <v>347305</v>
      </c>
      <c r="J1113" s="529">
        <v>310000</v>
      </c>
      <c r="K1113" s="529">
        <f t="shared" si="70"/>
        <v>37305</v>
      </c>
      <c r="L1113" s="530">
        <f t="shared" si="68"/>
        <v>37305</v>
      </c>
      <c r="M1113" s="536">
        <f t="shared" si="71"/>
        <v>0.10741279279019882</v>
      </c>
      <c r="N1113" s="13" t="s">
        <v>22</v>
      </c>
      <c r="O1113" s="47" t="s">
        <v>21</v>
      </c>
    </row>
    <row r="1114" spans="1:15">
      <c r="A1114" s="71">
        <v>2024</v>
      </c>
      <c r="B1114" s="16" t="s">
        <v>327</v>
      </c>
      <c r="C1114" s="62" t="s">
        <v>1638</v>
      </c>
      <c r="D1114" s="47" t="s">
        <v>1631</v>
      </c>
      <c r="E1114" s="47" t="s">
        <v>1639</v>
      </c>
      <c r="F1114" s="99">
        <v>4</v>
      </c>
      <c r="G1114" s="42" t="s">
        <v>19</v>
      </c>
      <c r="H1114" s="44">
        <v>87500</v>
      </c>
      <c r="I1114" s="49">
        <f t="shared" si="72"/>
        <v>350000</v>
      </c>
      <c r="J1114" s="529">
        <v>78500</v>
      </c>
      <c r="K1114" s="529">
        <f t="shared" si="70"/>
        <v>9000</v>
      </c>
      <c r="L1114" s="530">
        <f t="shared" si="68"/>
        <v>36000</v>
      </c>
      <c r="M1114" s="536">
        <f t="shared" si="71"/>
        <v>0.10285714285714286</v>
      </c>
      <c r="N1114" s="13" t="s">
        <v>22</v>
      </c>
      <c r="O1114" s="47" t="s">
        <v>21</v>
      </c>
    </row>
    <row r="1115" spans="1:15">
      <c r="A1115" s="71">
        <v>2024</v>
      </c>
      <c r="B1115" s="16" t="s">
        <v>327</v>
      </c>
      <c r="C1115" s="62" t="s">
        <v>1640</v>
      </c>
      <c r="D1115" s="47" t="s">
        <v>586</v>
      </c>
      <c r="E1115" s="47" t="s">
        <v>853</v>
      </c>
      <c r="F1115" s="99">
        <v>900</v>
      </c>
      <c r="G1115" s="42" t="s">
        <v>499</v>
      </c>
      <c r="H1115" s="44">
        <v>72</v>
      </c>
      <c r="I1115" s="49">
        <f t="shared" si="72"/>
        <v>64800</v>
      </c>
      <c r="J1115" s="529">
        <v>67</v>
      </c>
      <c r="K1115" s="529">
        <f t="shared" si="70"/>
        <v>5</v>
      </c>
      <c r="L1115" s="530">
        <f t="shared" si="68"/>
        <v>4500</v>
      </c>
      <c r="M1115" s="536">
        <f t="shared" si="71"/>
        <v>6.9444444444444448E-2</v>
      </c>
      <c r="N1115" s="13" t="s">
        <v>20</v>
      </c>
      <c r="O1115" s="47" t="s">
        <v>21</v>
      </c>
    </row>
    <row r="1116" spans="1:15">
      <c r="A1116" s="71">
        <v>2024</v>
      </c>
      <c r="B1116" s="16" t="s">
        <v>327</v>
      </c>
      <c r="C1116" s="62" t="s">
        <v>1641</v>
      </c>
      <c r="D1116" s="47" t="s">
        <v>24</v>
      </c>
      <c r="E1116" s="47" t="s">
        <v>1642</v>
      </c>
      <c r="F1116" s="99">
        <v>20</v>
      </c>
      <c r="G1116" s="42" t="s">
        <v>19</v>
      </c>
      <c r="H1116" s="44">
        <v>240</v>
      </c>
      <c r="I1116" s="49">
        <f t="shared" si="72"/>
        <v>4800</v>
      </c>
      <c r="J1116" s="529">
        <v>169</v>
      </c>
      <c r="K1116" s="529">
        <f t="shared" si="70"/>
        <v>71</v>
      </c>
      <c r="L1116" s="530">
        <f t="shared" si="68"/>
        <v>1420</v>
      </c>
      <c r="M1116" s="536">
        <f t="shared" si="71"/>
        <v>0.29583333333333334</v>
      </c>
      <c r="N1116" s="13" t="s">
        <v>22</v>
      </c>
      <c r="O1116" s="47" t="s">
        <v>21</v>
      </c>
    </row>
    <row r="1117" spans="1:15">
      <c r="A1117" s="71">
        <v>2024</v>
      </c>
      <c r="B1117" s="16" t="s">
        <v>327</v>
      </c>
      <c r="C1117" s="62" t="s">
        <v>1643</v>
      </c>
      <c r="D1117" s="47" t="s">
        <v>1631</v>
      </c>
      <c r="E1117" s="47" t="s">
        <v>1644</v>
      </c>
      <c r="F1117" s="99">
        <v>1</v>
      </c>
      <c r="G1117" s="42" t="s">
        <v>59</v>
      </c>
      <c r="H1117" s="44">
        <v>85200</v>
      </c>
      <c r="I1117" s="49">
        <f t="shared" si="72"/>
        <v>85200</v>
      </c>
      <c r="J1117" s="529">
        <v>51030</v>
      </c>
      <c r="K1117" s="529">
        <f t="shared" si="70"/>
        <v>34170</v>
      </c>
      <c r="L1117" s="530">
        <f t="shared" si="68"/>
        <v>34170</v>
      </c>
      <c r="M1117" s="536">
        <f t="shared" si="71"/>
        <v>0.40105633802816903</v>
      </c>
      <c r="N1117" s="13" t="s">
        <v>22</v>
      </c>
      <c r="O1117" s="47" t="s">
        <v>21</v>
      </c>
    </row>
    <row r="1118" spans="1:15">
      <c r="A1118" s="71">
        <v>2024</v>
      </c>
      <c r="B1118" s="16" t="s">
        <v>327</v>
      </c>
      <c r="C1118" s="62" t="s">
        <v>1645</v>
      </c>
      <c r="D1118" s="47" t="s">
        <v>270</v>
      </c>
      <c r="E1118" s="47" t="s">
        <v>1646</v>
      </c>
      <c r="F1118" s="99">
        <v>1</v>
      </c>
      <c r="G1118" s="42" t="s">
        <v>63</v>
      </c>
      <c r="H1118" s="44">
        <v>102116</v>
      </c>
      <c r="I1118" s="49">
        <f t="shared" si="72"/>
        <v>102116</v>
      </c>
      <c r="J1118" s="529">
        <v>100080</v>
      </c>
      <c r="K1118" s="529">
        <f t="shared" si="70"/>
        <v>2036</v>
      </c>
      <c r="L1118" s="530">
        <f t="shared" si="68"/>
        <v>2036</v>
      </c>
      <c r="M1118" s="536">
        <f t="shared" si="71"/>
        <v>1.9938109600846098E-2</v>
      </c>
      <c r="N1118" s="13" t="s">
        <v>38</v>
      </c>
      <c r="O1118" s="47" t="s">
        <v>39</v>
      </c>
    </row>
    <row r="1119" spans="1:15">
      <c r="A1119" s="71">
        <v>2024</v>
      </c>
      <c r="B1119" s="16" t="s">
        <v>327</v>
      </c>
      <c r="C1119" s="62" t="s">
        <v>1647</v>
      </c>
      <c r="D1119" s="47" t="s">
        <v>68</v>
      </c>
      <c r="E1119" s="47" t="s">
        <v>755</v>
      </c>
      <c r="F1119" s="99">
        <v>851.3</v>
      </c>
      <c r="G1119" s="42" t="s">
        <v>37</v>
      </c>
      <c r="H1119" s="44">
        <v>350</v>
      </c>
      <c r="I1119" s="49">
        <f t="shared" si="72"/>
        <v>297955</v>
      </c>
      <c r="J1119" s="529">
        <v>345</v>
      </c>
      <c r="K1119" s="529">
        <f t="shared" si="70"/>
        <v>5</v>
      </c>
      <c r="L1119" s="530">
        <f t="shared" si="68"/>
        <v>4256.5</v>
      </c>
      <c r="M1119" s="536">
        <f t="shared" si="71"/>
        <v>1.4285714285714285E-2</v>
      </c>
      <c r="N1119" s="13" t="s">
        <v>22</v>
      </c>
      <c r="O1119" s="47" t="s">
        <v>105</v>
      </c>
    </row>
    <row r="1120" spans="1:15">
      <c r="A1120" s="71">
        <v>2024</v>
      </c>
      <c r="B1120" s="16" t="s">
        <v>327</v>
      </c>
      <c r="C1120" s="62" t="s">
        <v>1648</v>
      </c>
      <c r="D1120" s="47" t="s">
        <v>94</v>
      </c>
      <c r="E1120" s="47" t="s">
        <v>1038</v>
      </c>
      <c r="F1120" s="99">
        <v>300</v>
      </c>
      <c r="G1120" s="42" t="s">
        <v>19</v>
      </c>
      <c r="H1120" s="44">
        <v>15.5</v>
      </c>
      <c r="I1120" s="49">
        <f t="shared" si="72"/>
        <v>4650</v>
      </c>
      <c r="J1120" s="529">
        <v>14.76</v>
      </c>
      <c r="K1120" s="529">
        <f t="shared" si="70"/>
        <v>0.74000000000000021</v>
      </c>
      <c r="L1120" s="530">
        <f t="shared" si="68"/>
        <v>222.00000000000006</v>
      </c>
      <c r="M1120" s="536">
        <f t="shared" si="71"/>
        <v>4.7741935483870984E-2</v>
      </c>
      <c r="N1120" s="13" t="s">
        <v>22</v>
      </c>
      <c r="O1120" s="47" t="s">
        <v>105</v>
      </c>
    </row>
    <row r="1121" spans="1:15">
      <c r="A1121" s="71">
        <v>2024</v>
      </c>
      <c r="B1121" s="16" t="s">
        <v>327</v>
      </c>
      <c r="C1121" s="62" t="s">
        <v>1648</v>
      </c>
      <c r="D1121" s="47" t="s">
        <v>94</v>
      </c>
      <c r="E1121" s="48" t="s">
        <v>613</v>
      </c>
      <c r="F1121" s="99">
        <v>200</v>
      </c>
      <c r="G1121" s="42" t="s">
        <v>19</v>
      </c>
      <c r="H1121" s="44">
        <v>25</v>
      </c>
      <c r="I1121" s="49">
        <f t="shared" si="72"/>
        <v>5000</v>
      </c>
      <c r="J1121" s="529">
        <v>24.6</v>
      </c>
      <c r="K1121" s="529">
        <f t="shared" si="70"/>
        <v>0.39999999999999858</v>
      </c>
      <c r="L1121" s="530">
        <f t="shared" si="68"/>
        <v>79.999999999999716</v>
      </c>
      <c r="M1121" s="536">
        <f t="shared" si="71"/>
        <v>1.5999999999999945E-2</v>
      </c>
      <c r="N1121" s="13" t="s">
        <v>22</v>
      </c>
      <c r="O1121" s="47" t="s">
        <v>105</v>
      </c>
    </row>
    <row r="1122" spans="1:15">
      <c r="A1122" s="71">
        <v>2024</v>
      </c>
      <c r="B1122" s="16" t="s">
        <v>327</v>
      </c>
      <c r="C1122" s="62" t="s">
        <v>1648</v>
      </c>
      <c r="D1122" s="47" t="s">
        <v>94</v>
      </c>
      <c r="E1122" s="48" t="s">
        <v>550</v>
      </c>
      <c r="F1122" s="99">
        <v>200</v>
      </c>
      <c r="G1122" s="42" t="s">
        <v>19</v>
      </c>
      <c r="H1122" s="44">
        <v>50</v>
      </c>
      <c r="I1122" s="49">
        <f t="shared" si="72"/>
        <v>10000</v>
      </c>
      <c r="J1122" s="529">
        <v>47.56</v>
      </c>
      <c r="K1122" s="529">
        <f t="shared" si="70"/>
        <v>2.4399999999999977</v>
      </c>
      <c r="L1122" s="530">
        <f t="shared" si="68"/>
        <v>487.99999999999955</v>
      </c>
      <c r="M1122" s="536">
        <f t="shared" si="71"/>
        <v>4.8799999999999955E-2</v>
      </c>
      <c r="N1122" s="13" t="s">
        <v>22</v>
      </c>
      <c r="O1122" s="47" t="s">
        <v>105</v>
      </c>
    </row>
    <row r="1123" spans="1:15">
      <c r="A1123" s="71">
        <v>2024</v>
      </c>
      <c r="B1123" s="16" t="s">
        <v>327</v>
      </c>
      <c r="C1123" s="62" t="s">
        <v>1649</v>
      </c>
      <c r="D1123" s="47" t="s">
        <v>1042</v>
      </c>
      <c r="E1123" s="48" t="s">
        <v>1650</v>
      </c>
      <c r="F1123" s="99">
        <v>1</v>
      </c>
      <c r="G1123" s="42" t="s">
        <v>285</v>
      </c>
      <c r="H1123" s="44">
        <v>147379.4</v>
      </c>
      <c r="I1123" s="49">
        <f t="shared" si="72"/>
        <v>147379.4</v>
      </c>
      <c r="J1123" s="529">
        <v>113209.60000000001</v>
      </c>
      <c r="K1123" s="529">
        <f t="shared" si="70"/>
        <v>34169.799999999988</v>
      </c>
      <c r="L1123" s="530">
        <f t="shared" si="68"/>
        <v>34169.799999999988</v>
      </c>
      <c r="M1123" s="536">
        <f t="shared" si="71"/>
        <v>0.23184922723257109</v>
      </c>
      <c r="N1123" s="50" t="s">
        <v>38</v>
      </c>
      <c r="O1123" s="47" t="s">
        <v>105</v>
      </c>
    </row>
    <row r="1124" spans="1:15">
      <c r="A1124" s="71">
        <v>2024</v>
      </c>
      <c r="B1124" s="16" t="s">
        <v>327</v>
      </c>
      <c r="C1124" s="62" t="s">
        <v>1651</v>
      </c>
      <c r="D1124" s="47" t="s">
        <v>107</v>
      </c>
      <c r="E1124" s="48" t="s">
        <v>1652</v>
      </c>
      <c r="F1124" s="99">
        <v>20</v>
      </c>
      <c r="G1124" s="42" t="s">
        <v>19</v>
      </c>
      <c r="H1124" s="44">
        <v>1590</v>
      </c>
      <c r="I1124" s="49">
        <f t="shared" si="72"/>
        <v>31800</v>
      </c>
      <c r="J1124" s="529">
        <v>1470</v>
      </c>
      <c r="K1124" s="529">
        <f t="shared" si="70"/>
        <v>120</v>
      </c>
      <c r="L1124" s="530">
        <f t="shared" si="68"/>
        <v>2400</v>
      </c>
      <c r="M1124" s="536">
        <f t="shared" si="71"/>
        <v>7.5471698113207544E-2</v>
      </c>
      <c r="N1124" s="50" t="s">
        <v>22</v>
      </c>
      <c r="O1124" s="47" t="s">
        <v>105</v>
      </c>
    </row>
    <row r="1125" spans="1:15">
      <c r="A1125" s="71">
        <v>2024</v>
      </c>
      <c r="B1125" s="16" t="s">
        <v>327</v>
      </c>
      <c r="C1125" s="62" t="s">
        <v>1653</v>
      </c>
      <c r="D1125" s="47" t="s">
        <v>633</v>
      </c>
      <c r="E1125" s="48" t="s">
        <v>564</v>
      </c>
      <c r="F1125" s="99">
        <v>20</v>
      </c>
      <c r="G1125" s="42" t="s">
        <v>19</v>
      </c>
      <c r="H1125" s="44">
        <v>980</v>
      </c>
      <c r="I1125" s="49">
        <f t="shared" si="72"/>
        <v>19600</v>
      </c>
      <c r="J1125" s="529">
        <v>900</v>
      </c>
      <c r="K1125" s="529">
        <f t="shared" si="70"/>
        <v>80</v>
      </c>
      <c r="L1125" s="530">
        <f t="shared" si="68"/>
        <v>1600</v>
      </c>
      <c r="M1125" s="536">
        <f t="shared" si="71"/>
        <v>8.1632653061224483E-2</v>
      </c>
      <c r="N1125" s="50" t="s">
        <v>22</v>
      </c>
      <c r="O1125" s="47" t="s">
        <v>105</v>
      </c>
    </row>
    <row r="1126" spans="1:15">
      <c r="A1126" s="71">
        <v>2024</v>
      </c>
      <c r="B1126" s="16" t="s">
        <v>327</v>
      </c>
      <c r="C1126" s="62" t="s">
        <v>1654</v>
      </c>
      <c r="D1126" s="47" t="s">
        <v>94</v>
      </c>
      <c r="E1126" s="47" t="s">
        <v>1316</v>
      </c>
      <c r="F1126" s="99">
        <v>200</v>
      </c>
      <c r="G1126" s="42" t="s">
        <v>19</v>
      </c>
      <c r="H1126" s="44">
        <v>15.5</v>
      </c>
      <c r="I1126" s="49">
        <f t="shared" si="72"/>
        <v>3100</v>
      </c>
      <c r="J1126" s="529">
        <v>14.76</v>
      </c>
      <c r="K1126" s="529">
        <f t="shared" si="70"/>
        <v>0.74000000000000021</v>
      </c>
      <c r="L1126" s="530">
        <f t="shared" si="68"/>
        <v>148.00000000000006</v>
      </c>
      <c r="M1126" s="536">
        <f t="shared" si="71"/>
        <v>4.7741935483870984E-2</v>
      </c>
      <c r="N1126" s="50" t="s">
        <v>22</v>
      </c>
      <c r="O1126" s="47" t="s">
        <v>105</v>
      </c>
    </row>
    <row r="1127" spans="1:15">
      <c r="A1127" s="71">
        <v>2024</v>
      </c>
      <c r="B1127" s="16" t="s">
        <v>327</v>
      </c>
      <c r="C1127" s="62" t="s">
        <v>1654</v>
      </c>
      <c r="D1127" s="47" t="s">
        <v>94</v>
      </c>
      <c r="E1127" s="47" t="s">
        <v>546</v>
      </c>
      <c r="F1127" s="99">
        <v>100</v>
      </c>
      <c r="G1127" s="42" t="s">
        <v>19</v>
      </c>
      <c r="H1127" s="44">
        <v>185</v>
      </c>
      <c r="I1127" s="49">
        <f t="shared" si="72"/>
        <v>18500</v>
      </c>
      <c r="J1127" s="529">
        <v>182.25</v>
      </c>
      <c r="K1127" s="529">
        <f t="shared" si="70"/>
        <v>2.75</v>
      </c>
      <c r="L1127" s="530">
        <f t="shared" si="68"/>
        <v>275</v>
      </c>
      <c r="M1127" s="536">
        <f t="shared" si="71"/>
        <v>1.4864864864864866E-2</v>
      </c>
      <c r="N1127" s="50" t="s">
        <v>22</v>
      </c>
      <c r="O1127" s="47" t="s">
        <v>105</v>
      </c>
    </row>
    <row r="1128" spans="1:15">
      <c r="A1128" s="71">
        <v>2024</v>
      </c>
      <c r="B1128" s="16" t="s">
        <v>327</v>
      </c>
      <c r="C1128" s="62" t="s">
        <v>1654</v>
      </c>
      <c r="D1128" s="47" t="s">
        <v>94</v>
      </c>
      <c r="E1128" s="48" t="s">
        <v>458</v>
      </c>
      <c r="F1128" s="99">
        <v>200</v>
      </c>
      <c r="G1128" s="42" t="s">
        <v>19</v>
      </c>
      <c r="H1128" s="44">
        <v>9.5</v>
      </c>
      <c r="I1128" s="49">
        <f t="shared" si="72"/>
        <v>1900</v>
      </c>
      <c r="J1128" s="529">
        <v>9.35</v>
      </c>
      <c r="K1128" s="529">
        <f t="shared" si="70"/>
        <v>0.15000000000000036</v>
      </c>
      <c r="L1128" s="530">
        <f t="shared" si="68"/>
        <v>30.000000000000071</v>
      </c>
      <c r="M1128" s="536">
        <f t="shared" si="71"/>
        <v>1.5789473684210565E-2</v>
      </c>
      <c r="N1128" s="50" t="s">
        <v>22</v>
      </c>
      <c r="O1128" s="47" t="s">
        <v>105</v>
      </c>
    </row>
    <row r="1129" spans="1:15">
      <c r="A1129" s="71">
        <v>2024</v>
      </c>
      <c r="B1129" s="16" t="s">
        <v>327</v>
      </c>
      <c r="C1129" s="62" t="s">
        <v>1655</v>
      </c>
      <c r="D1129" s="47" t="s">
        <v>27</v>
      </c>
      <c r="E1129" s="48" t="s">
        <v>456</v>
      </c>
      <c r="F1129" s="99">
        <v>300</v>
      </c>
      <c r="G1129" s="42" t="s">
        <v>19</v>
      </c>
      <c r="H1129" s="44">
        <v>2.5499999999999998</v>
      </c>
      <c r="I1129" s="49">
        <f t="shared" ref="I1129:I1160" si="73">H1129*F1129</f>
        <v>765</v>
      </c>
      <c r="J1129" s="529">
        <v>2.5</v>
      </c>
      <c r="K1129" s="529">
        <f t="shared" si="70"/>
        <v>4.9999999999999822E-2</v>
      </c>
      <c r="L1129" s="530">
        <f t="shared" si="68"/>
        <v>14.999999999999947</v>
      </c>
      <c r="M1129" s="536">
        <f t="shared" si="71"/>
        <v>1.9607843137254832E-2</v>
      </c>
      <c r="N1129" s="50" t="s">
        <v>22</v>
      </c>
      <c r="O1129" s="47" t="s">
        <v>105</v>
      </c>
    </row>
    <row r="1130" spans="1:15">
      <c r="A1130" s="71">
        <v>2024</v>
      </c>
      <c r="B1130" s="16" t="s">
        <v>327</v>
      </c>
      <c r="C1130" s="62" t="s">
        <v>1655</v>
      </c>
      <c r="D1130" s="47" t="s">
        <v>27</v>
      </c>
      <c r="E1130" s="48" t="s">
        <v>1147</v>
      </c>
      <c r="F1130" s="99">
        <v>20</v>
      </c>
      <c r="G1130" s="42" t="s">
        <v>19</v>
      </c>
      <c r="H1130" s="44">
        <v>127</v>
      </c>
      <c r="I1130" s="49">
        <f t="shared" si="73"/>
        <v>2540</v>
      </c>
      <c r="J1130" s="529">
        <v>125</v>
      </c>
      <c r="K1130" s="529">
        <f t="shared" si="70"/>
        <v>2</v>
      </c>
      <c r="L1130" s="530">
        <f t="shared" si="68"/>
        <v>40</v>
      </c>
      <c r="M1130" s="536">
        <f t="shared" si="71"/>
        <v>1.5748031496062992E-2</v>
      </c>
      <c r="N1130" s="50" t="s">
        <v>22</v>
      </c>
      <c r="O1130" s="47" t="s">
        <v>105</v>
      </c>
    </row>
    <row r="1131" spans="1:15">
      <c r="A1131" s="71">
        <v>2024</v>
      </c>
      <c r="B1131" s="16" t="s">
        <v>327</v>
      </c>
      <c r="C1131" s="62" t="s">
        <v>1656</v>
      </c>
      <c r="D1131" s="47" t="s">
        <v>94</v>
      </c>
      <c r="E1131" s="48" t="s">
        <v>613</v>
      </c>
      <c r="F1131" s="99">
        <v>200</v>
      </c>
      <c r="G1131" s="42" t="s">
        <v>19</v>
      </c>
      <c r="H1131" s="44">
        <v>25</v>
      </c>
      <c r="I1131" s="49">
        <f t="shared" si="73"/>
        <v>5000</v>
      </c>
      <c r="J1131" s="529">
        <v>24.6</v>
      </c>
      <c r="K1131" s="529">
        <f t="shared" si="70"/>
        <v>0.39999999999999858</v>
      </c>
      <c r="L1131" s="530">
        <f t="shared" si="68"/>
        <v>79.999999999999716</v>
      </c>
      <c r="M1131" s="536">
        <f t="shared" si="71"/>
        <v>1.5999999999999945E-2</v>
      </c>
      <c r="N1131" s="50" t="s">
        <v>22</v>
      </c>
      <c r="O1131" s="47" t="s">
        <v>105</v>
      </c>
    </row>
    <row r="1132" spans="1:15">
      <c r="A1132" s="71">
        <v>2024</v>
      </c>
      <c r="B1132" s="16" t="s">
        <v>327</v>
      </c>
      <c r="C1132" s="62" t="s">
        <v>1656</v>
      </c>
      <c r="D1132" s="47" t="s">
        <v>94</v>
      </c>
      <c r="E1132" s="48" t="s">
        <v>550</v>
      </c>
      <c r="F1132" s="99">
        <v>300</v>
      </c>
      <c r="G1132" s="42" t="s">
        <v>19</v>
      </c>
      <c r="H1132" s="44">
        <v>50</v>
      </c>
      <c r="I1132" s="49">
        <f t="shared" si="73"/>
        <v>15000</v>
      </c>
      <c r="J1132" s="529">
        <v>47.56</v>
      </c>
      <c r="K1132" s="529">
        <f t="shared" si="70"/>
        <v>2.4399999999999977</v>
      </c>
      <c r="L1132" s="530">
        <f t="shared" si="68"/>
        <v>731.99999999999932</v>
      </c>
      <c r="M1132" s="536">
        <f t="shared" si="71"/>
        <v>4.8799999999999955E-2</v>
      </c>
      <c r="N1132" s="50" t="s">
        <v>22</v>
      </c>
      <c r="O1132" s="47" t="s">
        <v>105</v>
      </c>
    </row>
    <row r="1133" spans="1:15">
      <c r="A1133" s="71">
        <v>2024</v>
      </c>
      <c r="B1133" s="16" t="s">
        <v>327</v>
      </c>
      <c r="C1133" s="62" t="s">
        <v>1657</v>
      </c>
      <c r="D1133" s="47" t="s">
        <v>1658</v>
      </c>
      <c r="E1133" s="48" t="s">
        <v>1659</v>
      </c>
      <c r="F1133" s="99">
        <v>146</v>
      </c>
      <c r="G1133" s="42" t="s">
        <v>302</v>
      </c>
      <c r="H1133" s="44">
        <v>916.5</v>
      </c>
      <c r="I1133" s="49">
        <f t="shared" si="73"/>
        <v>133809</v>
      </c>
      <c r="J1133" s="529">
        <v>873.6</v>
      </c>
      <c r="K1133" s="529">
        <f t="shared" si="70"/>
        <v>42.899999999999977</v>
      </c>
      <c r="L1133" s="530">
        <f t="shared" si="68"/>
        <v>6263.3999999999969</v>
      </c>
      <c r="M1133" s="536">
        <f t="shared" si="71"/>
        <v>4.680851063829785E-2</v>
      </c>
      <c r="N1133" s="50" t="s">
        <v>22</v>
      </c>
      <c r="O1133" s="47" t="s">
        <v>105</v>
      </c>
    </row>
    <row r="1134" spans="1:15">
      <c r="A1134" s="71">
        <v>2024</v>
      </c>
      <c r="B1134" s="16" t="s">
        <v>327</v>
      </c>
      <c r="C1134" s="62" t="s">
        <v>1660</v>
      </c>
      <c r="D1134" s="47" t="s">
        <v>1488</v>
      </c>
      <c r="E1134" s="47" t="s">
        <v>755</v>
      </c>
      <c r="F1134" s="99">
        <v>1967.3</v>
      </c>
      <c r="G1134" s="42" t="s">
        <v>37</v>
      </c>
      <c r="H1134" s="44">
        <v>352</v>
      </c>
      <c r="I1134" s="49">
        <f t="shared" si="73"/>
        <v>692489.6</v>
      </c>
      <c r="J1134" s="529">
        <v>350</v>
      </c>
      <c r="K1134" s="529">
        <f t="shared" si="70"/>
        <v>2</v>
      </c>
      <c r="L1134" s="530">
        <f t="shared" si="68"/>
        <v>3934.6</v>
      </c>
      <c r="M1134" s="536">
        <f t="shared" si="71"/>
        <v>5.681818181818182E-3</v>
      </c>
      <c r="N1134" s="50" t="s">
        <v>22</v>
      </c>
      <c r="O1134" s="47" t="s">
        <v>105</v>
      </c>
    </row>
    <row r="1135" spans="1:15">
      <c r="A1135" s="71">
        <v>2024</v>
      </c>
      <c r="B1135" s="16" t="s">
        <v>327</v>
      </c>
      <c r="C1135" s="62" t="s">
        <v>1661</v>
      </c>
      <c r="D1135" s="47" t="s">
        <v>708</v>
      </c>
      <c r="E1135" s="48" t="s">
        <v>46</v>
      </c>
      <c r="F1135" s="99">
        <v>600</v>
      </c>
      <c r="G1135" s="42" t="s">
        <v>37</v>
      </c>
      <c r="H1135" s="44">
        <v>350.59</v>
      </c>
      <c r="I1135" s="49">
        <f t="shared" si="73"/>
        <v>210353.99999999997</v>
      </c>
      <c r="J1135" s="529">
        <v>348.59</v>
      </c>
      <c r="K1135" s="529">
        <f t="shared" si="70"/>
        <v>2</v>
      </c>
      <c r="L1135" s="530">
        <f t="shared" si="68"/>
        <v>1200</v>
      </c>
      <c r="M1135" s="536">
        <f t="shared" si="71"/>
        <v>5.7046692717989678E-3</v>
      </c>
      <c r="N1135" s="64" t="s">
        <v>22</v>
      </c>
      <c r="O1135" s="47" t="s">
        <v>105</v>
      </c>
    </row>
    <row r="1136" spans="1:15">
      <c r="A1136" s="71">
        <v>2024</v>
      </c>
      <c r="B1136" s="16" t="s">
        <v>327</v>
      </c>
      <c r="C1136" s="62" t="s">
        <v>1661</v>
      </c>
      <c r="D1136" s="47" t="s">
        <v>708</v>
      </c>
      <c r="E1136" s="48" t="s">
        <v>45</v>
      </c>
      <c r="F1136" s="99">
        <v>1600</v>
      </c>
      <c r="G1136" s="42" t="s">
        <v>37</v>
      </c>
      <c r="H1136" s="44">
        <v>350.43</v>
      </c>
      <c r="I1136" s="49">
        <f t="shared" si="73"/>
        <v>560688</v>
      </c>
      <c r="J1136" s="529">
        <v>348.43</v>
      </c>
      <c r="K1136" s="529">
        <f t="shared" si="70"/>
        <v>2</v>
      </c>
      <c r="L1136" s="530">
        <f t="shared" si="68"/>
        <v>3200</v>
      </c>
      <c r="M1136" s="536">
        <f t="shared" si="71"/>
        <v>5.70727392061182E-3</v>
      </c>
      <c r="N1136" s="50" t="s">
        <v>22</v>
      </c>
      <c r="O1136" s="47" t="s">
        <v>105</v>
      </c>
    </row>
    <row r="1137" spans="1:15">
      <c r="A1137" s="71">
        <v>2024</v>
      </c>
      <c r="B1137" s="16" t="s">
        <v>327</v>
      </c>
      <c r="C1137" s="62" t="s">
        <v>1661</v>
      </c>
      <c r="D1137" s="47" t="s">
        <v>708</v>
      </c>
      <c r="E1137" s="48" t="s">
        <v>47</v>
      </c>
      <c r="F1137" s="99">
        <v>800</v>
      </c>
      <c r="G1137" s="42" t="s">
        <v>37</v>
      </c>
      <c r="H1137" s="44">
        <v>354.4</v>
      </c>
      <c r="I1137" s="49">
        <f t="shared" si="73"/>
        <v>283520</v>
      </c>
      <c r="J1137" s="529">
        <v>352.4</v>
      </c>
      <c r="K1137" s="529">
        <f t="shared" si="70"/>
        <v>2</v>
      </c>
      <c r="L1137" s="530">
        <f t="shared" si="68"/>
        <v>1600</v>
      </c>
      <c r="M1137" s="536">
        <f t="shared" si="71"/>
        <v>5.6433408577878106E-3</v>
      </c>
      <c r="N1137" s="50" t="s">
        <v>22</v>
      </c>
      <c r="O1137" s="47" t="s">
        <v>105</v>
      </c>
    </row>
    <row r="1138" spans="1:15">
      <c r="A1138" s="71">
        <v>2024</v>
      </c>
      <c r="B1138" s="16" t="s">
        <v>327</v>
      </c>
      <c r="C1138" s="62" t="s">
        <v>1661</v>
      </c>
      <c r="D1138" s="47" t="s">
        <v>708</v>
      </c>
      <c r="E1138" s="48" t="s">
        <v>49</v>
      </c>
      <c r="F1138" s="99">
        <v>1000</v>
      </c>
      <c r="G1138" s="42" t="s">
        <v>37</v>
      </c>
      <c r="H1138" s="44">
        <v>351.79</v>
      </c>
      <c r="I1138" s="49">
        <f t="shared" si="73"/>
        <v>351790</v>
      </c>
      <c r="J1138" s="529">
        <v>349.79</v>
      </c>
      <c r="K1138" s="529">
        <f t="shared" si="70"/>
        <v>2</v>
      </c>
      <c r="L1138" s="530">
        <f t="shared" si="68"/>
        <v>2000</v>
      </c>
      <c r="M1138" s="536">
        <f t="shared" si="71"/>
        <v>5.6852099263765311E-3</v>
      </c>
      <c r="N1138" s="50" t="s">
        <v>22</v>
      </c>
      <c r="O1138" s="47" t="s">
        <v>105</v>
      </c>
    </row>
    <row r="1139" spans="1:15">
      <c r="A1139" s="71">
        <v>2024</v>
      </c>
      <c r="B1139" s="16" t="s">
        <v>327</v>
      </c>
      <c r="C1139" s="62" t="s">
        <v>1661</v>
      </c>
      <c r="D1139" s="47" t="s">
        <v>708</v>
      </c>
      <c r="E1139" s="48" t="s">
        <v>206</v>
      </c>
      <c r="F1139" s="99">
        <v>3600</v>
      </c>
      <c r="G1139" s="42" t="s">
        <v>37</v>
      </c>
      <c r="H1139" s="44">
        <v>350.2</v>
      </c>
      <c r="I1139" s="49">
        <f t="shared" si="73"/>
        <v>1260720</v>
      </c>
      <c r="J1139" s="529">
        <v>348.2</v>
      </c>
      <c r="K1139" s="529">
        <f t="shared" si="70"/>
        <v>2</v>
      </c>
      <c r="L1139" s="530">
        <f t="shared" si="68"/>
        <v>7200</v>
      </c>
      <c r="M1139" s="536">
        <f t="shared" si="71"/>
        <v>5.7110222729868645E-3</v>
      </c>
      <c r="N1139" s="64" t="s">
        <v>22</v>
      </c>
      <c r="O1139" s="47" t="s">
        <v>105</v>
      </c>
    </row>
    <row r="1140" spans="1:15">
      <c r="A1140" s="71">
        <v>2024</v>
      </c>
      <c r="B1140" s="16" t="s">
        <v>327</v>
      </c>
      <c r="C1140" s="62" t="s">
        <v>1661</v>
      </c>
      <c r="D1140" s="47" t="s">
        <v>708</v>
      </c>
      <c r="E1140" s="48" t="s">
        <v>1137</v>
      </c>
      <c r="F1140" s="99">
        <v>300</v>
      </c>
      <c r="G1140" s="42" t="s">
        <v>37</v>
      </c>
      <c r="H1140" s="44">
        <v>348.98</v>
      </c>
      <c r="I1140" s="49">
        <f t="shared" si="73"/>
        <v>104694</v>
      </c>
      <c r="J1140" s="529">
        <v>346.98</v>
      </c>
      <c r="K1140" s="529">
        <f t="shared" si="70"/>
        <v>2</v>
      </c>
      <c r="L1140" s="530">
        <f t="shared" si="68"/>
        <v>600</v>
      </c>
      <c r="M1140" s="536">
        <f t="shared" si="71"/>
        <v>5.7309874491374858E-3</v>
      </c>
      <c r="N1140" s="64" t="s">
        <v>22</v>
      </c>
      <c r="O1140" s="47" t="s">
        <v>105</v>
      </c>
    </row>
    <row r="1141" spans="1:15">
      <c r="A1141" s="71">
        <v>2024</v>
      </c>
      <c r="B1141" s="16" t="s">
        <v>327</v>
      </c>
      <c r="C1141" s="62" t="s">
        <v>1661</v>
      </c>
      <c r="D1141" s="47" t="s">
        <v>708</v>
      </c>
      <c r="E1141" s="48" t="s">
        <v>52</v>
      </c>
      <c r="F1141" s="99">
        <v>500</v>
      </c>
      <c r="G1141" s="42" t="s">
        <v>37</v>
      </c>
      <c r="H1141" s="44">
        <v>350.18</v>
      </c>
      <c r="I1141" s="49">
        <f t="shared" si="73"/>
        <v>175090</v>
      </c>
      <c r="J1141" s="529">
        <v>348.18</v>
      </c>
      <c r="K1141" s="529">
        <f t="shared" si="70"/>
        <v>2</v>
      </c>
      <c r="L1141" s="530">
        <f t="shared" si="68"/>
        <v>1000</v>
      </c>
      <c r="M1141" s="536">
        <f t="shared" si="71"/>
        <v>5.711348449368896E-3</v>
      </c>
      <c r="N1141" s="64" t="s">
        <v>22</v>
      </c>
      <c r="O1141" s="47" t="s">
        <v>105</v>
      </c>
    </row>
    <row r="1142" spans="1:15">
      <c r="A1142" s="71">
        <v>2024</v>
      </c>
      <c r="B1142" s="16" t="s">
        <v>327</v>
      </c>
      <c r="C1142" s="62" t="s">
        <v>1661</v>
      </c>
      <c r="D1142" s="47" t="s">
        <v>708</v>
      </c>
      <c r="E1142" s="48" t="s">
        <v>1662</v>
      </c>
      <c r="F1142" s="99">
        <v>250</v>
      </c>
      <c r="G1142" s="42" t="s">
        <v>37</v>
      </c>
      <c r="H1142" s="44">
        <v>348.77</v>
      </c>
      <c r="I1142" s="49">
        <f t="shared" si="73"/>
        <v>87192.5</v>
      </c>
      <c r="J1142" s="529">
        <v>346.77</v>
      </c>
      <c r="K1142" s="529">
        <f t="shared" si="70"/>
        <v>2</v>
      </c>
      <c r="L1142" s="530">
        <f t="shared" si="68"/>
        <v>500</v>
      </c>
      <c r="M1142" s="536">
        <f t="shared" si="71"/>
        <v>5.7344381684204492E-3</v>
      </c>
      <c r="N1142" s="50" t="s">
        <v>22</v>
      </c>
      <c r="O1142" s="47" t="s">
        <v>105</v>
      </c>
    </row>
    <row r="1143" spans="1:15">
      <c r="A1143" s="71">
        <v>2024</v>
      </c>
      <c r="B1143" s="16" t="s">
        <v>327</v>
      </c>
      <c r="C1143" s="62" t="s">
        <v>1661</v>
      </c>
      <c r="D1143" s="47" t="s">
        <v>708</v>
      </c>
      <c r="E1143" s="48" t="s">
        <v>1663</v>
      </c>
      <c r="F1143" s="99">
        <v>178.9</v>
      </c>
      <c r="G1143" s="42" t="s">
        <v>37</v>
      </c>
      <c r="H1143" s="44">
        <v>348.05</v>
      </c>
      <c r="I1143" s="49">
        <f t="shared" si="73"/>
        <v>62266.145000000004</v>
      </c>
      <c r="J1143" s="529">
        <v>346.05</v>
      </c>
      <c r="K1143" s="529">
        <f t="shared" si="70"/>
        <v>2</v>
      </c>
      <c r="L1143" s="530">
        <f t="shared" si="68"/>
        <v>357.8</v>
      </c>
      <c r="M1143" s="536">
        <f t="shared" si="71"/>
        <v>5.7463008188478664E-3</v>
      </c>
      <c r="N1143" s="64" t="s">
        <v>22</v>
      </c>
      <c r="O1143" s="47" t="s">
        <v>105</v>
      </c>
    </row>
    <row r="1144" spans="1:15">
      <c r="A1144" s="71">
        <v>2024</v>
      </c>
      <c r="B1144" s="16" t="s">
        <v>327</v>
      </c>
      <c r="C1144" s="62" t="s">
        <v>1664</v>
      </c>
      <c r="D1144" s="47" t="s">
        <v>1252</v>
      </c>
      <c r="E1144" s="48" t="s">
        <v>1665</v>
      </c>
      <c r="F1144" s="99">
        <v>20864</v>
      </c>
      <c r="G1144" s="42" t="s">
        <v>37</v>
      </c>
      <c r="H1144" s="44">
        <v>32.94</v>
      </c>
      <c r="I1144" s="49">
        <f t="shared" si="73"/>
        <v>687260.15999999992</v>
      </c>
      <c r="J1144" s="529">
        <v>32.76</v>
      </c>
      <c r="K1144" s="529">
        <f t="shared" si="70"/>
        <v>0.17999999999999972</v>
      </c>
      <c r="L1144" s="530">
        <f t="shared" si="68"/>
        <v>3755.5199999999941</v>
      </c>
      <c r="M1144" s="536">
        <f t="shared" si="71"/>
        <v>5.4644808743169312E-3</v>
      </c>
      <c r="N1144" s="50" t="s">
        <v>22</v>
      </c>
      <c r="O1144" s="47" t="s">
        <v>105</v>
      </c>
    </row>
    <row r="1145" spans="1:15">
      <c r="A1145" s="71">
        <v>2024</v>
      </c>
      <c r="B1145" s="16" t="s">
        <v>327</v>
      </c>
      <c r="C1145" s="62" t="s">
        <v>1664</v>
      </c>
      <c r="D1145" s="47" t="s">
        <v>1252</v>
      </c>
      <c r="E1145" s="48" t="s">
        <v>1665</v>
      </c>
      <c r="F1145" s="99">
        <v>1500</v>
      </c>
      <c r="G1145" s="42" t="s">
        <v>37</v>
      </c>
      <c r="H1145" s="44">
        <v>32.76</v>
      </c>
      <c r="I1145" s="49">
        <f t="shared" si="73"/>
        <v>49140</v>
      </c>
      <c r="J1145" s="529">
        <v>32.22</v>
      </c>
      <c r="K1145" s="529">
        <f t="shared" si="70"/>
        <v>0.53999999999999915</v>
      </c>
      <c r="L1145" s="530">
        <f t="shared" si="68"/>
        <v>809.99999999999875</v>
      </c>
      <c r="M1145" s="536">
        <f t="shared" si="71"/>
        <v>1.648351648351646E-2</v>
      </c>
      <c r="N1145" s="64" t="s">
        <v>22</v>
      </c>
      <c r="O1145" s="47" t="s">
        <v>105</v>
      </c>
    </row>
    <row r="1146" spans="1:15">
      <c r="A1146" s="71">
        <v>2024</v>
      </c>
      <c r="B1146" s="16" t="s">
        <v>327</v>
      </c>
      <c r="C1146" s="62" t="s">
        <v>1666</v>
      </c>
      <c r="D1146" s="47" t="s">
        <v>17</v>
      </c>
      <c r="E1146" s="48" t="s">
        <v>17</v>
      </c>
      <c r="F1146" s="99">
        <v>300</v>
      </c>
      <c r="G1146" s="42" t="s">
        <v>19</v>
      </c>
      <c r="H1146" s="44">
        <v>105</v>
      </c>
      <c r="I1146" s="49">
        <f t="shared" si="73"/>
        <v>31500</v>
      </c>
      <c r="J1146" s="529">
        <v>100</v>
      </c>
      <c r="K1146" s="529">
        <f t="shared" si="70"/>
        <v>5</v>
      </c>
      <c r="L1146" s="530">
        <f t="shared" si="68"/>
        <v>1500</v>
      </c>
      <c r="M1146" s="536">
        <f t="shared" si="71"/>
        <v>4.7619047619047616E-2</v>
      </c>
      <c r="N1146" s="64" t="s">
        <v>38</v>
      </c>
      <c r="O1146" s="47" t="s">
        <v>39</v>
      </c>
    </row>
    <row r="1147" spans="1:15">
      <c r="A1147" s="71">
        <v>2024</v>
      </c>
      <c r="B1147" s="16" t="s">
        <v>327</v>
      </c>
      <c r="C1147" s="62" t="s">
        <v>1667</v>
      </c>
      <c r="D1147" s="47" t="s">
        <v>118</v>
      </c>
      <c r="E1147" s="48" t="s">
        <v>1668</v>
      </c>
      <c r="F1147" s="99">
        <v>10</v>
      </c>
      <c r="G1147" s="42" t="s">
        <v>19</v>
      </c>
      <c r="H1147" s="44">
        <v>420</v>
      </c>
      <c r="I1147" s="49">
        <f t="shared" si="73"/>
        <v>4200</v>
      </c>
      <c r="J1147" s="529">
        <v>315</v>
      </c>
      <c r="K1147" s="529">
        <f t="shared" si="70"/>
        <v>105</v>
      </c>
      <c r="L1147" s="530">
        <f t="shared" si="68"/>
        <v>1050</v>
      </c>
      <c r="M1147" s="536">
        <f t="shared" si="71"/>
        <v>0.25</v>
      </c>
      <c r="N1147" s="50" t="s">
        <v>22</v>
      </c>
      <c r="O1147" s="47" t="s">
        <v>21</v>
      </c>
    </row>
    <row r="1148" spans="1:15">
      <c r="A1148" s="71">
        <v>2024</v>
      </c>
      <c r="B1148" s="16" t="s">
        <v>327</v>
      </c>
      <c r="C1148" s="62" t="s">
        <v>1669</v>
      </c>
      <c r="D1148" s="47" t="s">
        <v>1670</v>
      </c>
      <c r="E1148" s="48" t="s">
        <v>1671</v>
      </c>
      <c r="F1148" s="99">
        <v>2</v>
      </c>
      <c r="G1148" s="42" t="s">
        <v>19</v>
      </c>
      <c r="H1148" s="44">
        <v>6800</v>
      </c>
      <c r="I1148" s="49">
        <f t="shared" si="73"/>
        <v>13600</v>
      </c>
      <c r="J1148" s="529">
        <v>6500</v>
      </c>
      <c r="K1148" s="529">
        <f t="shared" si="70"/>
        <v>300</v>
      </c>
      <c r="L1148" s="530">
        <f t="shared" si="68"/>
        <v>600</v>
      </c>
      <c r="M1148" s="536">
        <f t="shared" si="71"/>
        <v>4.4117647058823532E-2</v>
      </c>
      <c r="N1148" s="50" t="s">
        <v>22</v>
      </c>
      <c r="O1148" s="47" t="s">
        <v>21</v>
      </c>
    </row>
    <row r="1149" spans="1:15">
      <c r="A1149" s="71">
        <v>2024</v>
      </c>
      <c r="B1149" s="16" t="s">
        <v>327</v>
      </c>
      <c r="C1149" s="62" t="s">
        <v>1672</v>
      </c>
      <c r="D1149" s="47" t="s">
        <v>118</v>
      </c>
      <c r="E1149" s="48" t="s">
        <v>1673</v>
      </c>
      <c r="F1149" s="99">
        <v>30</v>
      </c>
      <c r="G1149" s="42" t="s">
        <v>19</v>
      </c>
      <c r="H1149" s="44">
        <v>215</v>
      </c>
      <c r="I1149" s="49">
        <f t="shared" si="73"/>
        <v>6450</v>
      </c>
      <c r="J1149" s="529">
        <v>197</v>
      </c>
      <c r="K1149" s="529">
        <f t="shared" si="70"/>
        <v>18</v>
      </c>
      <c r="L1149" s="530">
        <f t="shared" si="68"/>
        <v>540</v>
      </c>
      <c r="M1149" s="536">
        <f t="shared" si="71"/>
        <v>8.3720930232558138E-2</v>
      </c>
      <c r="N1149" s="50" t="s">
        <v>22</v>
      </c>
      <c r="O1149" s="47" t="s">
        <v>21</v>
      </c>
    </row>
    <row r="1150" spans="1:15">
      <c r="A1150" s="71">
        <v>2024</v>
      </c>
      <c r="B1150" s="16" t="s">
        <v>327</v>
      </c>
      <c r="C1150" s="62" t="s">
        <v>1674</v>
      </c>
      <c r="D1150" s="47" t="s">
        <v>1675</v>
      </c>
      <c r="E1150" s="48" t="s">
        <v>1676</v>
      </c>
      <c r="F1150" s="99">
        <v>1</v>
      </c>
      <c r="G1150" s="42" t="s">
        <v>285</v>
      </c>
      <c r="H1150" s="44">
        <v>106706</v>
      </c>
      <c r="I1150" s="49">
        <f t="shared" si="73"/>
        <v>106706</v>
      </c>
      <c r="J1150" s="529">
        <v>106328.08291666667</v>
      </c>
      <c r="K1150" s="529">
        <f t="shared" si="70"/>
        <v>377.91708333333372</v>
      </c>
      <c r="L1150" s="530">
        <f t="shared" si="68"/>
        <v>377.91708333333372</v>
      </c>
      <c r="M1150" s="536">
        <f t="shared" si="71"/>
        <v>3.5416666666666704E-3</v>
      </c>
      <c r="N1150" s="64" t="s">
        <v>38</v>
      </c>
      <c r="O1150" s="47" t="s">
        <v>21</v>
      </c>
    </row>
    <row r="1151" spans="1:15">
      <c r="A1151" s="71">
        <v>2024</v>
      </c>
      <c r="B1151" s="16" t="s">
        <v>327</v>
      </c>
      <c r="C1151" s="62" t="s">
        <v>1677</v>
      </c>
      <c r="D1151" s="47" t="s">
        <v>1176</v>
      </c>
      <c r="E1151" s="48" t="s">
        <v>1678</v>
      </c>
      <c r="F1151" s="99">
        <v>3</v>
      </c>
      <c r="G1151" s="42" t="s">
        <v>285</v>
      </c>
      <c r="H1151" s="44">
        <v>11000</v>
      </c>
      <c r="I1151" s="49">
        <f t="shared" si="73"/>
        <v>33000</v>
      </c>
      <c r="J1151" s="529">
        <v>10000</v>
      </c>
      <c r="K1151" s="529">
        <f t="shared" si="70"/>
        <v>1000</v>
      </c>
      <c r="L1151" s="530">
        <f t="shared" ref="L1151:L1214" si="74">K1151*F1151</f>
        <v>3000</v>
      </c>
      <c r="M1151" s="536">
        <f t="shared" si="71"/>
        <v>9.0909090909090912E-2</v>
      </c>
      <c r="N1151" s="50" t="s">
        <v>22</v>
      </c>
      <c r="O1151" s="47" t="s">
        <v>21</v>
      </c>
    </row>
    <row r="1152" spans="1:15">
      <c r="A1152" s="71">
        <v>2024</v>
      </c>
      <c r="B1152" s="16" t="s">
        <v>327</v>
      </c>
      <c r="C1152" s="62" t="s">
        <v>1679</v>
      </c>
      <c r="D1152" s="47" t="s">
        <v>1680</v>
      </c>
      <c r="E1152" s="48" t="s">
        <v>1681</v>
      </c>
      <c r="F1152" s="99">
        <v>45</v>
      </c>
      <c r="G1152" s="42" t="s">
        <v>19</v>
      </c>
      <c r="H1152" s="44">
        <v>1380</v>
      </c>
      <c r="I1152" s="49">
        <f t="shared" si="73"/>
        <v>62100</v>
      </c>
      <c r="J1152" s="529">
        <v>1300</v>
      </c>
      <c r="K1152" s="529">
        <f t="shared" si="70"/>
        <v>80</v>
      </c>
      <c r="L1152" s="530">
        <f t="shared" si="74"/>
        <v>3600</v>
      </c>
      <c r="M1152" s="536">
        <f t="shared" si="71"/>
        <v>5.7971014492753624E-2</v>
      </c>
      <c r="N1152" s="50" t="s">
        <v>22</v>
      </c>
      <c r="O1152" s="47" t="s">
        <v>21</v>
      </c>
    </row>
    <row r="1153" spans="1:15">
      <c r="A1153" s="71">
        <v>2024</v>
      </c>
      <c r="B1153" s="16" t="s">
        <v>327</v>
      </c>
      <c r="C1153" s="62" t="s">
        <v>1682</v>
      </c>
      <c r="D1153" s="47" t="s">
        <v>236</v>
      </c>
      <c r="E1153" s="48" t="s">
        <v>1683</v>
      </c>
      <c r="F1153" s="99">
        <v>4</v>
      </c>
      <c r="G1153" s="42" t="s">
        <v>19</v>
      </c>
      <c r="H1153" s="44">
        <v>250</v>
      </c>
      <c r="I1153" s="49">
        <f t="shared" si="73"/>
        <v>1000</v>
      </c>
      <c r="J1153" s="529">
        <v>230</v>
      </c>
      <c r="K1153" s="529">
        <f t="shared" si="70"/>
        <v>20</v>
      </c>
      <c r="L1153" s="530">
        <f t="shared" si="74"/>
        <v>80</v>
      </c>
      <c r="M1153" s="536">
        <f t="shared" si="71"/>
        <v>0.08</v>
      </c>
      <c r="N1153" s="50" t="s">
        <v>22</v>
      </c>
      <c r="O1153" s="47" t="s">
        <v>21</v>
      </c>
    </row>
    <row r="1154" spans="1:15">
      <c r="A1154" s="71">
        <v>2024</v>
      </c>
      <c r="B1154" s="16" t="s">
        <v>327</v>
      </c>
      <c r="C1154" s="62" t="s">
        <v>1684</v>
      </c>
      <c r="D1154" s="47" t="s">
        <v>369</v>
      </c>
      <c r="E1154" s="48" t="s">
        <v>1685</v>
      </c>
      <c r="F1154" s="99">
        <v>1</v>
      </c>
      <c r="G1154" s="42" t="s">
        <v>238</v>
      </c>
      <c r="H1154" s="44">
        <v>6270</v>
      </c>
      <c r="I1154" s="49">
        <f t="shared" si="73"/>
        <v>6270</v>
      </c>
      <c r="J1154" s="529">
        <v>5450</v>
      </c>
      <c r="K1154" s="529">
        <f t="shared" si="70"/>
        <v>820</v>
      </c>
      <c r="L1154" s="530">
        <f t="shared" si="74"/>
        <v>820</v>
      </c>
      <c r="M1154" s="536">
        <f t="shared" si="71"/>
        <v>0.13078149920255183</v>
      </c>
      <c r="N1154" s="50" t="s">
        <v>22</v>
      </c>
      <c r="O1154" s="47" t="s">
        <v>21</v>
      </c>
    </row>
    <row r="1155" spans="1:15">
      <c r="A1155" s="71">
        <v>2024</v>
      </c>
      <c r="B1155" s="16" t="s">
        <v>327</v>
      </c>
      <c r="C1155" s="62" t="s">
        <v>1686</v>
      </c>
      <c r="D1155" s="47" t="s">
        <v>698</v>
      </c>
      <c r="E1155" s="48" t="s">
        <v>1687</v>
      </c>
      <c r="F1155" s="99">
        <v>4</v>
      </c>
      <c r="G1155" s="42" t="s">
        <v>238</v>
      </c>
      <c r="H1155" s="44">
        <v>11438.5</v>
      </c>
      <c r="I1155" s="49">
        <f t="shared" si="73"/>
        <v>45754</v>
      </c>
      <c r="J1155" s="529">
        <f>H1155-500</f>
        <v>10938.5</v>
      </c>
      <c r="K1155" s="529">
        <f t="shared" ref="K1155:K1218" si="75">H1155-J1155</f>
        <v>500</v>
      </c>
      <c r="L1155" s="530">
        <f t="shared" si="74"/>
        <v>2000</v>
      </c>
      <c r="M1155" s="536">
        <f t="shared" ref="M1155:M1218" si="76">K1155/H1155</f>
        <v>4.3712025178126501E-2</v>
      </c>
      <c r="N1155" s="50" t="s">
        <v>38</v>
      </c>
      <c r="O1155" s="47" t="s">
        <v>39</v>
      </c>
    </row>
    <row r="1156" spans="1:15">
      <c r="A1156" s="71">
        <v>2024</v>
      </c>
      <c r="B1156" s="16" t="s">
        <v>327</v>
      </c>
      <c r="C1156" s="62" t="s">
        <v>1686</v>
      </c>
      <c r="D1156" s="47" t="s">
        <v>698</v>
      </c>
      <c r="E1156" s="48" t="s">
        <v>1688</v>
      </c>
      <c r="F1156" s="99">
        <v>6</v>
      </c>
      <c r="G1156" s="42" t="s">
        <v>238</v>
      </c>
      <c r="H1156" s="44">
        <v>10582.5</v>
      </c>
      <c r="I1156" s="49">
        <f t="shared" si="73"/>
        <v>63495</v>
      </c>
      <c r="J1156" s="529">
        <f>H1156-500</f>
        <v>10082.5</v>
      </c>
      <c r="K1156" s="529">
        <f t="shared" si="75"/>
        <v>500</v>
      </c>
      <c r="L1156" s="530">
        <f t="shared" si="74"/>
        <v>3000</v>
      </c>
      <c r="M1156" s="536">
        <f t="shared" si="76"/>
        <v>4.7247814788566031E-2</v>
      </c>
      <c r="N1156" s="64" t="s">
        <v>38</v>
      </c>
      <c r="O1156" s="47" t="s">
        <v>39</v>
      </c>
    </row>
    <row r="1157" spans="1:15">
      <c r="A1157" s="71">
        <v>2024</v>
      </c>
      <c r="B1157" s="16" t="s">
        <v>327</v>
      </c>
      <c r="C1157" s="62" t="s">
        <v>1689</v>
      </c>
      <c r="D1157" s="47" t="s">
        <v>192</v>
      </c>
      <c r="E1157" s="48" t="s">
        <v>976</v>
      </c>
      <c r="F1157" s="99">
        <v>6300</v>
      </c>
      <c r="G1157" s="42" t="s">
        <v>337</v>
      </c>
      <c r="H1157" s="44">
        <v>56.5</v>
      </c>
      <c r="I1157" s="49">
        <f t="shared" si="73"/>
        <v>355950</v>
      </c>
      <c r="J1157" s="529">
        <v>56</v>
      </c>
      <c r="K1157" s="529">
        <f t="shared" si="75"/>
        <v>0.5</v>
      </c>
      <c r="L1157" s="530">
        <f t="shared" si="74"/>
        <v>3150</v>
      </c>
      <c r="M1157" s="536">
        <f t="shared" si="76"/>
        <v>8.8495575221238937E-3</v>
      </c>
      <c r="N1157" s="64" t="s">
        <v>38</v>
      </c>
      <c r="O1157" s="47" t="s">
        <v>39</v>
      </c>
    </row>
    <row r="1158" spans="1:15">
      <c r="A1158" s="71">
        <v>2024</v>
      </c>
      <c r="B1158" s="16" t="s">
        <v>327</v>
      </c>
      <c r="C1158" s="62" t="s">
        <v>1690</v>
      </c>
      <c r="D1158" s="47" t="s">
        <v>68</v>
      </c>
      <c r="E1158" s="47" t="s">
        <v>755</v>
      </c>
      <c r="F1158" s="99">
        <v>1985.4</v>
      </c>
      <c r="G1158" s="42" t="s">
        <v>37</v>
      </c>
      <c r="H1158" s="44">
        <v>360</v>
      </c>
      <c r="I1158" s="49">
        <f t="shared" si="73"/>
        <v>714744</v>
      </c>
      <c r="J1158" s="529">
        <v>359</v>
      </c>
      <c r="K1158" s="529">
        <f t="shared" si="75"/>
        <v>1</v>
      </c>
      <c r="L1158" s="530">
        <f t="shared" si="74"/>
        <v>1985.4</v>
      </c>
      <c r="M1158" s="536">
        <f t="shared" si="76"/>
        <v>2.7777777777777779E-3</v>
      </c>
      <c r="N1158" s="50" t="s">
        <v>22</v>
      </c>
      <c r="O1158" s="47" t="s">
        <v>105</v>
      </c>
    </row>
    <row r="1159" spans="1:15">
      <c r="A1159" s="71">
        <v>2024</v>
      </c>
      <c r="B1159" s="16" t="s">
        <v>327</v>
      </c>
      <c r="C1159" s="62" t="s">
        <v>1691</v>
      </c>
      <c r="D1159" s="47" t="s">
        <v>1670</v>
      </c>
      <c r="E1159" s="48" t="s">
        <v>1692</v>
      </c>
      <c r="F1159" s="99">
        <v>2</v>
      </c>
      <c r="G1159" s="42" t="s">
        <v>19</v>
      </c>
      <c r="H1159" s="44">
        <v>1850</v>
      </c>
      <c r="I1159" s="49">
        <f t="shared" si="73"/>
        <v>3700</v>
      </c>
      <c r="J1159" s="529">
        <v>1800</v>
      </c>
      <c r="K1159" s="529">
        <f t="shared" si="75"/>
        <v>50</v>
      </c>
      <c r="L1159" s="530">
        <f t="shared" si="74"/>
        <v>100</v>
      </c>
      <c r="M1159" s="536">
        <f t="shared" si="76"/>
        <v>2.7027027027027029E-2</v>
      </c>
      <c r="N1159" s="50" t="s">
        <v>22</v>
      </c>
      <c r="O1159" s="47" t="s">
        <v>21</v>
      </c>
    </row>
    <row r="1160" spans="1:15">
      <c r="A1160" s="71">
        <v>2024</v>
      </c>
      <c r="B1160" s="16" t="s">
        <v>327</v>
      </c>
      <c r="C1160" s="62" t="s">
        <v>1691</v>
      </c>
      <c r="D1160" s="47" t="s">
        <v>1670</v>
      </c>
      <c r="E1160" s="48" t="s">
        <v>1693</v>
      </c>
      <c r="F1160" s="99">
        <v>2</v>
      </c>
      <c r="G1160" s="42" t="s">
        <v>19</v>
      </c>
      <c r="H1160" s="44">
        <v>1850</v>
      </c>
      <c r="I1160" s="49">
        <f t="shared" si="73"/>
        <v>3700</v>
      </c>
      <c r="J1160" s="529">
        <v>1500</v>
      </c>
      <c r="K1160" s="529">
        <f t="shared" si="75"/>
        <v>350</v>
      </c>
      <c r="L1160" s="530">
        <f t="shared" si="74"/>
        <v>700</v>
      </c>
      <c r="M1160" s="536">
        <f t="shared" si="76"/>
        <v>0.1891891891891892</v>
      </c>
      <c r="N1160" s="64" t="s">
        <v>22</v>
      </c>
      <c r="O1160" s="47" t="s">
        <v>21</v>
      </c>
    </row>
    <row r="1161" spans="1:15">
      <c r="A1161" s="71">
        <v>2024</v>
      </c>
      <c r="B1161" s="16" t="s">
        <v>327</v>
      </c>
      <c r="C1161" s="62" t="s">
        <v>1694</v>
      </c>
      <c r="D1161" s="47" t="s">
        <v>24</v>
      </c>
      <c r="E1161" s="48" t="s">
        <v>1695</v>
      </c>
      <c r="F1161" s="99">
        <v>18</v>
      </c>
      <c r="G1161" s="42" t="s">
        <v>19</v>
      </c>
      <c r="H1161" s="44">
        <v>285</v>
      </c>
      <c r="I1161" s="49">
        <f t="shared" ref="I1161:I1170" si="77">H1161*F1161</f>
        <v>5130</v>
      </c>
      <c r="J1161" s="529">
        <v>195</v>
      </c>
      <c r="K1161" s="529">
        <f t="shared" si="75"/>
        <v>90</v>
      </c>
      <c r="L1161" s="530">
        <f t="shared" si="74"/>
        <v>1620</v>
      </c>
      <c r="M1161" s="536">
        <f t="shared" si="76"/>
        <v>0.31578947368421051</v>
      </c>
      <c r="N1161" s="64" t="s">
        <v>22</v>
      </c>
      <c r="O1161" s="47" t="s">
        <v>21</v>
      </c>
    </row>
    <row r="1162" spans="1:15">
      <c r="A1162" s="71">
        <v>2024</v>
      </c>
      <c r="B1162" s="16" t="s">
        <v>327</v>
      </c>
      <c r="C1162" s="62" t="s">
        <v>1696</v>
      </c>
      <c r="D1162" s="47" t="s">
        <v>17</v>
      </c>
      <c r="E1162" s="48" t="s">
        <v>1697</v>
      </c>
      <c r="F1162" s="99">
        <v>56.7</v>
      </c>
      <c r="G1162" s="42" t="s">
        <v>37</v>
      </c>
      <c r="H1162" s="44">
        <v>725</v>
      </c>
      <c r="I1162" s="49">
        <f t="shared" si="77"/>
        <v>41107.5</v>
      </c>
      <c r="J1162" s="529">
        <v>630</v>
      </c>
      <c r="K1162" s="529">
        <f t="shared" si="75"/>
        <v>95</v>
      </c>
      <c r="L1162" s="530">
        <f t="shared" si="74"/>
        <v>5386.5</v>
      </c>
      <c r="M1162" s="536">
        <f t="shared" si="76"/>
        <v>0.1310344827586207</v>
      </c>
      <c r="N1162" s="64" t="s">
        <v>20</v>
      </c>
      <c r="O1162" s="47" t="s">
        <v>21</v>
      </c>
    </row>
    <row r="1163" spans="1:15">
      <c r="A1163" s="71">
        <v>2024</v>
      </c>
      <c r="B1163" s="16" t="s">
        <v>327</v>
      </c>
      <c r="C1163" s="62" t="s">
        <v>1698</v>
      </c>
      <c r="D1163" s="47" t="s">
        <v>96</v>
      </c>
      <c r="E1163" s="48" t="s">
        <v>99</v>
      </c>
      <c r="F1163" s="99">
        <v>50</v>
      </c>
      <c r="G1163" s="42" t="s">
        <v>98</v>
      </c>
      <c r="H1163" s="44">
        <v>805</v>
      </c>
      <c r="I1163" s="49">
        <f t="shared" si="77"/>
        <v>40250</v>
      </c>
      <c r="J1163" s="529">
        <v>432</v>
      </c>
      <c r="K1163" s="529">
        <f t="shared" si="75"/>
        <v>373</v>
      </c>
      <c r="L1163" s="530">
        <f t="shared" si="74"/>
        <v>18650</v>
      </c>
      <c r="M1163" s="536">
        <f t="shared" si="76"/>
        <v>0.46335403726708074</v>
      </c>
      <c r="N1163" s="64" t="s">
        <v>22</v>
      </c>
      <c r="O1163" s="47" t="s">
        <v>21</v>
      </c>
    </row>
    <row r="1164" spans="1:15">
      <c r="A1164" s="71">
        <v>2024</v>
      </c>
      <c r="B1164" s="16" t="s">
        <v>327</v>
      </c>
      <c r="C1164" s="62" t="s">
        <v>1699</v>
      </c>
      <c r="D1164" s="47" t="s">
        <v>946</v>
      </c>
      <c r="E1164" s="48" t="s">
        <v>1700</v>
      </c>
      <c r="F1164" s="99">
        <v>2000</v>
      </c>
      <c r="G1164" s="42" t="s">
        <v>1701</v>
      </c>
      <c r="H1164" s="44">
        <v>22.5</v>
      </c>
      <c r="I1164" s="49">
        <f t="shared" si="77"/>
        <v>45000</v>
      </c>
      <c r="J1164" s="529">
        <v>21.375</v>
      </c>
      <c r="K1164" s="529">
        <f t="shared" si="75"/>
        <v>1.125</v>
      </c>
      <c r="L1164" s="530">
        <f t="shared" si="74"/>
        <v>2250</v>
      </c>
      <c r="M1164" s="536">
        <f t="shared" si="76"/>
        <v>0.05</v>
      </c>
      <c r="N1164" s="64" t="s">
        <v>38</v>
      </c>
      <c r="O1164" s="47" t="s">
        <v>21</v>
      </c>
    </row>
    <row r="1165" spans="1:15">
      <c r="A1165" s="71">
        <v>2024</v>
      </c>
      <c r="B1165" s="16" t="s">
        <v>327</v>
      </c>
      <c r="C1165" s="62" t="s">
        <v>1702</v>
      </c>
      <c r="D1165" s="47" t="s">
        <v>157</v>
      </c>
      <c r="E1165" s="48" t="s">
        <v>1703</v>
      </c>
      <c r="F1165" s="99">
        <v>3</v>
      </c>
      <c r="G1165" s="42" t="s">
        <v>19</v>
      </c>
      <c r="H1165" s="44">
        <v>12800</v>
      </c>
      <c r="I1165" s="49">
        <f t="shared" si="77"/>
        <v>38400</v>
      </c>
      <c r="J1165" s="529">
        <v>9600</v>
      </c>
      <c r="K1165" s="529">
        <f t="shared" si="75"/>
        <v>3200</v>
      </c>
      <c r="L1165" s="530">
        <f t="shared" si="74"/>
        <v>9600</v>
      </c>
      <c r="M1165" s="536">
        <f t="shared" si="76"/>
        <v>0.25</v>
      </c>
      <c r="N1165" s="64" t="s">
        <v>22</v>
      </c>
      <c r="O1165" s="47" t="s">
        <v>21</v>
      </c>
    </row>
    <row r="1166" spans="1:15">
      <c r="A1166" s="71">
        <v>2024</v>
      </c>
      <c r="B1166" s="16" t="s">
        <v>327</v>
      </c>
      <c r="C1166" s="62" t="s">
        <v>1704</v>
      </c>
      <c r="D1166" s="47" t="s">
        <v>182</v>
      </c>
      <c r="E1166" s="48" t="s">
        <v>1705</v>
      </c>
      <c r="F1166" s="99">
        <v>1</v>
      </c>
      <c r="G1166" s="42" t="s">
        <v>19</v>
      </c>
      <c r="H1166" s="44">
        <v>9800</v>
      </c>
      <c r="I1166" s="49">
        <f t="shared" si="77"/>
        <v>9800</v>
      </c>
      <c r="J1166" s="529">
        <v>7644</v>
      </c>
      <c r="K1166" s="529">
        <f t="shared" si="75"/>
        <v>2156</v>
      </c>
      <c r="L1166" s="530">
        <f t="shared" si="74"/>
        <v>2156</v>
      </c>
      <c r="M1166" s="536">
        <f t="shared" si="76"/>
        <v>0.22</v>
      </c>
      <c r="N1166" s="64" t="s">
        <v>22</v>
      </c>
      <c r="O1166" s="47" t="s">
        <v>21</v>
      </c>
    </row>
    <row r="1167" spans="1:15">
      <c r="A1167" s="71">
        <v>2024</v>
      </c>
      <c r="B1167" s="16" t="s">
        <v>327</v>
      </c>
      <c r="C1167" s="62" t="s">
        <v>1706</v>
      </c>
      <c r="D1167" s="47" t="s">
        <v>260</v>
      </c>
      <c r="E1167" s="48" t="s">
        <v>1707</v>
      </c>
      <c r="F1167" s="99">
        <v>1</v>
      </c>
      <c r="G1167" s="42" t="s">
        <v>19</v>
      </c>
      <c r="H1167" s="44">
        <v>76700</v>
      </c>
      <c r="I1167" s="49">
        <f t="shared" si="77"/>
        <v>76700</v>
      </c>
      <c r="J1167" s="529">
        <v>52000</v>
      </c>
      <c r="K1167" s="529">
        <f t="shared" si="75"/>
        <v>24700</v>
      </c>
      <c r="L1167" s="530">
        <f t="shared" si="74"/>
        <v>24700</v>
      </c>
      <c r="M1167" s="536">
        <f t="shared" si="76"/>
        <v>0.32203389830508472</v>
      </c>
      <c r="N1167" s="64" t="s">
        <v>22</v>
      </c>
      <c r="O1167" s="47" t="s">
        <v>21</v>
      </c>
    </row>
    <row r="1168" spans="1:15">
      <c r="A1168" s="71">
        <v>2024</v>
      </c>
      <c r="B1168" s="16" t="s">
        <v>327</v>
      </c>
      <c r="C1168" s="62" t="s">
        <v>1708</v>
      </c>
      <c r="D1168" s="47" t="s">
        <v>345</v>
      </c>
      <c r="E1168" s="153" t="s">
        <v>1709</v>
      </c>
      <c r="F1168" s="461">
        <v>1</v>
      </c>
      <c r="G1168" s="42" t="s">
        <v>569</v>
      </c>
      <c r="H1168" s="493">
        <v>59460</v>
      </c>
      <c r="I1168" s="49">
        <f t="shared" si="77"/>
        <v>59460</v>
      </c>
      <c r="J1168" s="529">
        <v>56000</v>
      </c>
      <c r="K1168" s="529">
        <f t="shared" si="75"/>
        <v>3460</v>
      </c>
      <c r="L1168" s="530">
        <f t="shared" si="74"/>
        <v>3460</v>
      </c>
      <c r="M1168" s="536">
        <f t="shared" si="76"/>
        <v>5.8190380087453752E-2</v>
      </c>
      <c r="N1168" s="64" t="s">
        <v>38</v>
      </c>
      <c r="O1168" s="47" t="s">
        <v>21</v>
      </c>
    </row>
    <row r="1169" spans="1:15">
      <c r="A1169" s="71">
        <v>2024</v>
      </c>
      <c r="B1169" s="16" t="s">
        <v>327</v>
      </c>
      <c r="C1169" s="62" t="s">
        <v>1710</v>
      </c>
      <c r="D1169" s="47" t="s">
        <v>335</v>
      </c>
      <c r="E1169" s="153"/>
      <c r="F1169" s="461">
        <v>70000</v>
      </c>
      <c r="G1169" s="42" t="s">
        <v>337</v>
      </c>
      <c r="H1169" s="494">
        <v>36.5</v>
      </c>
      <c r="I1169" s="49">
        <f t="shared" si="77"/>
        <v>2555000</v>
      </c>
      <c r="J1169" s="549">
        <v>36</v>
      </c>
      <c r="K1169" s="529">
        <f t="shared" si="75"/>
        <v>0.5</v>
      </c>
      <c r="L1169" s="530">
        <f t="shared" si="74"/>
        <v>35000</v>
      </c>
      <c r="M1169" s="536">
        <f t="shared" si="76"/>
        <v>1.3698630136986301E-2</v>
      </c>
      <c r="N1169" s="64" t="s">
        <v>22</v>
      </c>
      <c r="O1169" s="47" t="s">
        <v>39</v>
      </c>
    </row>
    <row r="1170" spans="1:15">
      <c r="A1170" s="71">
        <v>2024</v>
      </c>
      <c r="B1170" s="16" t="s">
        <v>327</v>
      </c>
      <c r="C1170" s="62" t="s">
        <v>1711</v>
      </c>
      <c r="D1170" s="47" t="s">
        <v>335</v>
      </c>
      <c r="E1170" s="153"/>
      <c r="F1170" s="461">
        <v>14000</v>
      </c>
      <c r="G1170" s="42" t="s">
        <v>337</v>
      </c>
      <c r="H1170" s="494">
        <v>36.5</v>
      </c>
      <c r="I1170" s="49">
        <f t="shared" si="77"/>
        <v>511000</v>
      </c>
      <c r="J1170" s="549">
        <v>36</v>
      </c>
      <c r="K1170" s="529">
        <f t="shared" si="75"/>
        <v>0.5</v>
      </c>
      <c r="L1170" s="530">
        <f t="shared" si="74"/>
        <v>7000</v>
      </c>
      <c r="M1170" s="536">
        <f t="shared" si="76"/>
        <v>1.3698630136986301E-2</v>
      </c>
      <c r="N1170" s="64" t="s">
        <v>22</v>
      </c>
      <c r="O1170" s="47" t="s">
        <v>39</v>
      </c>
    </row>
    <row r="1171" spans="1:15">
      <c r="A1171" s="71">
        <v>2024</v>
      </c>
      <c r="B1171" s="16" t="s">
        <v>327</v>
      </c>
      <c r="C1171" s="62"/>
      <c r="D1171" s="47" t="s">
        <v>1227</v>
      </c>
      <c r="E1171" s="47" t="s">
        <v>1602</v>
      </c>
      <c r="F1171" s="461">
        <v>1</v>
      </c>
      <c r="G1171" s="42" t="s">
        <v>1603</v>
      </c>
      <c r="H1171" s="496">
        <v>5005465.7</v>
      </c>
      <c r="I1171" s="512">
        <v>5005465.7</v>
      </c>
      <c r="J1171" s="549">
        <v>4903835.7</v>
      </c>
      <c r="K1171" s="529">
        <f t="shared" si="75"/>
        <v>101630</v>
      </c>
      <c r="L1171" s="530">
        <f t="shared" si="74"/>
        <v>101630</v>
      </c>
      <c r="M1171" s="536">
        <f t="shared" si="76"/>
        <v>2.030380509849463E-2</v>
      </c>
      <c r="N1171" s="64" t="s">
        <v>38</v>
      </c>
      <c r="O1171" s="47" t="s">
        <v>39</v>
      </c>
    </row>
    <row r="1172" spans="1:15">
      <c r="A1172" s="71">
        <v>2024</v>
      </c>
      <c r="B1172" s="16" t="s">
        <v>327</v>
      </c>
      <c r="C1172" s="62" t="s">
        <v>1712</v>
      </c>
      <c r="D1172" s="47" t="s">
        <v>617</v>
      </c>
      <c r="E1172" s="47" t="s">
        <v>1601</v>
      </c>
      <c r="F1172" s="99">
        <v>39352</v>
      </c>
      <c r="G1172" s="42" t="s">
        <v>1605</v>
      </c>
      <c r="H1172" s="44">
        <v>31.8</v>
      </c>
      <c r="I1172" s="49">
        <f t="shared" ref="I1172:I1203" si="78">H1172*F1172</f>
        <v>1251393.6000000001</v>
      </c>
      <c r="J1172" s="529">
        <v>31.5</v>
      </c>
      <c r="K1172" s="529">
        <f t="shared" si="75"/>
        <v>0.30000000000000071</v>
      </c>
      <c r="L1172" s="530">
        <f t="shared" si="74"/>
        <v>11805.600000000028</v>
      </c>
      <c r="M1172" s="536">
        <f t="shared" si="76"/>
        <v>9.4339622641509656E-3</v>
      </c>
      <c r="N1172" s="64" t="s">
        <v>22</v>
      </c>
      <c r="O1172" s="47" t="s">
        <v>39</v>
      </c>
    </row>
    <row r="1173" spans="1:15">
      <c r="A1173" s="71">
        <v>2024</v>
      </c>
      <c r="B1173" s="16" t="s">
        <v>464</v>
      </c>
      <c r="C1173" s="62" t="s">
        <v>1713</v>
      </c>
      <c r="D1173" s="47" t="s">
        <v>335</v>
      </c>
      <c r="E1173" s="153" t="s">
        <v>336</v>
      </c>
      <c r="F1173" s="461">
        <v>42000</v>
      </c>
      <c r="G1173" s="42" t="s">
        <v>337</v>
      </c>
      <c r="H1173" s="496">
        <v>36</v>
      </c>
      <c r="I1173" s="49">
        <f t="shared" si="78"/>
        <v>1512000</v>
      </c>
      <c r="J1173" s="549">
        <v>35.5</v>
      </c>
      <c r="K1173" s="529">
        <f t="shared" si="75"/>
        <v>0.5</v>
      </c>
      <c r="L1173" s="530">
        <f t="shared" si="74"/>
        <v>21000</v>
      </c>
      <c r="M1173" s="536">
        <f t="shared" si="76"/>
        <v>1.3888888888888888E-2</v>
      </c>
      <c r="N1173" s="64" t="s">
        <v>38</v>
      </c>
      <c r="O1173" s="47" t="s">
        <v>39</v>
      </c>
    </row>
    <row r="1174" spans="1:15">
      <c r="A1174" s="71">
        <v>2024</v>
      </c>
      <c r="B1174" s="16" t="s">
        <v>464</v>
      </c>
      <c r="C1174" s="62" t="s">
        <v>1714</v>
      </c>
      <c r="D1174" s="47" t="s">
        <v>192</v>
      </c>
      <c r="E1174" s="153" t="s">
        <v>1715</v>
      </c>
      <c r="F1174" s="461">
        <v>2200</v>
      </c>
      <c r="G1174" s="42" t="s">
        <v>231</v>
      </c>
      <c r="H1174" s="496">
        <v>245</v>
      </c>
      <c r="I1174" s="49">
        <f t="shared" si="78"/>
        <v>539000</v>
      </c>
      <c r="J1174" s="549">
        <v>235</v>
      </c>
      <c r="K1174" s="529">
        <f t="shared" si="75"/>
        <v>10</v>
      </c>
      <c r="L1174" s="530">
        <f t="shared" si="74"/>
        <v>22000</v>
      </c>
      <c r="M1174" s="536">
        <f t="shared" si="76"/>
        <v>4.0816326530612242E-2</v>
      </c>
      <c r="N1174" s="64" t="s">
        <v>22</v>
      </c>
      <c r="O1174" s="47" t="s">
        <v>39</v>
      </c>
    </row>
    <row r="1175" spans="1:15">
      <c r="A1175" s="71">
        <v>2024</v>
      </c>
      <c r="B1175" s="16" t="s">
        <v>464</v>
      </c>
      <c r="C1175" s="62" t="s">
        <v>1716</v>
      </c>
      <c r="D1175" s="47" t="s">
        <v>1119</v>
      </c>
      <c r="E1175" s="153" t="s">
        <v>1717</v>
      </c>
      <c r="F1175" s="461">
        <v>1</v>
      </c>
      <c r="G1175" s="42" t="s">
        <v>63</v>
      </c>
      <c r="H1175" s="496">
        <v>6000</v>
      </c>
      <c r="I1175" s="49">
        <f t="shared" si="78"/>
        <v>6000</v>
      </c>
      <c r="J1175" s="549">
        <v>5500</v>
      </c>
      <c r="K1175" s="529">
        <f t="shared" si="75"/>
        <v>500</v>
      </c>
      <c r="L1175" s="530">
        <f t="shared" si="74"/>
        <v>500</v>
      </c>
      <c r="M1175" s="536">
        <f t="shared" si="76"/>
        <v>8.3333333333333329E-2</v>
      </c>
      <c r="N1175" s="64" t="s">
        <v>38</v>
      </c>
      <c r="O1175" s="47" t="s">
        <v>39</v>
      </c>
    </row>
    <row r="1176" spans="1:15">
      <c r="A1176" s="71">
        <v>2024</v>
      </c>
      <c r="B1176" s="16" t="s">
        <v>464</v>
      </c>
      <c r="C1176" s="62" t="s">
        <v>1716</v>
      </c>
      <c r="D1176" s="47" t="s">
        <v>1119</v>
      </c>
      <c r="E1176" s="153" t="s">
        <v>1718</v>
      </c>
      <c r="F1176" s="461">
        <v>118</v>
      </c>
      <c r="G1176" s="42" t="s">
        <v>63</v>
      </c>
      <c r="H1176" s="496">
        <v>190</v>
      </c>
      <c r="I1176" s="49">
        <f t="shared" si="78"/>
        <v>22420</v>
      </c>
      <c r="J1176" s="549">
        <v>180</v>
      </c>
      <c r="K1176" s="529">
        <f t="shared" si="75"/>
        <v>10</v>
      </c>
      <c r="L1176" s="530">
        <f t="shared" si="74"/>
        <v>1180</v>
      </c>
      <c r="M1176" s="536">
        <f t="shared" si="76"/>
        <v>5.2631578947368418E-2</v>
      </c>
      <c r="N1176" s="64" t="s">
        <v>38</v>
      </c>
      <c r="O1176" s="47" t="s">
        <v>39</v>
      </c>
    </row>
    <row r="1177" spans="1:15">
      <c r="A1177" s="71">
        <v>2024</v>
      </c>
      <c r="B1177" s="16" t="s">
        <v>464</v>
      </c>
      <c r="C1177" s="62" t="s">
        <v>1716</v>
      </c>
      <c r="D1177" s="47" t="s">
        <v>1119</v>
      </c>
      <c r="E1177" s="153" t="s">
        <v>1719</v>
      </c>
      <c r="F1177" s="461">
        <v>146</v>
      </c>
      <c r="G1177" s="42" t="s">
        <v>63</v>
      </c>
      <c r="H1177" s="496">
        <v>600</v>
      </c>
      <c r="I1177" s="49">
        <f t="shared" si="78"/>
        <v>87600</v>
      </c>
      <c r="J1177" s="549">
        <v>500</v>
      </c>
      <c r="K1177" s="529">
        <f t="shared" si="75"/>
        <v>100</v>
      </c>
      <c r="L1177" s="530">
        <f t="shared" si="74"/>
        <v>14600</v>
      </c>
      <c r="M1177" s="536">
        <f t="shared" si="76"/>
        <v>0.16666666666666666</v>
      </c>
      <c r="N1177" s="64" t="s">
        <v>38</v>
      </c>
      <c r="O1177" s="47" t="s">
        <v>39</v>
      </c>
    </row>
    <row r="1178" spans="1:15">
      <c r="A1178" s="71">
        <v>2024</v>
      </c>
      <c r="B1178" s="16" t="s">
        <v>464</v>
      </c>
      <c r="C1178" s="62" t="s">
        <v>1716</v>
      </c>
      <c r="D1178" s="47" t="s">
        <v>1119</v>
      </c>
      <c r="E1178" s="153" t="s">
        <v>1720</v>
      </c>
      <c r="F1178" s="461">
        <v>438</v>
      </c>
      <c r="G1178" s="42" t="s">
        <v>469</v>
      </c>
      <c r="H1178" s="496">
        <v>30</v>
      </c>
      <c r="I1178" s="49">
        <f t="shared" si="78"/>
        <v>13140</v>
      </c>
      <c r="J1178" s="549">
        <v>25</v>
      </c>
      <c r="K1178" s="529">
        <f t="shared" si="75"/>
        <v>5</v>
      </c>
      <c r="L1178" s="530">
        <f t="shared" si="74"/>
        <v>2190</v>
      </c>
      <c r="M1178" s="536">
        <f t="shared" si="76"/>
        <v>0.16666666666666666</v>
      </c>
      <c r="N1178" s="64" t="s">
        <v>38</v>
      </c>
      <c r="O1178" s="47" t="s">
        <v>39</v>
      </c>
    </row>
    <row r="1179" spans="1:15">
      <c r="A1179" s="71">
        <v>2024</v>
      </c>
      <c r="B1179" s="16" t="s">
        <v>464</v>
      </c>
      <c r="C1179" s="62" t="s">
        <v>1721</v>
      </c>
      <c r="D1179" s="47" t="s">
        <v>1722</v>
      </c>
      <c r="E1179" s="153" t="s">
        <v>1723</v>
      </c>
      <c r="F1179" s="461">
        <v>505</v>
      </c>
      <c r="G1179" s="42" t="s">
        <v>63</v>
      </c>
      <c r="H1179" s="496">
        <v>1700</v>
      </c>
      <c r="I1179" s="49">
        <f t="shared" si="78"/>
        <v>858500</v>
      </c>
      <c r="J1179" s="549">
        <v>1530</v>
      </c>
      <c r="K1179" s="529">
        <f t="shared" si="75"/>
        <v>170</v>
      </c>
      <c r="L1179" s="530">
        <f t="shared" si="74"/>
        <v>85850</v>
      </c>
      <c r="M1179" s="536">
        <f t="shared" si="76"/>
        <v>0.1</v>
      </c>
      <c r="N1179" s="64" t="s">
        <v>38</v>
      </c>
      <c r="O1179" s="47" t="s">
        <v>39</v>
      </c>
    </row>
    <row r="1180" spans="1:15">
      <c r="A1180" s="71">
        <v>2024</v>
      </c>
      <c r="B1180" s="16" t="s">
        <v>464</v>
      </c>
      <c r="C1180" s="62" t="s">
        <v>1724</v>
      </c>
      <c r="D1180" s="47" t="s">
        <v>166</v>
      </c>
      <c r="E1180" s="48" t="s">
        <v>1725</v>
      </c>
      <c r="F1180" s="99">
        <v>30500</v>
      </c>
      <c r="G1180" s="42" t="s">
        <v>231</v>
      </c>
      <c r="H1180" s="44">
        <v>353.23</v>
      </c>
      <c r="I1180" s="49">
        <f t="shared" si="78"/>
        <v>10773515</v>
      </c>
      <c r="J1180" s="529">
        <v>352.5</v>
      </c>
      <c r="K1180" s="529">
        <f t="shared" si="75"/>
        <v>0.73000000000001819</v>
      </c>
      <c r="L1180" s="530">
        <f t="shared" si="74"/>
        <v>22265.000000000553</v>
      </c>
      <c r="M1180" s="536">
        <f t="shared" si="76"/>
        <v>2.0666421311893615E-3</v>
      </c>
      <c r="N1180" s="64" t="s">
        <v>22</v>
      </c>
      <c r="O1180" s="47" t="s">
        <v>39</v>
      </c>
    </row>
    <row r="1181" spans="1:15">
      <c r="A1181" s="71">
        <v>2024</v>
      </c>
      <c r="B1181" s="16" t="s">
        <v>464</v>
      </c>
      <c r="C1181" s="62" t="s">
        <v>1726</v>
      </c>
      <c r="D1181" s="155" t="s">
        <v>708</v>
      </c>
      <c r="E1181" s="417" t="s">
        <v>49</v>
      </c>
      <c r="F1181" s="470">
        <v>45500</v>
      </c>
      <c r="G1181" s="417" t="s">
        <v>37</v>
      </c>
      <c r="H1181" s="44">
        <v>365</v>
      </c>
      <c r="I1181" s="49">
        <f t="shared" si="78"/>
        <v>16607500</v>
      </c>
      <c r="J1181" s="529">
        <v>342</v>
      </c>
      <c r="K1181" s="529">
        <f t="shared" si="75"/>
        <v>23</v>
      </c>
      <c r="L1181" s="530">
        <f t="shared" si="74"/>
        <v>1046500</v>
      </c>
      <c r="M1181" s="536">
        <f t="shared" si="76"/>
        <v>6.3013698630136991E-2</v>
      </c>
      <c r="N1181" s="64" t="s">
        <v>22</v>
      </c>
      <c r="O1181" s="47" t="s">
        <v>39</v>
      </c>
    </row>
    <row r="1182" spans="1:15">
      <c r="A1182" s="71">
        <v>2024</v>
      </c>
      <c r="B1182" s="16" t="s">
        <v>464</v>
      </c>
      <c r="C1182" s="62" t="s">
        <v>1727</v>
      </c>
      <c r="D1182" s="47" t="s">
        <v>192</v>
      </c>
      <c r="E1182" s="48" t="s">
        <v>1187</v>
      </c>
      <c r="F1182" s="99">
        <v>1728</v>
      </c>
      <c r="G1182" s="42" t="s">
        <v>19</v>
      </c>
      <c r="H1182" s="44">
        <v>325</v>
      </c>
      <c r="I1182" s="49">
        <f t="shared" si="78"/>
        <v>561600</v>
      </c>
      <c r="J1182" s="529">
        <v>310</v>
      </c>
      <c r="K1182" s="529">
        <f t="shared" si="75"/>
        <v>15</v>
      </c>
      <c r="L1182" s="530">
        <f t="shared" si="74"/>
        <v>25920</v>
      </c>
      <c r="M1182" s="536">
        <f t="shared" si="76"/>
        <v>4.6153846153846156E-2</v>
      </c>
      <c r="N1182" s="64" t="s">
        <v>22</v>
      </c>
      <c r="O1182" s="47" t="s">
        <v>39</v>
      </c>
    </row>
    <row r="1183" spans="1:15">
      <c r="A1183" s="71">
        <v>2024</v>
      </c>
      <c r="B1183" s="16" t="s">
        <v>464</v>
      </c>
      <c r="C1183" s="62" t="s">
        <v>1727</v>
      </c>
      <c r="D1183" s="47" t="s">
        <v>192</v>
      </c>
      <c r="E1183" s="48" t="s">
        <v>1188</v>
      </c>
      <c r="F1183" s="99">
        <v>2100</v>
      </c>
      <c r="G1183" s="42" t="s">
        <v>19</v>
      </c>
      <c r="H1183" s="44">
        <v>26.5</v>
      </c>
      <c r="I1183" s="49">
        <f t="shared" si="78"/>
        <v>55650</v>
      </c>
      <c r="J1183" s="529">
        <v>25.5</v>
      </c>
      <c r="K1183" s="529">
        <f t="shared" si="75"/>
        <v>1</v>
      </c>
      <c r="L1183" s="530">
        <f t="shared" si="74"/>
        <v>2100</v>
      </c>
      <c r="M1183" s="536">
        <f t="shared" si="76"/>
        <v>3.7735849056603772E-2</v>
      </c>
      <c r="N1183" s="64" t="s">
        <v>22</v>
      </c>
      <c r="O1183" s="47" t="s">
        <v>39</v>
      </c>
    </row>
    <row r="1184" spans="1:15">
      <c r="A1184" s="71">
        <v>2024</v>
      </c>
      <c r="B1184" s="16" t="s">
        <v>464</v>
      </c>
      <c r="C1184" s="62" t="s">
        <v>1727</v>
      </c>
      <c r="D1184" s="47" t="s">
        <v>192</v>
      </c>
      <c r="E1184" s="48" t="s">
        <v>1189</v>
      </c>
      <c r="F1184" s="99">
        <v>2100</v>
      </c>
      <c r="G1184" s="42" t="s">
        <v>19</v>
      </c>
      <c r="H1184" s="44">
        <v>26.5</v>
      </c>
      <c r="I1184" s="49">
        <f t="shared" si="78"/>
        <v>55650</v>
      </c>
      <c r="J1184" s="529">
        <v>25.5</v>
      </c>
      <c r="K1184" s="529">
        <f t="shared" si="75"/>
        <v>1</v>
      </c>
      <c r="L1184" s="530">
        <f t="shared" si="74"/>
        <v>2100</v>
      </c>
      <c r="M1184" s="536">
        <f t="shared" si="76"/>
        <v>3.7735849056603772E-2</v>
      </c>
      <c r="N1184" s="64" t="s">
        <v>22</v>
      </c>
      <c r="O1184" s="47" t="s">
        <v>39</v>
      </c>
    </row>
    <row r="1185" spans="1:15">
      <c r="A1185" s="71">
        <v>2024</v>
      </c>
      <c r="B1185" s="16" t="s">
        <v>464</v>
      </c>
      <c r="C1185" s="62" t="s">
        <v>1728</v>
      </c>
      <c r="D1185" s="47" t="s">
        <v>617</v>
      </c>
      <c r="E1185" s="48" t="s">
        <v>1729</v>
      </c>
      <c r="F1185" s="99">
        <v>18000</v>
      </c>
      <c r="G1185" s="42" t="s">
        <v>231</v>
      </c>
      <c r="H1185" s="44">
        <v>31.5</v>
      </c>
      <c r="I1185" s="49">
        <f t="shared" si="78"/>
        <v>567000</v>
      </c>
      <c r="J1185" s="529">
        <v>31</v>
      </c>
      <c r="K1185" s="529">
        <f t="shared" si="75"/>
        <v>0.5</v>
      </c>
      <c r="L1185" s="530">
        <f t="shared" si="74"/>
        <v>9000</v>
      </c>
      <c r="M1185" s="536">
        <f t="shared" si="76"/>
        <v>1.5873015873015872E-2</v>
      </c>
      <c r="N1185" s="64" t="s">
        <v>38</v>
      </c>
      <c r="O1185" s="47" t="s">
        <v>39</v>
      </c>
    </row>
    <row r="1186" spans="1:15">
      <c r="A1186" s="71">
        <v>2024</v>
      </c>
      <c r="B1186" s="16" t="s">
        <v>464</v>
      </c>
      <c r="C1186" s="62" t="s">
        <v>1730</v>
      </c>
      <c r="D1186" s="47" t="s">
        <v>17</v>
      </c>
      <c r="E1186" s="48" t="s">
        <v>1731</v>
      </c>
      <c r="F1186" s="99">
        <v>2</v>
      </c>
      <c r="G1186" s="42" t="s">
        <v>19</v>
      </c>
      <c r="H1186" s="44">
        <v>5085</v>
      </c>
      <c r="I1186" s="49">
        <f t="shared" si="78"/>
        <v>10170</v>
      </c>
      <c r="J1186" s="529">
        <v>4700</v>
      </c>
      <c r="K1186" s="529">
        <f t="shared" si="75"/>
        <v>385</v>
      </c>
      <c r="L1186" s="530">
        <f t="shared" si="74"/>
        <v>770</v>
      </c>
      <c r="M1186" s="536">
        <f t="shared" si="76"/>
        <v>7.571288102261553E-2</v>
      </c>
      <c r="N1186" s="64" t="s">
        <v>22</v>
      </c>
      <c r="O1186" s="47" t="s">
        <v>21</v>
      </c>
    </row>
    <row r="1187" spans="1:15">
      <c r="A1187" s="71">
        <v>2024</v>
      </c>
      <c r="B1187" s="16" t="s">
        <v>464</v>
      </c>
      <c r="C1187" s="62" t="s">
        <v>1732</v>
      </c>
      <c r="D1187" s="47" t="s">
        <v>110</v>
      </c>
      <c r="E1187" s="48" t="s">
        <v>1733</v>
      </c>
      <c r="F1187" s="99">
        <v>1</v>
      </c>
      <c r="G1187" s="42" t="s">
        <v>19</v>
      </c>
      <c r="H1187" s="44">
        <v>29900</v>
      </c>
      <c r="I1187" s="49">
        <f t="shared" si="78"/>
        <v>29900</v>
      </c>
      <c r="J1187" s="529">
        <v>26000</v>
      </c>
      <c r="K1187" s="529">
        <f t="shared" si="75"/>
        <v>3900</v>
      </c>
      <c r="L1187" s="530">
        <f t="shared" si="74"/>
        <v>3900</v>
      </c>
      <c r="M1187" s="536">
        <f t="shared" si="76"/>
        <v>0.13043478260869565</v>
      </c>
      <c r="N1187" s="64" t="s">
        <v>22</v>
      </c>
      <c r="O1187" s="47" t="s">
        <v>21</v>
      </c>
    </row>
    <row r="1188" spans="1:15">
      <c r="A1188" s="71">
        <v>2024</v>
      </c>
      <c r="B1188" s="16" t="s">
        <v>464</v>
      </c>
      <c r="C1188" s="62" t="s">
        <v>1732</v>
      </c>
      <c r="D1188" s="47" t="s">
        <v>110</v>
      </c>
      <c r="E1188" s="48" t="s">
        <v>1734</v>
      </c>
      <c r="F1188" s="99">
        <v>1</v>
      </c>
      <c r="G1188" s="42" t="s">
        <v>19</v>
      </c>
      <c r="H1188" s="44">
        <v>2800</v>
      </c>
      <c r="I1188" s="49">
        <f t="shared" si="78"/>
        <v>2800</v>
      </c>
      <c r="J1188" s="529">
        <v>2750</v>
      </c>
      <c r="K1188" s="529">
        <f t="shared" si="75"/>
        <v>50</v>
      </c>
      <c r="L1188" s="530">
        <f t="shared" si="74"/>
        <v>50</v>
      </c>
      <c r="M1188" s="536">
        <f t="shared" si="76"/>
        <v>1.7857142857142856E-2</v>
      </c>
      <c r="N1188" s="64" t="s">
        <v>22</v>
      </c>
      <c r="O1188" s="47" t="s">
        <v>21</v>
      </c>
    </row>
    <row r="1189" spans="1:15">
      <c r="A1189" s="71">
        <v>2024</v>
      </c>
      <c r="B1189" s="16" t="s">
        <v>464</v>
      </c>
      <c r="C1189" s="62" t="s">
        <v>1732</v>
      </c>
      <c r="D1189" s="47" t="s">
        <v>110</v>
      </c>
      <c r="E1189" s="48" t="s">
        <v>1735</v>
      </c>
      <c r="F1189" s="99">
        <v>1</v>
      </c>
      <c r="G1189" s="42" t="s">
        <v>19</v>
      </c>
      <c r="H1189" s="44">
        <v>3990</v>
      </c>
      <c r="I1189" s="49">
        <f t="shared" si="78"/>
        <v>3990</v>
      </c>
      <c r="J1189" s="529">
        <v>3800</v>
      </c>
      <c r="K1189" s="529">
        <f t="shared" si="75"/>
        <v>190</v>
      </c>
      <c r="L1189" s="530">
        <f t="shared" si="74"/>
        <v>190</v>
      </c>
      <c r="M1189" s="536">
        <f t="shared" si="76"/>
        <v>4.7619047619047616E-2</v>
      </c>
      <c r="N1189" s="64" t="s">
        <v>22</v>
      </c>
      <c r="O1189" s="47" t="s">
        <v>21</v>
      </c>
    </row>
    <row r="1190" spans="1:15">
      <c r="A1190" s="71">
        <v>2024</v>
      </c>
      <c r="B1190" s="16" t="s">
        <v>464</v>
      </c>
      <c r="C1190" s="62" t="s">
        <v>1736</v>
      </c>
      <c r="D1190" s="47" t="s">
        <v>96</v>
      </c>
      <c r="E1190" s="48" t="s">
        <v>99</v>
      </c>
      <c r="F1190" s="99">
        <v>50</v>
      </c>
      <c r="G1190" s="42" t="s">
        <v>19</v>
      </c>
      <c r="H1190" s="44">
        <v>805</v>
      </c>
      <c r="I1190" s="49">
        <f t="shared" si="78"/>
        <v>40250</v>
      </c>
      <c r="J1190" s="529">
        <v>432</v>
      </c>
      <c r="K1190" s="529">
        <f t="shared" si="75"/>
        <v>373</v>
      </c>
      <c r="L1190" s="530">
        <f t="shared" si="74"/>
        <v>18650</v>
      </c>
      <c r="M1190" s="536">
        <f t="shared" si="76"/>
        <v>0.46335403726708074</v>
      </c>
      <c r="N1190" s="64" t="s">
        <v>22</v>
      </c>
      <c r="O1190" s="47" t="s">
        <v>21</v>
      </c>
    </row>
    <row r="1191" spans="1:15">
      <c r="A1191" s="71">
        <v>2024</v>
      </c>
      <c r="B1191" s="16" t="s">
        <v>464</v>
      </c>
      <c r="C1191" s="62" t="s">
        <v>1737</v>
      </c>
      <c r="D1191" s="47" t="s">
        <v>1738</v>
      </c>
      <c r="E1191" s="48" t="s">
        <v>1739</v>
      </c>
      <c r="F1191" s="99">
        <v>60</v>
      </c>
      <c r="G1191" s="42" t="s">
        <v>19</v>
      </c>
      <c r="H1191" s="44">
        <v>295</v>
      </c>
      <c r="I1191" s="49">
        <f t="shared" si="78"/>
        <v>17700</v>
      </c>
      <c r="J1191" s="529">
        <v>115</v>
      </c>
      <c r="K1191" s="529">
        <f t="shared" si="75"/>
        <v>180</v>
      </c>
      <c r="L1191" s="530">
        <f t="shared" si="74"/>
        <v>10800</v>
      </c>
      <c r="M1191" s="536">
        <f t="shared" si="76"/>
        <v>0.61016949152542377</v>
      </c>
      <c r="N1191" s="64" t="s">
        <v>22</v>
      </c>
      <c r="O1191" s="47" t="s">
        <v>21</v>
      </c>
    </row>
    <row r="1192" spans="1:15">
      <c r="A1192" s="71">
        <v>2024</v>
      </c>
      <c r="B1192" s="16" t="s">
        <v>464</v>
      </c>
      <c r="C1192" s="62" t="s">
        <v>1740</v>
      </c>
      <c r="D1192" s="47" t="s">
        <v>118</v>
      </c>
      <c r="E1192" s="48" t="s">
        <v>1741</v>
      </c>
      <c r="F1192" s="99">
        <v>1</v>
      </c>
      <c r="G1192" s="42" t="s">
        <v>19</v>
      </c>
      <c r="H1192" s="44">
        <v>7290</v>
      </c>
      <c r="I1192" s="49">
        <f t="shared" si="78"/>
        <v>7290</v>
      </c>
      <c r="J1192" s="529">
        <v>7178</v>
      </c>
      <c r="K1192" s="529">
        <f t="shared" si="75"/>
        <v>112</v>
      </c>
      <c r="L1192" s="530">
        <f t="shared" si="74"/>
        <v>112</v>
      </c>
      <c r="M1192" s="536">
        <f t="shared" si="76"/>
        <v>1.5363511659807956E-2</v>
      </c>
      <c r="N1192" s="64" t="s">
        <v>22</v>
      </c>
      <c r="O1192" s="47" t="s">
        <v>21</v>
      </c>
    </row>
    <row r="1193" spans="1:15">
      <c r="A1193" s="71">
        <v>2024</v>
      </c>
      <c r="B1193" s="16" t="s">
        <v>464</v>
      </c>
      <c r="C1193" s="62" t="s">
        <v>1742</v>
      </c>
      <c r="D1193" s="48" t="s">
        <v>1566</v>
      </c>
      <c r="E1193" s="48" t="s">
        <v>1566</v>
      </c>
      <c r="F1193" s="99">
        <v>1</v>
      </c>
      <c r="G1193" s="42" t="s">
        <v>285</v>
      </c>
      <c r="H1193" s="44">
        <v>1151800</v>
      </c>
      <c r="I1193" s="49">
        <f t="shared" si="78"/>
        <v>1151800</v>
      </c>
      <c r="J1193" s="529">
        <v>1036620</v>
      </c>
      <c r="K1193" s="529">
        <f t="shared" si="75"/>
        <v>115180</v>
      </c>
      <c r="L1193" s="530">
        <f t="shared" si="74"/>
        <v>115180</v>
      </c>
      <c r="M1193" s="536">
        <f t="shared" si="76"/>
        <v>0.1</v>
      </c>
      <c r="N1193" s="64" t="s">
        <v>38</v>
      </c>
      <c r="O1193" s="47" t="s">
        <v>21</v>
      </c>
    </row>
    <row r="1194" spans="1:15">
      <c r="A1194" s="71">
        <v>2024</v>
      </c>
      <c r="B1194" s="16" t="s">
        <v>464</v>
      </c>
      <c r="C1194" s="62" t="s">
        <v>1743</v>
      </c>
      <c r="D1194" s="47" t="s">
        <v>926</v>
      </c>
      <c r="E1194" s="48" t="s">
        <v>1744</v>
      </c>
      <c r="F1194" s="99">
        <v>1</v>
      </c>
      <c r="G1194" s="42" t="s">
        <v>19</v>
      </c>
      <c r="H1194" s="44">
        <v>2550</v>
      </c>
      <c r="I1194" s="49">
        <f t="shared" si="78"/>
        <v>2550</v>
      </c>
      <c r="J1194" s="529">
        <v>1550</v>
      </c>
      <c r="K1194" s="529">
        <f t="shared" si="75"/>
        <v>1000</v>
      </c>
      <c r="L1194" s="530">
        <f t="shared" si="74"/>
        <v>1000</v>
      </c>
      <c r="M1194" s="536">
        <f t="shared" si="76"/>
        <v>0.39215686274509803</v>
      </c>
      <c r="N1194" s="64" t="s">
        <v>22</v>
      </c>
      <c r="O1194" s="47" t="s">
        <v>21</v>
      </c>
    </row>
    <row r="1195" spans="1:15">
      <c r="A1195" s="71">
        <v>2024</v>
      </c>
      <c r="B1195" s="16" t="s">
        <v>464</v>
      </c>
      <c r="C1195" s="62" t="s">
        <v>1745</v>
      </c>
      <c r="D1195" s="47" t="s">
        <v>27</v>
      </c>
      <c r="E1195" s="48" t="s">
        <v>1746</v>
      </c>
      <c r="F1195" s="99">
        <v>15</v>
      </c>
      <c r="G1195" s="42" t="s">
        <v>19</v>
      </c>
      <c r="H1195" s="44">
        <v>1200</v>
      </c>
      <c r="I1195" s="49">
        <f t="shared" si="78"/>
        <v>18000</v>
      </c>
      <c r="J1195" s="529">
        <v>990</v>
      </c>
      <c r="K1195" s="529">
        <f t="shared" si="75"/>
        <v>210</v>
      </c>
      <c r="L1195" s="530">
        <f t="shared" si="74"/>
        <v>3150</v>
      </c>
      <c r="M1195" s="536">
        <f t="shared" si="76"/>
        <v>0.17499999999999999</v>
      </c>
      <c r="N1195" s="64" t="s">
        <v>20</v>
      </c>
      <c r="O1195" s="47" t="s">
        <v>21</v>
      </c>
    </row>
    <row r="1196" spans="1:15">
      <c r="A1196" s="71">
        <v>2024</v>
      </c>
      <c r="B1196" s="16" t="s">
        <v>464</v>
      </c>
      <c r="C1196" s="62" t="s">
        <v>1747</v>
      </c>
      <c r="D1196" s="47" t="s">
        <v>1748</v>
      </c>
      <c r="E1196" s="48" t="s">
        <v>1749</v>
      </c>
      <c r="F1196" s="99">
        <v>2</v>
      </c>
      <c r="G1196" s="42" t="s">
        <v>19</v>
      </c>
      <c r="H1196" s="44">
        <v>5480</v>
      </c>
      <c r="I1196" s="49">
        <f t="shared" si="78"/>
        <v>10960</v>
      </c>
      <c r="J1196" s="529">
        <v>5380</v>
      </c>
      <c r="K1196" s="529">
        <f t="shared" si="75"/>
        <v>100</v>
      </c>
      <c r="L1196" s="530">
        <f t="shared" si="74"/>
        <v>200</v>
      </c>
      <c r="M1196" s="536">
        <f t="shared" si="76"/>
        <v>1.824817518248175E-2</v>
      </c>
      <c r="N1196" s="64" t="s">
        <v>38</v>
      </c>
      <c r="O1196" s="47" t="s">
        <v>21</v>
      </c>
    </row>
    <row r="1197" spans="1:15">
      <c r="A1197" s="71">
        <v>2024</v>
      </c>
      <c r="B1197" s="16" t="s">
        <v>464</v>
      </c>
      <c r="C1197" s="62" t="s">
        <v>1750</v>
      </c>
      <c r="D1197" s="47" t="s">
        <v>1670</v>
      </c>
      <c r="E1197" s="48" t="s">
        <v>1751</v>
      </c>
      <c r="F1197" s="99">
        <v>1</v>
      </c>
      <c r="G1197" s="42" t="s">
        <v>19</v>
      </c>
      <c r="H1197" s="44">
        <v>17000</v>
      </c>
      <c r="I1197" s="49">
        <f t="shared" si="78"/>
        <v>17000</v>
      </c>
      <c r="J1197" s="529">
        <v>9300</v>
      </c>
      <c r="K1197" s="529">
        <f t="shared" si="75"/>
        <v>7700</v>
      </c>
      <c r="L1197" s="530">
        <f t="shared" si="74"/>
        <v>7700</v>
      </c>
      <c r="M1197" s="536">
        <f t="shared" si="76"/>
        <v>0.45294117647058824</v>
      </c>
      <c r="N1197" s="64" t="s">
        <v>22</v>
      </c>
      <c r="O1197" s="47" t="s">
        <v>21</v>
      </c>
    </row>
    <row r="1198" spans="1:15">
      <c r="A1198" s="71">
        <v>2024</v>
      </c>
      <c r="B1198" s="16" t="s">
        <v>464</v>
      </c>
      <c r="C1198" s="62" t="s">
        <v>1750</v>
      </c>
      <c r="D1198" s="47" t="s">
        <v>1670</v>
      </c>
      <c r="E1198" s="48" t="s">
        <v>1752</v>
      </c>
      <c r="F1198" s="99">
        <v>1</v>
      </c>
      <c r="G1198" s="42" t="s">
        <v>19</v>
      </c>
      <c r="H1198" s="44">
        <v>17000</v>
      </c>
      <c r="I1198" s="49">
        <f t="shared" si="78"/>
        <v>17000</v>
      </c>
      <c r="J1198" s="529">
        <v>14400</v>
      </c>
      <c r="K1198" s="529">
        <f t="shared" si="75"/>
        <v>2600</v>
      </c>
      <c r="L1198" s="530">
        <f t="shared" si="74"/>
        <v>2600</v>
      </c>
      <c r="M1198" s="536">
        <f t="shared" si="76"/>
        <v>0.15294117647058825</v>
      </c>
      <c r="N1198" s="64" t="s">
        <v>22</v>
      </c>
      <c r="O1198" s="47" t="s">
        <v>21</v>
      </c>
    </row>
    <row r="1199" spans="1:15">
      <c r="A1199" s="71">
        <v>2024</v>
      </c>
      <c r="B1199" s="16" t="s">
        <v>464</v>
      </c>
      <c r="C1199" s="413" t="s">
        <v>1753</v>
      </c>
      <c r="D1199" s="47" t="s">
        <v>304</v>
      </c>
      <c r="E1199" s="48" t="s">
        <v>1754</v>
      </c>
      <c r="F1199" s="99">
        <v>2020</v>
      </c>
      <c r="G1199" s="42" t="s">
        <v>19</v>
      </c>
      <c r="H1199" s="44">
        <v>3500</v>
      </c>
      <c r="I1199" s="44">
        <f t="shared" si="78"/>
        <v>7070000</v>
      </c>
      <c r="J1199" s="529">
        <v>3200</v>
      </c>
      <c r="K1199" s="529">
        <f t="shared" si="75"/>
        <v>300</v>
      </c>
      <c r="L1199" s="530">
        <f t="shared" si="74"/>
        <v>606000</v>
      </c>
      <c r="M1199" s="536">
        <f t="shared" si="76"/>
        <v>8.5714285714285715E-2</v>
      </c>
      <c r="N1199" s="64" t="s">
        <v>38</v>
      </c>
      <c r="O1199" s="47" t="s">
        <v>39</v>
      </c>
    </row>
    <row r="1200" spans="1:15">
      <c r="A1200" s="71">
        <v>2024</v>
      </c>
      <c r="B1200" s="16" t="s">
        <v>464</v>
      </c>
      <c r="C1200" s="62" t="s">
        <v>1755</v>
      </c>
      <c r="D1200" s="47" t="s">
        <v>192</v>
      </c>
      <c r="E1200" s="48" t="s">
        <v>1187</v>
      </c>
      <c r="F1200" s="99">
        <v>1344</v>
      </c>
      <c r="G1200" s="42" t="s">
        <v>19</v>
      </c>
      <c r="H1200" s="44">
        <v>325</v>
      </c>
      <c r="I1200" s="44">
        <f t="shared" si="78"/>
        <v>436800</v>
      </c>
      <c r="J1200" s="529">
        <v>310</v>
      </c>
      <c r="K1200" s="529">
        <f t="shared" si="75"/>
        <v>15</v>
      </c>
      <c r="L1200" s="530">
        <f t="shared" si="74"/>
        <v>20160</v>
      </c>
      <c r="M1200" s="536">
        <f t="shared" si="76"/>
        <v>4.6153846153846156E-2</v>
      </c>
      <c r="N1200" s="64" t="s">
        <v>38</v>
      </c>
      <c r="O1200" s="47" t="s">
        <v>39</v>
      </c>
    </row>
    <row r="1201" spans="1:15">
      <c r="A1201" s="71">
        <v>2024</v>
      </c>
      <c r="B1201" s="16" t="s">
        <v>464</v>
      </c>
      <c r="C1201" s="62" t="s">
        <v>1756</v>
      </c>
      <c r="D1201" s="47" t="s">
        <v>1375</v>
      </c>
      <c r="E1201" s="48" t="s">
        <v>502</v>
      </c>
      <c r="F1201" s="99">
        <v>80000</v>
      </c>
      <c r="G1201" s="42" t="s">
        <v>1605</v>
      </c>
      <c r="H1201" s="44">
        <v>61.5</v>
      </c>
      <c r="I1201" s="44">
        <f t="shared" si="78"/>
        <v>4920000</v>
      </c>
      <c r="J1201" s="529">
        <v>60</v>
      </c>
      <c r="K1201" s="529">
        <f t="shared" si="75"/>
        <v>1.5</v>
      </c>
      <c r="L1201" s="530">
        <f t="shared" si="74"/>
        <v>120000</v>
      </c>
      <c r="M1201" s="536">
        <f t="shared" si="76"/>
        <v>2.4390243902439025E-2</v>
      </c>
      <c r="N1201" s="64" t="s">
        <v>22</v>
      </c>
      <c r="O1201" s="47" t="s">
        <v>39</v>
      </c>
    </row>
    <row r="1202" spans="1:15">
      <c r="A1202" s="71">
        <v>2024</v>
      </c>
      <c r="B1202" s="16" t="s">
        <v>464</v>
      </c>
      <c r="C1202" s="62" t="s">
        <v>1756</v>
      </c>
      <c r="D1202" s="47" t="s">
        <v>1375</v>
      </c>
      <c r="E1202" s="48" t="s">
        <v>813</v>
      </c>
      <c r="F1202" s="99">
        <v>100000</v>
      </c>
      <c r="G1202" s="42" t="s">
        <v>1605</v>
      </c>
      <c r="H1202" s="44">
        <v>59</v>
      </c>
      <c r="I1202" s="44">
        <f t="shared" si="78"/>
        <v>5900000</v>
      </c>
      <c r="J1202" s="529">
        <v>58</v>
      </c>
      <c r="K1202" s="529">
        <f t="shared" si="75"/>
        <v>1</v>
      </c>
      <c r="L1202" s="530">
        <f t="shared" si="74"/>
        <v>100000</v>
      </c>
      <c r="M1202" s="536">
        <f t="shared" si="76"/>
        <v>1.6949152542372881E-2</v>
      </c>
      <c r="N1202" s="64" t="s">
        <v>22</v>
      </c>
      <c r="O1202" s="47" t="s">
        <v>39</v>
      </c>
    </row>
    <row r="1203" spans="1:15">
      <c r="A1203" s="71">
        <v>2024</v>
      </c>
      <c r="B1203" s="16" t="s">
        <v>464</v>
      </c>
      <c r="C1203" s="62" t="s">
        <v>1757</v>
      </c>
      <c r="D1203" s="47" t="s">
        <v>590</v>
      </c>
      <c r="E1203" s="48" t="s">
        <v>1609</v>
      </c>
      <c r="F1203" s="99">
        <v>28</v>
      </c>
      <c r="G1203" s="42" t="s">
        <v>1608</v>
      </c>
      <c r="H1203" s="44">
        <v>15500</v>
      </c>
      <c r="I1203" s="44">
        <f t="shared" si="78"/>
        <v>434000</v>
      </c>
      <c r="J1203" s="529">
        <v>15000</v>
      </c>
      <c r="K1203" s="529">
        <f t="shared" si="75"/>
        <v>500</v>
      </c>
      <c r="L1203" s="530">
        <f t="shared" si="74"/>
        <v>14000</v>
      </c>
      <c r="M1203" s="536">
        <f t="shared" si="76"/>
        <v>3.2258064516129031E-2</v>
      </c>
      <c r="N1203" s="64" t="s">
        <v>22</v>
      </c>
      <c r="O1203" s="47" t="s">
        <v>39</v>
      </c>
    </row>
    <row r="1204" spans="1:15">
      <c r="A1204" s="71">
        <v>2024</v>
      </c>
      <c r="B1204" s="16" t="s">
        <v>464</v>
      </c>
      <c r="C1204" s="62" t="s">
        <v>1758</v>
      </c>
      <c r="D1204" s="47" t="s">
        <v>200</v>
      </c>
      <c r="E1204" s="48" t="s">
        <v>1759</v>
      </c>
      <c r="F1204" s="99">
        <v>3</v>
      </c>
      <c r="G1204" s="42" t="s">
        <v>1608</v>
      </c>
      <c r="H1204" s="44">
        <v>63500</v>
      </c>
      <c r="I1204" s="44">
        <f t="shared" ref="I1204:I1235" si="79">H1204*F1204</f>
        <v>190500</v>
      </c>
      <c r="J1204" s="529">
        <v>62000</v>
      </c>
      <c r="K1204" s="529">
        <f t="shared" si="75"/>
        <v>1500</v>
      </c>
      <c r="L1204" s="530">
        <f t="shared" si="74"/>
        <v>4500</v>
      </c>
      <c r="M1204" s="536">
        <f t="shared" si="76"/>
        <v>2.3622047244094488E-2</v>
      </c>
      <c r="N1204" s="64" t="s">
        <v>38</v>
      </c>
      <c r="O1204" s="47" t="s">
        <v>39</v>
      </c>
    </row>
    <row r="1205" spans="1:15">
      <c r="A1205" s="71">
        <v>2024</v>
      </c>
      <c r="B1205" s="16" t="s">
        <v>464</v>
      </c>
      <c r="C1205" s="62" t="s">
        <v>1758</v>
      </c>
      <c r="D1205" s="47" t="s">
        <v>200</v>
      </c>
      <c r="E1205" s="48" t="s">
        <v>1760</v>
      </c>
      <c r="F1205" s="99">
        <v>1</v>
      </c>
      <c r="G1205" s="42" t="s">
        <v>1608</v>
      </c>
      <c r="H1205" s="44">
        <v>57500</v>
      </c>
      <c r="I1205" s="44">
        <f t="shared" si="79"/>
        <v>57500</v>
      </c>
      <c r="J1205" s="529">
        <v>56000</v>
      </c>
      <c r="K1205" s="529">
        <f t="shared" si="75"/>
        <v>1500</v>
      </c>
      <c r="L1205" s="530">
        <f t="shared" si="74"/>
        <v>1500</v>
      </c>
      <c r="M1205" s="536">
        <f t="shared" si="76"/>
        <v>2.6086956521739129E-2</v>
      </c>
      <c r="N1205" s="64" t="s">
        <v>38</v>
      </c>
      <c r="O1205" s="47" t="s">
        <v>39</v>
      </c>
    </row>
    <row r="1206" spans="1:15">
      <c r="A1206" s="71">
        <v>2024</v>
      </c>
      <c r="B1206" s="16" t="s">
        <v>464</v>
      </c>
      <c r="C1206" s="62" t="s">
        <v>1761</v>
      </c>
      <c r="D1206" s="47" t="s">
        <v>1611</v>
      </c>
      <c r="E1206" s="48" t="s">
        <v>1762</v>
      </c>
      <c r="F1206" s="99">
        <v>505</v>
      </c>
      <c r="G1206" s="42" t="s">
        <v>1616</v>
      </c>
      <c r="H1206" s="44">
        <v>1065</v>
      </c>
      <c r="I1206" s="44">
        <f t="shared" si="79"/>
        <v>537825</v>
      </c>
      <c r="J1206" s="529">
        <v>996</v>
      </c>
      <c r="K1206" s="529">
        <f t="shared" si="75"/>
        <v>69</v>
      </c>
      <c r="L1206" s="530">
        <f t="shared" si="74"/>
        <v>34845</v>
      </c>
      <c r="M1206" s="536">
        <f t="shared" si="76"/>
        <v>6.4788732394366194E-2</v>
      </c>
      <c r="N1206" s="64" t="s">
        <v>22</v>
      </c>
      <c r="O1206" s="47" t="s">
        <v>39</v>
      </c>
    </row>
    <row r="1207" spans="1:15">
      <c r="A1207" s="71">
        <v>2024</v>
      </c>
      <c r="B1207" s="16" t="s">
        <v>464</v>
      </c>
      <c r="C1207" s="62" t="s">
        <v>1761</v>
      </c>
      <c r="D1207" s="47" t="s">
        <v>1611</v>
      </c>
      <c r="E1207" s="48" t="s">
        <v>1763</v>
      </c>
      <c r="F1207" s="99">
        <v>505</v>
      </c>
      <c r="G1207" s="42" t="s">
        <v>1616</v>
      </c>
      <c r="H1207" s="44">
        <v>325</v>
      </c>
      <c r="I1207" s="44">
        <f t="shared" si="79"/>
        <v>164125</v>
      </c>
      <c r="J1207" s="529">
        <v>302</v>
      </c>
      <c r="K1207" s="529">
        <f t="shared" si="75"/>
        <v>23</v>
      </c>
      <c r="L1207" s="530">
        <f t="shared" si="74"/>
        <v>11615</v>
      </c>
      <c r="M1207" s="536">
        <f t="shared" si="76"/>
        <v>7.0769230769230765E-2</v>
      </c>
      <c r="N1207" s="64" t="s">
        <v>22</v>
      </c>
      <c r="O1207" s="47" t="s">
        <v>39</v>
      </c>
    </row>
    <row r="1208" spans="1:15">
      <c r="A1208" s="71">
        <v>2024</v>
      </c>
      <c r="B1208" s="16" t="s">
        <v>464</v>
      </c>
      <c r="C1208" s="62" t="s">
        <v>1761</v>
      </c>
      <c r="D1208" s="47" t="s">
        <v>1611</v>
      </c>
      <c r="E1208" s="48" t="s">
        <v>1764</v>
      </c>
      <c r="F1208" s="99">
        <v>505</v>
      </c>
      <c r="G1208" s="42" t="s">
        <v>1616</v>
      </c>
      <c r="H1208" s="44">
        <v>133</v>
      </c>
      <c r="I1208" s="44">
        <f t="shared" si="79"/>
        <v>67165</v>
      </c>
      <c r="J1208" s="529">
        <v>124</v>
      </c>
      <c r="K1208" s="529">
        <f t="shared" si="75"/>
        <v>9</v>
      </c>
      <c r="L1208" s="530">
        <f t="shared" si="74"/>
        <v>4545</v>
      </c>
      <c r="M1208" s="536">
        <f t="shared" si="76"/>
        <v>6.7669172932330823E-2</v>
      </c>
      <c r="N1208" s="64" t="s">
        <v>22</v>
      </c>
      <c r="O1208" s="47" t="s">
        <v>39</v>
      </c>
    </row>
    <row r="1209" spans="1:15">
      <c r="A1209" s="71">
        <v>2024</v>
      </c>
      <c r="B1209" s="16" t="s">
        <v>464</v>
      </c>
      <c r="C1209" s="62" t="s">
        <v>1761</v>
      </c>
      <c r="D1209" s="47" t="s">
        <v>1611</v>
      </c>
      <c r="E1209" s="48" t="s">
        <v>1765</v>
      </c>
      <c r="F1209" s="99">
        <v>505</v>
      </c>
      <c r="G1209" s="42" t="s">
        <v>1616</v>
      </c>
      <c r="H1209" s="44">
        <v>120</v>
      </c>
      <c r="I1209" s="44">
        <f t="shared" si="79"/>
        <v>60600</v>
      </c>
      <c r="J1209" s="529">
        <v>112</v>
      </c>
      <c r="K1209" s="529">
        <f t="shared" si="75"/>
        <v>8</v>
      </c>
      <c r="L1209" s="530">
        <f t="shared" si="74"/>
        <v>4040</v>
      </c>
      <c r="M1209" s="536">
        <f t="shared" si="76"/>
        <v>6.6666666666666666E-2</v>
      </c>
      <c r="N1209" s="64" t="s">
        <v>22</v>
      </c>
      <c r="O1209" s="47" t="s">
        <v>39</v>
      </c>
    </row>
    <row r="1210" spans="1:15">
      <c r="A1210" s="71">
        <v>2024</v>
      </c>
      <c r="B1210" s="16" t="s">
        <v>464</v>
      </c>
      <c r="C1210" s="62" t="s">
        <v>1761</v>
      </c>
      <c r="D1210" s="47" t="s">
        <v>1611</v>
      </c>
      <c r="E1210" s="48" t="s">
        <v>1766</v>
      </c>
      <c r="F1210" s="99">
        <v>505</v>
      </c>
      <c r="G1210" s="42" t="s">
        <v>1616</v>
      </c>
      <c r="H1210" s="44">
        <v>728</v>
      </c>
      <c r="I1210" s="44">
        <f t="shared" si="79"/>
        <v>367640</v>
      </c>
      <c r="J1210" s="529">
        <v>687</v>
      </c>
      <c r="K1210" s="529">
        <f t="shared" si="75"/>
        <v>41</v>
      </c>
      <c r="L1210" s="530">
        <f t="shared" si="74"/>
        <v>20705</v>
      </c>
      <c r="M1210" s="536">
        <f t="shared" si="76"/>
        <v>5.631868131868132E-2</v>
      </c>
      <c r="N1210" s="64" t="s">
        <v>22</v>
      </c>
      <c r="O1210" s="47" t="s">
        <v>39</v>
      </c>
    </row>
    <row r="1211" spans="1:15">
      <c r="A1211" s="71">
        <v>2024</v>
      </c>
      <c r="B1211" s="16" t="s">
        <v>464</v>
      </c>
      <c r="C1211" s="62" t="s">
        <v>1761</v>
      </c>
      <c r="D1211" s="47" t="s">
        <v>1611</v>
      </c>
      <c r="E1211" s="48" t="s">
        <v>1767</v>
      </c>
      <c r="F1211" s="99">
        <v>1010</v>
      </c>
      <c r="G1211" s="42" t="s">
        <v>1616</v>
      </c>
      <c r="H1211" s="44">
        <v>33</v>
      </c>
      <c r="I1211" s="44">
        <f t="shared" si="79"/>
        <v>33330</v>
      </c>
      <c r="J1211" s="529">
        <v>30</v>
      </c>
      <c r="K1211" s="529">
        <f t="shared" si="75"/>
        <v>3</v>
      </c>
      <c r="L1211" s="530">
        <f t="shared" si="74"/>
        <v>3030</v>
      </c>
      <c r="M1211" s="536">
        <f t="shared" si="76"/>
        <v>9.0909090909090912E-2</v>
      </c>
      <c r="N1211" s="64" t="s">
        <v>22</v>
      </c>
      <c r="O1211" s="47" t="s">
        <v>39</v>
      </c>
    </row>
    <row r="1212" spans="1:15">
      <c r="A1212" s="71">
        <v>2024</v>
      </c>
      <c r="B1212" s="16" t="s">
        <v>464</v>
      </c>
      <c r="C1212" s="62" t="s">
        <v>1761</v>
      </c>
      <c r="D1212" s="47" t="s">
        <v>1611</v>
      </c>
      <c r="E1212" s="48" t="s">
        <v>1768</v>
      </c>
      <c r="F1212" s="99">
        <v>505</v>
      </c>
      <c r="G1212" s="42" t="s">
        <v>1616</v>
      </c>
      <c r="H1212" s="44">
        <v>49</v>
      </c>
      <c r="I1212" s="44">
        <f t="shared" si="79"/>
        <v>24745</v>
      </c>
      <c r="J1212" s="529">
        <v>44</v>
      </c>
      <c r="K1212" s="529">
        <f t="shared" si="75"/>
        <v>5</v>
      </c>
      <c r="L1212" s="530">
        <f t="shared" si="74"/>
        <v>2525</v>
      </c>
      <c r="M1212" s="536">
        <f t="shared" si="76"/>
        <v>0.10204081632653061</v>
      </c>
      <c r="N1212" s="64" t="s">
        <v>22</v>
      </c>
      <c r="O1212" s="47" t="s">
        <v>39</v>
      </c>
    </row>
    <row r="1213" spans="1:15">
      <c r="A1213" s="71">
        <v>2024</v>
      </c>
      <c r="B1213" s="16" t="s">
        <v>464</v>
      </c>
      <c r="C1213" s="62" t="s">
        <v>1761</v>
      </c>
      <c r="D1213" s="47" t="s">
        <v>1611</v>
      </c>
      <c r="E1213" s="48" t="s">
        <v>1769</v>
      </c>
      <c r="F1213" s="99">
        <v>505</v>
      </c>
      <c r="G1213" s="42" t="s">
        <v>1616</v>
      </c>
      <c r="H1213" s="44">
        <v>96</v>
      </c>
      <c r="I1213" s="44">
        <f t="shared" si="79"/>
        <v>48480</v>
      </c>
      <c r="J1213" s="529">
        <v>86</v>
      </c>
      <c r="K1213" s="529">
        <f t="shared" si="75"/>
        <v>10</v>
      </c>
      <c r="L1213" s="530">
        <f t="shared" si="74"/>
        <v>5050</v>
      </c>
      <c r="M1213" s="536">
        <f t="shared" si="76"/>
        <v>0.10416666666666667</v>
      </c>
      <c r="N1213" s="64" t="s">
        <v>22</v>
      </c>
      <c r="O1213" s="47" t="s">
        <v>39</v>
      </c>
    </row>
    <row r="1214" spans="1:15">
      <c r="A1214" s="71">
        <v>2024</v>
      </c>
      <c r="B1214" s="16" t="s">
        <v>464</v>
      </c>
      <c r="C1214" s="62" t="s">
        <v>1761</v>
      </c>
      <c r="D1214" s="47" t="s">
        <v>1611</v>
      </c>
      <c r="E1214" s="48" t="s">
        <v>1770</v>
      </c>
      <c r="F1214" s="99">
        <v>505</v>
      </c>
      <c r="G1214" s="42" t="s">
        <v>1616</v>
      </c>
      <c r="H1214" s="44">
        <v>46</v>
      </c>
      <c r="I1214" s="44">
        <f t="shared" si="79"/>
        <v>23230</v>
      </c>
      <c r="J1214" s="529">
        <v>43</v>
      </c>
      <c r="K1214" s="529">
        <f t="shared" si="75"/>
        <v>3</v>
      </c>
      <c r="L1214" s="530">
        <f t="shared" si="74"/>
        <v>1515</v>
      </c>
      <c r="M1214" s="536">
        <f t="shared" si="76"/>
        <v>6.5217391304347824E-2</v>
      </c>
      <c r="N1214" s="64" t="s">
        <v>22</v>
      </c>
      <c r="O1214" s="47" t="s">
        <v>39</v>
      </c>
    </row>
    <row r="1215" spans="1:15">
      <c r="A1215" s="71">
        <v>2024</v>
      </c>
      <c r="B1215" s="16" t="s">
        <v>464</v>
      </c>
      <c r="C1215" s="62" t="s">
        <v>1761</v>
      </c>
      <c r="D1215" s="47" t="s">
        <v>1611</v>
      </c>
      <c r="E1215" s="48" t="s">
        <v>1771</v>
      </c>
      <c r="F1215" s="99">
        <v>1010</v>
      </c>
      <c r="G1215" s="42" t="s">
        <v>1616</v>
      </c>
      <c r="H1215" s="44">
        <v>73</v>
      </c>
      <c r="I1215" s="44">
        <f t="shared" si="79"/>
        <v>73730</v>
      </c>
      <c r="J1215" s="529">
        <v>68</v>
      </c>
      <c r="K1215" s="529">
        <f t="shared" si="75"/>
        <v>5</v>
      </c>
      <c r="L1215" s="530">
        <f t="shared" ref="L1215:L1278" si="80">K1215*F1215</f>
        <v>5050</v>
      </c>
      <c r="M1215" s="536">
        <f t="shared" si="76"/>
        <v>6.8493150684931503E-2</v>
      </c>
      <c r="N1215" s="64" t="s">
        <v>22</v>
      </c>
      <c r="O1215" s="47" t="s">
        <v>39</v>
      </c>
    </row>
    <row r="1216" spans="1:15">
      <c r="A1216" s="71">
        <v>2024</v>
      </c>
      <c r="B1216" s="16" t="s">
        <v>464</v>
      </c>
      <c r="C1216" s="62" t="s">
        <v>1761</v>
      </c>
      <c r="D1216" s="47" t="s">
        <v>1611</v>
      </c>
      <c r="E1216" s="48" t="s">
        <v>1772</v>
      </c>
      <c r="F1216" s="99">
        <v>1010</v>
      </c>
      <c r="G1216" s="42" t="s">
        <v>1616</v>
      </c>
      <c r="H1216" s="44">
        <v>149</v>
      </c>
      <c r="I1216" s="44">
        <f t="shared" si="79"/>
        <v>150490</v>
      </c>
      <c r="J1216" s="529">
        <v>140</v>
      </c>
      <c r="K1216" s="529">
        <f t="shared" si="75"/>
        <v>9</v>
      </c>
      <c r="L1216" s="530">
        <f t="shared" si="80"/>
        <v>9090</v>
      </c>
      <c r="M1216" s="536">
        <f t="shared" si="76"/>
        <v>6.0402684563758392E-2</v>
      </c>
      <c r="N1216" s="64" t="s">
        <v>22</v>
      </c>
      <c r="O1216" s="47" t="s">
        <v>39</v>
      </c>
    </row>
    <row r="1217" spans="1:15">
      <c r="A1217" s="71">
        <v>2024</v>
      </c>
      <c r="B1217" s="16" t="s">
        <v>464</v>
      </c>
      <c r="C1217" s="62" t="s">
        <v>1761</v>
      </c>
      <c r="D1217" s="47" t="s">
        <v>1611</v>
      </c>
      <c r="E1217" s="48" t="s">
        <v>1773</v>
      </c>
      <c r="F1217" s="99">
        <v>505</v>
      </c>
      <c r="G1217" s="42" t="s">
        <v>1616</v>
      </c>
      <c r="H1217" s="44">
        <v>46</v>
      </c>
      <c r="I1217" s="44">
        <f t="shared" si="79"/>
        <v>23230</v>
      </c>
      <c r="J1217" s="529">
        <v>43</v>
      </c>
      <c r="K1217" s="529">
        <f t="shared" si="75"/>
        <v>3</v>
      </c>
      <c r="L1217" s="530">
        <f t="shared" si="80"/>
        <v>1515</v>
      </c>
      <c r="M1217" s="536">
        <f t="shared" si="76"/>
        <v>6.5217391304347824E-2</v>
      </c>
      <c r="N1217" s="64" t="s">
        <v>22</v>
      </c>
      <c r="O1217" s="47" t="s">
        <v>39</v>
      </c>
    </row>
    <row r="1218" spans="1:15">
      <c r="A1218" s="71">
        <v>2024</v>
      </c>
      <c r="B1218" s="16" t="s">
        <v>464</v>
      </c>
      <c r="C1218" s="62" t="s">
        <v>1761</v>
      </c>
      <c r="D1218" s="47" t="s">
        <v>1611</v>
      </c>
      <c r="E1218" s="48" t="s">
        <v>1774</v>
      </c>
      <c r="F1218" s="99">
        <v>1010</v>
      </c>
      <c r="G1218" s="42" t="s">
        <v>1616</v>
      </c>
      <c r="H1218" s="44">
        <v>157</v>
      </c>
      <c r="I1218" s="44">
        <f t="shared" si="79"/>
        <v>158570</v>
      </c>
      <c r="J1218" s="529">
        <v>146</v>
      </c>
      <c r="K1218" s="529">
        <f t="shared" si="75"/>
        <v>11</v>
      </c>
      <c r="L1218" s="530">
        <f t="shared" si="80"/>
        <v>11110</v>
      </c>
      <c r="M1218" s="536">
        <f t="shared" si="76"/>
        <v>7.0063694267515922E-2</v>
      </c>
      <c r="N1218" s="64" t="s">
        <v>22</v>
      </c>
      <c r="O1218" s="47" t="s">
        <v>39</v>
      </c>
    </row>
    <row r="1219" spans="1:15">
      <c r="A1219" s="71">
        <v>2024</v>
      </c>
      <c r="B1219" s="16" t="s">
        <v>464</v>
      </c>
      <c r="C1219" s="62" t="s">
        <v>1775</v>
      </c>
      <c r="D1219" s="47" t="s">
        <v>501</v>
      </c>
      <c r="E1219" s="48" t="s">
        <v>503</v>
      </c>
      <c r="F1219" s="99">
        <v>1</v>
      </c>
      <c r="G1219" s="42" t="s">
        <v>59</v>
      </c>
      <c r="H1219" s="44">
        <v>3340000</v>
      </c>
      <c r="I1219" s="44">
        <f t="shared" si="79"/>
        <v>3340000</v>
      </c>
      <c r="J1219" s="529">
        <v>3328170.8333333335</v>
      </c>
      <c r="K1219" s="529">
        <f t="shared" ref="K1219:K1282" si="81">H1219-J1219</f>
        <v>11829.166666666511</v>
      </c>
      <c r="L1219" s="530">
        <f t="shared" si="80"/>
        <v>11829.166666666511</v>
      </c>
      <c r="M1219" s="536">
        <f t="shared" ref="M1219:M1282" si="82">K1219/H1219</f>
        <v>3.5416666666666201E-3</v>
      </c>
      <c r="N1219" s="64" t="s">
        <v>30</v>
      </c>
      <c r="O1219" s="47" t="s">
        <v>39</v>
      </c>
    </row>
    <row r="1220" spans="1:15">
      <c r="A1220" s="71">
        <v>2024</v>
      </c>
      <c r="B1220" s="16" t="s">
        <v>464</v>
      </c>
      <c r="C1220" s="62" t="s">
        <v>1776</v>
      </c>
      <c r="D1220" s="47" t="s">
        <v>335</v>
      </c>
      <c r="E1220" s="48" t="s">
        <v>336</v>
      </c>
      <c r="F1220" s="99">
        <v>98000</v>
      </c>
      <c r="G1220" s="42" t="s">
        <v>337</v>
      </c>
      <c r="H1220" s="44">
        <v>35.5</v>
      </c>
      <c r="I1220" s="44">
        <f t="shared" si="79"/>
        <v>3479000</v>
      </c>
      <c r="J1220" s="529">
        <v>32.75</v>
      </c>
      <c r="K1220" s="529">
        <f t="shared" si="81"/>
        <v>2.75</v>
      </c>
      <c r="L1220" s="530">
        <f t="shared" si="80"/>
        <v>269500</v>
      </c>
      <c r="M1220" s="536">
        <f t="shared" si="82"/>
        <v>7.746478873239436E-2</v>
      </c>
      <c r="N1220" s="64" t="s">
        <v>22</v>
      </c>
      <c r="O1220" s="47" t="s">
        <v>39</v>
      </c>
    </row>
    <row r="1221" spans="1:15">
      <c r="A1221" s="71">
        <v>2024</v>
      </c>
      <c r="B1221" s="16" t="s">
        <v>464</v>
      </c>
      <c r="C1221" s="62" t="s">
        <v>1777</v>
      </c>
      <c r="D1221" s="47" t="s">
        <v>61</v>
      </c>
      <c r="E1221" s="48" t="s">
        <v>1778</v>
      </c>
      <c r="F1221" s="99">
        <v>2</v>
      </c>
      <c r="G1221" s="42" t="s">
        <v>1616</v>
      </c>
      <c r="H1221" s="44">
        <v>40000</v>
      </c>
      <c r="I1221" s="44">
        <f t="shared" si="79"/>
        <v>80000</v>
      </c>
      <c r="J1221" s="529">
        <v>39500</v>
      </c>
      <c r="K1221" s="529">
        <f t="shared" si="81"/>
        <v>500</v>
      </c>
      <c r="L1221" s="530">
        <f t="shared" si="80"/>
        <v>1000</v>
      </c>
      <c r="M1221" s="536">
        <f t="shared" si="82"/>
        <v>1.2500000000000001E-2</v>
      </c>
      <c r="N1221" s="64" t="s">
        <v>38</v>
      </c>
      <c r="O1221" s="47" t="s">
        <v>21</v>
      </c>
    </row>
    <row r="1222" spans="1:15">
      <c r="A1222" s="71">
        <v>2024</v>
      </c>
      <c r="B1222" s="16" t="s">
        <v>464</v>
      </c>
      <c r="C1222" s="62" t="s">
        <v>1779</v>
      </c>
      <c r="D1222" s="47" t="s">
        <v>118</v>
      </c>
      <c r="E1222" s="48" t="s">
        <v>1780</v>
      </c>
      <c r="F1222" s="99">
        <v>4</v>
      </c>
      <c r="G1222" s="42" t="s">
        <v>1616</v>
      </c>
      <c r="H1222" s="44">
        <v>6390</v>
      </c>
      <c r="I1222" s="44">
        <f t="shared" si="79"/>
        <v>25560</v>
      </c>
      <c r="J1222" s="529">
        <v>6197</v>
      </c>
      <c r="K1222" s="529">
        <f t="shared" si="81"/>
        <v>193</v>
      </c>
      <c r="L1222" s="530">
        <f t="shared" si="80"/>
        <v>772</v>
      </c>
      <c r="M1222" s="536">
        <f t="shared" si="82"/>
        <v>3.0203442879499217E-2</v>
      </c>
      <c r="N1222" s="64" t="s">
        <v>22</v>
      </c>
      <c r="O1222" s="47" t="s">
        <v>21</v>
      </c>
    </row>
    <row r="1223" spans="1:15">
      <c r="A1223" s="71">
        <v>2024</v>
      </c>
      <c r="B1223" s="16" t="s">
        <v>464</v>
      </c>
      <c r="C1223" s="62" t="s">
        <v>1781</v>
      </c>
      <c r="D1223" s="48" t="s">
        <v>633</v>
      </c>
      <c r="E1223" s="47" t="s">
        <v>1782</v>
      </c>
      <c r="F1223" s="99">
        <v>27</v>
      </c>
      <c r="G1223" s="42" t="s">
        <v>19</v>
      </c>
      <c r="H1223" s="44">
        <v>3200</v>
      </c>
      <c r="I1223" s="44">
        <f t="shared" si="79"/>
        <v>86400</v>
      </c>
      <c r="J1223" s="529">
        <v>3100</v>
      </c>
      <c r="K1223" s="529">
        <f t="shared" si="81"/>
        <v>100</v>
      </c>
      <c r="L1223" s="530">
        <f t="shared" si="80"/>
        <v>2700</v>
      </c>
      <c r="M1223" s="536">
        <f t="shared" si="82"/>
        <v>3.125E-2</v>
      </c>
      <c r="N1223" s="64" t="s">
        <v>22</v>
      </c>
      <c r="O1223" s="47" t="s">
        <v>21</v>
      </c>
    </row>
    <row r="1224" spans="1:15">
      <c r="A1224" s="71">
        <v>2024</v>
      </c>
      <c r="B1224" s="16" t="s">
        <v>464</v>
      </c>
      <c r="C1224" s="62" t="s">
        <v>1781</v>
      </c>
      <c r="D1224" s="48" t="s">
        <v>633</v>
      </c>
      <c r="E1224" s="47" t="s">
        <v>1782</v>
      </c>
      <c r="F1224" s="99">
        <v>1</v>
      </c>
      <c r="G1224" s="42" t="s">
        <v>59</v>
      </c>
      <c r="H1224" s="44">
        <v>83700</v>
      </c>
      <c r="I1224" s="44">
        <f t="shared" si="79"/>
        <v>83700</v>
      </c>
      <c r="J1224" s="529">
        <v>83403.5625</v>
      </c>
      <c r="K1224" s="529">
        <f t="shared" si="81"/>
        <v>296.4375</v>
      </c>
      <c r="L1224" s="530">
        <f t="shared" si="80"/>
        <v>296.4375</v>
      </c>
      <c r="M1224" s="536">
        <f t="shared" si="82"/>
        <v>3.5416666666666665E-3</v>
      </c>
      <c r="N1224" s="64" t="s">
        <v>30</v>
      </c>
      <c r="O1224" s="47" t="s">
        <v>21</v>
      </c>
    </row>
    <row r="1225" spans="1:15">
      <c r="A1225" s="71">
        <v>2024</v>
      </c>
      <c r="B1225" s="16" t="s">
        <v>464</v>
      </c>
      <c r="C1225" s="62" t="s">
        <v>1783</v>
      </c>
      <c r="D1225" s="47" t="s">
        <v>1784</v>
      </c>
      <c r="E1225" s="48" t="s">
        <v>1785</v>
      </c>
      <c r="F1225" s="99">
        <v>1</v>
      </c>
      <c r="G1225" s="42" t="s">
        <v>59</v>
      </c>
      <c r="H1225" s="44">
        <v>86400</v>
      </c>
      <c r="I1225" s="44">
        <f t="shared" si="79"/>
        <v>86400</v>
      </c>
      <c r="J1225" s="529">
        <v>83380</v>
      </c>
      <c r="K1225" s="529">
        <f t="shared" si="81"/>
        <v>3020</v>
      </c>
      <c r="L1225" s="530">
        <f t="shared" si="80"/>
        <v>3020</v>
      </c>
      <c r="M1225" s="536">
        <f t="shared" si="82"/>
        <v>3.4953703703703702E-2</v>
      </c>
      <c r="N1225" s="64" t="s">
        <v>22</v>
      </c>
      <c r="O1225" s="47" t="s">
        <v>21</v>
      </c>
    </row>
    <row r="1226" spans="1:15">
      <c r="A1226" s="71">
        <v>2024</v>
      </c>
      <c r="B1226" s="16" t="s">
        <v>464</v>
      </c>
      <c r="C1226" s="62" t="s">
        <v>1786</v>
      </c>
      <c r="D1226" s="47" t="s">
        <v>1787</v>
      </c>
      <c r="E1226" s="48" t="s">
        <v>1788</v>
      </c>
      <c r="F1226" s="99">
        <v>12</v>
      </c>
      <c r="G1226" s="42" t="s">
        <v>1616</v>
      </c>
      <c r="H1226" s="44">
        <v>1690</v>
      </c>
      <c r="I1226" s="44">
        <f t="shared" si="79"/>
        <v>20280</v>
      </c>
      <c r="J1226" s="529">
        <v>1460</v>
      </c>
      <c r="K1226" s="529">
        <f t="shared" si="81"/>
        <v>230</v>
      </c>
      <c r="L1226" s="530">
        <f t="shared" si="80"/>
        <v>2760</v>
      </c>
      <c r="M1226" s="536">
        <f t="shared" si="82"/>
        <v>0.13609467455621302</v>
      </c>
      <c r="N1226" s="64" t="s">
        <v>22</v>
      </c>
      <c r="O1226" s="47" t="s">
        <v>21</v>
      </c>
    </row>
    <row r="1227" spans="1:15">
      <c r="A1227" s="71">
        <v>2024</v>
      </c>
      <c r="B1227" s="16" t="s">
        <v>464</v>
      </c>
      <c r="C1227" s="62" t="s">
        <v>1789</v>
      </c>
      <c r="D1227" s="47" t="s">
        <v>586</v>
      </c>
      <c r="E1227" s="48" t="s">
        <v>515</v>
      </c>
      <c r="F1227" s="99">
        <v>1575</v>
      </c>
      <c r="G1227" s="42" t="s">
        <v>499</v>
      </c>
      <c r="H1227" s="44">
        <v>72</v>
      </c>
      <c r="I1227" s="44">
        <f t="shared" si="79"/>
        <v>113400</v>
      </c>
      <c r="J1227" s="529">
        <v>67</v>
      </c>
      <c r="K1227" s="529">
        <f t="shared" si="81"/>
        <v>5</v>
      </c>
      <c r="L1227" s="530">
        <f t="shared" si="80"/>
        <v>7875</v>
      </c>
      <c r="M1227" s="536">
        <f t="shared" si="82"/>
        <v>6.9444444444444448E-2</v>
      </c>
      <c r="N1227" s="64" t="s">
        <v>22</v>
      </c>
      <c r="O1227" s="47" t="s">
        <v>21</v>
      </c>
    </row>
    <row r="1228" spans="1:15">
      <c r="A1228" s="71">
        <v>2024</v>
      </c>
      <c r="B1228" s="16" t="s">
        <v>464</v>
      </c>
      <c r="C1228" s="62" t="s">
        <v>1789</v>
      </c>
      <c r="D1228" s="47" t="s">
        <v>586</v>
      </c>
      <c r="E1228" s="48" t="s">
        <v>587</v>
      </c>
      <c r="F1228" s="99">
        <v>1575</v>
      </c>
      <c r="G1228" s="42" t="s">
        <v>499</v>
      </c>
      <c r="H1228" s="44">
        <v>63</v>
      </c>
      <c r="I1228" s="44">
        <f t="shared" si="79"/>
        <v>99225</v>
      </c>
      <c r="J1228" s="529">
        <v>57</v>
      </c>
      <c r="K1228" s="529">
        <f t="shared" si="81"/>
        <v>6</v>
      </c>
      <c r="L1228" s="530">
        <f t="shared" si="80"/>
        <v>9450</v>
      </c>
      <c r="M1228" s="536">
        <f t="shared" si="82"/>
        <v>9.5238095238095233E-2</v>
      </c>
      <c r="N1228" s="64" t="s">
        <v>22</v>
      </c>
      <c r="O1228" s="47" t="s">
        <v>21</v>
      </c>
    </row>
    <row r="1229" spans="1:15">
      <c r="A1229" s="71">
        <v>2024</v>
      </c>
      <c r="B1229" s="16" t="s">
        <v>464</v>
      </c>
      <c r="C1229" s="62" t="s">
        <v>1789</v>
      </c>
      <c r="D1229" s="47" t="s">
        <v>586</v>
      </c>
      <c r="E1229" s="48" t="s">
        <v>1790</v>
      </c>
      <c r="F1229" s="99">
        <v>450</v>
      </c>
      <c r="G1229" s="42" t="s">
        <v>499</v>
      </c>
      <c r="H1229" s="44">
        <v>72</v>
      </c>
      <c r="I1229" s="44">
        <f t="shared" si="79"/>
        <v>32400</v>
      </c>
      <c r="J1229" s="529">
        <v>69</v>
      </c>
      <c r="K1229" s="529">
        <f t="shared" si="81"/>
        <v>3</v>
      </c>
      <c r="L1229" s="530">
        <f t="shared" si="80"/>
        <v>1350</v>
      </c>
      <c r="M1229" s="536">
        <f t="shared" si="82"/>
        <v>4.1666666666666664E-2</v>
      </c>
      <c r="N1229" s="64" t="s">
        <v>22</v>
      </c>
      <c r="O1229" s="47" t="s">
        <v>21</v>
      </c>
    </row>
    <row r="1230" spans="1:15">
      <c r="A1230" s="71">
        <v>2024</v>
      </c>
      <c r="B1230" s="16" t="s">
        <v>464</v>
      </c>
      <c r="C1230" s="62" t="s">
        <v>1791</v>
      </c>
      <c r="D1230" s="47" t="s">
        <v>1042</v>
      </c>
      <c r="E1230" s="48" t="s">
        <v>889</v>
      </c>
      <c r="F1230" s="99">
        <v>8179</v>
      </c>
      <c r="G1230" s="42" t="s">
        <v>37</v>
      </c>
      <c r="H1230" s="44">
        <v>353</v>
      </c>
      <c r="I1230" s="44">
        <f t="shared" si="79"/>
        <v>2887187</v>
      </c>
      <c r="J1230" s="529">
        <v>352</v>
      </c>
      <c r="K1230" s="529">
        <f t="shared" si="81"/>
        <v>1</v>
      </c>
      <c r="L1230" s="530">
        <f t="shared" si="80"/>
        <v>8179</v>
      </c>
      <c r="M1230" s="536">
        <f t="shared" si="82"/>
        <v>2.8328611898016999E-3</v>
      </c>
      <c r="N1230" s="64" t="s">
        <v>22</v>
      </c>
      <c r="O1230" s="47" t="s">
        <v>105</v>
      </c>
    </row>
    <row r="1231" spans="1:15">
      <c r="A1231" s="71">
        <v>2024</v>
      </c>
      <c r="B1231" s="16" t="s">
        <v>464</v>
      </c>
      <c r="C1231" s="62" t="s">
        <v>1792</v>
      </c>
      <c r="D1231" s="47" t="s">
        <v>1658</v>
      </c>
      <c r="E1231" s="48" t="s">
        <v>1793</v>
      </c>
      <c r="F1231" s="99">
        <v>90</v>
      </c>
      <c r="G1231" s="42" t="s">
        <v>302</v>
      </c>
      <c r="H1231" s="44">
        <v>1240</v>
      </c>
      <c r="I1231" s="44">
        <f t="shared" si="79"/>
        <v>111600</v>
      </c>
      <c r="J1231" s="529">
        <v>1200</v>
      </c>
      <c r="K1231" s="529">
        <f t="shared" si="81"/>
        <v>40</v>
      </c>
      <c r="L1231" s="530">
        <f t="shared" si="80"/>
        <v>3600</v>
      </c>
      <c r="M1231" s="536">
        <f t="shared" si="82"/>
        <v>3.2258064516129031E-2</v>
      </c>
      <c r="N1231" s="64" t="s">
        <v>38</v>
      </c>
      <c r="O1231" s="47" t="s">
        <v>105</v>
      </c>
    </row>
    <row r="1232" spans="1:15">
      <c r="A1232" s="71">
        <v>2024</v>
      </c>
      <c r="B1232" s="16" t="s">
        <v>464</v>
      </c>
      <c r="C1232" s="62" t="s">
        <v>1792</v>
      </c>
      <c r="D1232" s="47" t="s">
        <v>1658</v>
      </c>
      <c r="E1232" s="48" t="s">
        <v>1794</v>
      </c>
      <c r="F1232" s="99">
        <v>60</v>
      </c>
      <c r="G1232" s="42" t="s">
        <v>302</v>
      </c>
      <c r="H1232" s="44">
        <v>1316</v>
      </c>
      <c r="I1232" s="44">
        <f t="shared" si="79"/>
        <v>78960</v>
      </c>
      <c r="J1232" s="529">
        <v>1260</v>
      </c>
      <c r="K1232" s="529">
        <f t="shared" si="81"/>
        <v>56</v>
      </c>
      <c r="L1232" s="530">
        <f t="shared" si="80"/>
        <v>3360</v>
      </c>
      <c r="M1232" s="536">
        <f t="shared" si="82"/>
        <v>4.2553191489361701E-2</v>
      </c>
      <c r="N1232" s="64" t="s">
        <v>38</v>
      </c>
      <c r="O1232" s="47" t="s">
        <v>105</v>
      </c>
    </row>
    <row r="1233" spans="1:15">
      <c r="A1233" s="71">
        <v>2024</v>
      </c>
      <c r="B1233" s="16" t="s">
        <v>464</v>
      </c>
      <c r="C1233" s="62" t="s">
        <v>1792</v>
      </c>
      <c r="D1233" s="47" t="s">
        <v>1658</v>
      </c>
      <c r="E1233" s="39" t="s">
        <v>1795</v>
      </c>
      <c r="F1233" s="462">
        <v>10</v>
      </c>
      <c r="G1233" s="472" t="s">
        <v>302</v>
      </c>
      <c r="H1233" s="8">
        <v>4440</v>
      </c>
      <c r="I1233" s="44">
        <f t="shared" si="79"/>
        <v>44400</v>
      </c>
      <c r="J1233" s="521">
        <v>4280</v>
      </c>
      <c r="K1233" s="529">
        <f t="shared" si="81"/>
        <v>160</v>
      </c>
      <c r="L1233" s="530">
        <f t="shared" si="80"/>
        <v>1600</v>
      </c>
      <c r="M1233" s="536">
        <f t="shared" si="82"/>
        <v>3.6036036036036036E-2</v>
      </c>
      <c r="N1233" s="64" t="s">
        <v>38</v>
      </c>
      <c r="O1233" s="47" t="s">
        <v>105</v>
      </c>
    </row>
    <row r="1234" spans="1:15">
      <c r="A1234" s="71">
        <v>2024</v>
      </c>
      <c r="B1234" s="16" t="s">
        <v>464</v>
      </c>
      <c r="C1234" s="62" t="s">
        <v>1796</v>
      </c>
      <c r="D1234" s="47" t="s">
        <v>1042</v>
      </c>
      <c r="E1234" s="40" t="s">
        <v>1797</v>
      </c>
      <c r="F1234" s="463">
        <v>1</v>
      </c>
      <c r="G1234" s="456" t="s">
        <v>285</v>
      </c>
      <c r="H1234" s="41">
        <v>157808.65</v>
      </c>
      <c r="I1234" s="44">
        <f t="shared" si="79"/>
        <v>157808.65</v>
      </c>
      <c r="J1234" s="528">
        <v>144617.95000000001</v>
      </c>
      <c r="K1234" s="529">
        <f t="shared" si="81"/>
        <v>13190.699999999983</v>
      </c>
      <c r="L1234" s="530">
        <f t="shared" si="80"/>
        <v>13190.699999999983</v>
      </c>
      <c r="M1234" s="536">
        <f t="shared" si="82"/>
        <v>8.3586672847147367E-2</v>
      </c>
      <c r="N1234" s="64" t="s">
        <v>38</v>
      </c>
      <c r="O1234" s="47" t="s">
        <v>105</v>
      </c>
    </row>
    <row r="1235" spans="1:15">
      <c r="A1235" s="71">
        <v>2024</v>
      </c>
      <c r="B1235" s="16" t="s">
        <v>464</v>
      </c>
      <c r="C1235" s="62" t="s">
        <v>1798</v>
      </c>
      <c r="D1235" s="47" t="s">
        <v>1799</v>
      </c>
      <c r="E1235" s="40" t="s">
        <v>1800</v>
      </c>
      <c r="F1235" s="463">
        <v>500</v>
      </c>
      <c r="G1235" s="456" t="s">
        <v>302</v>
      </c>
      <c r="H1235" s="41">
        <v>1136</v>
      </c>
      <c r="I1235" s="44">
        <f t="shared" si="79"/>
        <v>568000</v>
      </c>
      <c r="J1235" s="528">
        <v>1120</v>
      </c>
      <c r="K1235" s="529">
        <f t="shared" si="81"/>
        <v>16</v>
      </c>
      <c r="L1235" s="530">
        <f t="shared" si="80"/>
        <v>8000</v>
      </c>
      <c r="M1235" s="536">
        <f t="shared" si="82"/>
        <v>1.4084507042253521E-2</v>
      </c>
      <c r="N1235" s="64" t="s">
        <v>38</v>
      </c>
      <c r="O1235" s="47" t="s">
        <v>105</v>
      </c>
    </row>
    <row r="1236" spans="1:15">
      <c r="A1236" s="71">
        <v>2024</v>
      </c>
      <c r="B1236" s="16" t="s">
        <v>464</v>
      </c>
      <c r="C1236" s="62" t="s">
        <v>1801</v>
      </c>
      <c r="D1236" s="47" t="s">
        <v>35</v>
      </c>
      <c r="E1236" s="40" t="s">
        <v>889</v>
      </c>
      <c r="F1236" s="463">
        <v>4994.8</v>
      </c>
      <c r="G1236" s="456" t="s">
        <v>37</v>
      </c>
      <c r="H1236" s="41">
        <v>382</v>
      </c>
      <c r="I1236" s="44">
        <f t="shared" ref="I1236:I1261" si="83">H1236*F1236</f>
        <v>1908013.6</v>
      </c>
      <c r="J1236" s="528">
        <v>378</v>
      </c>
      <c r="K1236" s="529">
        <f t="shared" si="81"/>
        <v>4</v>
      </c>
      <c r="L1236" s="530">
        <f t="shared" si="80"/>
        <v>19979.2</v>
      </c>
      <c r="M1236" s="536">
        <f t="shared" si="82"/>
        <v>1.0471204188481676E-2</v>
      </c>
      <c r="N1236" s="64" t="s">
        <v>38</v>
      </c>
      <c r="O1236" s="47" t="s">
        <v>105</v>
      </c>
    </row>
    <row r="1237" spans="1:15">
      <c r="A1237" s="71">
        <v>2024</v>
      </c>
      <c r="B1237" s="16" t="s">
        <v>464</v>
      </c>
      <c r="C1237" s="62" t="s">
        <v>1802</v>
      </c>
      <c r="D1237" s="47" t="s">
        <v>94</v>
      </c>
      <c r="E1237" s="40" t="s">
        <v>1038</v>
      </c>
      <c r="F1237" s="463">
        <v>100</v>
      </c>
      <c r="G1237" s="456" t="s">
        <v>19</v>
      </c>
      <c r="H1237" s="41">
        <v>15.5</v>
      </c>
      <c r="I1237" s="44">
        <f t="shared" si="83"/>
        <v>1550</v>
      </c>
      <c r="J1237" s="528">
        <v>14.76</v>
      </c>
      <c r="K1237" s="529">
        <f t="shared" si="81"/>
        <v>0.74000000000000021</v>
      </c>
      <c r="L1237" s="530">
        <f t="shared" si="80"/>
        <v>74.000000000000028</v>
      </c>
      <c r="M1237" s="536">
        <f t="shared" si="82"/>
        <v>4.7741935483870984E-2</v>
      </c>
      <c r="N1237" s="64" t="s">
        <v>22</v>
      </c>
      <c r="O1237" s="47" t="s">
        <v>105</v>
      </c>
    </row>
    <row r="1238" spans="1:15">
      <c r="A1238" s="71">
        <v>2024</v>
      </c>
      <c r="B1238" s="16" t="s">
        <v>464</v>
      </c>
      <c r="C1238" s="62" t="s">
        <v>1802</v>
      </c>
      <c r="D1238" s="47" t="s">
        <v>94</v>
      </c>
      <c r="E1238" s="40" t="s">
        <v>550</v>
      </c>
      <c r="F1238" s="463">
        <v>200</v>
      </c>
      <c r="G1238" s="456" t="s">
        <v>19</v>
      </c>
      <c r="H1238" s="41">
        <v>50</v>
      </c>
      <c r="I1238" s="44">
        <f t="shared" si="83"/>
        <v>10000</v>
      </c>
      <c r="J1238" s="528">
        <v>47.56</v>
      </c>
      <c r="K1238" s="529">
        <f t="shared" si="81"/>
        <v>2.4399999999999977</v>
      </c>
      <c r="L1238" s="530">
        <f t="shared" si="80"/>
        <v>487.99999999999955</v>
      </c>
      <c r="M1238" s="536">
        <f t="shared" si="82"/>
        <v>4.8799999999999955E-2</v>
      </c>
      <c r="N1238" s="64" t="s">
        <v>22</v>
      </c>
      <c r="O1238" s="47" t="s">
        <v>105</v>
      </c>
    </row>
    <row r="1239" spans="1:15">
      <c r="A1239" s="71">
        <v>2024</v>
      </c>
      <c r="B1239" s="16" t="s">
        <v>464</v>
      </c>
      <c r="C1239" s="62" t="s">
        <v>1803</v>
      </c>
      <c r="D1239" s="47" t="s">
        <v>1804</v>
      </c>
      <c r="E1239" s="48" t="s">
        <v>1805</v>
      </c>
      <c r="F1239" s="99">
        <v>3</v>
      </c>
      <c r="G1239" s="42" t="s">
        <v>19</v>
      </c>
      <c r="H1239" s="44">
        <v>83400</v>
      </c>
      <c r="I1239" s="44">
        <f t="shared" si="83"/>
        <v>250200</v>
      </c>
      <c r="J1239" s="529">
        <v>61040</v>
      </c>
      <c r="K1239" s="529">
        <f t="shared" si="81"/>
        <v>22360</v>
      </c>
      <c r="L1239" s="530">
        <f t="shared" si="80"/>
        <v>67080</v>
      </c>
      <c r="M1239" s="536">
        <f t="shared" si="82"/>
        <v>0.26810551558752999</v>
      </c>
      <c r="N1239" s="64" t="s">
        <v>22</v>
      </c>
      <c r="O1239" s="47" t="s">
        <v>105</v>
      </c>
    </row>
    <row r="1240" spans="1:15">
      <c r="A1240" s="71">
        <v>2024</v>
      </c>
      <c r="B1240" s="16" t="s">
        <v>464</v>
      </c>
      <c r="C1240" s="62" t="s">
        <v>1806</v>
      </c>
      <c r="D1240" s="47" t="s">
        <v>94</v>
      </c>
      <c r="E1240" s="48" t="s">
        <v>1038</v>
      </c>
      <c r="F1240" s="99">
        <v>3500</v>
      </c>
      <c r="G1240" s="42" t="s">
        <v>19</v>
      </c>
      <c r="H1240" s="44">
        <v>15.5</v>
      </c>
      <c r="I1240" s="44">
        <f t="shared" si="83"/>
        <v>54250</v>
      </c>
      <c r="J1240" s="529">
        <v>14.76</v>
      </c>
      <c r="K1240" s="529">
        <f t="shared" si="81"/>
        <v>0.74000000000000021</v>
      </c>
      <c r="L1240" s="530">
        <f t="shared" si="80"/>
        <v>2590.0000000000009</v>
      </c>
      <c r="M1240" s="536">
        <f t="shared" si="82"/>
        <v>4.7741935483870984E-2</v>
      </c>
      <c r="N1240" s="64" t="s">
        <v>22</v>
      </c>
      <c r="O1240" s="47" t="s">
        <v>105</v>
      </c>
    </row>
    <row r="1241" spans="1:15">
      <c r="A1241" s="71">
        <v>2024</v>
      </c>
      <c r="B1241" s="16" t="s">
        <v>464</v>
      </c>
      <c r="C1241" s="62" t="s">
        <v>1807</v>
      </c>
      <c r="D1241" s="47" t="s">
        <v>1808</v>
      </c>
      <c r="E1241" s="48" t="s">
        <v>1809</v>
      </c>
      <c r="F1241" s="99">
        <v>500</v>
      </c>
      <c r="G1241" s="42" t="s">
        <v>19</v>
      </c>
      <c r="H1241" s="44">
        <v>178</v>
      </c>
      <c r="I1241" s="44">
        <f t="shared" si="83"/>
        <v>89000</v>
      </c>
      <c r="J1241" s="529">
        <v>175</v>
      </c>
      <c r="K1241" s="529">
        <f t="shared" si="81"/>
        <v>3</v>
      </c>
      <c r="L1241" s="530">
        <f t="shared" si="80"/>
        <v>1500</v>
      </c>
      <c r="M1241" s="536">
        <f t="shared" si="82"/>
        <v>1.6853932584269662E-2</v>
      </c>
      <c r="N1241" s="64" t="s">
        <v>38</v>
      </c>
      <c r="O1241" s="47" t="s">
        <v>105</v>
      </c>
    </row>
    <row r="1242" spans="1:15">
      <c r="A1242" s="71">
        <v>2024</v>
      </c>
      <c r="B1242" s="16" t="s">
        <v>464</v>
      </c>
      <c r="C1242" s="62" t="s">
        <v>1810</v>
      </c>
      <c r="D1242" s="47" t="s">
        <v>1811</v>
      </c>
      <c r="E1242" s="48" t="s">
        <v>1225</v>
      </c>
      <c r="F1242" s="99">
        <v>500</v>
      </c>
      <c r="G1242" s="42" t="s">
        <v>19</v>
      </c>
      <c r="H1242" s="44">
        <v>230</v>
      </c>
      <c r="I1242" s="44">
        <f t="shared" si="83"/>
        <v>115000</v>
      </c>
      <c r="J1242" s="529">
        <v>225</v>
      </c>
      <c r="K1242" s="529">
        <f t="shared" si="81"/>
        <v>5</v>
      </c>
      <c r="L1242" s="530">
        <f t="shared" si="80"/>
        <v>2500</v>
      </c>
      <c r="M1242" s="536">
        <f t="shared" si="82"/>
        <v>2.1739130434782608E-2</v>
      </c>
      <c r="N1242" s="64" t="s">
        <v>38</v>
      </c>
      <c r="O1242" s="47" t="s">
        <v>105</v>
      </c>
    </row>
    <row r="1243" spans="1:15">
      <c r="A1243" s="71">
        <v>2024</v>
      </c>
      <c r="B1243" s="16" t="s">
        <v>464</v>
      </c>
      <c r="C1243" s="62" t="s">
        <v>1810</v>
      </c>
      <c r="D1243" s="47" t="s">
        <v>1811</v>
      </c>
      <c r="E1243" s="48" t="s">
        <v>1812</v>
      </c>
      <c r="F1243" s="99">
        <v>510</v>
      </c>
      <c r="G1243" s="42" t="s">
        <v>19</v>
      </c>
      <c r="H1243" s="44">
        <v>145</v>
      </c>
      <c r="I1243" s="44">
        <f t="shared" si="83"/>
        <v>73950</v>
      </c>
      <c r="J1243" s="529">
        <v>140</v>
      </c>
      <c r="K1243" s="529">
        <f t="shared" si="81"/>
        <v>5</v>
      </c>
      <c r="L1243" s="530">
        <f t="shared" si="80"/>
        <v>2550</v>
      </c>
      <c r="M1243" s="536">
        <f t="shared" si="82"/>
        <v>3.4482758620689655E-2</v>
      </c>
      <c r="N1243" s="64" t="s">
        <v>38</v>
      </c>
      <c r="O1243" s="47" t="s">
        <v>105</v>
      </c>
    </row>
    <row r="1244" spans="1:15">
      <c r="A1244" s="71">
        <v>2024</v>
      </c>
      <c r="B1244" s="16" t="s">
        <v>464</v>
      </c>
      <c r="C1244" s="62" t="s">
        <v>1813</v>
      </c>
      <c r="D1244" s="47" t="s">
        <v>1204</v>
      </c>
      <c r="E1244" s="48" t="s">
        <v>1205</v>
      </c>
      <c r="F1244" s="99">
        <v>1000</v>
      </c>
      <c r="G1244" s="42" t="s">
        <v>19</v>
      </c>
      <c r="H1244" s="44">
        <v>7.8</v>
      </c>
      <c r="I1244" s="44">
        <f t="shared" si="83"/>
        <v>7800</v>
      </c>
      <c r="J1244" s="529">
        <v>6.5</v>
      </c>
      <c r="K1244" s="529">
        <f t="shared" si="81"/>
        <v>1.2999999999999998</v>
      </c>
      <c r="L1244" s="530">
        <f t="shared" si="80"/>
        <v>1299.9999999999998</v>
      </c>
      <c r="M1244" s="536">
        <f t="shared" si="82"/>
        <v>0.16666666666666666</v>
      </c>
      <c r="N1244" s="64" t="s">
        <v>38</v>
      </c>
      <c r="O1244" s="47" t="s">
        <v>105</v>
      </c>
    </row>
    <row r="1245" spans="1:15">
      <c r="A1245" s="71">
        <v>2024</v>
      </c>
      <c r="B1245" s="16" t="s">
        <v>464</v>
      </c>
      <c r="C1245" s="62" t="s">
        <v>1814</v>
      </c>
      <c r="D1245" s="47" t="s">
        <v>270</v>
      </c>
      <c r="E1245" s="48" t="s">
        <v>1815</v>
      </c>
      <c r="F1245" s="99">
        <v>1</v>
      </c>
      <c r="G1245" s="42" t="s">
        <v>302</v>
      </c>
      <c r="H1245" s="44">
        <v>140788</v>
      </c>
      <c r="I1245" s="44">
        <f t="shared" si="83"/>
        <v>140788</v>
      </c>
      <c r="J1245" s="529">
        <v>138684</v>
      </c>
      <c r="K1245" s="529">
        <f t="shared" si="81"/>
        <v>2104</v>
      </c>
      <c r="L1245" s="530">
        <f t="shared" si="80"/>
        <v>2104</v>
      </c>
      <c r="M1245" s="536">
        <f t="shared" si="82"/>
        <v>1.4944455493365911E-2</v>
      </c>
      <c r="N1245" s="64" t="s">
        <v>38</v>
      </c>
      <c r="O1245" s="47" t="s">
        <v>105</v>
      </c>
    </row>
    <row r="1246" spans="1:15">
      <c r="A1246" s="71">
        <v>2024</v>
      </c>
      <c r="B1246" s="16" t="s">
        <v>464</v>
      </c>
      <c r="C1246" s="62" t="s">
        <v>1816</v>
      </c>
      <c r="D1246" s="47" t="s">
        <v>68</v>
      </c>
      <c r="E1246" s="48" t="s">
        <v>962</v>
      </c>
      <c r="F1246" s="99">
        <v>730.2</v>
      </c>
      <c r="G1246" s="42" t="s">
        <v>37</v>
      </c>
      <c r="H1246" s="44">
        <v>390</v>
      </c>
      <c r="I1246" s="44">
        <f t="shared" si="83"/>
        <v>284778</v>
      </c>
      <c r="J1246" s="529">
        <v>380</v>
      </c>
      <c r="K1246" s="529">
        <f t="shared" si="81"/>
        <v>10</v>
      </c>
      <c r="L1246" s="530">
        <f t="shared" si="80"/>
        <v>7302</v>
      </c>
      <c r="M1246" s="536">
        <f t="shared" si="82"/>
        <v>2.564102564102564E-2</v>
      </c>
      <c r="N1246" s="64" t="s">
        <v>22</v>
      </c>
      <c r="O1246" s="47" t="s">
        <v>105</v>
      </c>
    </row>
    <row r="1247" spans="1:15">
      <c r="A1247" s="71">
        <v>2024</v>
      </c>
      <c r="B1247" s="16" t="s">
        <v>464</v>
      </c>
      <c r="C1247" s="62" t="s">
        <v>1817</v>
      </c>
      <c r="D1247" s="47" t="s">
        <v>94</v>
      </c>
      <c r="E1247" s="48" t="s">
        <v>1504</v>
      </c>
      <c r="F1247" s="99">
        <v>100</v>
      </c>
      <c r="G1247" s="42" t="s">
        <v>19</v>
      </c>
      <c r="H1247" s="44">
        <v>2.6</v>
      </c>
      <c r="I1247" s="44">
        <f t="shared" si="83"/>
        <v>260</v>
      </c>
      <c r="J1247" s="529">
        <v>2.5499999999999998</v>
      </c>
      <c r="K1247" s="529">
        <f t="shared" si="81"/>
        <v>5.0000000000000266E-2</v>
      </c>
      <c r="L1247" s="530">
        <f t="shared" si="80"/>
        <v>5.0000000000000266</v>
      </c>
      <c r="M1247" s="536">
        <f t="shared" si="82"/>
        <v>1.9230769230769332E-2</v>
      </c>
      <c r="N1247" s="64" t="s">
        <v>22</v>
      </c>
      <c r="O1247" s="47" t="s">
        <v>105</v>
      </c>
    </row>
    <row r="1248" spans="1:15">
      <c r="A1248" s="71">
        <v>2024</v>
      </c>
      <c r="B1248" s="16" t="s">
        <v>464</v>
      </c>
      <c r="C1248" s="62" t="s">
        <v>1818</v>
      </c>
      <c r="D1248" s="47" t="s">
        <v>270</v>
      </c>
      <c r="E1248" s="48" t="s">
        <v>1815</v>
      </c>
      <c r="F1248" s="99">
        <v>3</v>
      </c>
      <c r="G1248" s="42" t="s">
        <v>302</v>
      </c>
      <c r="H1248" s="44">
        <v>122776</v>
      </c>
      <c r="I1248" s="44">
        <f t="shared" si="83"/>
        <v>368328</v>
      </c>
      <c r="J1248" s="529">
        <v>120940</v>
      </c>
      <c r="K1248" s="529">
        <f t="shared" si="81"/>
        <v>1836</v>
      </c>
      <c r="L1248" s="530">
        <f t="shared" si="80"/>
        <v>5508</v>
      </c>
      <c r="M1248" s="536">
        <f t="shared" si="82"/>
        <v>1.4954062683260572E-2</v>
      </c>
      <c r="N1248" s="64" t="s">
        <v>38</v>
      </c>
      <c r="O1248" s="47" t="s">
        <v>105</v>
      </c>
    </row>
    <row r="1249" spans="1:15">
      <c r="A1249" s="71">
        <v>2024</v>
      </c>
      <c r="B1249" s="16" t="s">
        <v>464</v>
      </c>
      <c r="C1249" s="62" t="s">
        <v>1819</v>
      </c>
      <c r="D1249" s="47" t="s">
        <v>1042</v>
      </c>
      <c r="E1249" s="48" t="s">
        <v>1141</v>
      </c>
      <c r="F1249" s="99">
        <v>300</v>
      </c>
      <c r="G1249" s="42" t="s">
        <v>37</v>
      </c>
      <c r="H1249" s="44">
        <v>372</v>
      </c>
      <c r="I1249" s="44">
        <f t="shared" si="83"/>
        <v>111600</v>
      </c>
      <c r="J1249" s="529">
        <v>371</v>
      </c>
      <c r="K1249" s="529">
        <f t="shared" si="81"/>
        <v>1</v>
      </c>
      <c r="L1249" s="530">
        <f t="shared" si="80"/>
        <v>300</v>
      </c>
      <c r="M1249" s="536">
        <f t="shared" si="82"/>
        <v>2.6881720430107529E-3</v>
      </c>
      <c r="N1249" s="64" t="s">
        <v>38</v>
      </c>
      <c r="O1249" s="47" t="s">
        <v>105</v>
      </c>
    </row>
    <row r="1250" spans="1:15">
      <c r="A1250" s="71">
        <v>2024</v>
      </c>
      <c r="B1250" s="16" t="s">
        <v>464</v>
      </c>
      <c r="C1250" s="62" t="s">
        <v>1819</v>
      </c>
      <c r="D1250" s="47" t="s">
        <v>1042</v>
      </c>
      <c r="E1250" s="48" t="s">
        <v>614</v>
      </c>
      <c r="F1250" s="99">
        <v>400</v>
      </c>
      <c r="G1250" s="42" t="s">
        <v>615</v>
      </c>
      <c r="H1250" s="44">
        <v>154.63</v>
      </c>
      <c r="I1250" s="44">
        <f t="shared" si="83"/>
        <v>61852</v>
      </c>
      <c r="J1250" s="529">
        <v>152</v>
      </c>
      <c r="K1250" s="529">
        <f t="shared" si="81"/>
        <v>2.6299999999999955</v>
      </c>
      <c r="L1250" s="530">
        <f t="shared" si="80"/>
        <v>1051.9999999999982</v>
      </c>
      <c r="M1250" s="536">
        <f t="shared" si="82"/>
        <v>1.7008342494988008E-2</v>
      </c>
      <c r="N1250" s="64" t="s">
        <v>38</v>
      </c>
      <c r="O1250" s="47" t="s">
        <v>105</v>
      </c>
    </row>
    <row r="1251" spans="1:15">
      <c r="A1251" s="71">
        <v>2024</v>
      </c>
      <c r="B1251" s="16" t="s">
        <v>464</v>
      </c>
      <c r="C1251" s="62" t="s">
        <v>1820</v>
      </c>
      <c r="D1251" s="47" t="s">
        <v>27</v>
      </c>
      <c r="E1251" s="48" t="s">
        <v>1147</v>
      </c>
      <c r="F1251" s="99">
        <v>10</v>
      </c>
      <c r="G1251" s="42" t="s">
        <v>615</v>
      </c>
      <c r="H1251" s="44">
        <v>140</v>
      </c>
      <c r="I1251" s="44">
        <f t="shared" si="83"/>
        <v>1400</v>
      </c>
      <c r="J1251" s="529">
        <v>127</v>
      </c>
      <c r="K1251" s="529">
        <f t="shared" si="81"/>
        <v>13</v>
      </c>
      <c r="L1251" s="530">
        <f t="shared" si="80"/>
        <v>130</v>
      </c>
      <c r="M1251" s="536">
        <f t="shared" si="82"/>
        <v>9.285714285714286E-2</v>
      </c>
      <c r="N1251" s="64" t="s">
        <v>22</v>
      </c>
      <c r="O1251" s="47" t="s">
        <v>105</v>
      </c>
    </row>
    <row r="1252" spans="1:15">
      <c r="A1252" s="71">
        <v>2024</v>
      </c>
      <c r="B1252" s="16" t="s">
        <v>464</v>
      </c>
      <c r="C1252" s="62" t="s">
        <v>1821</v>
      </c>
      <c r="D1252" s="47" t="s">
        <v>68</v>
      </c>
      <c r="E1252" s="48" t="s">
        <v>69</v>
      </c>
      <c r="F1252" s="99">
        <v>1840</v>
      </c>
      <c r="G1252" s="42" t="s">
        <v>37</v>
      </c>
      <c r="H1252" s="44">
        <v>385</v>
      </c>
      <c r="I1252" s="44">
        <f t="shared" si="83"/>
        <v>708400</v>
      </c>
      <c r="J1252" s="529">
        <v>383</v>
      </c>
      <c r="K1252" s="529">
        <f t="shared" si="81"/>
        <v>2</v>
      </c>
      <c r="L1252" s="530">
        <f t="shared" si="80"/>
        <v>3680</v>
      </c>
      <c r="M1252" s="536">
        <f t="shared" si="82"/>
        <v>5.1948051948051948E-3</v>
      </c>
      <c r="N1252" s="64" t="s">
        <v>38</v>
      </c>
      <c r="O1252" s="47" t="s">
        <v>105</v>
      </c>
    </row>
    <row r="1253" spans="1:15">
      <c r="A1253" s="71">
        <v>2024</v>
      </c>
      <c r="B1253" s="16" t="s">
        <v>464</v>
      </c>
      <c r="C1253" s="62" t="s">
        <v>1822</v>
      </c>
      <c r="D1253" s="47" t="s">
        <v>892</v>
      </c>
      <c r="E1253" s="48" t="s">
        <v>894</v>
      </c>
      <c r="F1253" s="99">
        <v>117</v>
      </c>
      <c r="G1253" s="42" t="s">
        <v>19</v>
      </c>
      <c r="H1253" s="44">
        <v>1650</v>
      </c>
      <c r="I1253" s="44">
        <f t="shared" si="83"/>
        <v>193050</v>
      </c>
      <c r="J1253" s="529">
        <v>1550</v>
      </c>
      <c r="K1253" s="529">
        <f t="shared" si="81"/>
        <v>100</v>
      </c>
      <c r="L1253" s="530">
        <f t="shared" si="80"/>
        <v>11700</v>
      </c>
      <c r="M1253" s="536">
        <f t="shared" si="82"/>
        <v>6.0606060606060608E-2</v>
      </c>
      <c r="N1253" s="64" t="s">
        <v>38</v>
      </c>
      <c r="O1253" s="47" t="s">
        <v>105</v>
      </c>
    </row>
    <row r="1254" spans="1:15">
      <c r="A1254" s="71">
        <v>2024</v>
      </c>
      <c r="B1254" s="16" t="s">
        <v>464</v>
      </c>
      <c r="C1254" s="62" t="s">
        <v>1823</v>
      </c>
      <c r="D1254" s="47" t="s">
        <v>926</v>
      </c>
      <c r="E1254" s="48" t="s">
        <v>1824</v>
      </c>
      <c r="F1254" s="99">
        <v>1</v>
      </c>
      <c r="G1254" s="42" t="s">
        <v>302</v>
      </c>
      <c r="H1254" s="44">
        <v>3850</v>
      </c>
      <c r="I1254" s="44">
        <f t="shared" si="83"/>
        <v>3850</v>
      </c>
      <c r="J1254" s="529">
        <v>3750</v>
      </c>
      <c r="K1254" s="529">
        <f t="shared" si="81"/>
        <v>100</v>
      </c>
      <c r="L1254" s="530">
        <f t="shared" si="80"/>
        <v>100</v>
      </c>
      <c r="M1254" s="536">
        <f t="shared" si="82"/>
        <v>2.5974025974025976E-2</v>
      </c>
      <c r="N1254" s="64" t="s">
        <v>38</v>
      </c>
      <c r="O1254" s="47" t="s">
        <v>105</v>
      </c>
    </row>
    <row r="1255" spans="1:15">
      <c r="A1255" s="71">
        <v>2024</v>
      </c>
      <c r="B1255" s="16" t="s">
        <v>464</v>
      </c>
      <c r="C1255" s="62" t="s">
        <v>1825</v>
      </c>
      <c r="D1255" s="47" t="s">
        <v>270</v>
      </c>
      <c r="E1255" s="48" t="s">
        <v>1244</v>
      </c>
      <c r="F1255" s="99">
        <v>1</v>
      </c>
      <c r="G1255" s="42" t="s">
        <v>302</v>
      </c>
      <c r="H1255" s="44">
        <v>127360</v>
      </c>
      <c r="I1255" s="44">
        <f t="shared" si="83"/>
        <v>127360</v>
      </c>
      <c r="J1255" s="529">
        <v>125456</v>
      </c>
      <c r="K1255" s="529">
        <f t="shared" si="81"/>
        <v>1904</v>
      </c>
      <c r="L1255" s="530">
        <f t="shared" si="80"/>
        <v>1904</v>
      </c>
      <c r="M1255" s="536">
        <f t="shared" si="82"/>
        <v>1.4949748743718592E-2</v>
      </c>
      <c r="N1255" s="64" t="s">
        <v>38</v>
      </c>
      <c r="O1255" s="47" t="s">
        <v>105</v>
      </c>
    </row>
    <row r="1256" spans="1:15">
      <c r="A1256" s="71">
        <v>2024</v>
      </c>
      <c r="B1256" s="16" t="s">
        <v>464</v>
      </c>
      <c r="C1256" s="62" t="s">
        <v>1826</v>
      </c>
      <c r="D1256" s="47" t="s">
        <v>1042</v>
      </c>
      <c r="E1256" s="48" t="s">
        <v>711</v>
      </c>
      <c r="F1256" s="99">
        <v>3371</v>
      </c>
      <c r="G1256" s="42" t="s">
        <v>37</v>
      </c>
      <c r="H1256" s="44">
        <v>372</v>
      </c>
      <c r="I1256" s="44">
        <f t="shared" si="83"/>
        <v>1254012</v>
      </c>
      <c r="J1256" s="529">
        <v>371</v>
      </c>
      <c r="K1256" s="529">
        <f t="shared" si="81"/>
        <v>1</v>
      </c>
      <c r="L1256" s="530">
        <f t="shared" si="80"/>
        <v>3371</v>
      </c>
      <c r="M1256" s="536">
        <f t="shared" si="82"/>
        <v>2.6881720430107529E-3</v>
      </c>
      <c r="N1256" s="64" t="s">
        <v>38</v>
      </c>
      <c r="O1256" s="47" t="s">
        <v>105</v>
      </c>
    </row>
    <row r="1257" spans="1:15">
      <c r="A1257" s="71">
        <v>2024</v>
      </c>
      <c r="B1257" s="16" t="s">
        <v>464</v>
      </c>
      <c r="C1257" s="62" t="s">
        <v>1827</v>
      </c>
      <c r="D1257" s="47" t="s">
        <v>270</v>
      </c>
      <c r="E1257" s="443" t="s">
        <v>962</v>
      </c>
      <c r="F1257" s="99">
        <v>1087.5</v>
      </c>
      <c r="G1257" s="42" t="s">
        <v>37</v>
      </c>
      <c r="H1257" s="44">
        <v>400</v>
      </c>
      <c r="I1257" s="44">
        <f t="shared" si="83"/>
        <v>435000</v>
      </c>
      <c r="J1257" s="529">
        <v>371</v>
      </c>
      <c r="K1257" s="529">
        <f t="shared" si="81"/>
        <v>29</v>
      </c>
      <c r="L1257" s="530">
        <f t="shared" si="80"/>
        <v>31537.5</v>
      </c>
      <c r="M1257" s="536">
        <f t="shared" si="82"/>
        <v>7.2499999999999995E-2</v>
      </c>
      <c r="N1257" s="64" t="s">
        <v>22</v>
      </c>
      <c r="O1257" s="47" t="s">
        <v>105</v>
      </c>
    </row>
    <row r="1258" spans="1:15">
      <c r="A1258" s="71">
        <v>2024</v>
      </c>
      <c r="B1258" s="16" t="s">
        <v>464</v>
      </c>
      <c r="C1258" s="62" t="s">
        <v>1828</v>
      </c>
      <c r="D1258" s="47" t="s">
        <v>27</v>
      </c>
      <c r="E1258" s="48" t="s">
        <v>456</v>
      </c>
      <c r="F1258" s="99">
        <v>600</v>
      </c>
      <c r="G1258" s="42" t="s">
        <v>19</v>
      </c>
      <c r="H1258" s="44">
        <v>2.5499999999999998</v>
      </c>
      <c r="I1258" s="44">
        <f t="shared" si="83"/>
        <v>1530</v>
      </c>
      <c r="J1258" s="529">
        <v>2.5</v>
      </c>
      <c r="K1258" s="529">
        <f t="shared" si="81"/>
        <v>4.9999999999999822E-2</v>
      </c>
      <c r="L1258" s="530">
        <f t="shared" si="80"/>
        <v>29.999999999999893</v>
      </c>
      <c r="M1258" s="536">
        <f t="shared" si="82"/>
        <v>1.9607843137254832E-2</v>
      </c>
      <c r="N1258" s="64" t="s">
        <v>22</v>
      </c>
      <c r="O1258" s="47" t="s">
        <v>105</v>
      </c>
    </row>
    <row r="1259" spans="1:15">
      <c r="A1259" s="71">
        <v>2024</v>
      </c>
      <c r="B1259" s="16" t="s">
        <v>464</v>
      </c>
      <c r="C1259" s="62" t="s">
        <v>1829</v>
      </c>
      <c r="D1259" s="47" t="s">
        <v>1811</v>
      </c>
      <c r="E1259" s="48" t="s">
        <v>1830</v>
      </c>
      <c r="F1259" s="99">
        <v>505</v>
      </c>
      <c r="G1259" s="42" t="s">
        <v>19</v>
      </c>
      <c r="H1259" s="44">
        <v>75</v>
      </c>
      <c r="I1259" s="44">
        <f t="shared" si="83"/>
        <v>37875</v>
      </c>
      <c r="J1259" s="529">
        <v>70</v>
      </c>
      <c r="K1259" s="529">
        <f t="shared" si="81"/>
        <v>5</v>
      </c>
      <c r="L1259" s="530">
        <f t="shared" si="80"/>
        <v>2525</v>
      </c>
      <c r="M1259" s="536">
        <f t="shared" si="82"/>
        <v>6.6666666666666666E-2</v>
      </c>
      <c r="N1259" s="64" t="s">
        <v>38</v>
      </c>
      <c r="O1259" s="47" t="s">
        <v>105</v>
      </c>
    </row>
    <row r="1260" spans="1:15">
      <c r="A1260" s="71">
        <v>2024</v>
      </c>
      <c r="B1260" s="16" t="s">
        <v>464</v>
      </c>
      <c r="C1260" s="62" t="s">
        <v>1831</v>
      </c>
      <c r="D1260" s="47" t="s">
        <v>107</v>
      </c>
      <c r="E1260" s="48" t="s">
        <v>564</v>
      </c>
      <c r="F1260" s="99">
        <v>20</v>
      </c>
      <c r="G1260" s="42" t="s">
        <v>19</v>
      </c>
      <c r="H1260" s="44">
        <v>950</v>
      </c>
      <c r="I1260" s="44">
        <f t="shared" si="83"/>
        <v>19000</v>
      </c>
      <c r="J1260" s="529">
        <v>910</v>
      </c>
      <c r="K1260" s="529">
        <f t="shared" si="81"/>
        <v>40</v>
      </c>
      <c r="L1260" s="530">
        <f t="shared" si="80"/>
        <v>800</v>
      </c>
      <c r="M1260" s="536">
        <f t="shared" si="82"/>
        <v>4.2105263157894736E-2</v>
      </c>
      <c r="N1260" s="64" t="s">
        <v>22</v>
      </c>
      <c r="O1260" s="47" t="s">
        <v>105</v>
      </c>
    </row>
    <row r="1261" spans="1:15">
      <c r="A1261" s="71">
        <v>2024</v>
      </c>
      <c r="B1261" s="16" t="s">
        <v>464</v>
      </c>
      <c r="C1261" s="75" t="s">
        <v>1832</v>
      </c>
      <c r="D1261" s="47" t="s">
        <v>590</v>
      </c>
      <c r="E1261" s="401" t="s">
        <v>1833</v>
      </c>
      <c r="F1261" s="100">
        <v>7</v>
      </c>
      <c r="G1261" s="42" t="s">
        <v>63</v>
      </c>
      <c r="H1261" s="44">
        <v>129000</v>
      </c>
      <c r="I1261" s="44">
        <f t="shared" si="83"/>
        <v>903000</v>
      </c>
      <c r="J1261" s="529">
        <v>120000</v>
      </c>
      <c r="K1261" s="529">
        <f t="shared" si="81"/>
        <v>9000</v>
      </c>
      <c r="L1261" s="530">
        <f t="shared" si="80"/>
        <v>63000</v>
      </c>
      <c r="M1261" s="536">
        <f t="shared" si="82"/>
        <v>6.9767441860465115E-2</v>
      </c>
      <c r="N1261" s="64" t="s">
        <v>22</v>
      </c>
      <c r="O1261" s="47" t="s">
        <v>39</v>
      </c>
    </row>
    <row r="1262" spans="1:15">
      <c r="A1262" s="71">
        <v>2024</v>
      </c>
      <c r="B1262" s="16" t="s">
        <v>464</v>
      </c>
      <c r="C1262" s="62" t="s">
        <v>1834</v>
      </c>
      <c r="D1262" s="76" t="s">
        <v>270</v>
      </c>
      <c r="E1262" s="48" t="s">
        <v>962</v>
      </c>
      <c r="F1262" s="44">
        <v>822.89</v>
      </c>
      <c r="G1262" s="42" t="s">
        <v>37</v>
      </c>
      <c r="H1262" s="44">
        <v>430</v>
      </c>
      <c r="I1262" s="44">
        <v>822.89</v>
      </c>
      <c r="J1262" s="529">
        <v>408</v>
      </c>
      <c r="K1262" s="529">
        <f t="shared" si="81"/>
        <v>22</v>
      </c>
      <c r="L1262" s="15" t="s">
        <v>270</v>
      </c>
      <c r="M1262" s="536">
        <f t="shared" si="82"/>
        <v>5.1162790697674418E-2</v>
      </c>
      <c r="N1262" s="64" t="s">
        <v>22</v>
      </c>
      <c r="O1262" s="47" t="s">
        <v>105</v>
      </c>
    </row>
    <row r="1263" spans="1:15">
      <c r="A1263" s="71">
        <v>2024</v>
      </c>
      <c r="B1263" s="16" t="s">
        <v>464</v>
      </c>
      <c r="C1263" s="62" t="s">
        <v>1835</v>
      </c>
      <c r="D1263" s="76" t="s">
        <v>94</v>
      </c>
      <c r="E1263" s="48" t="s">
        <v>101</v>
      </c>
      <c r="F1263" s="99">
        <v>40</v>
      </c>
      <c r="G1263" s="42" t="s">
        <v>29</v>
      </c>
      <c r="H1263" s="44">
        <v>620</v>
      </c>
      <c r="I1263" s="44">
        <f t="shared" ref="I1263:I1326" si="84">H1263*F1263</f>
        <v>24800</v>
      </c>
      <c r="J1263" s="529">
        <v>608</v>
      </c>
      <c r="K1263" s="529">
        <f t="shared" si="81"/>
        <v>12</v>
      </c>
      <c r="L1263" s="530">
        <f t="shared" si="80"/>
        <v>480</v>
      </c>
      <c r="M1263" s="536">
        <f t="shared" si="82"/>
        <v>1.935483870967742E-2</v>
      </c>
      <c r="N1263" s="64" t="s">
        <v>22</v>
      </c>
      <c r="O1263" s="47" t="s">
        <v>21</v>
      </c>
    </row>
    <row r="1264" spans="1:15">
      <c r="A1264" s="71">
        <v>2024</v>
      </c>
      <c r="B1264" s="16" t="s">
        <v>464</v>
      </c>
      <c r="C1264" s="62" t="s">
        <v>1836</v>
      </c>
      <c r="D1264" s="76" t="s">
        <v>96</v>
      </c>
      <c r="E1264" s="48" t="s">
        <v>774</v>
      </c>
      <c r="F1264" s="99">
        <v>50</v>
      </c>
      <c r="G1264" s="42" t="s">
        <v>98</v>
      </c>
      <c r="H1264" s="44">
        <v>1425</v>
      </c>
      <c r="I1264" s="44">
        <f t="shared" si="84"/>
        <v>71250</v>
      </c>
      <c r="J1264" s="529">
        <v>1050</v>
      </c>
      <c r="K1264" s="529">
        <f t="shared" si="81"/>
        <v>375</v>
      </c>
      <c r="L1264" s="530">
        <f t="shared" si="80"/>
        <v>18750</v>
      </c>
      <c r="M1264" s="536">
        <f t="shared" si="82"/>
        <v>0.26315789473684209</v>
      </c>
      <c r="N1264" s="64" t="s">
        <v>22</v>
      </c>
      <c r="O1264" s="47" t="s">
        <v>21</v>
      </c>
    </row>
    <row r="1265" spans="1:15">
      <c r="A1265" s="71">
        <v>2024</v>
      </c>
      <c r="B1265" s="16" t="s">
        <v>464</v>
      </c>
      <c r="C1265" s="62" t="s">
        <v>1837</v>
      </c>
      <c r="D1265" s="76" t="s">
        <v>182</v>
      </c>
      <c r="E1265" s="48" t="s">
        <v>1838</v>
      </c>
      <c r="F1265" s="99">
        <v>1</v>
      </c>
      <c r="G1265" s="42" t="s">
        <v>19</v>
      </c>
      <c r="H1265" s="44">
        <v>18940</v>
      </c>
      <c r="I1265" s="44">
        <f t="shared" si="84"/>
        <v>18940</v>
      </c>
      <c r="J1265" s="529">
        <v>18200</v>
      </c>
      <c r="K1265" s="529">
        <f t="shared" si="81"/>
        <v>740</v>
      </c>
      <c r="L1265" s="530">
        <f t="shared" si="80"/>
        <v>740</v>
      </c>
      <c r="M1265" s="536">
        <f t="shared" si="82"/>
        <v>3.907074973600845E-2</v>
      </c>
      <c r="N1265" s="64" t="s">
        <v>22</v>
      </c>
      <c r="O1265" s="47" t="s">
        <v>21</v>
      </c>
    </row>
    <row r="1266" spans="1:15">
      <c r="A1266" s="71">
        <v>2024</v>
      </c>
      <c r="B1266" s="16" t="s">
        <v>464</v>
      </c>
      <c r="C1266" s="62" t="s">
        <v>1839</v>
      </c>
      <c r="D1266" s="76" t="s">
        <v>1840</v>
      </c>
      <c r="E1266" s="48" t="s">
        <v>1841</v>
      </c>
      <c r="F1266" s="99">
        <v>1</v>
      </c>
      <c r="G1266" s="42" t="s">
        <v>576</v>
      </c>
      <c r="H1266" s="44">
        <v>808000</v>
      </c>
      <c r="I1266" s="44">
        <f t="shared" si="84"/>
        <v>808000</v>
      </c>
      <c r="J1266" s="529">
        <v>778000</v>
      </c>
      <c r="K1266" s="529">
        <f t="shared" si="81"/>
        <v>30000</v>
      </c>
      <c r="L1266" s="530">
        <f t="shared" si="80"/>
        <v>30000</v>
      </c>
      <c r="M1266" s="536">
        <f t="shared" si="82"/>
        <v>3.7128712871287127E-2</v>
      </c>
      <c r="N1266" s="64" t="s">
        <v>22</v>
      </c>
      <c r="O1266" s="47" t="s">
        <v>21</v>
      </c>
    </row>
    <row r="1267" spans="1:15">
      <c r="A1267" s="71">
        <v>2024</v>
      </c>
      <c r="B1267" s="16" t="s">
        <v>464</v>
      </c>
      <c r="C1267" s="62" t="s">
        <v>1839</v>
      </c>
      <c r="D1267" s="76" t="s">
        <v>1840</v>
      </c>
      <c r="E1267" s="48" t="s">
        <v>1841</v>
      </c>
      <c r="F1267" s="99">
        <v>1</v>
      </c>
      <c r="G1267" s="42" t="s">
        <v>576</v>
      </c>
      <c r="H1267" s="44">
        <v>544600</v>
      </c>
      <c r="I1267" s="44">
        <f t="shared" si="84"/>
        <v>544600</v>
      </c>
      <c r="J1267" s="529">
        <v>542671.20833333337</v>
      </c>
      <c r="K1267" s="529">
        <f t="shared" si="81"/>
        <v>1928.7916666666279</v>
      </c>
      <c r="L1267" s="530">
        <f t="shared" si="80"/>
        <v>1928.7916666666279</v>
      </c>
      <c r="M1267" s="536">
        <f t="shared" si="82"/>
        <v>3.5416666666665954E-3</v>
      </c>
      <c r="N1267" s="64" t="s">
        <v>30</v>
      </c>
      <c r="O1267" s="47" t="s">
        <v>21</v>
      </c>
    </row>
    <row r="1268" spans="1:15">
      <c r="A1268" s="71">
        <v>2024</v>
      </c>
      <c r="B1268" s="16" t="s">
        <v>464</v>
      </c>
      <c r="C1268" s="62" t="s">
        <v>1842</v>
      </c>
      <c r="D1268" s="76" t="s">
        <v>96</v>
      </c>
      <c r="E1268" s="48" t="s">
        <v>419</v>
      </c>
      <c r="F1268" s="99">
        <v>15</v>
      </c>
      <c r="G1268" s="152" t="s">
        <v>98</v>
      </c>
      <c r="H1268" s="44">
        <v>9870</v>
      </c>
      <c r="I1268" s="44">
        <f t="shared" si="84"/>
        <v>148050</v>
      </c>
      <c r="J1268" s="529">
        <v>8400</v>
      </c>
      <c r="K1268" s="529">
        <f t="shared" si="81"/>
        <v>1470</v>
      </c>
      <c r="L1268" s="530">
        <f t="shared" si="80"/>
        <v>22050</v>
      </c>
      <c r="M1268" s="536">
        <f t="shared" si="82"/>
        <v>0.14893617021276595</v>
      </c>
      <c r="N1268" s="64" t="s">
        <v>22</v>
      </c>
      <c r="O1268" s="47" t="s">
        <v>21</v>
      </c>
    </row>
    <row r="1269" spans="1:15">
      <c r="A1269" s="71">
        <v>2024</v>
      </c>
      <c r="B1269" s="16" t="s">
        <v>464</v>
      </c>
      <c r="C1269" s="62" t="s">
        <v>1842</v>
      </c>
      <c r="D1269" s="76" t="s">
        <v>96</v>
      </c>
      <c r="E1269" s="48" t="s">
        <v>1843</v>
      </c>
      <c r="F1269" s="99">
        <v>3</v>
      </c>
      <c r="G1269" s="152" t="s">
        <v>98</v>
      </c>
      <c r="H1269" s="44">
        <v>420</v>
      </c>
      <c r="I1269" s="44">
        <f t="shared" si="84"/>
        <v>1260</v>
      </c>
      <c r="J1269" s="529">
        <v>375</v>
      </c>
      <c r="K1269" s="529">
        <f t="shared" si="81"/>
        <v>45</v>
      </c>
      <c r="L1269" s="530">
        <f t="shared" si="80"/>
        <v>135</v>
      </c>
      <c r="M1269" s="536">
        <f t="shared" si="82"/>
        <v>0.10714285714285714</v>
      </c>
      <c r="N1269" s="64" t="s">
        <v>22</v>
      </c>
      <c r="O1269" s="47" t="s">
        <v>21</v>
      </c>
    </row>
    <row r="1270" spans="1:15">
      <c r="A1270" s="71">
        <v>2024</v>
      </c>
      <c r="B1270" s="16" t="s">
        <v>464</v>
      </c>
      <c r="C1270" s="62" t="s">
        <v>1844</v>
      </c>
      <c r="D1270" s="47" t="s">
        <v>323</v>
      </c>
      <c r="E1270" s="48" t="s">
        <v>1512</v>
      </c>
      <c r="F1270" s="99">
        <v>36</v>
      </c>
      <c r="G1270" s="42" t="s">
        <v>29</v>
      </c>
      <c r="H1270" s="44">
        <v>6290</v>
      </c>
      <c r="I1270" s="44">
        <f t="shared" si="84"/>
        <v>226440</v>
      </c>
      <c r="J1270" s="529">
        <v>5910</v>
      </c>
      <c r="K1270" s="529">
        <f t="shared" si="81"/>
        <v>380</v>
      </c>
      <c r="L1270" s="530">
        <f t="shared" si="80"/>
        <v>13680</v>
      </c>
      <c r="M1270" s="536">
        <f t="shared" si="82"/>
        <v>6.0413354531001592E-2</v>
      </c>
      <c r="N1270" s="64" t="s">
        <v>20</v>
      </c>
      <c r="O1270" s="47" t="s">
        <v>21</v>
      </c>
    </row>
    <row r="1271" spans="1:15">
      <c r="A1271" s="71">
        <v>2024</v>
      </c>
      <c r="B1271" s="16" t="s">
        <v>464</v>
      </c>
      <c r="C1271" s="62" t="s">
        <v>1845</v>
      </c>
      <c r="D1271" s="47" t="s">
        <v>118</v>
      </c>
      <c r="E1271" s="48" t="s">
        <v>1846</v>
      </c>
      <c r="F1271" s="99">
        <v>36</v>
      </c>
      <c r="G1271" s="42" t="s">
        <v>29</v>
      </c>
      <c r="H1271" s="44">
        <v>185</v>
      </c>
      <c r="I1271" s="44">
        <f t="shared" si="84"/>
        <v>6660</v>
      </c>
      <c r="J1271" s="529">
        <v>160</v>
      </c>
      <c r="K1271" s="529">
        <f t="shared" si="81"/>
        <v>25</v>
      </c>
      <c r="L1271" s="530">
        <f t="shared" si="80"/>
        <v>900</v>
      </c>
      <c r="M1271" s="536">
        <f t="shared" si="82"/>
        <v>0.13513513513513514</v>
      </c>
      <c r="N1271" s="64" t="s">
        <v>22</v>
      </c>
      <c r="O1271" s="47" t="s">
        <v>21</v>
      </c>
    </row>
    <row r="1272" spans="1:15">
      <c r="A1272" s="71">
        <v>2024</v>
      </c>
      <c r="B1272" s="16" t="s">
        <v>464</v>
      </c>
      <c r="C1272" s="62" t="s">
        <v>1847</v>
      </c>
      <c r="D1272" s="76" t="s">
        <v>1470</v>
      </c>
      <c r="E1272" s="48" t="s">
        <v>1848</v>
      </c>
      <c r="F1272" s="99">
        <v>200</v>
      </c>
      <c r="G1272" s="42" t="s">
        <v>98</v>
      </c>
      <c r="H1272" s="44">
        <v>4700</v>
      </c>
      <c r="I1272" s="44">
        <f t="shared" si="84"/>
        <v>940000</v>
      </c>
      <c r="J1272" s="529">
        <v>4465</v>
      </c>
      <c r="K1272" s="529">
        <f t="shared" si="81"/>
        <v>235</v>
      </c>
      <c r="L1272" s="530">
        <f t="shared" si="80"/>
        <v>47000</v>
      </c>
      <c r="M1272" s="536">
        <f t="shared" si="82"/>
        <v>0.05</v>
      </c>
      <c r="N1272" s="64" t="s">
        <v>22</v>
      </c>
      <c r="O1272" s="47" t="s">
        <v>21</v>
      </c>
    </row>
    <row r="1273" spans="1:15">
      <c r="A1273" s="71">
        <v>2024</v>
      </c>
      <c r="B1273" s="16" t="s">
        <v>464</v>
      </c>
      <c r="C1273" s="62" t="s">
        <v>1849</v>
      </c>
      <c r="D1273" s="76" t="s">
        <v>1850</v>
      </c>
      <c r="E1273" s="48" t="s">
        <v>1851</v>
      </c>
      <c r="F1273" s="99">
        <v>2</v>
      </c>
      <c r="G1273" s="42" t="s">
        <v>19</v>
      </c>
      <c r="H1273" s="44">
        <v>1500</v>
      </c>
      <c r="I1273" s="44">
        <f t="shared" si="84"/>
        <v>3000</v>
      </c>
      <c r="J1273" s="529">
        <v>1100</v>
      </c>
      <c r="K1273" s="529">
        <f t="shared" si="81"/>
        <v>400</v>
      </c>
      <c r="L1273" s="530">
        <f t="shared" si="80"/>
        <v>800</v>
      </c>
      <c r="M1273" s="536">
        <f t="shared" si="82"/>
        <v>0.26666666666666666</v>
      </c>
      <c r="N1273" s="64" t="s">
        <v>22</v>
      </c>
      <c r="O1273" s="47" t="s">
        <v>21</v>
      </c>
    </row>
    <row r="1274" spans="1:15">
      <c r="A1274" s="71">
        <v>2024</v>
      </c>
      <c r="B1274" s="16" t="s">
        <v>464</v>
      </c>
      <c r="C1274" s="62" t="s">
        <v>1849</v>
      </c>
      <c r="D1274" s="76" t="s">
        <v>1850</v>
      </c>
      <c r="E1274" s="48" t="s">
        <v>1852</v>
      </c>
      <c r="F1274" s="99">
        <v>2</v>
      </c>
      <c r="G1274" s="42" t="s">
        <v>19</v>
      </c>
      <c r="H1274" s="44">
        <v>2200</v>
      </c>
      <c r="I1274" s="44">
        <f t="shared" si="84"/>
        <v>4400</v>
      </c>
      <c r="J1274" s="529">
        <v>1660</v>
      </c>
      <c r="K1274" s="529">
        <f t="shared" si="81"/>
        <v>540</v>
      </c>
      <c r="L1274" s="530">
        <f t="shared" si="80"/>
        <v>1080</v>
      </c>
      <c r="M1274" s="536">
        <f t="shared" si="82"/>
        <v>0.24545454545454545</v>
      </c>
      <c r="N1274" s="64" t="s">
        <v>22</v>
      </c>
      <c r="O1274" s="47" t="s">
        <v>21</v>
      </c>
    </row>
    <row r="1275" spans="1:15">
      <c r="A1275" s="71">
        <v>2024</v>
      </c>
      <c r="B1275" s="16" t="s">
        <v>464</v>
      </c>
      <c r="C1275" s="62" t="s">
        <v>1849</v>
      </c>
      <c r="D1275" s="76" t="s">
        <v>1850</v>
      </c>
      <c r="E1275" s="48" t="s">
        <v>1853</v>
      </c>
      <c r="F1275" s="99">
        <v>2</v>
      </c>
      <c r="G1275" s="42" t="s">
        <v>19</v>
      </c>
      <c r="H1275" s="44">
        <v>3500</v>
      </c>
      <c r="I1275" s="44">
        <f t="shared" si="84"/>
        <v>7000</v>
      </c>
      <c r="J1275" s="529">
        <v>2660</v>
      </c>
      <c r="K1275" s="529">
        <f t="shared" si="81"/>
        <v>840</v>
      </c>
      <c r="L1275" s="530">
        <f t="shared" si="80"/>
        <v>1680</v>
      </c>
      <c r="M1275" s="536">
        <f t="shared" si="82"/>
        <v>0.24</v>
      </c>
      <c r="N1275" s="64" t="s">
        <v>22</v>
      </c>
      <c r="O1275" s="47" t="s">
        <v>21</v>
      </c>
    </row>
    <row r="1276" spans="1:15">
      <c r="A1276" s="71">
        <v>2024</v>
      </c>
      <c r="B1276" s="16" t="s">
        <v>464</v>
      </c>
      <c r="C1276" s="62" t="s">
        <v>1854</v>
      </c>
      <c r="D1276" s="76" t="s">
        <v>24</v>
      </c>
      <c r="E1276" s="48" t="s">
        <v>1855</v>
      </c>
      <c r="F1276" s="99">
        <v>1</v>
      </c>
      <c r="G1276" s="42" t="s">
        <v>29</v>
      </c>
      <c r="H1276" s="44">
        <v>7380</v>
      </c>
      <c r="I1276" s="44">
        <f t="shared" si="84"/>
        <v>7380</v>
      </c>
      <c r="J1276" s="529">
        <v>5800</v>
      </c>
      <c r="K1276" s="529">
        <f t="shared" si="81"/>
        <v>1580</v>
      </c>
      <c r="L1276" s="530">
        <f t="shared" si="80"/>
        <v>1580</v>
      </c>
      <c r="M1276" s="536">
        <f t="shared" si="82"/>
        <v>0.21409214092140921</v>
      </c>
      <c r="N1276" s="64" t="s">
        <v>22</v>
      </c>
      <c r="O1276" s="47" t="s">
        <v>21</v>
      </c>
    </row>
    <row r="1277" spans="1:15">
      <c r="A1277" s="71">
        <v>2024</v>
      </c>
      <c r="B1277" s="16" t="s">
        <v>464</v>
      </c>
      <c r="C1277" s="62" t="s">
        <v>1856</v>
      </c>
      <c r="D1277" s="76" t="s">
        <v>118</v>
      </c>
      <c r="E1277" s="48" t="s">
        <v>1857</v>
      </c>
      <c r="F1277" s="99">
        <v>1</v>
      </c>
      <c r="G1277" s="42" t="s">
        <v>19</v>
      </c>
      <c r="H1277" s="44">
        <v>5600</v>
      </c>
      <c r="I1277" s="44">
        <f t="shared" si="84"/>
        <v>5600</v>
      </c>
      <c r="J1277" s="529">
        <v>4947</v>
      </c>
      <c r="K1277" s="529">
        <f t="shared" si="81"/>
        <v>653</v>
      </c>
      <c r="L1277" s="530">
        <f t="shared" si="80"/>
        <v>653</v>
      </c>
      <c r="M1277" s="536">
        <f t="shared" si="82"/>
        <v>0.11660714285714285</v>
      </c>
      <c r="N1277" s="64" t="s">
        <v>22</v>
      </c>
      <c r="O1277" s="47" t="s">
        <v>21</v>
      </c>
    </row>
    <row r="1278" spans="1:15">
      <c r="A1278" s="71">
        <v>2024</v>
      </c>
      <c r="B1278" s="16" t="s">
        <v>464</v>
      </c>
      <c r="C1278" s="62" t="s">
        <v>1856</v>
      </c>
      <c r="D1278" s="76" t="s">
        <v>118</v>
      </c>
      <c r="E1278" s="48" t="s">
        <v>1858</v>
      </c>
      <c r="F1278" s="99">
        <v>1</v>
      </c>
      <c r="G1278" s="152" t="s">
        <v>19</v>
      </c>
      <c r="H1278" s="44">
        <v>9590</v>
      </c>
      <c r="I1278" s="44">
        <f t="shared" si="84"/>
        <v>9590</v>
      </c>
      <c r="J1278" s="529">
        <v>9300</v>
      </c>
      <c r="K1278" s="529">
        <f t="shared" si="81"/>
        <v>290</v>
      </c>
      <c r="L1278" s="530">
        <f t="shared" si="80"/>
        <v>290</v>
      </c>
      <c r="M1278" s="536">
        <f t="shared" si="82"/>
        <v>3.023983315954119E-2</v>
      </c>
      <c r="N1278" s="64" t="s">
        <v>22</v>
      </c>
      <c r="O1278" s="47" t="s">
        <v>21</v>
      </c>
    </row>
    <row r="1279" spans="1:15">
      <c r="A1279" s="71">
        <v>2024</v>
      </c>
      <c r="B1279" s="16" t="s">
        <v>464</v>
      </c>
      <c r="C1279" s="62" t="s">
        <v>1859</v>
      </c>
      <c r="D1279" s="76" t="s">
        <v>24</v>
      </c>
      <c r="E1279" s="48" t="s">
        <v>1855</v>
      </c>
      <c r="F1279" s="99">
        <v>3</v>
      </c>
      <c r="G1279" s="42" t="s">
        <v>19</v>
      </c>
      <c r="H1279" s="44">
        <v>7380</v>
      </c>
      <c r="I1279" s="44">
        <f t="shared" si="84"/>
        <v>22140</v>
      </c>
      <c r="J1279" s="529">
        <v>5800</v>
      </c>
      <c r="K1279" s="529">
        <f t="shared" si="81"/>
        <v>1580</v>
      </c>
      <c r="L1279" s="530">
        <f t="shared" ref="L1279:L1342" si="85">K1279*F1279</f>
        <v>4740</v>
      </c>
      <c r="M1279" s="536">
        <f t="shared" si="82"/>
        <v>0.21409214092140921</v>
      </c>
      <c r="N1279" s="64" t="s">
        <v>22</v>
      </c>
      <c r="O1279" s="47" t="s">
        <v>21</v>
      </c>
    </row>
    <row r="1280" spans="1:15">
      <c r="A1280" s="71">
        <v>2024</v>
      </c>
      <c r="B1280" s="16" t="s">
        <v>464</v>
      </c>
      <c r="C1280" s="62" t="s">
        <v>1860</v>
      </c>
      <c r="D1280" s="76" t="s">
        <v>118</v>
      </c>
      <c r="E1280" s="48" t="s">
        <v>1861</v>
      </c>
      <c r="F1280" s="99">
        <v>2</v>
      </c>
      <c r="G1280" s="42" t="s">
        <v>19</v>
      </c>
      <c r="H1280" s="44">
        <v>1850</v>
      </c>
      <c r="I1280" s="44">
        <f t="shared" si="84"/>
        <v>3700</v>
      </c>
      <c r="J1280" s="529">
        <v>1385</v>
      </c>
      <c r="K1280" s="529">
        <f t="shared" si="81"/>
        <v>465</v>
      </c>
      <c r="L1280" s="530">
        <f t="shared" si="85"/>
        <v>930</v>
      </c>
      <c r="M1280" s="536">
        <f t="shared" si="82"/>
        <v>0.25135135135135134</v>
      </c>
      <c r="N1280" s="64" t="s">
        <v>22</v>
      </c>
      <c r="O1280" s="47" t="s">
        <v>21</v>
      </c>
    </row>
    <row r="1281" spans="1:15">
      <c r="A1281" s="71">
        <v>2024</v>
      </c>
      <c r="B1281" s="16" t="s">
        <v>464</v>
      </c>
      <c r="C1281" s="62" t="s">
        <v>1860</v>
      </c>
      <c r="D1281" s="76" t="s">
        <v>118</v>
      </c>
      <c r="E1281" s="48" t="s">
        <v>1862</v>
      </c>
      <c r="F1281" s="99">
        <v>1</v>
      </c>
      <c r="G1281" s="42" t="s">
        <v>19</v>
      </c>
      <c r="H1281" s="44">
        <v>11700</v>
      </c>
      <c r="I1281" s="44">
        <f t="shared" si="84"/>
        <v>11700</v>
      </c>
      <c r="J1281" s="529">
        <v>8900</v>
      </c>
      <c r="K1281" s="529">
        <f t="shared" si="81"/>
        <v>2800</v>
      </c>
      <c r="L1281" s="530">
        <f t="shared" si="85"/>
        <v>2800</v>
      </c>
      <c r="M1281" s="536">
        <f t="shared" si="82"/>
        <v>0.23931623931623933</v>
      </c>
      <c r="N1281" s="64" t="s">
        <v>22</v>
      </c>
      <c r="O1281" s="47" t="s">
        <v>21</v>
      </c>
    </row>
    <row r="1282" spans="1:15">
      <c r="A1282" s="71">
        <v>2024</v>
      </c>
      <c r="B1282" s="16" t="s">
        <v>464</v>
      </c>
      <c r="C1282" s="62" t="s">
        <v>1860</v>
      </c>
      <c r="D1282" s="76" t="s">
        <v>118</v>
      </c>
      <c r="E1282" s="48" t="s">
        <v>1863</v>
      </c>
      <c r="F1282" s="99">
        <v>1</v>
      </c>
      <c r="G1282" s="42" t="s">
        <v>19</v>
      </c>
      <c r="H1282" s="44">
        <v>9590</v>
      </c>
      <c r="I1282" s="44">
        <f t="shared" si="84"/>
        <v>9590</v>
      </c>
      <c r="J1282" s="529">
        <v>9300</v>
      </c>
      <c r="K1282" s="529">
        <f t="shared" si="81"/>
        <v>290</v>
      </c>
      <c r="L1282" s="530">
        <f t="shared" si="85"/>
        <v>290</v>
      </c>
      <c r="M1282" s="536">
        <f t="shared" si="82"/>
        <v>3.023983315954119E-2</v>
      </c>
      <c r="N1282" s="64" t="s">
        <v>22</v>
      </c>
      <c r="O1282" s="47" t="s">
        <v>21</v>
      </c>
    </row>
    <row r="1283" spans="1:15">
      <c r="A1283" s="71">
        <v>2024</v>
      </c>
      <c r="B1283" s="16" t="s">
        <v>464</v>
      </c>
      <c r="C1283" s="62" t="s">
        <v>1864</v>
      </c>
      <c r="D1283" s="76" t="s">
        <v>17</v>
      </c>
      <c r="E1283" s="48" t="s">
        <v>1865</v>
      </c>
      <c r="F1283" s="99">
        <v>1</v>
      </c>
      <c r="G1283" s="42" t="s">
        <v>19</v>
      </c>
      <c r="H1283" s="44">
        <v>6280</v>
      </c>
      <c r="I1283" s="44">
        <f t="shared" si="84"/>
        <v>6280</v>
      </c>
      <c r="J1283" s="529">
        <v>5300</v>
      </c>
      <c r="K1283" s="529">
        <f t="shared" ref="K1283:K1346" si="86">H1283-J1283</f>
        <v>980</v>
      </c>
      <c r="L1283" s="530">
        <f t="shared" si="85"/>
        <v>980</v>
      </c>
      <c r="M1283" s="536">
        <f t="shared" ref="M1283:M1346" si="87">K1283/H1283</f>
        <v>0.15605095541401273</v>
      </c>
      <c r="N1283" s="64" t="s">
        <v>22</v>
      </c>
      <c r="O1283" s="47" t="s">
        <v>21</v>
      </c>
    </row>
    <row r="1284" spans="1:15">
      <c r="A1284" s="71">
        <v>2024</v>
      </c>
      <c r="B1284" s="16" t="s">
        <v>464</v>
      </c>
      <c r="C1284" s="62" t="s">
        <v>1864</v>
      </c>
      <c r="D1284" s="76" t="s">
        <v>17</v>
      </c>
      <c r="E1284" s="48" t="s">
        <v>1866</v>
      </c>
      <c r="F1284" s="99">
        <v>4</v>
      </c>
      <c r="G1284" s="42" t="s">
        <v>19</v>
      </c>
      <c r="H1284" s="44">
        <v>485</v>
      </c>
      <c r="I1284" s="44">
        <f t="shared" si="84"/>
        <v>1940</v>
      </c>
      <c r="J1284" s="529">
        <v>350</v>
      </c>
      <c r="K1284" s="529">
        <f t="shared" si="86"/>
        <v>135</v>
      </c>
      <c r="L1284" s="530">
        <f t="shared" si="85"/>
        <v>540</v>
      </c>
      <c r="M1284" s="536">
        <f t="shared" si="87"/>
        <v>0.27835051546391754</v>
      </c>
      <c r="N1284" s="64" t="s">
        <v>22</v>
      </c>
      <c r="O1284" s="47" t="s">
        <v>21</v>
      </c>
    </row>
    <row r="1285" spans="1:15">
      <c r="A1285" s="71">
        <v>2024</v>
      </c>
      <c r="B1285" s="16" t="s">
        <v>464</v>
      </c>
      <c r="C1285" s="62" t="s">
        <v>1864</v>
      </c>
      <c r="D1285" s="76" t="s">
        <v>17</v>
      </c>
      <c r="E1285" s="48" t="s">
        <v>1867</v>
      </c>
      <c r="F1285" s="99">
        <v>4</v>
      </c>
      <c r="G1285" s="152" t="s">
        <v>19</v>
      </c>
      <c r="H1285" s="44">
        <v>330</v>
      </c>
      <c r="I1285" s="44">
        <f t="shared" si="84"/>
        <v>1320</v>
      </c>
      <c r="J1285" s="529">
        <v>250</v>
      </c>
      <c r="K1285" s="529">
        <f t="shared" si="86"/>
        <v>80</v>
      </c>
      <c r="L1285" s="530">
        <f t="shared" si="85"/>
        <v>320</v>
      </c>
      <c r="M1285" s="536">
        <f t="shared" si="87"/>
        <v>0.24242424242424243</v>
      </c>
      <c r="N1285" s="64" t="s">
        <v>22</v>
      </c>
      <c r="O1285" s="47" t="s">
        <v>21</v>
      </c>
    </row>
    <row r="1286" spans="1:15">
      <c r="A1286" s="71">
        <v>2024</v>
      </c>
      <c r="B1286" s="16" t="s">
        <v>464</v>
      </c>
      <c r="C1286" s="62" t="s">
        <v>1868</v>
      </c>
      <c r="D1286" s="76" t="s">
        <v>1622</v>
      </c>
      <c r="E1286" s="48" t="s">
        <v>1869</v>
      </c>
      <c r="F1286" s="99">
        <v>1</v>
      </c>
      <c r="G1286" s="42" t="s">
        <v>59</v>
      </c>
      <c r="H1286" s="44">
        <v>24117</v>
      </c>
      <c r="I1286" s="44">
        <f t="shared" si="84"/>
        <v>24117</v>
      </c>
      <c r="J1286" s="529">
        <v>23000</v>
      </c>
      <c r="K1286" s="529">
        <f t="shared" si="86"/>
        <v>1117</v>
      </c>
      <c r="L1286" s="530">
        <f t="shared" si="85"/>
        <v>1117</v>
      </c>
      <c r="M1286" s="536">
        <f t="shared" si="87"/>
        <v>4.6315876767425469E-2</v>
      </c>
      <c r="N1286" s="64" t="s">
        <v>38</v>
      </c>
      <c r="O1286" s="47" t="s">
        <v>21</v>
      </c>
    </row>
    <row r="1287" spans="1:15">
      <c r="A1287" s="71">
        <v>2024</v>
      </c>
      <c r="B1287" s="16" t="s">
        <v>464</v>
      </c>
      <c r="C1287" s="62" t="s">
        <v>1870</v>
      </c>
      <c r="D1287" s="76" t="s">
        <v>17</v>
      </c>
      <c r="E1287" s="48" t="s">
        <v>1871</v>
      </c>
      <c r="F1287" s="99">
        <v>2</v>
      </c>
      <c r="G1287" s="42" t="s">
        <v>19</v>
      </c>
      <c r="H1287" s="44">
        <v>2450</v>
      </c>
      <c r="I1287" s="44">
        <f t="shared" si="84"/>
        <v>4900</v>
      </c>
      <c r="J1287" s="529">
        <v>1600</v>
      </c>
      <c r="K1287" s="529">
        <f t="shared" si="86"/>
        <v>850</v>
      </c>
      <c r="L1287" s="530">
        <f t="shared" si="85"/>
        <v>1700</v>
      </c>
      <c r="M1287" s="536">
        <f t="shared" si="87"/>
        <v>0.34693877551020408</v>
      </c>
      <c r="N1287" s="64" t="s">
        <v>22</v>
      </c>
      <c r="O1287" s="47" t="s">
        <v>21</v>
      </c>
    </row>
    <row r="1288" spans="1:15">
      <c r="A1288" s="71">
        <v>2024</v>
      </c>
      <c r="B1288" s="16" t="s">
        <v>464</v>
      </c>
      <c r="C1288" s="62" t="s">
        <v>1872</v>
      </c>
      <c r="D1288" s="76" t="s">
        <v>448</v>
      </c>
      <c r="E1288" s="48" t="s">
        <v>1873</v>
      </c>
      <c r="F1288" s="99">
        <v>40</v>
      </c>
      <c r="G1288" s="42" t="s">
        <v>19</v>
      </c>
      <c r="H1288" s="44">
        <v>1150</v>
      </c>
      <c r="I1288" s="44">
        <f t="shared" si="84"/>
        <v>46000</v>
      </c>
      <c r="J1288" s="529">
        <v>720</v>
      </c>
      <c r="K1288" s="529">
        <f t="shared" si="86"/>
        <v>430</v>
      </c>
      <c r="L1288" s="530">
        <f t="shared" si="85"/>
        <v>17200</v>
      </c>
      <c r="M1288" s="536">
        <f t="shared" si="87"/>
        <v>0.37391304347826088</v>
      </c>
      <c r="N1288" s="64" t="s">
        <v>22</v>
      </c>
      <c r="O1288" s="47" t="s">
        <v>21</v>
      </c>
    </row>
    <row r="1289" spans="1:15">
      <c r="A1289" s="71">
        <v>2024</v>
      </c>
      <c r="B1289" s="16" t="s">
        <v>464</v>
      </c>
      <c r="C1289" s="62" t="s">
        <v>1874</v>
      </c>
      <c r="D1289" s="76" t="s">
        <v>118</v>
      </c>
      <c r="E1289" s="48" t="s">
        <v>1875</v>
      </c>
      <c r="F1289" s="99">
        <v>3</v>
      </c>
      <c r="G1289" s="42" t="s">
        <v>19</v>
      </c>
      <c r="H1289" s="44">
        <v>370</v>
      </c>
      <c r="I1289" s="44">
        <f t="shared" si="84"/>
        <v>1110</v>
      </c>
      <c r="J1289" s="529">
        <v>350</v>
      </c>
      <c r="K1289" s="529">
        <f t="shared" si="86"/>
        <v>20</v>
      </c>
      <c r="L1289" s="530">
        <f t="shared" si="85"/>
        <v>60</v>
      </c>
      <c r="M1289" s="536">
        <f t="shared" si="87"/>
        <v>5.4054054054054057E-2</v>
      </c>
      <c r="N1289" s="64" t="s">
        <v>22</v>
      </c>
      <c r="O1289" s="47" t="s">
        <v>21</v>
      </c>
    </row>
    <row r="1290" spans="1:15">
      <c r="A1290" s="71">
        <v>2024</v>
      </c>
      <c r="B1290" s="16" t="s">
        <v>464</v>
      </c>
      <c r="C1290" s="62" t="s">
        <v>1874</v>
      </c>
      <c r="D1290" s="76" t="s">
        <v>118</v>
      </c>
      <c r="E1290" s="48" t="s">
        <v>1876</v>
      </c>
      <c r="F1290" s="99">
        <v>2</v>
      </c>
      <c r="G1290" s="42" t="s">
        <v>19</v>
      </c>
      <c r="H1290" s="44">
        <v>1085</v>
      </c>
      <c r="I1290" s="44">
        <f t="shared" si="84"/>
        <v>2170</v>
      </c>
      <c r="J1290" s="529">
        <v>1050</v>
      </c>
      <c r="K1290" s="529">
        <f t="shared" si="86"/>
        <v>35</v>
      </c>
      <c r="L1290" s="530">
        <f t="shared" si="85"/>
        <v>70</v>
      </c>
      <c r="M1290" s="536">
        <f t="shared" si="87"/>
        <v>3.2258064516129031E-2</v>
      </c>
      <c r="N1290" s="64" t="s">
        <v>22</v>
      </c>
      <c r="O1290" s="47" t="s">
        <v>21</v>
      </c>
    </row>
    <row r="1291" spans="1:15">
      <c r="A1291" s="71">
        <v>2024</v>
      </c>
      <c r="B1291" s="16" t="s">
        <v>464</v>
      </c>
      <c r="C1291" s="62" t="s">
        <v>1877</v>
      </c>
      <c r="D1291" s="76" t="s">
        <v>110</v>
      </c>
      <c r="E1291" s="48" t="s">
        <v>1878</v>
      </c>
      <c r="F1291" s="99">
        <v>4</v>
      </c>
      <c r="G1291" s="42" t="s">
        <v>19</v>
      </c>
      <c r="H1291" s="44">
        <v>490</v>
      </c>
      <c r="I1291" s="44">
        <f t="shared" si="84"/>
        <v>1960</v>
      </c>
      <c r="J1291" s="529">
        <v>390</v>
      </c>
      <c r="K1291" s="529">
        <f t="shared" si="86"/>
        <v>100</v>
      </c>
      <c r="L1291" s="530">
        <f t="shared" si="85"/>
        <v>400</v>
      </c>
      <c r="M1291" s="536">
        <f t="shared" si="87"/>
        <v>0.20408163265306123</v>
      </c>
      <c r="N1291" s="64" t="s">
        <v>22</v>
      </c>
      <c r="O1291" s="47" t="s">
        <v>21</v>
      </c>
    </row>
    <row r="1292" spans="1:15">
      <c r="A1292" s="71">
        <v>2024</v>
      </c>
      <c r="B1292" s="16" t="s">
        <v>464</v>
      </c>
      <c r="C1292" s="62" t="s">
        <v>1877</v>
      </c>
      <c r="D1292" s="47" t="s">
        <v>110</v>
      </c>
      <c r="E1292" s="48" t="s">
        <v>1879</v>
      </c>
      <c r="F1292" s="99">
        <v>3</v>
      </c>
      <c r="G1292" s="42" t="s">
        <v>19</v>
      </c>
      <c r="H1292" s="44">
        <v>390</v>
      </c>
      <c r="I1292" s="44">
        <f t="shared" si="84"/>
        <v>1170</v>
      </c>
      <c r="J1292" s="529">
        <v>300</v>
      </c>
      <c r="K1292" s="529">
        <f t="shared" si="86"/>
        <v>90</v>
      </c>
      <c r="L1292" s="530">
        <f t="shared" si="85"/>
        <v>270</v>
      </c>
      <c r="M1292" s="536">
        <f t="shared" si="87"/>
        <v>0.23076923076923078</v>
      </c>
      <c r="N1292" s="64" t="s">
        <v>22</v>
      </c>
      <c r="O1292" s="47" t="s">
        <v>21</v>
      </c>
    </row>
    <row r="1293" spans="1:15">
      <c r="A1293" s="71">
        <v>2024</v>
      </c>
      <c r="B1293" s="16" t="s">
        <v>464</v>
      </c>
      <c r="C1293" s="62" t="s">
        <v>1880</v>
      </c>
      <c r="D1293" s="47" t="s">
        <v>1881</v>
      </c>
      <c r="E1293" s="48" t="s">
        <v>1882</v>
      </c>
      <c r="F1293" s="99">
        <v>1</v>
      </c>
      <c r="G1293" s="42" t="s">
        <v>59</v>
      </c>
      <c r="H1293" s="44">
        <v>191200</v>
      </c>
      <c r="I1293" s="44">
        <f t="shared" si="84"/>
        <v>191200</v>
      </c>
      <c r="J1293" s="529">
        <v>191040</v>
      </c>
      <c r="K1293" s="529">
        <f t="shared" si="86"/>
        <v>160</v>
      </c>
      <c r="L1293" s="530">
        <f t="shared" si="85"/>
        <v>160</v>
      </c>
      <c r="M1293" s="536">
        <f t="shared" si="87"/>
        <v>8.3682008368200832E-4</v>
      </c>
      <c r="N1293" s="64" t="s">
        <v>20</v>
      </c>
      <c r="O1293" s="47" t="s">
        <v>21</v>
      </c>
    </row>
    <row r="1294" spans="1:15">
      <c r="A1294" s="71">
        <v>2024</v>
      </c>
      <c r="B1294" s="16" t="s">
        <v>464</v>
      </c>
      <c r="C1294" s="62" t="s">
        <v>1883</v>
      </c>
      <c r="D1294" s="47" t="s">
        <v>166</v>
      </c>
      <c r="E1294" s="48" t="s">
        <v>1884</v>
      </c>
      <c r="F1294" s="99">
        <v>10478.9</v>
      </c>
      <c r="G1294" s="42" t="s">
        <v>1885</v>
      </c>
      <c r="H1294" s="44">
        <v>37.049999999999997</v>
      </c>
      <c r="I1294" s="44">
        <f t="shared" si="84"/>
        <v>388243.24499999994</v>
      </c>
      <c r="J1294" s="529">
        <v>34.9</v>
      </c>
      <c r="K1294" s="529">
        <f t="shared" si="86"/>
        <v>2.1499999999999986</v>
      </c>
      <c r="L1294" s="530">
        <f t="shared" si="85"/>
        <v>22529.634999999984</v>
      </c>
      <c r="M1294" s="536">
        <f t="shared" si="87"/>
        <v>5.8029689608636942E-2</v>
      </c>
      <c r="N1294" s="64" t="s">
        <v>22</v>
      </c>
      <c r="O1294" s="47" t="s">
        <v>105</v>
      </c>
    </row>
    <row r="1295" spans="1:15">
      <c r="A1295" s="71">
        <v>2024</v>
      </c>
      <c r="B1295" s="16" t="s">
        <v>464</v>
      </c>
      <c r="C1295" s="62"/>
      <c r="D1295" s="47" t="s">
        <v>599</v>
      </c>
      <c r="E1295" s="48" t="s">
        <v>1886</v>
      </c>
      <c r="F1295" s="99">
        <v>1</v>
      </c>
      <c r="G1295" s="42" t="s">
        <v>59</v>
      </c>
      <c r="H1295" s="44">
        <v>183843.12</v>
      </c>
      <c r="I1295" s="44">
        <f t="shared" si="84"/>
        <v>183843.12</v>
      </c>
      <c r="J1295" s="529">
        <v>183192.00894999999</v>
      </c>
      <c r="K1295" s="529">
        <f t="shared" si="86"/>
        <v>651.1110500000068</v>
      </c>
      <c r="L1295" s="530">
        <f t="shared" si="85"/>
        <v>651.1110500000068</v>
      </c>
      <c r="M1295" s="536">
        <f t="shared" si="87"/>
        <v>3.5416666666667038E-3</v>
      </c>
      <c r="N1295" s="64" t="s">
        <v>30</v>
      </c>
      <c r="O1295" s="47" t="s">
        <v>39</v>
      </c>
    </row>
    <row r="1296" spans="1:15">
      <c r="A1296" s="71">
        <v>2024</v>
      </c>
      <c r="B1296" s="16" t="s">
        <v>464</v>
      </c>
      <c r="C1296" s="62" t="s">
        <v>1887</v>
      </c>
      <c r="D1296" s="47" t="s">
        <v>94</v>
      </c>
      <c r="E1296" s="48" t="s">
        <v>1888</v>
      </c>
      <c r="F1296" s="99">
        <v>2000</v>
      </c>
      <c r="G1296" s="42" t="s">
        <v>19</v>
      </c>
      <c r="H1296" s="44">
        <v>2.65</v>
      </c>
      <c r="I1296" s="44">
        <f t="shared" si="84"/>
        <v>5300</v>
      </c>
      <c r="J1296" s="529">
        <v>2.5499999999999998</v>
      </c>
      <c r="K1296" s="529">
        <f t="shared" si="86"/>
        <v>0.10000000000000009</v>
      </c>
      <c r="L1296" s="530">
        <f t="shared" si="85"/>
        <v>200.00000000000017</v>
      </c>
      <c r="M1296" s="536">
        <f t="shared" si="87"/>
        <v>3.7735849056603807E-2</v>
      </c>
      <c r="N1296" s="64" t="s">
        <v>20</v>
      </c>
      <c r="O1296" s="47" t="s">
        <v>21</v>
      </c>
    </row>
    <row r="1297" spans="1:15">
      <c r="A1297" s="71">
        <v>2024</v>
      </c>
      <c r="B1297" s="16" t="s">
        <v>464</v>
      </c>
      <c r="C1297" s="62" t="s">
        <v>1889</v>
      </c>
      <c r="D1297" s="47" t="s">
        <v>430</v>
      </c>
      <c r="E1297" s="48" t="s">
        <v>55</v>
      </c>
      <c r="F1297" s="99">
        <v>2000</v>
      </c>
      <c r="G1297" s="42" t="s">
        <v>19</v>
      </c>
      <c r="H1297" s="44">
        <v>4.5</v>
      </c>
      <c r="I1297" s="44">
        <f t="shared" si="84"/>
        <v>9000</v>
      </c>
      <c r="J1297" s="529">
        <v>1.75</v>
      </c>
      <c r="K1297" s="529">
        <f t="shared" si="86"/>
        <v>2.75</v>
      </c>
      <c r="L1297" s="530">
        <f t="shared" si="85"/>
        <v>5500</v>
      </c>
      <c r="M1297" s="536">
        <f t="shared" si="87"/>
        <v>0.61111111111111116</v>
      </c>
      <c r="N1297" s="64" t="s">
        <v>22</v>
      </c>
      <c r="O1297" s="47" t="s">
        <v>21</v>
      </c>
    </row>
    <row r="1298" spans="1:15">
      <c r="A1298" s="71">
        <v>2024</v>
      </c>
      <c r="B1298" s="16" t="s">
        <v>464</v>
      </c>
      <c r="C1298" s="62" t="s">
        <v>1890</v>
      </c>
      <c r="D1298" s="47" t="s">
        <v>17</v>
      </c>
      <c r="E1298" s="48" t="s">
        <v>25</v>
      </c>
      <c r="F1298" s="99">
        <v>24</v>
      </c>
      <c r="G1298" s="42" t="s">
        <v>19</v>
      </c>
      <c r="H1298" s="44">
        <v>44.5</v>
      </c>
      <c r="I1298" s="44">
        <f t="shared" si="84"/>
        <v>1068</v>
      </c>
      <c r="J1298" s="529">
        <v>38.5</v>
      </c>
      <c r="K1298" s="529">
        <f t="shared" si="86"/>
        <v>6</v>
      </c>
      <c r="L1298" s="530">
        <f t="shared" si="85"/>
        <v>144</v>
      </c>
      <c r="M1298" s="536">
        <f t="shared" si="87"/>
        <v>0.1348314606741573</v>
      </c>
      <c r="N1298" s="64" t="s">
        <v>22</v>
      </c>
      <c r="O1298" s="47" t="s">
        <v>21</v>
      </c>
    </row>
    <row r="1299" spans="1:15">
      <c r="A1299" s="71">
        <v>2024</v>
      </c>
      <c r="B1299" s="16" t="s">
        <v>464</v>
      </c>
      <c r="C1299" s="62" t="s">
        <v>1890</v>
      </c>
      <c r="D1299" s="47" t="s">
        <v>17</v>
      </c>
      <c r="E1299" s="48" t="s">
        <v>268</v>
      </c>
      <c r="F1299" s="99">
        <v>24</v>
      </c>
      <c r="G1299" s="42" t="s">
        <v>19</v>
      </c>
      <c r="H1299" s="44">
        <v>44.5</v>
      </c>
      <c r="I1299" s="44">
        <f t="shared" si="84"/>
        <v>1068</v>
      </c>
      <c r="J1299" s="529">
        <v>38.5</v>
      </c>
      <c r="K1299" s="529">
        <f t="shared" si="86"/>
        <v>6</v>
      </c>
      <c r="L1299" s="530">
        <f t="shared" si="85"/>
        <v>144</v>
      </c>
      <c r="M1299" s="536">
        <f t="shared" si="87"/>
        <v>0.1348314606741573</v>
      </c>
      <c r="N1299" s="64" t="s">
        <v>22</v>
      </c>
      <c r="O1299" s="47" t="s">
        <v>21</v>
      </c>
    </row>
    <row r="1300" spans="1:15">
      <c r="A1300" s="71">
        <v>2024</v>
      </c>
      <c r="B1300" s="16" t="s">
        <v>464</v>
      </c>
      <c r="C1300" s="62" t="s">
        <v>1891</v>
      </c>
      <c r="D1300" s="47" t="s">
        <v>1892</v>
      </c>
      <c r="E1300" s="48" t="s">
        <v>1893</v>
      </c>
      <c r="F1300" s="99">
        <v>100</v>
      </c>
      <c r="G1300" s="42" t="s">
        <v>29</v>
      </c>
      <c r="H1300" s="44">
        <v>210</v>
      </c>
      <c r="I1300" s="44">
        <f t="shared" si="84"/>
        <v>21000</v>
      </c>
      <c r="J1300" s="529">
        <v>180</v>
      </c>
      <c r="K1300" s="529">
        <f t="shared" si="86"/>
        <v>30</v>
      </c>
      <c r="L1300" s="530">
        <f t="shared" si="85"/>
        <v>3000</v>
      </c>
      <c r="M1300" s="536">
        <f t="shared" si="87"/>
        <v>0.14285714285714285</v>
      </c>
      <c r="N1300" s="64" t="s">
        <v>20</v>
      </c>
      <c r="O1300" s="47" t="s">
        <v>21</v>
      </c>
    </row>
    <row r="1301" spans="1:15">
      <c r="A1301" s="71">
        <v>2024</v>
      </c>
      <c r="B1301" s="16" t="s">
        <v>464</v>
      </c>
      <c r="C1301" s="62" t="s">
        <v>1894</v>
      </c>
      <c r="D1301" s="47" t="s">
        <v>1892</v>
      </c>
      <c r="E1301" s="48" t="s">
        <v>1893</v>
      </c>
      <c r="F1301" s="99">
        <v>100</v>
      </c>
      <c r="G1301" s="42" t="s">
        <v>29</v>
      </c>
      <c r="H1301" s="44">
        <v>210</v>
      </c>
      <c r="I1301" s="44">
        <f t="shared" si="84"/>
        <v>21000</v>
      </c>
      <c r="J1301" s="529">
        <v>180</v>
      </c>
      <c r="K1301" s="529">
        <f t="shared" si="86"/>
        <v>30</v>
      </c>
      <c r="L1301" s="530">
        <f t="shared" si="85"/>
        <v>3000</v>
      </c>
      <c r="M1301" s="536">
        <f t="shared" si="87"/>
        <v>0.14285714285714285</v>
      </c>
      <c r="N1301" s="64" t="s">
        <v>20</v>
      </c>
      <c r="O1301" s="47" t="s">
        <v>21</v>
      </c>
    </row>
    <row r="1302" spans="1:15">
      <c r="A1302" s="71">
        <v>2024</v>
      </c>
      <c r="B1302" s="16" t="s">
        <v>464</v>
      </c>
      <c r="C1302" s="62" t="s">
        <v>1895</v>
      </c>
      <c r="D1302" s="47" t="s">
        <v>1896</v>
      </c>
      <c r="E1302" s="48" t="s">
        <v>1897</v>
      </c>
      <c r="F1302" s="99">
        <v>60</v>
      </c>
      <c r="G1302" s="42" t="s">
        <v>19</v>
      </c>
      <c r="H1302" s="44">
        <v>80</v>
      </c>
      <c r="I1302" s="44">
        <f t="shared" si="84"/>
        <v>4800</v>
      </c>
      <c r="J1302" s="529">
        <v>70</v>
      </c>
      <c r="K1302" s="529">
        <f t="shared" si="86"/>
        <v>10</v>
      </c>
      <c r="L1302" s="530">
        <f t="shared" si="85"/>
        <v>600</v>
      </c>
      <c r="M1302" s="536">
        <f t="shared" si="87"/>
        <v>0.125</v>
      </c>
      <c r="N1302" s="64" t="s">
        <v>38</v>
      </c>
      <c r="O1302" s="47" t="s">
        <v>21</v>
      </c>
    </row>
    <row r="1303" spans="1:15">
      <c r="A1303" s="71">
        <v>2024</v>
      </c>
      <c r="B1303" s="16" t="s">
        <v>464</v>
      </c>
      <c r="C1303" s="62" t="s">
        <v>1789</v>
      </c>
      <c r="D1303" s="47" t="s">
        <v>586</v>
      </c>
      <c r="E1303" s="48" t="s">
        <v>853</v>
      </c>
      <c r="F1303" s="99">
        <v>1575</v>
      </c>
      <c r="G1303" s="42" t="s">
        <v>231</v>
      </c>
      <c r="H1303" s="44">
        <v>72</v>
      </c>
      <c r="I1303" s="44">
        <f t="shared" si="84"/>
        <v>113400</v>
      </c>
      <c r="J1303" s="529">
        <v>67</v>
      </c>
      <c r="K1303" s="529">
        <f t="shared" si="86"/>
        <v>5</v>
      </c>
      <c r="L1303" s="530">
        <f t="shared" si="85"/>
        <v>7875</v>
      </c>
      <c r="M1303" s="536">
        <f t="shared" si="87"/>
        <v>6.9444444444444448E-2</v>
      </c>
      <c r="N1303" s="64" t="s">
        <v>20</v>
      </c>
      <c r="O1303" s="47" t="s">
        <v>21</v>
      </c>
    </row>
    <row r="1304" spans="1:15">
      <c r="A1304" s="71">
        <v>2024</v>
      </c>
      <c r="B1304" s="16" t="s">
        <v>464</v>
      </c>
      <c r="C1304" s="62" t="s">
        <v>1789</v>
      </c>
      <c r="D1304" s="47" t="s">
        <v>586</v>
      </c>
      <c r="E1304" s="48" t="s">
        <v>1898</v>
      </c>
      <c r="F1304" s="99">
        <v>1575</v>
      </c>
      <c r="G1304" s="42" t="s">
        <v>231</v>
      </c>
      <c r="H1304" s="44">
        <v>63</v>
      </c>
      <c r="I1304" s="44">
        <f t="shared" si="84"/>
        <v>99225</v>
      </c>
      <c r="J1304" s="529">
        <v>57</v>
      </c>
      <c r="K1304" s="529">
        <f t="shared" si="86"/>
        <v>6</v>
      </c>
      <c r="L1304" s="530">
        <f t="shared" si="85"/>
        <v>9450</v>
      </c>
      <c r="M1304" s="536">
        <f t="shared" si="87"/>
        <v>9.5238095238095233E-2</v>
      </c>
      <c r="N1304" s="64" t="s">
        <v>20</v>
      </c>
      <c r="O1304" s="47" t="s">
        <v>21</v>
      </c>
    </row>
    <row r="1305" spans="1:15">
      <c r="A1305" s="71">
        <v>2024</v>
      </c>
      <c r="B1305" s="16" t="s">
        <v>464</v>
      </c>
      <c r="C1305" s="62" t="s">
        <v>1789</v>
      </c>
      <c r="D1305" s="47" t="s">
        <v>586</v>
      </c>
      <c r="E1305" s="48" t="s">
        <v>1899</v>
      </c>
      <c r="F1305" s="99">
        <v>450</v>
      </c>
      <c r="G1305" s="42" t="s">
        <v>231</v>
      </c>
      <c r="H1305" s="44">
        <v>72</v>
      </c>
      <c r="I1305" s="44">
        <f t="shared" si="84"/>
        <v>32400</v>
      </c>
      <c r="J1305" s="529">
        <v>69</v>
      </c>
      <c r="K1305" s="529">
        <f t="shared" si="86"/>
        <v>3</v>
      </c>
      <c r="L1305" s="530">
        <f t="shared" si="85"/>
        <v>1350</v>
      </c>
      <c r="M1305" s="536">
        <f t="shared" si="87"/>
        <v>4.1666666666666664E-2</v>
      </c>
      <c r="N1305" s="64" t="s">
        <v>20</v>
      </c>
      <c r="O1305" s="47" t="s">
        <v>21</v>
      </c>
    </row>
    <row r="1306" spans="1:15">
      <c r="A1306" s="71">
        <v>2024</v>
      </c>
      <c r="B1306" s="16" t="s">
        <v>464</v>
      </c>
      <c r="C1306" s="62" t="s">
        <v>1747</v>
      </c>
      <c r="D1306" s="47" t="s">
        <v>1748</v>
      </c>
      <c r="E1306" s="48" t="s">
        <v>1749</v>
      </c>
      <c r="F1306" s="99">
        <v>2</v>
      </c>
      <c r="G1306" s="42" t="s">
        <v>19</v>
      </c>
      <c r="H1306" s="44">
        <v>5480</v>
      </c>
      <c r="I1306" s="44">
        <f t="shared" si="84"/>
        <v>10960</v>
      </c>
      <c r="J1306" s="529">
        <v>5380</v>
      </c>
      <c r="K1306" s="529">
        <f t="shared" si="86"/>
        <v>100</v>
      </c>
      <c r="L1306" s="530">
        <f t="shared" si="85"/>
        <v>200</v>
      </c>
      <c r="M1306" s="536">
        <f t="shared" si="87"/>
        <v>1.824817518248175E-2</v>
      </c>
      <c r="N1306" s="64" t="s">
        <v>38</v>
      </c>
      <c r="O1306" s="47" t="s">
        <v>21</v>
      </c>
    </row>
    <row r="1307" spans="1:15">
      <c r="A1307" s="71">
        <v>2024</v>
      </c>
      <c r="B1307" s="16" t="s">
        <v>464</v>
      </c>
      <c r="C1307" s="62" t="s">
        <v>1900</v>
      </c>
      <c r="D1307" s="47" t="s">
        <v>1101</v>
      </c>
      <c r="E1307" s="48" t="s">
        <v>1901</v>
      </c>
      <c r="F1307" s="99">
        <v>1190</v>
      </c>
      <c r="G1307" s="42" t="s">
        <v>19</v>
      </c>
      <c r="H1307" s="44">
        <v>16</v>
      </c>
      <c r="I1307" s="44">
        <f t="shared" si="84"/>
        <v>19040</v>
      </c>
      <c r="J1307" s="529">
        <v>15</v>
      </c>
      <c r="K1307" s="529">
        <f t="shared" si="86"/>
        <v>1</v>
      </c>
      <c r="L1307" s="530">
        <f t="shared" si="85"/>
        <v>1190</v>
      </c>
      <c r="M1307" s="536">
        <f t="shared" si="87"/>
        <v>6.25E-2</v>
      </c>
      <c r="N1307" s="64" t="s">
        <v>38</v>
      </c>
      <c r="O1307" s="47" t="s">
        <v>21</v>
      </c>
    </row>
    <row r="1308" spans="1:15">
      <c r="A1308" s="71">
        <v>2024</v>
      </c>
      <c r="B1308" s="16" t="s">
        <v>464</v>
      </c>
      <c r="C1308" s="62" t="s">
        <v>1902</v>
      </c>
      <c r="D1308" s="47" t="s">
        <v>1903</v>
      </c>
      <c r="E1308" s="48" t="s">
        <v>1904</v>
      </c>
      <c r="F1308" s="99">
        <v>1</v>
      </c>
      <c r="G1308" s="42" t="s">
        <v>59</v>
      </c>
      <c r="H1308" s="44">
        <v>60000</v>
      </c>
      <c r="I1308" s="44">
        <f t="shared" si="84"/>
        <v>60000</v>
      </c>
      <c r="J1308" s="529">
        <v>59787.5</v>
      </c>
      <c r="K1308" s="529">
        <f t="shared" si="86"/>
        <v>212.5</v>
      </c>
      <c r="L1308" s="530">
        <f t="shared" si="85"/>
        <v>212.5</v>
      </c>
      <c r="M1308" s="536">
        <f t="shared" si="87"/>
        <v>3.5416666666666665E-3</v>
      </c>
      <c r="N1308" s="64" t="s">
        <v>30</v>
      </c>
      <c r="O1308" s="47" t="s">
        <v>21</v>
      </c>
    </row>
    <row r="1309" spans="1:15">
      <c r="A1309" s="71">
        <v>2024</v>
      </c>
      <c r="B1309" s="16" t="s">
        <v>562</v>
      </c>
      <c r="C1309" s="62" t="s">
        <v>1905</v>
      </c>
      <c r="D1309" s="47" t="s">
        <v>200</v>
      </c>
      <c r="E1309" s="47" t="s">
        <v>1906</v>
      </c>
      <c r="F1309" s="99">
        <v>6</v>
      </c>
      <c r="G1309" s="42" t="s">
        <v>1608</v>
      </c>
      <c r="H1309" s="44">
        <v>40300</v>
      </c>
      <c r="I1309" s="44">
        <f t="shared" si="84"/>
        <v>241800</v>
      </c>
      <c r="J1309" s="529">
        <v>39000</v>
      </c>
      <c r="K1309" s="529">
        <f t="shared" si="86"/>
        <v>1300</v>
      </c>
      <c r="L1309" s="530">
        <f t="shared" si="85"/>
        <v>7800</v>
      </c>
      <c r="M1309" s="536">
        <f t="shared" si="87"/>
        <v>3.2258064516129031E-2</v>
      </c>
      <c r="N1309" s="64" t="s">
        <v>38</v>
      </c>
      <c r="O1309" s="47" t="s">
        <v>39</v>
      </c>
    </row>
    <row r="1310" spans="1:15">
      <c r="A1310" s="71">
        <v>2024</v>
      </c>
      <c r="B1310" s="16" t="s">
        <v>562</v>
      </c>
      <c r="C1310" s="62" t="s">
        <v>1907</v>
      </c>
      <c r="D1310" s="47" t="s">
        <v>94</v>
      </c>
      <c r="E1310" s="47" t="s">
        <v>546</v>
      </c>
      <c r="F1310" s="99">
        <v>200</v>
      </c>
      <c r="G1310" s="42" t="s">
        <v>19</v>
      </c>
      <c r="H1310" s="44">
        <v>185</v>
      </c>
      <c r="I1310" s="44">
        <f t="shared" si="84"/>
        <v>37000</v>
      </c>
      <c r="J1310" s="529">
        <v>182.25</v>
      </c>
      <c r="K1310" s="529">
        <f t="shared" si="86"/>
        <v>2.75</v>
      </c>
      <c r="L1310" s="530">
        <f t="shared" si="85"/>
        <v>550</v>
      </c>
      <c r="M1310" s="536">
        <f t="shared" si="87"/>
        <v>1.4864864864864866E-2</v>
      </c>
      <c r="N1310" s="64" t="s">
        <v>22</v>
      </c>
      <c r="O1310" s="47" t="s">
        <v>105</v>
      </c>
    </row>
    <row r="1311" spans="1:15">
      <c r="A1311" s="71">
        <v>2024</v>
      </c>
      <c r="B1311" s="16" t="s">
        <v>562</v>
      </c>
      <c r="C1311" s="62" t="s">
        <v>1908</v>
      </c>
      <c r="D1311" s="47" t="s">
        <v>103</v>
      </c>
      <c r="E1311" s="48" t="s">
        <v>1909</v>
      </c>
      <c r="F1311" s="99">
        <v>1</v>
      </c>
      <c r="G1311" s="42" t="s">
        <v>285</v>
      </c>
      <c r="H1311" s="44">
        <v>49500</v>
      </c>
      <c r="I1311" s="44">
        <f t="shared" si="84"/>
        <v>49500</v>
      </c>
      <c r="J1311" s="529">
        <v>44800</v>
      </c>
      <c r="K1311" s="529">
        <f t="shared" si="86"/>
        <v>4700</v>
      </c>
      <c r="L1311" s="530">
        <f t="shared" si="85"/>
        <v>4700</v>
      </c>
      <c r="M1311" s="536">
        <f t="shared" si="87"/>
        <v>9.494949494949495E-2</v>
      </c>
      <c r="N1311" s="64" t="s">
        <v>38</v>
      </c>
      <c r="O1311" s="47" t="s">
        <v>105</v>
      </c>
    </row>
    <row r="1312" spans="1:15">
      <c r="A1312" s="71">
        <v>2024</v>
      </c>
      <c r="B1312" s="16" t="s">
        <v>562</v>
      </c>
      <c r="C1312" s="62" t="s">
        <v>1910</v>
      </c>
      <c r="D1312" s="47" t="s">
        <v>1042</v>
      </c>
      <c r="E1312" s="48" t="s">
        <v>1911</v>
      </c>
      <c r="F1312" s="99">
        <v>1</v>
      </c>
      <c r="G1312" s="42" t="s">
        <v>706</v>
      </c>
      <c r="H1312" s="44">
        <v>73019.399999999994</v>
      </c>
      <c r="I1312" s="44">
        <f t="shared" si="84"/>
        <v>73019.399999999994</v>
      </c>
      <c r="J1312" s="529">
        <v>61742.59</v>
      </c>
      <c r="K1312" s="529">
        <f t="shared" si="86"/>
        <v>11276.809999999998</v>
      </c>
      <c r="L1312" s="530">
        <f t="shared" si="85"/>
        <v>11276.809999999998</v>
      </c>
      <c r="M1312" s="536">
        <f t="shared" si="87"/>
        <v>0.15443580747034347</v>
      </c>
      <c r="N1312" s="64" t="s">
        <v>38</v>
      </c>
      <c r="O1312" s="47" t="s">
        <v>105</v>
      </c>
    </row>
    <row r="1313" spans="1:15">
      <c r="A1313" s="71">
        <v>2024</v>
      </c>
      <c r="B1313" s="16" t="s">
        <v>562</v>
      </c>
      <c r="C1313" s="77" t="s">
        <v>1912</v>
      </c>
      <c r="D1313" s="55" t="s">
        <v>1042</v>
      </c>
      <c r="E1313" s="453" t="s">
        <v>889</v>
      </c>
      <c r="F1313" s="99">
        <v>967</v>
      </c>
      <c r="G1313" s="42" t="s">
        <v>37</v>
      </c>
      <c r="H1313" s="44">
        <v>403</v>
      </c>
      <c r="I1313" s="44">
        <f t="shared" si="84"/>
        <v>389701</v>
      </c>
      <c r="J1313" s="529">
        <v>393</v>
      </c>
      <c r="K1313" s="529">
        <f t="shared" si="86"/>
        <v>10</v>
      </c>
      <c r="L1313" s="530">
        <f t="shared" si="85"/>
        <v>9670</v>
      </c>
      <c r="M1313" s="536">
        <f t="shared" si="87"/>
        <v>2.4813895781637719E-2</v>
      </c>
      <c r="N1313" s="64" t="s">
        <v>20</v>
      </c>
      <c r="O1313" s="47" t="s">
        <v>105</v>
      </c>
    </row>
    <row r="1314" spans="1:15">
      <c r="A1314" s="71">
        <v>2024</v>
      </c>
      <c r="B1314" s="16" t="s">
        <v>562</v>
      </c>
      <c r="C1314" s="77" t="s">
        <v>1913</v>
      </c>
      <c r="D1314" s="55" t="s">
        <v>1042</v>
      </c>
      <c r="E1314" s="453" t="s">
        <v>711</v>
      </c>
      <c r="F1314" s="99">
        <v>1508</v>
      </c>
      <c r="G1314" s="42" t="s">
        <v>37</v>
      </c>
      <c r="H1314" s="44">
        <v>403</v>
      </c>
      <c r="I1314" s="44">
        <f t="shared" si="84"/>
        <v>607724</v>
      </c>
      <c r="J1314" s="529">
        <v>393</v>
      </c>
      <c r="K1314" s="529">
        <f t="shared" si="86"/>
        <v>10</v>
      </c>
      <c r="L1314" s="530">
        <f t="shared" si="85"/>
        <v>15080</v>
      </c>
      <c r="M1314" s="536">
        <f t="shared" si="87"/>
        <v>2.4813895781637719E-2</v>
      </c>
      <c r="N1314" s="64" t="s">
        <v>20</v>
      </c>
      <c r="O1314" s="47" t="s">
        <v>105</v>
      </c>
    </row>
    <row r="1315" spans="1:15">
      <c r="A1315" s="71">
        <v>2024</v>
      </c>
      <c r="B1315" s="16" t="s">
        <v>562</v>
      </c>
      <c r="C1315" s="77" t="s">
        <v>1914</v>
      </c>
      <c r="D1315" s="55" t="s">
        <v>68</v>
      </c>
      <c r="E1315" s="48" t="s">
        <v>962</v>
      </c>
      <c r="F1315" s="99">
        <v>424.1</v>
      </c>
      <c r="G1315" s="42" t="s">
        <v>37</v>
      </c>
      <c r="H1315" s="44">
        <v>425</v>
      </c>
      <c r="I1315" s="44">
        <f t="shared" si="84"/>
        <v>180242.5</v>
      </c>
      <c r="J1315" s="529">
        <v>415</v>
      </c>
      <c r="K1315" s="529">
        <f t="shared" si="86"/>
        <v>10</v>
      </c>
      <c r="L1315" s="530">
        <f t="shared" si="85"/>
        <v>4241</v>
      </c>
      <c r="M1315" s="536">
        <f t="shared" si="87"/>
        <v>2.3529411764705882E-2</v>
      </c>
      <c r="N1315" s="64" t="s">
        <v>22</v>
      </c>
      <c r="O1315" s="47" t="s">
        <v>105</v>
      </c>
    </row>
    <row r="1316" spans="1:15">
      <c r="A1316" s="71">
        <v>2024</v>
      </c>
      <c r="B1316" s="16" t="s">
        <v>562</v>
      </c>
      <c r="C1316" s="77" t="s">
        <v>1915</v>
      </c>
      <c r="D1316" s="55" t="s">
        <v>1042</v>
      </c>
      <c r="E1316" s="48" t="s">
        <v>711</v>
      </c>
      <c r="F1316" s="99">
        <v>2034</v>
      </c>
      <c r="G1316" s="42" t="s">
        <v>37</v>
      </c>
      <c r="H1316" s="44">
        <v>403</v>
      </c>
      <c r="I1316" s="44">
        <f t="shared" si="84"/>
        <v>819702</v>
      </c>
      <c r="J1316" s="529">
        <v>393</v>
      </c>
      <c r="K1316" s="529">
        <f t="shared" si="86"/>
        <v>10</v>
      </c>
      <c r="L1316" s="530">
        <f t="shared" si="85"/>
        <v>20340</v>
      </c>
      <c r="M1316" s="536">
        <f t="shared" si="87"/>
        <v>2.4813895781637719E-2</v>
      </c>
      <c r="N1316" s="64" t="s">
        <v>20</v>
      </c>
      <c r="O1316" s="47" t="s">
        <v>105</v>
      </c>
    </row>
    <row r="1317" spans="1:15">
      <c r="A1317" s="71">
        <v>2024</v>
      </c>
      <c r="B1317" s="16" t="s">
        <v>562</v>
      </c>
      <c r="C1317" s="62" t="s">
        <v>1916</v>
      </c>
      <c r="D1317" s="47" t="s">
        <v>192</v>
      </c>
      <c r="E1317" s="48" t="s">
        <v>502</v>
      </c>
      <c r="F1317" s="99">
        <v>100000</v>
      </c>
      <c r="G1317" s="42" t="s">
        <v>37</v>
      </c>
      <c r="H1317" s="44">
        <v>61</v>
      </c>
      <c r="I1317" s="44">
        <f t="shared" si="84"/>
        <v>6100000</v>
      </c>
      <c r="J1317" s="529">
        <v>60.5</v>
      </c>
      <c r="K1317" s="529">
        <f t="shared" si="86"/>
        <v>0.5</v>
      </c>
      <c r="L1317" s="530">
        <f t="shared" si="85"/>
        <v>50000</v>
      </c>
      <c r="M1317" s="536">
        <f t="shared" si="87"/>
        <v>8.1967213114754103E-3</v>
      </c>
      <c r="N1317" s="64" t="s">
        <v>22</v>
      </c>
      <c r="O1317" s="47" t="s">
        <v>39</v>
      </c>
    </row>
    <row r="1318" spans="1:15">
      <c r="A1318" s="71">
        <v>2024</v>
      </c>
      <c r="B1318" s="16" t="s">
        <v>562</v>
      </c>
      <c r="C1318" s="62" t="s">
        <v>1916</v>
      </c>
      <c r="D1318" s="47" t="s">
        <v>192</v>
      </c>
      <c r="E1318" s="48" t="s">
        <v>813</v>
      </c>
      <c r="F1318" s="99">
        <v>80000</v>
      </c>
      <c r="G1318" s="42" t="s">
        <v>37</v>
      </c>
      <c r="H1318" s="44">
        <v>58</v>
      </c>
      <c r="I1318" s="44">
        <f t="shared" si="84"/>
        <v>4640000</v>
      </c>
      <c r="J1318" s="529">
        <v>57.5</v>
      </c>
      <c r="K1318" s="529">
        <f t="shared" si="86"/>
        <v>0.5</v>
      </c>
      <c r="L1318" s="530">
        <f t="shared" si="85"/>
        <v>40000</v>
      </c>
      <c r="M1318" s="536">
        <f t="shared" si="87"/>
        <v>8.6206896551724137E-3</v>
      </c>
      <c r="N1318" s="64" t="s">
        <v>22</v>
      </c>
      <c r="O1318" s="47" t="s">
        <v>39</v>
      </c>
    </row>
    <row r="1319" spans="1:15">
      <c r="A1319" s="71">
        <v>2024</v>
      </c>
      <c r="B1319" s="16" t="s">
        <v>562</v>
      </c>
      <c r="C1319" s="62" t="s">
        <v>1917</v>
      </c>
      <c r="D1319" s="47" t="s">
        <v>17</v>
      </c>
      <c r="E1319" s="48" t="s">
        <v>1918</v>
      </c>
      <c r="F1319" s="99">
        <v>4</v>
      </c>
      <c r="G1319" s="42" t="s">
        <v>19</v>
      </c>
      <c r="H1319" s="44">
        <v>5890</v>
      </c>
      <c r="I1319" s="44">
        <f t="shared" si="84"/>
        <v>23560</v>
      </c>
      <c r="J1319" s="529">
        <v>5500</v>
      </c>
      <c r="K1319" s="529">
        <f t="shared" si="86"/>
        <v>390</v>
      </c>
      <c r="L1319" s="530">
        <f t="shared" si="85"/>
        <v>1560</v>
      </c>
      <c r="M1319" s="536">
        <f t="shared" si="87"/>
        <v>6.6213921901528014E-2</v>
      </c>
      <c r="N1319" s="64" t="s">
        <v>22</v>
      </c>
      <c r="O1319" s="47" t="s">
        <v>21</v>
      </c>
    </row>
    <row r="1320" spans="1:15">
      <c r="A1320" s="71">
        <v>2024</v>
      </c>
      <c r="B1320" s="16" t="s">
        <v>562</v>
      </c>
      <c r="C1320" s="62" t="s">
        <v>1919</v>
      </c>
      <c r="D1320" s="47" t="s">
        <v>17</v>
      </c>
      <c r="E1320" s="48" t="s">
        <v>1920</v>
      </c>
      <c r="F1320" s="99">
        <v>1</v>
      </c>
      <c r="G1320" s="42" t="s">
        <v>19</v>
      </c>
      <c r="H1320" s="44">
        <v>6800</v>
      </c>
      <c r="I1320" s="44">
        <f t="shared" si="84"/>
        <v>6800</v>
      </c>
      <c r="J1320" s="529">
        <v>6250</v>
      </c>
      <c r="K1320" s="529">
        <f t="shared" si="86"/>
        <v>550</v>
      </c>
      <c r="L1320" s="530">
        <f t="shared" si="85"/>
        <v>550</v>
      </c>
      <c r="M1320" s="536">
        <f t="shared" si="87"/>
        <v>8.0882352941176475E-2</v>
      </c>
      <c r="N1320" s="64" t="s">
        <v>22</v>
      </c>
      <c r="O1320" s="47" t="s">
        <v>21</v>
      </c>
    </row>
    <row r="1321" spans="1:15">
      <c r="A1321" s="71">
        <v>2024</v>
      </c>
      <c r="B1321" s="16" t="s">
        <v>562</v>
      </c>
      <c r="C1321" s="62" t="s">
        <v>1919</v>
      </c>
      <c r="D1321" s="47" t="s">
        <v>17</v>
      </c>
      <c r="E1321" s="48" t="s">
        <v>1921</v>
      </c>
      <c r="F1321" s="99">
        <v>1</v>
      </c>
      <c r="G1321" s="42" t="s">
        <v>19</v>
      </c>
      <c r="H1321" s="44">
        <v>2550</v>
      </c>
      <c r="I1321" s="44">
        <f t="shared" si="84"/>
        <v>2550</v>
      </c>
      <c r="J1321" s="529">
        <v>2500</v>
      </c>
      <c r="K1321" s="529">
        <f t="shared" si="86"/>
        <v>50</v>
      </c>
      <c r="L1321" s="530">
        <f t="shared" si="85"/>
        <v>50</v>
      </c>
      <c r="M1321" s="536">
        <f t="shared" si="87"/>
        <v>1.9607843137254902E-2</v>
      </c>
      <c r="N1321" s="64" t="s">
        <v>22</v>
      </c>
      <c r="O1321" s="47" t="s">
        <v>21</v>
      </c>
    </row>
    <row r="1322" spans="1:15">
      <c r="A1322" s="71">
        <v>2024</v>
      </c>
      <c r="B1322" s="16" t="s">
        <v>562</v>
      </c>
      <c r="C1322" s="62" t="s">
        <v>1922</v>
      </c>
      <c r="D1322" s="47" t="s">
        <v>1923</v>
      </c>
      <c r="E1322" s="48" t="s">
        <v>1924</v>
      </c>
      <c r="F1322" s="99">
        <v>1</v>
      </c>
      <c r="G1322" s="42" t="s">
        <v>285</v>
      </c>
      <c r="H1322" s="44">
        <v>73500</v>
      </c>
      <c r="I1322" s="44">
        <f t="shared" si="84"/>
        <v>73500</v>
      </c>
      <c r="J1322" s="529">
        <v>66000</v>
      </c>
      <c r="K1322" s="529">
        <f t="shared" si="86"/>
        <v>7500</v>
      </c>
      <c r="L1322" s="530">
        <f t="shared" si="85"/>
        <v>7500</v>
      </c>
      <c r="M1322" s="536">
        <f t="shared" si="87"/>
        <v>0.10204081632653061</v>
      </c>
      <c r="N1322" s="64" t="s">
        <v>38</v>
      </c>
      <c r="O1322" s="47" t="s">
        <v>21</v>
      </c>
    </row>
    <row r="1323" spans="1:15">
      <c r="A1323" s="71">
        <v>2024</v>
      </c>
      <c r="B1323" s="16" t="s">
        <v>562</v>
      </c>
      <c r="C1323" s="62" t="s">
        <v>1925</v>
      </c>
      <c r="D1323" s="47" t="s">
        <v>323</v>
      </c>
      <c r="E1323" s="48" t="s">
        <v>324</v>
      </c>
      <c r="F1323" s="99">
        <v>192</v>
      </c>
      <c r="G1323" s="42" t="s">
        <v>29</v>
      </c>
      <c r="H1323" s="44">
        <v>405</v>
      </c>
      <c r="I1323" s="44">
        <f t="shared" si="84"/>
        <v>77760</v>
      </c>
      <c r="J1323" s="529">
        <v>385</v>
      </c>
      <c r="K1323" s="529">
        <f t="shared" si="86"/>
        <v>20</v>
      </c>
      <c r="L1323" s="530">
        <f t="shared" si="85"/>
        <v>3840</v>
      </c>
      <c r="M1323" s="536">
        <f t="shared" si="87"/>
        <v>4.9382716049382713E-2</v>
      </c>
      <c r="N1323" s="64" t="s">
        <v>22</v>
      </c>
      <c r="O1323" s="47" t="s">
        <v>21</v>
      </c>
    </row>
    <row r="1324" spans="1:15">
      <c r="A1324" s="71">
        <v>2024</v>
      </c>
      <c r="B1324" s="16" t="s">
        <v>562</v>
      </c>
      <c r="C1324" s="62" t="s">
        <v>1926</v>
      </c>
      <c r="D1324" s="47" t="s">
        <v>1927</v>
      </c>
      <c r="E1324" s="48" t="s">
        <v>1928</v>
      </c>
      <c r="F1324" s="99">
        <v>70</v>
      </c>
      <c r="G1324" s="42" t="s">
        <v>19</v>
      </c>
      <c r="H1324" s="44">
        <v>500</v>
      </c>
      <c r="I1324" s="44">
        <f t="shared" si="84"/>
        <v>35000</v>
      </c>
      <c r="J1324" s="529">
        <v>450</v>
      </c>
      <c r="K1324" s="529">
        <f t="shared" si="86"/>
        <v>50</v>
      </c>
      <c r="L1324" s="530">
        <f t="shared" si="85"/>
        <v>3500</v>
      </c>
      <c r="M1324" s="536">
        <f t="shared" si="87"/>
        <v>0.1</v>
      </c>
      <c r="N1324" s="64" t="s">
        <v>38</v>
      </c>
      <c r="O1324" s="47" t="s">
        <v>21</v>
      </c>
    </row>
    <row r="1325" spans="1:15">
      <c r="A1325" s="71">
        <v>2024</v>
      </c>
      <c r="B1325" s="16" t="s">
        <v>562</v>
      </c>
      <c r="C1325" s="62" t="s">
        <v>1926</v>
      </c>
      <c r="D1325" s="47" t="s">
        <v>1927</v>
      </c>
      <c r="E1325" s="48" t="s">
        <v>1929</v>
      </c>
      <c r="F1325" s="99">
        <v>10</v>
      </c>
      <c r="G1325" s="42" t="s">
        <v>19</v>
      </c>
      <c r="H1325" s="44">
        <v>2000</v>
      </c>
      <c r="I1325" s="44">
        <f t="shared" si="84"/>
        <v>20000</v>
      </c>
      <c r="J1325" s="529">
        <v>1800</v>
      </c>
      <c r="K1325" s="529">
        <f t="shared" si="86"/>
        <v>200</v>
      </c>
      <c r="L1325" s="530">
        <f t="shared" si="85"/>
        <v>2000</v>
      </c>
      <c r="M1325" s="536">
        <f t="shared" si="87"/>
        <v>0.1</v>
      </c>
      <c r="N1325" s="64" t="s">
        <v>38</v>
      </c>
      <c r="O1325" s="47" t="s">
        <v>21</v>
      </c>
    </row>
    <row r="1326" spans="1:15">
      <c r="A1326" s="71">
        <v>2024</v>
      </c>
      <c r="B1326" s="16" t="s">
        <v>562</v>
      </c>
      <c r="C1326" s="62" t="s">
        <v>1930</v>
      </c>
      <c r="D1326" s="47" t="s">
        <v>1931</v>
      </c>
      <c r="E1326" s="48" t="s">
        <v>1932</v>
      </c>
      <c r="F1326" s="99">
        <v>1</v>
      </c>
      <c r="G1326" s="42" t="s">
        <v>19</v>
      </c>
      <c r="H1326" s="44">
        <v>57000</v>
      </c>
      <c r="I1326" s="44">
        <f t="shared" si="84"/>
        <v>57000</v>
      </c>
      <c r="J1326" s="529">
        <v>53500</v>
      </c>
      <c r="K1326" s="529">
        <f t="shared" si="86"/>
        <v>3500</v>
      </c>
      <c r="L1326" s="530">
        <f t="shared" si="85"/>
        <v>3500</v>
      </c>
      <c r="M1326" s="536">
        <f t="shared" si="87"/>
        <v>6.1403508771929821E-2</v>
      </c>
      <c r="N1326" s="64" t="s">
        <v>22</v>
      </c>
      <c r="O1326" s="47" t="s">
        <v>21</v>
      </c>
    </row>
    <row r="1327" spans="1:15">
      <c r="A1327" s="71">
        <v>2024</v>
      </c>
      <c r="B1327" s="16" t="s">
        <v>562</v>
      </c>
      <c r="C1327" s="62" t="s">
        <v>1930</v>
      </c>
      <c r="D1327" s="47" t="s">
        <v>1931</v>
      </c>
      <c r="E1327" s="48" t="s">
        <v>1933</v>
      </c>
      <c r="F1327" s="99">
        <v>1</v>
      </c>
      <c r="G1327" s="42" t="s">
        <v>19</v>
      </c>
      <c r="H1327" s="44">
        <v>87000</v>
      </c>
      <c r="I1327" s="44">
        <f t="shared" ref="I1327:I1390" si="88">H1327*F1327</f>
        <v>87000</v>
      </c>
      <c r="J1327" s="529">
        <v>82300</v>
      </c>
      <c r="K1327" s="529">
        <f t="shared" si="86"/>
        <v>4700</v>
      </c>
      <c r="L1327" s="530">
        <f t="shared" si="85"/>
        <v>4700</v>
      </c>
      <c r="M1327" s="536">
        <f t="shared" si="87"/>
        <v>5.4022988505747126E-2</v>
      </c>
      <c r="N1327" s="64" t="s">
        <v>22</v>
      </c>
      <c r="O1327" s="47" t="s">
        <v>21</v>
      </c>
    </row>
    <row r="1328" spans="1:15">
      <c r="A1328" s="71">
        <v>2024</v>
      </c>
      <c r="B1328" s="16" t="s">
        <v>562</v>
      </c>
      <c r="C1328" s="62" t="s">
        <v>1934</v>
      </c>
      <c r="D1328" s="47" t="s">
        <v>1935</v>
      </c>
      <c r="E1328" s="48" t="s">
        <v>1936</v>
      </c>
      <c r="F1328" s="99">
        <v>10</v>
      </c>
      <c r="G1328" s="42" t="s">
        <v>19</v>
      </c>
      <c r="H1328" s="44">
        <v>915</v>
      </c>
      <c r="I1328" s="44">
        <f t="shared" si="88"/>
        <v>9150</v>
      </c>
      <c r="J1328" s="529">
        <v>785</v>
      </c>
      <c r="K1328" s="529">
        <f t="shared" si="86"/>
        <v>130</v>
      </c>
      <c r="L1328" s="530">
        <f t="shared" si="85"/>
        <v>1300</v>
      </c>
      <c r="M1328" s="536">
        <f t="shared" si="87"/>
        <v>0.14207650273224043</v>
      </c>
      <c r="N1328" s="64" t="s">
        <v>22</v>
      </c>
      <c r="O1328" s="47" t="s">
        <v>21</v>
      </c>
    </row>
    <row r="1329" spans="1:15">
      <c r="A1329" s="71">
        <v>2024</v>
      </c>
      <c r="B1329" s="16" t="s">
        <v>562</v>
      </c>
      <c r="C1329" s="62" t="s">
        <v>1937</v>
      </c>
      <c r="D1329" s="47" t="s">
        <v>1101</v>
      </c>
      <c r="E1329" s="48" t="s">
        <v>1938</v>
      </c>
      <c r="F1329" s="99">
        <v>1190</v>
      </c>
      <c r="G1329" s="42" t="s">
        <v>19</v>
      </c>
      <c r="H1329" s="44">
        <v>16</v>
      </c>
      <c r="I1329" s="44">
        <f t="shared" si="88"/>
        <v>19040</v>
      </c>
      <c r="J1329" s="529">
        <v>15</v>
      </c>
      <c r="K1329" s="529">
        <f t="shared" si="86"/>
        <v>1</v>
      </c>
      <c r="L1329" s="530">
        <f t="shared" si="85"/>
        <v>1190</v>
      </c>
      <c r="M1329" s="536">
        <f t="shared" si="87"/>
        <v>6.25E-2</v>
      </c>
      <c r="N1329" s="64" t="s">
        <v>22</v>
      </c>
      <c r="O1329" s="47" t="s">
        <v>21</v>
      </c>
    </row>
    <row r="1330" spans="1:15">
      <c r="A1330" s="71">
        <v>2024</v>
      </c>
      <c r="B1330" s="16" t="s">
        <v>562</v>
      </c>
      <c r="C1330" s="62" t="s">
        <v>1939</v>
      </c>
      <c r="D1330" s="47" t="s">
        <v>1670</v>
      </c>
      <c r="E1330" s="48" t="s">
        <v>1940</v>
      </c>
      <c r="F1330" s="99">
        <v>1</v>
      </c>
      <c r="G1330" s="42" t="s">
        <v>19</v>
      </c>
      <c r="H1330" s="44">
        <v>1850</v>
      </c>
      <c r="I1330" s="44">
        <f t="shared" si="88"/>
        <v>1850</v>
      </c>
      <c r="J1330" s="529">
        <v>1800</v>
      </c>
      <c r="K1330" s="529">
        <f t="shared" si="86"/>
        <v>50</v>
      </c>
      <c r="L1330" s="530">
        <f t="shared" si="85"/>
        <v>50</v>
      </c>
      <c r="M1330" s="536">
        <f t="shared" si="87"/>
        <v>2.7027027027027029E-2</v>
      </c>
      <c r="N1330" s="64" t="s">
        <v>22</v>
      </c>
      <c r="O1330" s="47" t="s">
        <v>21</v>
      </c>
    </row>
    <row r="1331" spans="1:15">
      <c r="A1331" s="71">
        <v>2024</v>
      </c>
      <c r="B1331" s="16" t="s">
        <v>562</v>
      </c>
      <c r="C1331" s="62" t="s">
        <v>1939</v>
      </c>
      <c r="D1331" s="47" t="s">
        <v>1670</v>
      </c>
      <c r="E1331" s="48" t="s">
        <v>1941</v>
      </c>
      <c r="F1331" s="99">
        <v>1</v>
      </c>
      <c r="G1331" s="42" t="s">
        <v>19</v>
      </c>
      <c r="H1331" s="44">
        <v>1850</v>
      </c>
      <c r="I1331" s="44">
        <f t="shared" si="88"/>
        <v>1850</v>
      </c>
      <c r="J1331" s="529">
        <v>1500</v>
      </c>
      <c r="K1331" s="529">
        <f t="shared" si="86"/>
        <v>350</v>
      </c>
      <c r="L1331" s="530">
        <f t="shared" si="85"/>
        <v>350</v>
      </c>
      <c r="M1331" s="536">
        <f t="shared" si="87"/>
        <v>0.1891891891891892</v>
      </c>
      <c r="N1331" s="64" t="s">
        <v>22</v>
      </c>
      <c r="O1331" s="47" t="s">
        <v>21</v>
      </c>
    </row>
    <row r="1332" spans="1:15">
      <c r="A1332" s="71">
        <v>2024</v>
      </c>
      <c r="B1332" s="16" t="s">
        <v>562</v>
      </c>
      <c r="C1332" s="62" t="s">
        <v>1939</v>
      </c>
      <c r="D1332" s="48" t="s">
        <v>1670</v>
      </c>
      <c r="E1332" s="48" t="s">
        <v>1942</v>
      </c>
      <c r="F1332" s="99">
        <v>4</v>
      </c>
      <c r="G1332" s="42" t="s">
        <v>19</v>
      </c>
      <c r="H1332" s="44">
        <v>6000</v>
      </c>
      <c r="I1332" s="44">
        <f t="shared" si="88"/>
        <v>24000</v>
      </c>
      <c r="J1332" s="529">
        <v>1925</v>
      </c>
      <c r="K1332" s="529">
        <f t="shared" si="86"/>
        <v>4075</v>
      </c>
      <c r="L1332" s="530">
        <f t="shared" si="85"/>
        <v>16300</v>
      </c>
      <c r="M1332" s="536">
        <f t="shared" si="87"/>
        <v>0.6791666666666667</v>
      </c>
      <c r="N1332" s="64" t="s">
        <v>22</v>
      </c>
      <c r="O1332" s="47" t="s">
        <v>21</v>
      </c>
    </row>
    <row r="1333" spans="1:15">
      <c r="A1333" s="71">
        <v>2024</v>
      </c>
      <c r="B1333" s="16" t="s">
        <v>562</v>
      </c>
      <c r="C1333" s="62" t="s">
        <v>1939</v>
      </c>
      <c r="D1333" s="48" t="s">
        <v>1670</v>
      </c>
      <c r="E1333" s="48" t="s">
        <v>1943</v>
      </c>
      <c r="F1333" s="99">
        <v>4</v>
      </c>
      <c r="G1333" s="42" t="s">
        <v>19</v>
      </c>
      <c r="H1333" s="44">
        <v>5000</v>
      </c>
      <c r="I1333" s="44">
        <f t="shared" si="88"/>
        <v>20000</v>
      </c>
      <c r="J1333" s="529">
        <v>1725</v>
      </c>
      <c r="K1333" s="529">
        <f t="shared" si="86"/>
        <v>3275</v>
      </c>
      <c r="L1333" s="530">
        <f t="shared" si="85"/>
        <v>13100</v>
      </c>
      <c r="M1333" s="536">
        <f t="shared" si="87"/>
        <v>0.65500000000000003</v>
      </c>
      <c r="N1333" s="64" t="s">
        <v>22</v>
      </c>
      <c r="O1333" s="47" t="s">
        <v>21</v>
      </c>
    </row>
    <row r="1334" spans="1:15">
      <c r="A1334" s="71">
        <v>2024</v>
      </c>
      <c r="B1334" s="16" t="s">
        <v>562</v>
      </c>
      <c r="C1334" s="62" t="s">
        <v>1944</v>
      </c>
      <c r="D1334" s="48" t="s">
        <v>1945</v>
      </c>
      <c r="E1334" s="48" t="s">
        <v>1946</v>
      </c>
      <c r="F1334" s="99">
        <v>1</v>
      </c>
      <c r="G1334" s="42" t="s">
        <v>19</v>
      </c>
      <c r="H1334" s="44">
        <v>64000</v>
      </c>
      <c r="I1334" s="44">
        <f t="shared" si="88"/>
        <v>64000</v>
      </c>
      <c r="J1334" s="529">
        <v>63000</v>
      </c>
      <c r="K1334" s="529">
        <f t="shared" si="86"/>
        <v>1000</v>
      </c>
      <c r="L1334" s="530">
        <f t="shared" si="85"/>
        <v>1000</v>
      </c>
      <c r="M1334" s="536">
        <f t="shared" si="87"/>
        <v>1.5625E-2</v>
      </c>
      <c r="N1334" s="64" t="s">
        <v>38</v>
      </c>
      <c r="O1334" s="47" t="s">
        <v>21</v>
      </c>
    </row>
    <row r="1335" spans="1:15">
      <c r="A1335" s="71">
        <v>2024</v>
      </c>
      <c r="B1335" s="16" t="s">
        <v>562</v>
      </c>
      <c r="C1335" s="62" t="s">
        <v>1947</v>
      </c>
      <c r="D1335" s="48" t="s">
        <v>1948</v>
      </c>
      <c r="E1335" s="48" t="s">
        <v>1949</v>
      </c>
      <c r="F1335" s="99">
        <v>3</v>
      </c>
      <c r="G1335" s="42" t="s">
        <v>19</v>
      </c>
      <c r="H1335" s="44">
        <v>8055</v>
      </c>
      <c r="I1335" s="44">
        <f t="shared" si="88"/>
        <v>24165</v>
      </c>
      <c r="J1335" s="529">
        <v>7550</v>
      </c>
      <c r="K1335" s="529">
        <f t="shared" si="86"/>
        <v>505</v>
      </c>
      <c r="L1335" s="530">
        <f t="shared" si="85"/>
        <v>1515</v>
      </c>
      <c r="M1335" s="536">
        <f t="shared" si="87"/>
        <v>6.2693978895096217E-2</v>
      </c>
      <c r="N1335" s="64" t="s">
        <v>22</v>
      </c>
      <c r="O1335" s="47" t="s">
        <v>21</v>
      </c>
    </row>
    <row r="1336" spans="1:15">
      <c r="A1336" s="71">
        <v>2024</v>
      </c>
      <c r="B1336" s="16" t="s">
        <v>562</v>
      </c>
      <c r="C1336" s="62" t="s">
        <v>1950</v>
      </c>
      <c r="D1336" s="48" t="s">
        <v>448</v>
      </c>
      <c r="E1336" s="48" t="s">
        <v>1951</v>
      </c>
      <c r="F1336" s="99">
        <v>20</v>
      </c>
      <c r="G1336" s="42" t="s">
        <v>19</v>
      </c>
      <c r="H1336" s="44">
        <v>1150</v>
      </c>
      <c r="I1336" s="44">
        <f t="shared" si="88"/>
        <v>23000</v>
      </c>
      <c r="J1336" s="529">
        <v>720</v>
      </c>
      <c r="K1336" s="529">
        <f t="shared" si="86"/>
        <v>430</v>
      </c>
      <c r="L1336" s="530">
        <f t="shared" si="85"/>
        <v>8600</v>
      </c>
      <c r="M1336" s="536">
        <f t="shared" si="87"/>
        <v>0.37391304347826088</v>
      </c>
      <c r="N1336" s="64" t="s">
        <v>22</v>
      </c>
      <c r="O1336" s="47" t="s">
        <v>21</v>
      </c>
    </row>
    <row r="1337" spans="1:15">
      <c r="A1337" s="71">
        <v>2024</v>
      </c>
      <c r="B1337" s="16" t="s">
        <v>562</v>
      </c>
      <c r="C1337" s="62" t="s">
        <v>1952</v>
      </c>
      <c r="D1337" s="48" t="s">
        <v>192</v>
      </c>
      <c r="E1337" s="48" t="s">
        <v>1953</v>
      </c>
      <c r="F1337" s="99">
        <v>900</v>
      </c>
      <c r="G1337" s="42" t="s">
        <v>19</v>
      </c>
      <c r="H1337" s="44">
        <v>48</v>
      </c>
      <c r="I1337" s="44">
        <f t="shared" si="88"/>
        <v>43200</v>
      </c>
      <c r="J1337" s="529">
        <v>46.5</v>
      </c>
      <c r="K1337" s="529">
        <f t="shared" si="86"/>
        <v>1.5</v>
      </c>
      <c r="L1337" s="530">
        <f t="shared" si="85"/>
        <v>1350</v>
      </c>
      <c r="M1337" s="536">
        <f t="shared" si="87"/>
        <v>3.125E-2</v>
      </c>
      <c r="N1337" s="64" t="s">
        <v>38</v>
      </c>
      <c r="O1337" s="47" t="s">
        <v>39</v>
      </c>
    </row>
    <row r="1338" spans="1:15">
      <c r="A1338" s="71">
        <v>2024</v>
      </c>
      <c r="B1338" s="16" t="s">
        <v>562</v>
      </c>
      <c r="C1338" s="62" t="s">
        <v>1952</v>
      </c>
      <c r="D1338" s="48" t="s">
        <v>192</v>
      </c>
      <c r="E1338" s="48" t="s">
        <v>1954</v>
      </c>
      <c r="F1338" s="99">
        <v>900</v>
      </c>
      <c r="G1338" s="42" t="s">
        <v>19</v>
      </c>
      <c r="H1338" s="44">
        <v>48</v>
      </c>
      <c r="I1338" s="44">
        <f t="shared" si="88"/>
        <v>43200</v>
      </c>
      <c r="J1338" s="529">
        <v>46.5</v>
      </c>
      <c r="K1338" s="529">
        <f t="shared" si="86"/>
        <v>1.5</v>
      </c>
      <c r="L1338" s="530">
        <f t="shared" si="85"/>
        <v>1350</v>
      </c>
      <c r="M1338" s="536">
        <f t="shared" si="87"/>
        <v>3.125E-2</v>
      </c>
      <c r="N1338" s="64" t="s">
        <v>38</v>
      </c>
      <c r="O1338" s="47" t="s">
        <v>39</v>
      </c>
    </row>
    <row r="1339" spans="1:15">
      <c r="A1339" s="71">
        <v>2024</v>
      </c>
      <c r="B1339" s="16" t="s">
        <v>562</v>
      </c>
      <c r="C1339" s="62" t="s">
        <v>1955</v>
      </c>
      <c r="D1339" s="48" t="s">
        <v>192</v>
      </c>
      <c r="E1339" s="48" t="s">
        <v>1956</v>
      </c>
      <c r="F1339" s="99">
        <v>900</v>
      </c>
      <c r="G1339" s="42" t="s">
        <v>231</v>
      </c>
      <c r="H1339" s="44">
        <v>205</v>
      </c>
      <c r="I1339" s="44">
        <f t="shared" si="88"/>
        <v>184500</v>
      </c>
      <c r="J1339" s="529">
        <v>199</v>
      </c>
      <c r="K1339" s="529">
        <f t="shared" si="86"/>
        <v>6</v>
      </c>
      <c r="L1339" s="530">
        <f t="shared" si="85"/>
        <v>5400</v>
      </c>
      <c r="M1339" s="536">
        <f t="shared" si="87"/>
        <v>2.9268292682926831E-2</v>
      </c>
      <c r="N1339" s="64" t="s">
        <v>38</v>
      </c>
      <c r="O1339" s="47" t="s">
        <v>39</v>
      </c>
    </row>
    <row r="1340" spans="1:15">
      <c r="A1340" s="71">
        <v>2024</v>
      </c>
      <c r="B1340" s="16" t="s">
        <v>562</v>
      </c>
      <c r="C1340" s="62" t="s">
        <v>1957</v>
      </c>
      <c r="D1340" s="47" t="s">
        <v>1958</v>
      </c>
      <c r="E1340" s="48" t="s">
        <v>1959</v>
      </c>
      <c r="F1340" s="99">
        <v>500</v>
      </c>
      <c r="G1340" s="42" t="s">
        <v>19</v>
      </c>
      <c r="H1340" s="44">
        <v>25</v>
      </c>
      <c r="I1340" s="44">
        <f t="shared" si="88"/>
        <v>12500</v>
      </c>
      <c r="J1340" s="529">
        <v>17</v>
      </c>
      <c r="K1340" s="529">
        <f t="shared" si="86"/>
        <v>8</v>
      </c>
      <c r="L1340" s="530">
        <f t="shared" si="85"/>
        <v>4000</v>
      </c>
      <c r="M1340" s="536">
        <f t="shared" si="87"/>
        <v>0.32</v>
      </c>
      <c r="N1340" s="64" t="s">
        <v>22</v>
      </c>
      <c r="O1340" s="47" t="s">
        <v>21</v>
      </c>
    </row>
    <row r="1341" spans="1:15">
      <c r="A1341" s="71">
        <v>2024</v>
      </c>
      <c r="B1341" s="16" t="s">
        <v>562</v>
      </c>
      <c r="C1341" s="62" t="s">
        <v>1960</v>
      </c>
      <c r="D1341" s="47" t="s">
        <v>17</v>
      </c>
      <c r="E1341" s="48" t="s">
        <v>717</v>
      </c>
      <c r="F1341" s="99">
        <v>24</v>
      </c>
      <c r="G1341" s="42" t="s">
        <v>19</v>
      </c>
      <c r="H1341" s="44">
        <v>69</v>
      </c>
      <c r="I1341" s="44">
        <f t="shared" si="88"/>
        <v>1656</v>
      </c>
      <c r="J1341" s="529">
        <v>64</v>
      </c>
      <c r="K1341" s="529">
        <f t="shared" si="86"/>
        <v>5</v>
      </c>
      <c r="L1341" s="530">
        <f t="shared" si="85"/>
        <v>120</v>
      </c>
      <c r="M1341" s="536">
        <f t="shared" si="87"/>
        <v>7.2463768115942032E-2</v>
      </c>
      <c r="N1341" s="64" t="s">
        <v>22</v>
      </c>
      <c r="O1341" s="47" t="s">
        <v>21</v>
      </c>
    </row>
    <row r="1342" spans="1:15">
      <c r="A1342" s="71">
        <v>2024</v>
      </c>
      <c r="B1342" s="16" t="s">
        <v>562</v>
      </c>
      <c r="C1342" s="62" t="s">
        <v>1960</v>
      </c>
      <c r="D1342" s="48" t="s">
        <v>17</v>
      </c>
      <c r="E1342" s="48" t="s">
        <v>18</v>
      </c>
      <c r="F1342" s="99">
        <v>144</v>
      </c>
      <c r="G1342" s="42" t="s">
        <v>19</v>
      </c>
      <c r="H1342" s="44">
        <v>405</v>
      </c>
      <c r="I1342" s="44">
        <f t="shared" si="88"/>
        <v>58320</v>
      </c>
      <c r="J1342" s="529">
        <v>395</v>
      </c>
      <c r="K1342" s="529">
        <f t="shared" si="86"/>
        <v>10</v>
      </c>
      <c r="L1342" s="530">
        <f t="shared" si="85"/>
        <v>1440</v>
      </c>
      <c r="M1342" s="536">
        <f t="shared" si="87"/>
        <v>2.4691358024691357E-2</v>
      </c>
      <c r="N1342" s="64" t="s">
        <v>22</v>
      </c>
      <c r="O1342" s="47" t="s">
        <v>21</v>
      </c>
    </row>
    <row r="1343" spans="1:15">
      <c r="A1343" s="71">
        <v>2024</v>
      </c>
      <c r="B1343" s="16" t="s">
        <v>562</v>
      </c>
      <c r="C1343" s="62" t="s">
        <v>1961</v>
      </c>
      <c r="D1343" s="47" t="s">
        <v>110</v>
      </c>
      <c r="E1343" s="48" t="s">
        <v>1962</v>
      </c>
      <c r="F1343" s="99">
        <v>1</v>
      </c>
      <c r="G1343" s="42" t="s">
        <v>19</v>
      </c>
      <c r="H1343" s="44">
        <v>7950</v>
      </c>
      <c r="I1343" s="44">
        <f t="shared" si="88"/>
        <v>7950</v>
      </c>
      <c r="J1343" s="529">
        <v>7190</v>
      </c>
      <c r="K1343" s="529">
        <f t="shared" si="86"/>
        <v>760</v>
      </c>
      <c r="L1343" s="530">
        <f t="shared" ref="L1343:L1406" si="89">K1343*F1343</f>
        <v>760</v>
      </c>
      <c r="M1343" s="536">
        <f t="shared" si="87"/>
        <v>9.5597484276729566E-2</v>
      </c>
      <c r="N1343" s="64" t="s">
        <v>22</v>
      </c>
      <c r="O1343" s="47" t="s">
        <v>21</v>
      </c>
    </row>
    <row r="1344" spans="1:15">
      <c r="A1344" s="71">
        <v>2024</v>
      </c>
      <c r="B1344" s="16" t="s">
        <v>562</v>
      </c>
      <c r="C1344" s="62" t="s">
        <v>1963</v>
      </c>
      <c r="D1344" s="48" t="s">
        <v>24</v>
      </c>
      <c r="E1344" s="48" t="s">
        <v>1964</v>
      </c>
      <c r="F1344" s="99">
        <v>30</v>
      </c>
      <c r="G1344" s="42" t="s">
        <v>19</v>
      </c>
      <c r="H1344" s="44">
        <v>54</v>
      </c>
      <c r="I1344" s="44">
        <f t="shared" si="88"/>
        <v>1620</v>
      </c>
      <c r="J1344" s="529">
        <v>49</v>
      </c>
      <c r="K1344" s="529">
        <f t="shared" si="86"/>
        <v>5</v>
      </c>
      <c r="L1344" s="530">
        <f t="shared" si="89"/>
        <v>150</v>
      </c>
      <c r="M1344" s="536">
        <f t="shared" si="87"/>
        <v>9.2592592592592587E-2</v>
      </c>
      <c r="N1344" s="64" t="s">
        <v>22</v>
      </c>
      <c r="O1344" s="47" t="s">
        <v>21</v>
      </c>
    </row>
    <row r="1345" spans="1:15">
      <c r="A1345" s="71">
        <v>2024</v>
      </c>
      <c r="B1345" s="16" t="s">
        <v>562</v>
      </c>
      <c r="C1345" s="62" t="s">
        <v>1965</v>
      </c>
      <c r="D1345" s="47" t="s">
        <v>17</v>
      </c>
      <c r="E1345" s="48" t="s">
        <v>268</v>
      </c>
      <c r="F1345" s="99">
        <v>48</v>
      </c>
      <c r="G1345" s="42" t="s">
        <v>19</v>
      </c>
      <c r="H1345" s="44">
        <v>44</v>
      </c>
      <c r="I1345" s="44">
        <f t="shared" si="88"/>
        <v>2112</v>
      </c>
      <c r="J1345" s="529">
        <v>38.5</v>
      </c>
      <c r="K1345" s="529">
        <f t="shared" si="86"/>
        <v>5.5</v>
      </c>
      <c r="L1345" s="530">
        <f t="shared" si="89"/>
        <v>264</v>
      </c>
      <c r="M1345" s="536">
        <f t="shared" si="87"/>
        <v>0.125</v>
      </c>
      <c r="N1345" s="64" t="s">
        <v>22</v>
      </c>
      <c r="O1345" s="47" t="s">
        <v>21</v>
      </c>
    </row>
    <row r="1346" spans="1:15">
      <c r="A1346" s="71">
        <v>2024</v>
      </c>
      <c r="B1346" s="16" t="s">
        <v>562</v>
      </c>
      <c r="C1346" s="62" t="s">
        <v>1966</v>
      </c>
      <c r="D1346" s="47" t="s">
        <v>1470</v>
      </c>
      <c r="E1346" s="48" t="s">
        <v>1471</v>
      </c>
      <c r="F1346" s="99">
        <v>200</v>
      </c>
      <c r="G1346" s="42" t="s">
        <v>98</v>
      </c>
      <c r="H1346" s="44">
        <v>3000</v>
      </c>
      <c r="I1346" s="44">
        <f t="shared" si="88"/>
        <v>600000</v>
      </c>
      <c r="J1346" s="529">
        <v>2850</v>
      </c>
      <c r="K1346" s="529">
        <f t="shared" si="86"/>
        <v>150</v>
      </c>
      <c r="L1346" s="530">
        <f t="shared" si="89"/>
        <v>30000</v>
      </c>
      <c r="M1346" s="536">
        <f t="shared" si="87"/>
        <v>0.05</v>
      </c>
      <c r="N1346" s="64" t="s">
        <v>22</v>
      </c>
      <c r="O1346" s="47" t="s">
        <v>21</v>
      </c>
    </row>
    <row r="1347" spans="1:15">
      <c r="A1347" s="71">
        <v>2024</v>
      </c>
      <c r="B1347" s="16" t="s">
        <v>562</v>
      </c>
      <c r="C1347" s="62" t="s">
        <v>1966</v>
      </c>
      <c r="D1347" s="47" t="s">
        <v>1470</v>
      </c>
      <c r="E1347" s="48" t="s">
        <v>1848</v>
      </c>
      <c r="F1347" s="99">
        <v>200</v>
      </c>
      <c r="G1347" s="42" t="s">
        <v>98</v>
      </c>
      <c r="H1347" s="44">
        <v>4700</v>
      </c>
      <c r="I1347" s="44">
        <f t="shared" si="88"/>
        <v>940000</v>
      </c>
      <c r="J1347" s="529">
        <v>4465</v>
      </c>
      <c r="K1347" s="529">
        <f t="shared" ref="K1347:K1410" si="90">H1347-J1347</f>
        <v>235</v>
      </c>
      <c r="L1347" s="530">
        <f t="shared" si="89"/>
        <v>47000</v>
      </c>
      <c r="M1347" s="536">
        <f t="shared" ref="M1347:M1410" si="91">K1347/H1347</f>
        <v>0.05</v>
      </c>
      <c r="N1347" s="64" t="s">
        <v>22</v>
      </c>
      <c r="O1347" s="47" t="s">
        <v>21</v>
      </c>
    </row>
    <row r="1348" spans="1:15">
      <c r="A1348" s="71">
        <v>2024</v>
      </c>
      <c r="B1348" s="16" t="s">
        <v>562</v>
      </c>
      <c r="C1348" s="62" t="s">
        <v>1967</v>
      </c>
      <c r="D1348" s="48" t="s">
        <v>118</v>
      </c>
      <c r="E1348" s="48" t="s">
        <v>1968</v>
      </c>
      <c r="F1348" s="99">
        <v>2</v>
      </c>
      <c r="G1348" s="42" t="s">
        <v>29</v>
      </c>
      <c r="H1348" s="44">
        <v>14000</v>
      </c>
      <c r="I1348" s="44">
        <f t="shared" si="88"/>
        <v>28000</v>
      </c>
      <c r="J1348" s="529">
        <v>13180</v>
      </c>
      <c r="K1348" s="529">
        <f t="shared" si="90"/>
        <v>820</v>
      </c>
      <c r="L1348" s="530">
        <f t="shared" si="89"/>
        <v>1640</v>
      </c>
      <c r="M1348" s="536">
        <f t="shared" si="91"/>
        <v>5.8571428571428573E-2</v>
      </c>
      <c r="N1348" s="64" t="s">
        <v>22</v>
      </c>
      <c r="O1348" s="47" t="s">
        <v>21</v>
      </c>
    </row>
    <row r="1349" spans="1:15">
      <c r="A1349" s="71">
        <v>2024</v>
      </c>
      <c r="B1349" s="16" t="s">
        <v>562</v>
      </c>
      <c r="C1349" s="62" t="s">
        <v>1969</v>
      </c>
      <c r="D1349" s="47" t="s">
        <v>17</v>
      </c>
      <c r="E1349" s="48" t="s">
        <v>1970</v>
      </c>
      <c r="F1349" s="99">
        <v>1</v>
      </c>
      <c r="G1349" s="42" t="s">
        <v>238</v>
      </c>
      <c r="H1349" s="44">
        <v>24500</v>
      </c>
      <c r="I1349" s="44">
        <f t="shared" si="88"/>
        <v>24500</v>
      </c>
      <c r="J1349" s="529">
        <v>19000</v>
      </c>
      <c r="K1349" s="529">
        <f t="shared" si="90"/>
        <v>5500</v>
      </c>
      <c r="L1349" s="530">
        <f t="shared" si="89"/>
        <v>5500</v>
      </c>
      <c r="M1349" s="536">
        <f t="shared" si="91"/>
        <v>0.22448979591836735</v>
      </c>
      <c r="N1349" s="64" t="s">
        <v>22</v>
      </c>
      <c r="O1349" s="47" t="s">
        <v>21</v>
      </c>
    </row>
    <row r="1350" spans="1:15">
      <c r="A1350" s="71">
        <v>2024</v>
      </c>
      <c r="B1350" s="16" t="s">
        <v>562</v>
      </c>
      <c r="C1350" s="62" t="s">
        <v>1971</v>
      </c>
      <c r="D1350" s="47" t="s">
        <v>17</v>
      </c>
      <c r="E1350" s="48" t="s">
        <v>1022</v>
      </c>
      <c r="F1350" s="99">
        <v>100</v>
      </c>
      <c r="G1350" s="42" t="s">
        <v>19</v>
      </c>
      <c r="H1350" s="44">
        <v>45</v>
      </c>
      <c r="I1350" s="44">
        <f t="shared" si="88"/>
        <v>4500</v>
      </c>
      <c r="J1350" s="529">
        <v>43</v>
      </c>
      <c r="K1350" s="529">
        <f t="shared" si="90"/>
        <v>2</v>
      </c>
      <c r="L1350" s="530">
        <f t="shared" si="89"/>
        <v>200</v>
      </c>
      <c r="M1350" s="536">
        <f t="shared" si="91"/>
        <v>4.4444444444444446E-2</v>
      </c>
      <c r="N1350" s="64" t="s">
        <v>22</v>
      </c>
      <c r="O1350" s="47" t="s">
        <v>21</v>
      </c>
    </row>
    <row r="1351" spans="1:15">
      <c r="A1351" s="71">
        <v>2024</v>
      </c>
      <c r="B1351" s="16" t="s">
        <v>562</v>
      </c>
      <c r="C1351" s="62" t="s">
        <v>1972</v>
      </c>
      <c r="D1351" s="47" t="s">
        <v>17</v>
      </c>
      <c r="E1351" s="48" t="s">
        <v>1731</v>
      </c>
      <c r="F1351" s="99">
        <v>1</v>
      </c>
      <c r="G1351" s="42" t="s">
        <v>19</v>
      </c>
      <c r="H1351" s="44">
        <v>5085</v>
      </c>
      <c r="I1351" s="44">
        <f t="shared" si="88"/>
        <v>5085</v>
      </c>
      <c r="J1351" s="529">
        <v>4700</v>
      </c>
      <c r="K1351" s="529">
        <f t="shared" si="90"/>
        <v>385</v>
      </c>
      <c r="L1351" s="530">
        <f t="shared" si="89"/>
        <v>385</v>
      </c>
      <c r="M1351" s="536">
        <f t="shared" si="91"/>
        <v>7.571288102261553E-2</v>
      </c>
      <c r="N1351" s="64" t="s">
        <v>22</v>
      </c>
      <c r="O1351" s="47" t="s">
        <v>21</v>
      </c>
    </row>
    <row r="1352" spans="1:15">
      <c r="A1352" s="71">
        <v>2024</v>
      </c>
      <c r="B1352" s="16" t="s">
        <v>562</v>
      </c>
      <c r="C1352" s="62" t="s">
        <v>1973</v>
      </c>
      <c r="D1352" s="48" t="s">
        <v>24</v>
      </c>
      <c r="E1352" s="48" t="s">
        <v>1974</v>
      </c>
      <c r="F1352" s="99">
        <v>200</v>
      </c>
      <c r="G1352" s="42" t="s">
        <v>1701</v>
      </c>
      <c r="H1352" s="44">
        <v>29.5</v>
      </c>
      <c r="I1352" s="44">
        <f t="shared" si="88"/>
        <v>5900</v>
      </c>
      <c r="J1352" s="529">
        <v>26</v>
      </c>
      <c r="K1352" s="529">
        <f t="shared" si="90"/>
        <v>3.5</v>
      </c>
      <c r="L1352" s="530">
        <f t="shared" si="89"/>
        <v>700</v>
      </c>
      <c r="M1352" s="536">
        <f t="shared" si="91"/>
        <v>0.11864406779661017</v>
      </c>
      <c r="N1352" s="64" t="s">
        <v>22</v>
      </c>
      <c r="O1352" s="47" t="s">
        <v>21</v>
      </c>
    </row>
    <row r="1353" spans="1:15">
      <c r="A1353" s="71">
        <v>2024</v>
      </c>
      <c r="B1353" s="16" t="s">
        <v>562</v>
      </c>
      <c r="C1353" s="62" t="s">
        <v>1975</v>
      </c>
      <c r="D1353" s="48" t="s">
        <v>398</v>
      </c>
      <c r="E1353" s="48" t="s">
        <v>1976</v>
      </c>
      <c r="F1353" s="99">
        <v>1</v>
      </c>
      <c r="G1353" s="42" t="s">
        <v>569</v>
      </c>
      <c r="H1353" s="44">
        <v>18000</v>
      </c>
      <c r="I1353" s="44">
        <f t="shared" si="88"/>
        <v>18000</v>
      </c>
      <c r="J1353" s="529">
        <v>8000</v>
      </c>
      <c r="K1353" s="529">
        <f t="shared" si="90"/>
        <v>10000</v>
      </c>
      <c r="L1353" s="530">
        <f t="shared" si="89"/>
        <v>10000</v>
      </c>
      <c r="M1353" s="536">
        <f t="shared" si="91"/>
        <v>0.55555555555555558</v>
      </c>
      <c r="N1353" s="64" t="s">
        <v>22</v>
      </c>
      <c r="O1353" s="47" t="s">
        <v>21</v>
      </c>
    </row>
    <row r="1354" spans="1:15">
      <c r="A1354" s="71">
        <v>2024</v>
      </c>
      <c r="B1354" s="16" t="s">
        <v>562</v>
      </c>
      <c r="C1354" s="62" t="s">
        <v>1977</v>
      </c>
      <c r="D1354" s="48" t="s">
        <v>1658</v>
      </c>
      <c r="E1354" s="48" t="s">
        <v>1978</v>
      </c>
      <c r="F1354" s="99">
        <v>200</v>
      </c>
      <c r="G1354" s="42" t="s">
        <v>1979</v>
      </c>
      <c r="H1354" s="44">
        <f>29*40</f>
        <v>1160</v>
      </c>
      <c r="I1354" s="44">
        <f t="shared" si="88"/>
        <v>232000</v>
      </c>
      <c r="J1354" s="529">
        <f>28.5*40</f>
        <v>1140</v>
      </c>
      <c r="K1354" s="529">
        <f t="shared" si="90"/>
        <v>20</v>
      </c>
      <c r="L1354" s="530">
        <f t="shared" si="89"/>
        <v>4000</v>
      </c>
      <c r="M1354" s="536">
        <f t="shared" si="91"/>
        <v>1.7241379310344827E-2</v>
      </c>
      <c r="N1354" s="64" t="s">
        <v>22</v>
      </c>
      <c r="O1354" s="47" t="s">
        <v>39</v>
      </c>
    </row>
    <row r="1355" spans="1:15">
      <c r="A1355" s="71">
        <v>2024</v>
      </c>
      <c r="B1355" s="16" t="s">
        <v>562</v>
      </c>
      <c r="C1355" s="62" t="s">
        <v>1980</v>
      </c>
      <c r="D1355" s="48" t="s">
        <v>708</v>
      </c>
      <c r="E1355" s="48" t="s">
        <v>45</v>
      </c>
      <c r="F1355" s="99">
        <v>27930</v>
      </c>
      <c r="G1355" s="42" t="s">
        <v>1885</v>
      </c>
      <c r="H1355" s="44">
        <v>414</v>
      </c>
      <c r="I1355" s="44">
        <f t="shared" si="88"/>
        <v>11563020</v>
      </c>
      <c r="J1355" s="529">
        <v>409</v>
      </c>
      <c r="K1355" s="529">
        <f t="shared" si="90"/>
        <v>5</v>
      </c>
      <c r="L1355" s="530">
        <f t="shared" si="89"/>
        <v>139650</v>
      </c>
      <c r="M1355" s="536">
        <f t="shared" si="91"/>
        <v>1.2077294685990338E-2</v>
      </c>
      <c r="N1355" s="64" t="s">
        <v>22</v>
      </c>
      <c r="O1355" s="47" t="s">
        <v>39</v>
      </c>
    </row>
    <row r="1356" spans="1:15">
      <c r="A1356" s="71">
        <v>2024</v>
      </c>
      <c r="B1356" s="16" t="s">
        <v>562</v>
      </c>
      <c r="C1356" s="62" t="s">
        <v>1981</v>
      </c>
      <c r="D1356" s="48" t="s">
        <v>1204</v>
      </c>
      <c r="E1356" s="48" t="s">
        <v>1982</v>
      </c>
      <c r="F1356" s="99">
        <v>120</v>
      </c>
      <c r="G1356" s="42" t="s">
        <v>1983</v>
      </c>
      <c r="H1356" s="44">
        <v>15</v>
      </c>
      <c r="I1356" s="44">
        <f t="shared" si="88"/>
        <v>1800</v>
      </c>
      <c r="J1356" s="529">
        <v>14</v>
      </c>
      <c r="K1356" s="529">
        <f t="shared" si="90"/>
        <v>1</v>
      </c>
      <c r="L1356" s="530">
        <f t="shared" si="89"/>
        <v>120</v>
      </c>
      <c r="M1356" s="536">
        <f t="shared" si="91"/>
        <v>6.6666666666666666E-2</v>
      </c>
      <c r="N1356" s="64" t="s">
        <v>38</v>
      </c>
      <c r="O1356" s="47" t="s">
        <v>39</v>
      </c>
    </row>
    <row r="1357" spans="1:15">
      <c r="A1357" s="71">
        <v>2024</v>
      </c>
      <c r="B1357" s="16" t="s">
        <v>562</v>
      </c>
      <c r="C1357" s="62" t="s">
        <v>1984</v>
      </c>
      <c r="D1357" s="48" t="s">
        <v>1119</v>
      </c>
      <c r="E1357" s="48" t="s">
        <v>1985</v>
      </c>
      <c r="F1357" s="99">
        <v>120</v>
      </c>
      <c r="G1357" s="42" t="s">
        <v>1983</v>
      </c>
      <c r="H1357" s="44">
        <v>260</v>
      </c>
      <c r="I1357" s="44">
        <f t="shared" si="88"/>
        <v>31200</v>
      </c>
      <c r="J1357" s="529">
        <v>250</v>
      </c>
      <c r="K1357" s="529">
        <f t="shared" si="90"/>
        <v>10</v>
      </c>
      <c r="L1357" s="530">
        <f t="shared" si="89"/>
        <v>1200</v>
      </c>
      <c r="M1357" s="536">
        <f t="shared" si="91"/>
        <v>3.8461538461538464E-2</v>
      </c>
      <c r="N1357" s="64" t="s">
        <v>38</v>
      </c>
      <c r="O1357" s="47" t="s">
        <v>39</v>
      </c>
    </row>
    <row r="1358" spans="1:15">
      <c r="A1358" s="71">
        <v>2024</v>
      </c>
      <c r="B1358" s="16" t="s">
        <v>562</v>
      </c>
      <c r="C1358" s="62" t="s">
        <v>1986</v>
      </c>
      <c r="D1358" s="48" t="s">
        <v>270</v>
      </c>
      <c r="E1358" s="48" t="s">
        <v>72</v>
      </c>
      <c r="F1358" s="99">
        <v>5420</v>
      </c>
      <c r="G1358" s="42" t="s">
        <v>231</v>
      </c>
      <c r="H1358" s="44">
        <v>426</v>
      </c>
      <c r="I1358" s="44">
        <f t="shared" si="88"/>
        <v>2308920</v>
      </c>
      <c r="J1358" s="529">
        <v>420</v>
      </c>
      <c r="K1358" s="529">
        <f t="shared" si="90"/>
        <v>6</v>
      </c>
      <c r="L1358" s="530">
        <f t="shared" si="89"/>
        <v>32520</v>
      </c>
      <c r="M1358" s="536">
        <f t="shared" si="91"/>
        <v>1.4084507042253521E-2</v>
      </c>
      <c r="N1358" s="64" t="s">
        <v>22</v>
      </c>
      <c r="O1358" s="47" t="s">
        <v>39</v>
      </c>
    </row>
    <row r="1359" spans="1:15">
      <c r="A1359" s="71">
        <v>2024</v>
      </c>
      <c r="B1359" s="16" t="s">
        <v>562</v>
      </c>
      <c r="C1359" s="62" t="s">
        <v>1987</v>
      </c>
      <c r="D1359" s="48" t="s">
        <v>1948</v>
      </c>
      <c r="E1359" s="48" t="s">
        <v>1988</v>
      </c>
      <c r="F1359" s="99">
        <v>2</v>
      </c>
      <c r="G1359" s="42" t="s">
        <v>1983</v>
      </c>
      <c r="H1359" s="44">
        <v>2890</v>
      </c>
      <c r="I1359" s="44">
        <f t="shared" si="88"/>
        <v>5780</v>
      </c>
      <c r="J1359" s="529">
        <v>2550</v>
      </c>
      <c r="K1359" s="529">
        <f t="shared" si="90"/>
        <v>340</v>
      </c>
      <c r="L1359" s="530">
        <f t="shared" si="89"/>
        <v>680</v>
      </c>
      <c r="M1359" s="536">
        <f t="shared" si="91"/>
        <v>0.11764705882352941</v>
      </c>
      <c r="N1359" s="64" t="s">
        <v>22</v>
      </c>
      <c r="O1359" s="47" t="s">
        <v>21</v>
      </c>
    </row>
    <row r="1360" spans="1:15">
      <c r="A1360" s="71">
        <v>2024</v>
      </c>
      <c r="B1360" s="16" t="s">
        <v>562</v>
      </c>
      <c r="C1360" s="62" t="s">
        <v>1989</v>
      </c>
      <c r="D1360" s="48" t="s">
        <v>1948</v>
      </c>
      <c r="E1360" s="48" t="s">
        <v>1990</v>
      </c>
      <c r="F1360" s="99">
        <v>2</v>
      </c>
      <c r="G1360" s="42" t="s">
        <v>469</v>
      </c>
      <c r="H1360" s="44">
        <v>3975</v>
      </c>
      <c r="I1360" s="44">
        <f t="shared" si="88"/>
        <v>7950</v>
      </c>
      <c r="J1360" s="529">
        <v>3615</v>
      </c>
      <c r="K1360" s="529">
        <f t="shared" si="90"/>
        <v>360</v>
      </c>
      <c r="L1360" s="530">
        <f t="shared" si="89"/>
        <v>720</v>
      </c>
      <c r="M1360" s="536">
        <f t="shared" si="91"/>
        <v>9.056603773584905E-2</v>
      </c>
      <c r="N1360" s="64" t="s">
        <v>22</v>
      </c>
      <c r="O1360" s="47" t="s">
        <v>21</v>
      </c>
    </row>
    <row r="1361" spans="1:15">
      <c r="A1361" s="71">
        <v>2024</v>
      </c>
      <c r="B1361" s="16" t="s">
        <v>562</v>
      </c>
      <c r="C1361" s="62" t="s">
        <v>1991</v>
      </c>
      <c r="D1361" s="48" t="s">
        <v>118</v>
      </c>
      <c r="E1361" s="48" t="s">
        <v>1862</v>
      </c>
      <c r="F1361" s="99">
        <v>1</v>
      </c>
      <c r="G1361" s="42" t="s">
        <v>469</v>
      </c>
      <c r="H1361" s="44">
        <v>9700</v>
      </c>
      <c r="I1361" s="44">
        <f t="shared" si="88"/>
        <v>9700</v>
      </c>
      <c r="J1361" s="529">
        <v>8900</v>
      </c>
      <c r="K1361" s="529">
        <f t="shared" si="90"/>
        <v>800</v>
      </c>
      <c r="L1361" s="530">
        <f t="shared" si="89"/>
        <v>800</v>
      </c>
      <c r="M1361" s="536">
        <f t="shared" si="91"/>
        <v>8.247422680412371E-2</v>
      </c>
      <c r="N1361" s="64" t="s">
        <v>22</v>
      </c>
      <c r="O1361" s="47" t="s">
        <v>21</v>
      </c>
    </row>
    <row r="1362" spans="1:15">
      <c r="A1362" s="71">
        <v>2024</v>
      </c>
      <c r="B1362" s="16" t="s">
        <v>562</v>
      </c>
      <c r="C1362" s="62" t="s">
        <v>1992</v>
      </c>
      <c r="D1362" s="48" t="s">
        <v>118</v>
      </c>
      <c r="E1362" s="48" t="s">
        <v>367</v>
      </c>
      <c r="F1362" s="99">
        <v>3</v>
      </c>
      <c r="G1362" s="42" t="s">
        <v>469</v>
      </c>
      <c r="H1362" s="44">
        <v>1980</v>
      </c>
      <c r="I1362" s="44">
        <f t="shared" si="88"/>
        <v>5940</v>
      </c>
      <c r="J1362" s="529">
        <v>1799</v>
      </c>
      <c r="K1362" s="529">
        <f t="shared" si="90"/>
        <v>181</v>
      </c>
      <c r="L1362" s="530">
        <f t="shared" si="89"/>
        <v>543</v>
      </c>
      <c r="M1362" s="536">
        <f t="shared" si="91"/>
        <v>9.141414141414142E-2</v>
      </c>
      <c r="N1362" s="64" t="s">
        <v>22</v>
      </c>
      <c r="O1362" s="47" t="s">
        <v>21</v>
      </c>
    </row>
    <row r="1363" spans="1:15">
      <c r="A1363" s="71">
        <v>2024</v>
      </c>
      <c r="B1363" s="16" t="s">
        <v>562</v>
      </c>
      <c r="C1363" s="62" t="s">
        <v>1993</v>
      </c>
      <c r="D1363" s="48" t="s">
        <v>253</v>
      </c>
      <c r="E1363" s="48" t="s">
        <v>1994</v>
      </c>
      <c r="F1363" s="99">
        <v>4</v>
      </c>
      <c r="G1363" s="42" t="s">
        <v>469</v>
      </c>
      <c r="H1363" s="44">
        <v>7700</v>
      </c>
      <c r="I1363" s="44">
        <f t="shared" si="88"/>
        <v>30800</v>
      </c>
      <c r="J1363" s="529">
        <v>6990</v>
      </c>
      <c r="K1363" s="529">
        <f t="shared" si="90"/>
        <v>710</v>
      </c>
      <c r="L1363" s="530">
        <f t="shared" si="89"/>
        <v>2840</v>
      </c>
      <c r="M1363" s="536">
        <f t="shared" si="91"/>
        <v>9.2207792207792211E-2</v>
      </c>
      <c r="N1363" s="64" t="s">
        <v>22</v>
      </c>
      <c r="O1363" s="47" t="s">
        <v>21</v>
      </c>
    </row>
    <row r="1364" spans="1:15">
      <c r="A1364" s="71">
        <v>2024</v>
      </c>
      <c r="B1364" s="16" t="s">
        <v>562</v>
      </c>
      <c r="C1364" s="62" t="s">
        <v>1995</v>
      </c>
      <c r="D1364" s="48" t="s">
        <v>24</v>
      </c>
      <c r="E1364" s="48" t="s">
        <v>1996</v>
      </c>
      <c r="F1364" s="99">
        <v>2</v>
      </c>
      <c r="G1364" s="42" t="s">
        <v>469</v>
      </c>
      <c r="H1364" s="44">
        <v>1500</v>
      </c>
      <c r="I1364" s="44">
        <f t="shared" si="88"/>
        <v>3000</v>
      </c>
      <c r="J1364" s="529">
        <v>1195</v>
      </c>
      <c r="K1364" s="529">
        <f t="shared" si="90"/>
        <v>305</v>
      </c>
      <c r="L1364" s="530">
        <f t="shared" si="89"/>
        <v>610</v>
      </c>
      <c r="M1364" s="536">
        <f t="shared" si="91"/>
        <v>0.20333333333333334</v>
      </c>
      <c r="N1364" s="64" t="s">
        <v>22</v>
      </c>
      <c r="O1364" s="47" t="s">
        <v>21</v>
      </c>
    </row>
    <row r="1365" spans="1:15">
      <c r="A1365" s="71">
        <v>2024</v>
      </c>
      <c r="B1365" s="16" t="s">
        <v>562</v>
      </c>
      <c r="C1365" s="62" t="s">
        <v>1997</v>
      </c>
      <c r="D1365" s="48" t="s">
        <v>1007</v>
      </c>
      <c r="E1365" s="48" t="s">
        <v>1998</v>
      </c>
      <c r="F1365" s="99">
        <v>1</v>
      </c>
      <c r="G1365" s="42" t="s">
        <v>469</v>
      </c>
      <c r="H1365" s="44">
        <v>23700</v>
      </c>
      <c r="I1365" s="44">
        <f t="shared" si="88"/>
        <v>23700</v>
      </c>
      <c r="J1365" s="529">
        <v>16800</v>
      </c>
      <c r="K1365" s="529">
        <f t="shared" si="90"/>
        <v>6900</v>
      </c>
      <c r="L1365" s="530">
        <f t="shared" si="89"/>
        <v>6900</v>
      </c>
      <c r="M1365" s="536">
        <f t="shared" si="91"/>
        <v>0.29113924050632911</v>
      </c>
      <c r="N1365" s="64" t="s">
        <v>22</v>
      </c>
      <c r="O1365" s="47" t="s">
        <v>21</v>
      </c>
    </row>
    <row r="1366" spans="1:15">
      <c r="A1366" s="71">
        <v>2024</v>
      </c>
      <c r="B1366" s="16" t="s">
        <v>562</v>
      </c>
      <c r="C1366" s="62" t="s">
        <v>1999</v>
      </c>
      <c r="D1366" s="48" t="s">
        <v>96</v>
      </c>
      <c r="E1366" s="48" t="s">
        <v>2000</v>
      </c>
      <c r="F1366" s="99">
        <v>50</v>
      </c>
      <c r="G1366" s="42" t="s">
        <v>98</v>
      </c>
      <c r="H1366" s="44">
        <v>275</v>
      </c>
      <c r="I1366" s="44">
        <f t="shared" si="88"/>
        <v>13750</v>
      </c>
      <c r="J1366" s="529">
        <v>140</v>
      </c>
      <c r="K1366" s="529">
        <f t="shared" si="90"/>
        <v>135</v>
      </c>
      <c r="L1366" s="530">
        <f t="shared" si="89"/>
        <v>6750</v>
      </c>
      <c r="M1366" s="536">
        <f t="shared" si="91"/>
        <v>0.49090909090909091</v>
      </c>
      <c r="N1366" s="64" t="s">
        <v>22</v>
      </c>
      <c r="O1366" s="47" t="s">
        <v>21</v>
      </c>
    </row>
    <row r="1367" spans="1:15">
      <c r="A1367" s="71">
        <v>2024</v>
      </c>
      <c r="B1367" s="16" t="s">
        <v>562</v>
      </c>
      <c r="C1367" s="62" t="s">
        <v>2001</v>
      </c>
      <c r="D1367" s="48" t="s">
        <v>719</v>
      </c>
      <c r="E1367" s="48" t="s">
        <v>2002</v>
      </c>
      <c r="F1367" s="99">
        <v>1</v>
      </c>
      <c r="G1367" s="42" t="s">
        <v>59</v>
      </c>
      <c r="H1367" s="44">
        <v>1583696</v>
      </c>
      <c r="I1367" s="44">
        <f t="shared" si="88"/>
        <v>1583696</v>
      </c>
      <c r="J1367" s="529">
        <v>1530000</v>
      </c>
      <c r="K1367" s="529">
        <f t="shared" si="90"/>
        <v>53696</v>
      </c>
      <c r="L1367" s="530">
        <f t="shared" si="89"/>
        <v>53696</v>
      </c>
      <c r="M1367" s="536">
        <f t="shared" si="91"/>
        <v>3.3905497014578553E-2</v>
      </c>
      <c r="N1367" s="64" t="s">
        <v>38</v>
      </c>
      <c r="O1367" s="47" t="s">
        <v>21</v>
      </c>
    </row>
    <row r="1368" spans="1:15">
      <c r="A1368" s="71">
        <v>2024</v>
      </c>
      <c r="B1368" s="16" t="s">
        <v>562</v>
      </c>
      <c r="C1368" s="62" t="s">
        <v>2001</v>
      </c>
      <c r="D1368" s="48" t="s">
        <v>719</v>
      </c>
      <c r="E1368" s="48" t="s">
        <v>2002</v>
      </c>
      <c r="F1368" s="99">
        <v>1</v>
      </c>
      <c r="G1368" s="42" t="s">
        <v>59</v>
      </c>
      <c r="H1368" s="44">
        <v>633478.40000000002</v>
      </c>
      <c r="I1368" s="44">
        <f t="shared" si="88"/>
        <v>633478.40000000002</v>
      </c>
      <c r="J1368" s="529">
        <v>631234.83066666673</v>
      </c>
      <c r="K1368" s="529">
        <f t="shared" si="90"/>
        <v>2243.5693333332893</v>
      </c>
      <c r="L1368" s="530">
        <f t="shared" si="89"/>
        <v>2243.5693333332893</v>
      </c>
      <c r="M1368" s="536">
        <f t="shared" si="91"/>
        <v>3.5416666666665971E-3</v>
      </c>
      <c r="N1368" s="64" t="s">
        <v>38</v>
      </c>
      <c r="O1368" s="47" t="s">
        <v>21</v>
      </c>
    </row>
    <row r="1369" spans="1:15">
      <c r="A1369" s="71">
        <v>2024</v>
      </c>
      <c r="B1369" s="16" t="s">
        <v>562</v>
      </c>
      <c r="C1369" s="62" t="s">
        <v>2003</v>
      </c>
      <c r="D1369" s="48" t="s">
        <v>1000</v>
      </c>
      <c r="E1369" s="48" t="s">
        <v>2004</v>
      </c>
      <c r="F1369" s="99">
        <v>505</v>
      </c>
      <c r="G1369" s="42" t="s">
        <v>1983</v>
      </c>
      <c r="H1369" s="44">
        <v>770</v>
      </c>
      <c r="I1369" s="44">
        <f t="shared" si="88"/>
        <v>388850</v>
      </c>
      <c r="J1369" s="529">
        <v>670</v>
      </c>
      <c r="K1369" s="529">
        <f t="shared" si="90"/>
        <v>100</v>
      </c>
      <c r="L1369" s="530">
        <f t="shared" si="89"/>
        <v>50500</v>
      </c>
      <c r="M1369" s="536">
        <f t="shared" si="91"/>
        <v>0.12987012987012986</v>
      </c>
      <c r="N1369" s="64" t="s">
        <v>22</v>
      </c>
      <c r="O1369" s="47" t="s">
        <v>39</v>
      </c>
    </row>
    <row r="1370" spans="1:15">
      <c r="A1370" s="71">
        <v>2024</v>
      </c>
      <c r="B1370" s="16" t="s">
        <v>562</v>
      </c>
      <c r="C1370" s="62" t="s">
        <v>2005</v>
      </c>
      <c r="D1370" s="48" t="s">
        <v>118</v>
      </c>
      <c r="E1370" s="48" t="s">
        <v>2006</v>
      </c>
      <c r="F1370" s="99">
        <v>10</v>
      </c>
      <c r="G1370" s="42" t="s">
        <v>29</v>
      </c>
      <c r="H1370" s="44">
        <v>1250</v>
      </c>
      <c r="I1370" s="44">
        <f t="shared" si="88"/>
        <v>12500</v>
      </c>
      <c r="J1370" s="529">
        <v>1180</v>
      </c>
      <c r="K1370" s="529">
        <f t="shared" si="90"/>
        <v>70</v>
      </c>
      <c r="L1370" s="530">
        <f t="shared" si="89"/>
        <v>700</v>
      </c>
      <c r="M1370" s="536">
        <f t="shared" si="91"/>
        <v>5.6000000000000001E-2</v>
      </c>
      <c r="N1370" s="64" t="s">
        <v>22</v>
      </c>
      <c r="O1370" s="47" t="s">
        <v>21</v>
      </c>
    </row>
    <row r="1371" spans="1:15">
      <c r="A1371" s="71">
        <v>2024</v>
      </c>
      <c r="B1371" s="16" t="s">
        <v>562</v>
      </c>
      <c r="C1371" s="62" t="s">
        <v>2007</v>
      </c>
      <c r="D1371" s="48" t="s">
        <v>192</v>
      </c>
      <c r="E1371" s="48" t="s">
        <v>2008</v>
      </c>
      <c r="F1371" s="99">
        <v>540</v>
      </c>
      <c r="G1371" s="42" t="s">
        <v>1983</v>
      </c>
      <c r="H1371" s="44">
        <v>101</v>
      </c>
      <c r="I1371" s="44">
        <f t="shared" si="88"/>
        <v>54540</v>
      </c>
      <c r="J1371" s="529">
        <v>99</v>
      </c>
      <c r="K1371" s="529">
        <f t="shared" si="90"/>
        <v>2</v>
      </c>
      <c r="L1371" s="530">
        <f t="shared" si="89"/>
        <v>1080</v>
      </c>
      <c r="M1371" s="536">
        <f t="shared" si="91"/>
        <v>1.9801980198019802E-2</v>
      </c>
      <c r="N1371" s="64" t="s">
        <v>22</v>
      </c>
      <c r="O1371" s="47" t="s">
        <v>39</v>
      </c>
    </row>
    <row r="1372" spans="1:15">
      <c r="A1372" s="71">
        <v>2024</v>
      </c>
      <c r="B1372" s="16" t="s">
        <v>562</v>
      </c>
      <c r="C1372" s="62" t="s">
        <v>2007</v>
      </c>
      <c r="D1372" s="48" t="s">
        <v>192</v>
      </c>
      <c r="E1372" s="48" t="s">
        <v>2009</v>
      </c>
      <c r="F1372" s="99">
        <v>540</v>
      </c>
      <c r="G1372" s="42" t="s">
        <v>1983</v>
      </c>
      <c r="H1372" s="44">
        <v>101</v>
      </c>
      <c r="I1372" s="44">
        <f t="shared" si="88"/>
        <v>54540</v>
      </c>
      <c r="J1372" s="529">
        <v>99</v>
      </c>
      <c r="K1372" s="529">
        <f t="shared" si="90"/>
        <v>2</v>
      </c>
      <c r="L1372" s="530">
        <f t="shared" si="89"/>
        <v>1080</v>
      </c>
      <c r="M1372" s="536">
        <f t="shared" si="91"/>
        <v>1.9801980198019802E-2</v>
      </c>
      <c r="N1372" s="64" t="s">
        <v>22</v>
      </c>
      <c r="O1372" s="47" t="s">
        <v>39</v>
      </c>
    </row>
    <row r="1373" spans="1:15">
      <c r="A1373" s="71">
        <v>2024</v>
      </c>
      <c r="B1373" s="16" t="s">
        <v>562</v>
      </c>
      <c r="C1373" s="62" t="s">
        <v>2010</v>
      </c>
      <c r="D1373" s="48" t="s">
        <v>2011</v>
      </c>
      <c r="E1373" s="48" t="s">
        <v>2012</v>
      </c>
      <c r="F1373" s="99">
        <v>120</v>
      </c>
      <c r="G1373" s="42" t="s">
        <v>1983</v>
      </c>
      <c r="H1373" s="44">
        <f>45*40</f>
        <v>1800</v>
      </c>
      <c r="I1373" s="44">
        <f t="shared" si="88"/>
        <v>216000</v>
      </c>
      <c r="J1373" s="529">
        <f>40.5*40</f>
        <v>1620</v>
      </c>
      <c r="K1373" s="529">
        <f t="shared" si="90"/>
        <v>180</v>
      </c>
      <c r="L1373" s="530">
        <f t="shared" si="89"/>
        <v>21600</v>
      </c>
      <c r="M1373" s="536">
        <f t="shared" si="91"/>
        <v>0.1</v>
      </c>
      <c r="N1373" s="64" t="s">
        <v>38</v>
      </c>
      <c r="O1373" s="47" t="s">
        <v>39</v>
      </c>
    </row>
    <row r="1374" spans="1:15">
      <c r="A1374" s="71">
        <v>2024</v>
      </c>
      <c r="B1374" s="16" t="s">
        <v>562</v>
      </c>
      <c r="C1374" s="419" t="s">
        <v>2013</v>
      </c>
      <c r="D1374" s="48" t="s">
        <v>290</v>
      </c>
      <c r="E1374" s="48" t="s">
        <v>2014</v>
      </c>
      <c r="F1374" s="99">
        <v>1</v>
      </c>
      <c r="G1374" s="42" t="s">
        <v>285</v>
      </c>
      <c r="H1374" s="44">
        <v>47800</v>
      </c>
      <c r="I1374" s="44">
        <f t="shared" si="88"/>
        <v>47800</v>
      </c>
      <c r="J1374" s="529">
        <v>32000</v>
      </c>
      <c r="K1374" s="529">
        <f t="shared" si="90"/>
        <v>15800</v>
      </c>
      <c r="L1374" s="530">
        <f t="shared" si="89"/>
        <v>15800</v>
      </c>
      <c r="M1374" s="536">
        <f t="shared" si="91"/>
        <v>0.33054393305439328</v>
      </c>
      <c r="N1374" s="64" t="s">
        <v>22</v>
      </c>
      <c r="O1374" s="47" t="s">
        <v>105</v>
      </c>
    </row>
    <row r="1375" spans="1:15">
      <c r="A1375" s="71">
        <v>2024</v>
      </c>
      <c r="B1375" s="16" t="s">
        <v>562</v>
      </c>
      <c r="C1375" s="419" t="s">
        <v>2015</v>
      </c>
      <c r="D1375" s="48" t="s">
        <v>290</v>
      </c>
      <c r="E1375" s="48" t="s">
        <v>2016</v>
      </c>
      <c r="F1375" s="99">
        <v>1</v>
      </c>
      <c r="G1375" s="42" t="s">
        <v>285</v>
      </c>
      <c r="H1375" s="44">
        <v>47000</v>
      </c>
      <c r="I1375" s="44">
        <f t="shared" si="88"/>
        <v>47000</v>
      </c>
      <c r="J1375" s="529">
        <v>42000</v>
      </c>
      <c r="K1375" s="529">
        <f t="shared" si="90"/>
        <v>5000</v>
      </c>
      <c r="L1375" s="530">
        <f t="shared" si="89"/>
        <v>5000</v>
      </c>
      <c r="M1375" s="536">
        <f t="shared" si="91"/>
        <v>0.10638297872340426</v>
      </c>
      <c r="N1375" s="64" t="s">
        <v>22</v>
      </c>
      <c r="O1375" s="47" t="s">
        <v>105</v>
      </c>
    </row>
    <row r="1376" spans="1:15">
      <c r="A1376" s="71">
        <v>2024</v>
      </c>
      <c r="B1376" s="16" t="s">
        <v>562</v>
      </c>
      <c r="C1376" s="419" t="s">
        <v>2017</v>
      </c>
      <c r="D1376" s="48" t="s">
        <v>1012</v>
      </c>
      <c r="E1376" s="48" t="s">
        <v>2018</v>
      </c>
      <c r="F1376" s="99">
        <v>300</v>
      </c>
      <c r="G1376" s="42" t="s">
        <v>615</v>
      </c>
      <c r="H1376" s="44">
        <v>28.7</v>
      </c>
      <c r="I1376" s="44">
        <f t="shared" si="88"/>
        <v>8610</v>
      </c>
      <c r="J1376" s="529">
        <v>16.62</v>
      </c>
      <c r="K1376" s="529">
        <f t="shared" si="90"/>
        <v>12.079999999999998</v>
      </c>
      <c r="L1376" s="530">
        <f t="shared" si="89"/>
        <v>3623.9999999999995</v>
      </c>
      <c r="M1376" s="536">
        <f t="shared" si="91"/>
        <v>0.4209059233449477</v>
      </c>
      <c r="N1376" s="64" t="s">
        <v>22</v>
      </c>
      <c r="O1376" s="47" t="s">
        <v>105</v>
      </c>
    </row>
    <row r="1377" spans="1:15">
      <c r="A1377" s="71">
        <v>2024</v>
      </c>
      <c r="B1377" s="16" t="s">
        <v>562</v>
      </c>
      <c r="C1377" s="419" t="s">
        <v>2019</v>
      </c>
      <c r="D1377" s="48" t="s">
        <v>94</v>
      </c>
      <c r="E1377" s="48" t="s">
        <v>613</v>
      </c>
      <c r="F1377" s="99">
        <v>300</v>
      </c>
      <c r="G1377" s="42" t="s">
        <v>19</v>
      </c>
      <c r="H1377" s="44">
        <v>25</v>
      </c>
      <c r="I1377" s="44">
        <f t="shared" si="88"/>
        <v>7500</v>
      </c>
      <c r="J1377" s="529">
        <v>24.6</v>
      </c>
      <c r="K1377" s="529">
        <f t="shared" si="90"/>
        <v>0.39999999999999858</v>
      </c>
      <c r="L1377" s="530">
        <f t="shared" si="89"/>
        <v>119.99999999999957</v>
      </c>
      <c r="M1377" s="536">
        <f t="shared" si="91"/>
        <v>1.5999999999999945E-2</v>
      </c>
      <c r="N1377" s="64" t="s">
        <v>22</v>
      </c>
      <c r="O1377" s="47" t="s">
        <v>105</v>
      </c>
    </row>
    <row r="1378" spans="1:15">
      <c r="A1378" s="71">
        <v>2024</v>
      </c>
      <c r="B1378" s="16" t="s">
        <v>562</v>
      </c>
      <c r="C1378" s="419" t="s">
        <v>2020</v>
      </c>
      <c r="D1378" s="47" t="s">
        <v>27</v>
      </c>
      <c r="E1378" s="48" t="s">
        <v>456</v>
      </c>
      <c r="F1378" s="99">
        <v>300</v>
      </c>
      <c r="G1378" s="42" t="s">
        <v>19</v>
      </c>
      <c r="H1378" s="44">
        <v>2.64</v>
      </c>
      <c r="I1378" s="44">
        <f t="shared" si="88"/>
        <v>792</v>
      </c>
      <c r="J1378" s="529">
        <v>2.5</v>
      </c>
      <c r="K1378" s="529">
        <f t="shared" si="90"/>
        <v>0.14000000000000012</v>
      </c>
      <c r="L1378" s="530">
        <f t="shared" si="89"/>
        <v>42.000000000000036</v>
      </c>
      <c r="M1378" s="536">
        <f t="shared" si="91"/>
        <v>5.3030303030303073E-2</v>
      </c>
      <c r="N1378" s="80" t="s">
        <v>22</v>
      </c>
      <c r="O1378" s="47" t="s">
        <v>105</v>
      </c>
    </row>
    <row r="1379" spans="1:15">
      <c r="A1379" s="71">
        <v>2024</v>
      </c>
      <c r="B1379" s="16" t="s">
        <v>562</v>
      </c>
      <c r="C1379" s="419" t="s">
        <v>2021</v>
      </c>
      <c r="D1379" s="48" t="s">
        <v>1042</v>
      </c>
      <c r="E1379" s="48" t="s">
        <v>711</v>
      </c>
      <c r="F1379" s="99">
        <v>2259</v>
      </c>
      <c r="G1379" s="42" t="s">
        <v>37</v>
      </c>
      <c r="H1379" s="44">
        <v>402</v>
      </c>
      <c r="I1379" s="44">
        <f t="shared" si="88"/>
        <v>908118</v>
      </c>
      <c r="J1379" s="529">
        <v>393</v>
      </c>
      <c r="K1379" s="529">
        <f t="shared" si="90"/>
        <v>9</v>
      </c>
      <c r="L1379" s="530">
        <f t="shared" si="89"/>
        <v>20331</v>
      </c>
      <c r="M1379" s="536">
        <f t="shared" si="91"/>
        <v>2.2388059701492536E-2</v>
      </c>
      <c r="N1379" s="64" t="s">
        <v>20</v>
      </c>
      <c r="O1379" s="47" t="s">
        <v>105</v>
      </c>
    </row>
    <row r="1380" spans="1:15">
      <c r="A1380" s="71">
        <v>2024</v>
      </c>
      <c r="B1380" s="16" t="s">
        <v>562</v>
      </c>
      <c r="C1380" s="419" t="s">
        <v>2022</v>
      </c>
      <c r="D1380" s="48" t="s">
        <v>1042</v>
      </c>
      <c r="E1380" s="48" t="s">
        <v>1437</v>
      </c>
      <c r="F1380" s="99">
        <v>358</v>
      </c>
      <c r="G1380" s="42" t="s">
        <v>37</v>
      </c>
      <c r="H1380" s="44">
        <v>402</v>
      </c>
      <c r="I1380" s="44">
        <f t="shared" si="88"/>
        <v>143916</v>
      </c>
      <c r="J1380" s="529">
        <v>393</v>
      </c>
      <c r="K1380" s="529">
        <f t="shared" si="90"/>
        <v>9</v>
      </c>
      <c r="L1380" s="530">
        <f t="shared" si="89"/>
        <v>3222</v>
      </c>
      <c r="M1380" s="536">
        <f t="shared" si="91"/>
        <v>2.2388059701492536E-2</v>
      </c>
      <c r="N1380" s="64" t="s">
        <v>20</v>
      </c>
      <c r="O1380" s="47" t="s">
        <v>105</v>
      </c>
    </row>
    <row r="1381" spans="1:15">
      <c r="A1381" s="71">
        <v>2024</v>
      </c>
      <c r="B1381" s="16" t="s">
        <v>562</v>
      </c>
      <c r="C1381" s="419" t="s">
        <v>2023</v>
      </c>
      <c r="D1381" s="48" t="s">
        <v>94</v>
      </c>
      <c r="E1381" s="48" t="s">
        <v>1316</v>
      </c>
      <c r="F1381" s="99">
        <v>200</v>
      </c>
      <c r="G1381" s="42" t="s">
        <v>19</v>
      </c>
      <c r="H1381" s="44">
        <v>15.5</v>
      </c>
      <c r="I1381" s="44">
        <f t="shared" si="88"/>
        <v>3100</v>
      </c>
      <c r="J1381" s="529">
        <v>14.76</v>
      </c>
      <c r="K1381" s="529">
        <f t="shared" si="90"/>
        <v>0.74000000000000021</v>
      </c>
      <c r="L1381" s="530">
        <f t="shared" si="89"/>
        <v>148.00000000000006</v>
      </c>
      <c r="M1381" s="536">
        <f t="shared" si="91"/>
        <v>4.7741935483870984E-2</v>
      </c>
      <c r="N1381" s="64" t="s">
        <v>22</v>
      </c>
      <c r="O1381" s="47" t="s">
        <v>105</v>
      </c>
    </row>
    <row r="1382" spans="1:15">
      <c r="A1382" s="71">
        <v>2024</v>
      </c>
      <c r="B1382" s="16" t="s">
        <v>562</v>
      </c>
      <c r="C1382" s="419" t="s">
        <v>2024</v>
      </c>
      <c r="D1382" s="48" t="s">
        <v>27</v>
      </c>
      <c r="E1382" s="48" t="s">
        <v>456</v>
      </c>
      <c r="F1382" s="99">
        <v>300</v>
      </c>
      <c r="G1382" s="42" t="s">
        <v>19</v>
      </c>
      <c r="H1382" s="44">
        <v>2.64</v>
      </c>
      <c r="I1382" s="44">
        <f t="shared" si="88"/>
        <v>792</v>
      </c>
      <c r="J1382" s="529">
        <v>2.5</v>
      </c>
      <c r="K1382" s="529">
        <f t="shared" si="90"/>
        <v>0.14000000000000012</v>
      </c>
      <c r="L1382" s="530">
        <f t="shared" si="89"/>
        <v>42.000000000000036</v>
      </c>
      <c r="M1382" s="536">
        <f t="shared" si="91"/>
        <v>5.3030303030303073E-2</v>
      </c>
      <c r="N1382" s="64" t="s">
        <v>22</v>
      </c>
      <c r="O1382" s="47" t="s">
        <v>105</v>
      </c>
    </row>
    <row r="1383" spans="1:15">
      <c r="A1383" s="71">
        <v>2024</v>
      </c>
      <c r="B1383" s="16" t="s">
        <v>562</v>
      </c>
      <c r="C1383" s="419" t="s">
        <v>1980</v>
      </c>
      <c r="D1383" s="48" t="s">
        <v>708</v>
      </c>
      <c r="E1383" s="48" t="s">
        <v>45</v>
      </c>
      <c r="F1383" s="99">
        <v>27930</v>
      </c>
      <c r="G1383" s="42" t="s">
        <v>37</v>
      </c>
      <c r="H1383" s="44">
        <v>412</v>
      </c>
      <c r="I1383" s="44">
        <f t="shared" si="88"/>
        <v>11507160</v>
      </c>
      <c r="J1383" s="529">
        <v>409</v>
      </c>
      <c r="K1383" s="529">
        <f t="shared" si="90"/>
        <v>3</v>
      </c>
      <c r="L1383" s="530">
        <f t="shared" si="89"/>
        <v>83790</v>
      </c>
      <c r="M1383" s="536">
        <f t="shared" si="91"/>
        <v>7.2815533980582527E-3</v>
      </c>
      <c r="N1383" s="64" t="s">
        <v>22</v>
      </c>
      <c r="O1383" s="47" t="s">
        <v>39</v>
      </c>
    </row>
    <row r="1384" spans="1:15">
      <c r="A1384" s="71">
        <v>2024</v>
      </c>
      <c r="B1384" s="16" t="s">
        <v>562</v>
      </c>
      <c r="C1384" s="419" t="s">
        <v>2025</v>
      </c>
      <c r="D1384" s="48" t="s">
        <v>166</v>
      </c>
      <c r="E1384" s="48" t="s">
        <v>1253</v>
      </c>
      <c r="F1384" s="99">
        <v>21336</v>
      </c>
      <c r="G1384" s="42" t="s">
        <v>37</v>
      </c>
      <c r="H1384" s="44">
        <v>35.15</v>
      </c>
      <c r="I1384" s="44">
        <f t="shared" si="88"/>
        <v>749960.4</v>
      </c>
      <c r="J1384" s="529">
        <v>31.45</v>
      </c>
      <c r="K1384" s="529">
        <f t="shared" si="90"/>
        <v>3.6999999999999993</v>
      </c>
      <c r="L1384" s="530">
        <f t="shared" si="89"/>
        <v>78943.199999999983</v>
      </c>
      <c r="M1384" s="536">
        <f t="shared" si="91"/>
        <v>0.10526315789473682</v>
      </c>
      <c r="N1384" s="64" t="s">
        <v>38</v>
      </c>
      <c r="O1384" s="47" t="s">
        <v>39</v>
      </c>
    </row>
    <row r="1385" spans="1:15">
      <c r="A1385" s="71">
        <v>2024</v>
      </c>
      <c r="B1385" s="16" t="s">
        <v>562</v>
      </c>
      <c r="C1385" s="419" t="s">
        <v>2026</v>
      </c>
      <c r="D1385" s="48" t="s">
        <v>1042</v>
      </c>
      <c r="E1385" s="48" t="s">
        <v>609</v>
      </c>
      <c r="F1385" s="99">
        <v>70890</v>
      </c>
      <c r="G1385" s="42" t="s">
        <v>37</v>
      </c>
      <c r="H1385" s="44">
        <v>435</v>
      </c>
      <c r="I1385" s="44">
        <f t="shared" si="88"/>
        <v>30837150</v>
      </c>
      <c r="J1385" s="529">
        <v>412</v>
      </c>
      <c r="K1385" s="529">
        <f t="shared" si="90"/>
        <v>23</v>
      </c>
      <c r="L1385" s="530">
        <f t="shared" si="89"/>
        <v>1630470</v>
      </c>
      <c r="M1385" s="536">
        <f t="shared" si="91"/>
        <v>5.2873563218390804E-2</v>
      </c>
      <c r="N1385" s="64" t="s">
        <v>22</v>
      </c>
      <c r="O1385" s="47" t="s">
        <v>39</v>
      </c>
    </row>
    <row r="1386" spans="1:15">
      <c r="A1386" s="71">
        <v>2024</v>
      </c>
      <c r="B1386" s="16" t="s">
        <v>562</v>
      </c>
      <c r="C1386" s="419" t="s">
        <v>2027</v>
      </c>
      <c r="D1386" s="48" t="s">
        <v>2028</v>
      </c>
      <c r="E1386" s="48" t="s">
        <v>2029</v>
      </c>
      <c r="F1386" s="99">
        <v>1</v>
      </c>
      <c r="G1386" s="42" t="s">
        <v>706</v>
      </c>
      <c r="H1386" s="44">
        <v>1330560</v>
      </c>
      <c r="I1386" s="44">
        <f t="shared" si="88"/>
        <v>1330560</v>
      </c>
      <c r="J1386" s="529">
        <v>1303948</v>
      </c>
      <c r="K1386" s="529">
        <f t="shared" si="90"/>
        <v>26612</v>
      </c>
      <c r="L1386" s="530">
        <f t="shared" si="89"/>
        <v>26612</v>
      </c>
      <c r="M1386" s="536">
        <f t="shared" si="91"/>
        <v>2.0000601250601251E-2</v>
      </c>
      <c r="N1386" s="64" t="s">
        <v>38</v>
      </c>
      <c r="O1386" s="47" t="s">
        <v>105</v>
      </c>
    </row>
    <row r="1387" spans="1:15">
      <c r="A1387" s="71">
        <v>2024</v>
      </c>
      <c r="B1387" s="16" t="s">
        <v>562</v>
      </c>
      <c r="C1387" s="419" t="s">
        <v>2030</v>
      </c>
      <c r="D1387" s="48" t="s">
        <v>304</v>
      </c>
      <c r="E1387" s="48" t="s">
        <v>2031</v>
      </c>
      <c r="F1387" s="99">
        <v>772</v>
      </c>
      <c r="G1387" s="42" t="s">
        <v>19</v>
      </c>
      <c r="H1387" s="44">
        <v>3700</v>
      </c>
      <c r="I1387" s="44">
        <f t="shared" si="88"/>
        <v>2856400</v>
      </c>
      <c r="J1387" s="529">
        <v>3600</v>
      </c>
      <c r="K1387" s="529">
        <f t="shared" si="90"/>
        <v>100</v>
      </c>
      <c r="L1387" s="530">
        <f t="shared" si="89"/>
        <v>77200</v>
      </c>
      <c r="M1387" s="536">
        <f t="shared" si="91"/>
        <v>2.7027027027027029E-2</v>
      </c>
      <c r="N1387" s="64" t="s">
        <v>38</v>
      </c>
      <c r="O1387" s="47" t="s">
        <v>105</v>
      </c>
    </row>
    <row r="1388" spans="1:15">
      <c r="A1388" s="71">
        <v>2024</v>
      </c>
      <c r="B1388" s="16" t="s">
        <v>562</v>
      </c>
      <c r="C1388" s="419" t="s">
        <v>2032</v>
      </c>
      <c r="D1388" s="48" t="s">
        <v>166</v>
      </c>
      <c r="E1388" s="48" t="s">
        <v>1253</v>
      </c>
      <c r="F1388" s="99">
        <v>20665</v>
      </c>
      <c r="G1388" s="42" t="s">
        <v>37</v>
      </c>
      <c r="H1388" s="44">
        <v>35.15</v>
      </c>
      <c r="I1388" s="44">
        <f t="shared" si="88"/>
        <v>726374.75</v>
      </c>
      <c r="J1388" s="529">
        <v>31.45</v>
      </c>
      <c r="K1388" s="529">
        <f t="shared" si="90"/>
        <v>3.6999999999999993</v>
      </c>
      <c r="L1388" s="530">
        <f t="shared" si="89"/>
        <v>76460.499999999985</v>
      </c>
      <c r="M1388" s="536">
        <f t="shared" si="91"/>
        <v>0.10526315789473682</v>
      </c>
      <c r="N1388" s="64" t="s">
        <v>38</v>
      </c>
      <c r="O1388" s="47" t="s">
        <v>39</v>
      </c>
    </row>
    <row r="1389" spans="1:15">
      <c r="A1389" s="71">
        <v>2024</v>
      </c>
      <c r="B1389" s="16" t="s">
        <v>562</v>
      </c>
      <c r="C1389" s="419" t="s">
        <v>2033</v>
      </c>
      <c r="D1389" s="47" t="s">
        <v>166</v>
      </c>
      <c r="E1389" s="48" t="s">
        <v>2034</v>
      </c>
      <c r="F1389" s="99">
        <v>59000</v>
      </c>
      <c r="G1389" s="42" t="s">
        <v>37</v>
      </c>
      <c r="H1389" s="44">
        <v>35.15</v>
      </c>
      <c r="I1389" s="44">
        <f t="shared" si="88"/>
        <v>2073850</v>
      </c>
      <c r="J1389" s="529">
        <v>31.45</v>
      </c>
      <c r="K1389" s="529">
        <f t="shared" si="90"/>
        <v>3.6999999999999993</v>
      </c>
      <c r="L1389" s="530">
        <f t="shared" si="89"/>
        <v>218299.99999999997</v>
      </c>
      <c r="M1389" s="536">
        <f t="shared" si="91"/>
        <v>0.10526315789473682</v>
      </c>
      <c r="N1389" s="80" t="s">
        <v>38</v>
      </c>
      <c r="O1389" s="47" t="s">
        <v>39</v>
      </c>
    </row>
    <row r="1390" spans="1:15">
      <c r="A1390" s="71">
        <v>2024</v>
      </c>
      <c r="B1390" s="16" t="s">
        <v>562</v>
      </c>
      <c r="C1390" s="419" t="s">
        <v>2035</v>
      </c>
      <c r="D1390" s="48" t="s">
        <v>94</v>
      </c>
      <c r="E1390" s="48" t="s">
        <v>550</v>
      </c>
      <c r="F1390" s="99">
        <v>500</v>
      </c>
      <c r="G1390" s="42" t="s">
        <v>19</v>
      </c>
      <c r="H1390" s="44">
        <v>50</v>
      </c>
      <c r="I1390" s="44">
        <f t="shared" si="88"/>
        <v>25000</v>
      </c>
      <c r="J1390" s="529">
        <v>47.56</v>
      </c>
      <c r="K1390" s="529">
        <f t="shared" si="90"/>
        <v>2.4399999999999977</v>
      </c>
      <c r="L1390" s="530">
        <f t="shared" si="89"/>
        <v>1219.9999999999989</v>
      </c>
      <c r="M1390" s="536">
        <f t="shared" si="91"/>
        <v>4.8799999999999955E-2</v>
      </c>
      <c r="N1390" s="64" t="s">
        <v>22</v>
      </c>
      <c r="O1390" s="47" t="s">
        <v>105</v>
      </c>
    </row>
    <row r="1391" spans="1:15">
      <c r="A1391" s="71">
        <v>2024</v>
      </c>
      <c r="B1391" s="16" t="s">
        <v>562</v>
      </c>
      <c r="C1391" s="435" t="s">
        <v>2035</v>
      </c>
      <c r="D1391" s="401" t="s">
        <v>94</v>
      </c>
      <c r="E1391" s="443" t="s">
        <v>546</v>
      </c>
      <c r="F1391" s="99">
        <v>100</v>
      </c>
      <c r="G1391" s="42" t="s">
        <v>19</v>
      </c>
      <c r="H1391" s="44">
        <v>185</v>
      </c>
      <c r="I1391" s="44">
        <f t="shared" ref="I1391:I1454" si="92">H1391*F1391</f>
        <v>18500</v>
      </c>
      <c r="J1391" s="529">
        <v>182.25</v>
      </c>
      <c r="K1391" s="529">
        <f t="shared" si="90"/>
        <v>2.75</v>
      </c>
      <c r="L1391" s="530">
        <f t="shared" si="89"/>
        <v>275</v>
      </c>
      <c r="M1391" s="536">
        <f t="shared" si="91"/>
        <v>1.4864864864864866E-2</v>
      </c>
      <c r="N1391" s="64" t="s">
        <v>22</v>
      </c>
      <c r="O1391" s="47" t="s">
        <v>105</v>
      </c>
    </row>
    <row r="1392" spans="1:15">
      <c r="A1392" s="71">
        <v>2024</v>
      </c>
      <c r="B1392" s="16" t="s">
        <v>562</v>
      </c>
      <c r="C1392" s="435" t="s">
        <v>2035</v>
      </c>
      <c r="D1392" s="401" t="s">
        <v>94</v>
      </c>
      <c r="E1392" s="401" t="s">
        <v>458</v>
      </c>
      <c r="F1392" s="99">
        <v>100</v>
      </c>
      <c r="G1392" s="42" t="s">
        <v>19</v>
      </c>
      <c r="H1392" s="44">
        <v>9.5</v>
      </c>
      <c r="I1392" s="44">
        <f t="shared" si="92"/>
        <v>950</v>
      </c>
      <c r="J1392" s="529">
        <v>9.35</v>
      </c>
      <c r="K1392" s="529">
        <f t="shared" si="90"/>
        <v>0.15000000000000036</v>
      </c>
      <c r="L1392" s="530">
        <f t="shared" si="89"/>
        <v>15.000000000000036</v>
      </c>
      <c r="M1392" s="536">
        <f t="shared" si="91"/>
        <v>1.5789473684210565E-2</v>
      </c>
      <c r="N1392" s="64" t="s">
        <v>22</v>
      </c>
      <c r="O1392" s="47" t="s">
        <v>105</v>
      </c>
    </row>
    <row r="1393" spans="1:15">
      <c r="A1393" s="71">
        <v>2024</v>
      </c>
      <c r="B1393" s="16" t="s">
        <v>562</v>
      </c>
      <c r="C1393" s="75" t="s">
        <v>2036</v>
      </c>
      <c r="D1393" s="401" t="s">
        <v>17</v>
      </c>
      <c r="E1393" s="401" t="s">
        <v>2037</v>
      </c>
      <c r="F1393" s="100">
        <v>82</v>
      </c>
      <c r="G1393" s="79" t="s">
        <v>701</v>
      </c>
      <c r="H1393" s="49">
        <v>1950</v>
      </c>
      <c r="I1393" s="49">
        <f t="shared" si="92"/>
        <v>159900</v>
      </c>
      <c r="J1393" s="532">
        <v>1890</v>
      </c>
      <c r="K1393" s="532">
        <f t="shared" si="90"/>
        <v>60</v>
      </c>
      <c r="L1393" s="533">
        <f t="shared" si="89"/>
        <v>4920</v>
      </c>
      <c r="M1393" s="534">
        <f t="shared" si="91"/>
        <v>3.0769230769230771E-2</v>
      </c>
      <c r="N1393" s="516" t="s">
        <v>38</v>
      </c>
      <c r="O1393" s="55" t="s">
        <v>39</v>
      </c>
    </row>
    <row r="1394" spans="1:15">
      <c r="A1394" s="71">
        <v>2024</v>
      </c>
      <c r="B1394" s="16" t="s">
        <v>562</v>
      </c>
      <c r="C1394" s="62" t="s">
        <v>2036</v>
      </c>
      <c r="D1394" s="48" t="s">
        <v>17</v>
      </c>
      <c r="E1394" s="48" t="s">
        <v>2038</v>
      </c>
      <c r="F1394" s="99">
        <v>15</v>
      </c>
      <c r="G1394" s="42" t="s">
        <v>701</v>
      </c>
      <c r="H1394" s="44">
        <v>1900</v>
      </c>
      <c r="I1394" s="49">
        <f t="shared" si="92"/>
        <v>28500</v>
      </c>
      <c r="J1394" s="532">
        <v>1840</v>
      </c>
      <c r="K1394" s="532">
        <f t="shared" si="90"/>
        <v>60</v>
      </c>
      <c r="L1394" s="533">
        <f t="shared" si="89"/>
        <v>900</v>
      </c>
      <c r="M1394" s="534">
        <f t="shared" si="91"/>
        <v>3.1578947368421054E-2</v>
      </c>
      <c r="N1394" s="80" t="s">
        <v>38</v>
      </c>
      <c r="O1394" s="47" t="s">
        <v>39</v>
      </c>
    </row>
    <row r="1395" spans="1:15">
      <c r="A1395" s="71">
        <v>2024</v>
      </c>
      <c r="B1395" s="16" t="s">
        <v>562</v>
      </c>
      <c r="C1395" s="62" t="s">
        <v>2036</v>
      </c>
      <c r="D1395" s="48" t="s">
        <v>17</v>
      </c>
      <c r="E1395" s="48" t="s">
        <v>2039</v>
      </c>
      <c r="F1395" s="99">
        <v>35</v>
      </c>
      <c r="G1395" s="42" t="s">
        <v>701</v>
      </c>
      <c r="H1395" s="44">
        <v>1100</v>
      </c>
      <c r="I1395" s="49">
        <f t="shared" si="92"/>
        <v>38500</v>
      </c>
      <c r="J1395" s="532">
        <v>1065</v>
      </c>
      <c r="K1395" s="532">
        <f t="shared" si="90"/>
        <v>35</v>
      </c>
      <c r="L1395" s="533">
        <f t="shared" si="89"/>
        <v>1225</v>
      </c>
      <c r="M1395" s="534">
        <f t="shared" si="91"/>
        <v>3.1818181818181815E-2</v>
      </c>
      <c r="N1395" s="80" t="s">
        <v>38</v>
      </c>
      <c r="O1395" s="47" t="s">
        <v>39</v>
      </c>
    </row>
    <row r="1396" spans="1:15">
      <c r="A1396" s="71">
        <v>2024</v>
      </c>
      <c r="B1396" s="16" t="s">
        <v>562</v>
      </c>
      <c r="C1396" s="62" t="s">
        <v>2040</v>
      </c>
      <c r="D1396" s="48" t="s">
        <v>1658</v>
      </c>
      <c r="E1396" s="57" t="s">
        <v>2041</v>
      </c>
      <c r="F1396" s="101">
        <v>118</v>
      </c>
      <c r="G1396" s="59" t="s">
        <v>1979</v>
      </c>
      <c r="H1396" s="60">
        <f>32.7*40</f>
        <v>1308</v>
      </c>
      <c r="I1396" s="49">
        <f t="shared" si="92"/>
        <v>154344</v>
      </c>
      <c r="J1396" s="532">
        <f>31.7*40</f>
        <v>1268</v>
      </c>
      <c r="K1396" s="532">
        <f t="shared" si="90"/>
        <v>40</v>
      </c>
      <c r="L1396" s="533">
        <f t="shared" si="89"/>
        <v>4720</v>
      </c>
      <c r="M1396" s="534">
        <f t="shared" si="91"/>
        <v>3.0581039755351681E-2</v>
      </c>
      <c r="N1396" s="64" t="s">
        <v>38</v>
      </c>
      <c r="O1396" s="47" t="s">
        <v>39</v>
      </c>
    </row>
    <row r="1397" spans="1:15">
      <c r="A1397" s="71">
        <v>2024</v>
      </c>
      <c r="B1397" s="16" t="s">
        <v>562</v>
      </c>
      <c r="C1397" s="62" t="s">
        <v>2042</v>
      </c>
      <c r="D1397" s="48" t="s">
        <v>2043</v>
      </c>
      <c r="E1397" s="48" t="s">
        <v>2044</v>
      </c>
      <c r="F1397" s="99">
        <v>120</v>
      </c>
      <c r="G1397" s="42" t="s">
        <v>469</v>
      </c>
      <c r="H1397" s="44">
        <f>64.8*37</f>
        <v>2397.6</v>
      </c>
      <c r="I1397" s="49">
        <f t="shared" si="92"/>
        <v>287712</v>
      </c>
      <c r="J1397" s="532">
        <f>64*37</f>
        <v>2368</v>
      </c>
      <c r="K1397" s="532">
        <f t="shared" si="90"/>
        <v>29.599999999999909</v>
      </c>
      <c r="L1397" s="533">
        <f t="shared" si="89"/>
        <v>3551.9999999999891</v>
      </c>
      <c r="M1397" s="534">
        <f t="shared" si="91"/>
        <v>1.2345679012345642E-2</v>
      </c>
      <c r="N1397" s="64" t="s">
        <v>38</v>
      </c>
      <c r="O1397" s="47" t="s">
        <v>39</v>
      </c>
    </row>
    <row r="1398" spans="1:15">
      <c r="A1398" s="71">
        <v>2024</v>
      </c>
      <c r="B1398" s="16" t="s">
        <v>562</v>
      </c>
      <c r="C1398" s="62" t="s">
        <v>2045</v>
      </c>
      <c r="D1398" s="48" t="s">
        <v>270</v>
      </c>
      <c r="E1398" s="48" t="s">
        <v>1244</v>
      </c>
      <c r="F1398" s="99">
        <v>1</v>
      </c>
      <c r="G1398" s="42" t="s">
        <v>302</v>
      </c>
      <c r="H1398" s="44">
        <v>114284</v>
      </c>
      <c r="I1398" s="49">
        <f t="shared" si="92"/>
        <v>114284</v>
      </c>
      <c r="J1398" s="532">
        <v>112576</v>
      </c>
      <c r="K1398" s="532">
        <f t="shared" si="90"/>
        <v>1708</v>
      </c>
      <c r="L1398" s="533">
        <f t="shared" si="89"/>
        <v>1708</v>
      </c>
      <c r="M1398" s="534">
        <f t="shared" si="91"/>
        <v>1.4945224178362675E-2</v>
      </c>
      <c r="N1398" s="64" t="s">
        <v>38</v>
      </c>
      <c r="O1398" s="47" t="s">
        <v>105</v>
      </c>
    </row>
    <row r="1399" spans="1:15">
      <c r="A1399" s="71">
        <v>2024</v>
      </c>
      <c r="B1399" s="16" t="s">
        <v>562</v>
      </c>
      <c r="C1399" s="63" t="s">
        <v>2046</v>
      </c>
      <c r="D1399" s="48" t="s">
        <v>118</v>
      </c>
      <c r="E1399" s="57" t="s">
        <v>2047</v>
      </c>
      <c r="F1399" s="101">
        <v>3</v>
      </c>
      <c r="G1399" s="42" t="s">
        <v>19</v>
      </c>
      <c r="H1399" s="60">
        <v>1885</v>
      </c>
      <c r="I1399" s="49">
        <f t="shared" si="92"/>
        <v>5655</v>
      </c>
      <c r="J1399" s="532">
        <v>1380</v>
      </c>
      <c r="K1399" s="532">
        <f t="shared" si="90"/>
        <v>505</v>
      </c>
      <c r="L1399" s="533">
        <f t="shared" si="89"/>
        <v>1515</v>
      </c>
      <c r="M1399" s="534">
        <f t="shared" si="91"/>
        <v>0.26790450928381965</v>
      </c>
      <c r="N1399" s="64" t="s">
        <v>22</v>
      </c>
      <c r="O1399" s="47" t="s">
        <v>21</v>
      </c>
    </row>
    <row r="1400" spans="1:15">
      <c r="A1400" s="71">
        <v>2024</v>
      </c>
      <c r="B1400" s="16" t="s">
        <v>562</v>
      </c>
      <c r="C1400" s="63" t="s">
        <v>2048</v>
      </c>
      <c r="D1400" s="57" t="s">
        <v>926</v>
      </c>
      <c r="E1400" s="57" t="s">
        <v>1532</v>
      </c>
      <c r="F1400" s="101">
        <v>200</v>
      </c>
      <c r="G1400" s="59" t="s">
        <v>19</v>
      </c>
      <c r="H1400" s="60">
        <v>60</v>
      </c>
      <c r="I1400" s="49">
        <f t="shared" si="92"/>
        <v>12000</v>
      </c>
      <c r="J1400" s="532">
        <v>45</v>
      </c>
      <c r="K1400" s="532">
        <f t="shared" si="90"/>
        <v>15</v>
      </c>
      <c r="L1400" s="533">
        <f t="shared" si="89"/>
        <v>3000</v>
      </c>
      <c r="M1400" s="534">
        <f t="shared" si="91"/>
        <v>0.25</v>
      </c>
      <c r="N1400" s="64" t="s">
        <v>22</v>
      </c>
      <c r="O1400" s="47" t="s">
        <v>21</v>
      </c>
    </row>
    <row r="1401" spans="1:15">
      <c r="A1401" s="71">
        <v>2024</v>
      </c>
      <c r="B1401" s="16" t="s">
        <v>562</v>
      </c>
      <c r="C1401" s="63" t="s">
        <v>2048</v>
      </c>
      <c r="D1401" s="57" t="s">
        <v>926</v>
      </c>
      <c r="E1401" s="48" t="s">
        <v>122</v>
      </c>
      <c r="F1401" s="99">
        <v>100</v>
      </c>
      <c r="G1401" s="42" t="s">
        <v>19</v>
      </c>
      <c r="H1401" s="44">
        <v>165</v>
      </c>
      <c r="I1401" s="49">
        <f t="shared" si="92"/>
        <v>16500</v>
      </c>
      <c r="J1401" s="532">
        <v>150</v>
      </c>
      <c r="K1401" s="532">
        <f t="shared" si="90"/>
        <v>15</v>
      </c>
      <c r="L1401" s="533">
        <f t="shared" si="89"/>
        <v>1500</v>
      </c>
      <c r="M1401" s="534">
        <f t="shared" si="91"/>
        <v>9.0909090909090912E-2</v>
      </c>
      <c r="N1401" s="64" t="s">
        <v>22</v>
      </c>
      <c r="O1401" s="47" t="s">
        <v>21</v>
      </c>
    </row>
    <row r="1402" spans="1:15">
      <c r="A1402" s="71">
        <v>2024</v>
      </c>
      <c r="B1402" s="16" t="s">
        <v>562</v>
      </c>
      <c r="C1402" s="62" t="s">
        <v>2049</v>
      </c>
      <c r="D1402" s="48" t="s">
        <v>24</v>
      </c>
      <c r="E1402" s="39" t="s">
        <v>2050</v>
      </c>
      <c r="F1402" s="96">
        <v>4</v>
      </c>
      <c r="G1402" s="1" t="s">
        <v>29</v>
      </c>
      <c r="H1402" s="44">
        <v>3000</v>
      </c>
      <c r="I1402" s="49">
        <f t="shared" si="92"/>
        <v>12000</v>
      </c>
      <c r="J1402" s="532">
        <v>2820</v>
      </c>
      <c r="K1402" s="532">
        <f t="shared" si="90"/>
        <v>180</v>
      </c>
      <c r="L1402" s="533">
        <f t="shared" si="89"/>
        <v>720</v>
      </c>
      <c r="M1402" s="534">
        <f t="shared" si="91"/>
        <v>0.06</v>
      </c>
      <c r="N1402" s="64" t="s">
        <v>22</v>
      </c>
      <c r="O1402" s="47" t="s">
        <v>21</v>
      </c>
    </row>
    <row r="1403" spans="1:15">
      <c r="A1403" s="71">
        <v>2024</v>
      </c>
      <c r="B1403" s="16" t="s">
        <v>562</v>
      </c>
      <c r="C1403" s="62" t="s">
        <v>2051</v>
      </c>
      <c r="D1403" s="48" t="s">
        <v>2052</v>
      </c>
      <c r="E1403" s="39" t="s">
        <v>2053</v>
      </c>
      <c r="F1403" s="96">
        <v>5</v>
      </c>
      <c r="G1403" s="1" t="s">
        <v>798</v>
      </c>
      <c r="H1403" s="44">
        <v>3147</v>
      </c>
      <c r="I1403" s="49">
        <f t="shared" si="92"/>
        <v>15735</v>
      </c>
      <c r="J1403" s="532">
        <v>2832.3</v>
      </c>
      <c r="K1403" s="532">
        <f t="shared" si="90"/>
        <v>314.69999999999982</v>
      </c>
      <c r="L1403" s="533">
        <f t="shared" si="89"/>
        <v>1573.4999999999991</v>
      </c>
      <c r="M1403" s="534">
        <f t="shared" si="91"/>
        <v>9.9999999999999936E-2</v>
      </c>
      <c r="N1403" s="64" t="s">
        <v>38</v>
      </c>
      <c r="O1403" s="47" t="s">
        <v>21</v>
      </c>
    </row>
    <row r="1404" spans="1:15">
      <c r="A1404" s="71">
        <v>2024</v>
      </c>
      <c r="B1404" s="16" t="s">
        <v>696</v>
      </c>
      <c r="C1404" s="63" t="s">
        <v>2054</v>
      </c>
      <c r="D1404" s="56" t="s">
        <v>94</v>
      </c>
      <c r="E1404" s="2" t="s">
        <v>2055</v>
      </c>
      <c r="F1404" s="96">
        <v>100</v>
      </c>
      <c r="G1404" s="1" t="s">
        <v>615</v>
      </c>
      <c r="H1404" s="44">
        <v>46</v>
      </c>
      <c r="I1404" s="49">
        <f t="shared" si="92"/>
        <v>4600</v>
      </c>
      <c r="J1404" s="532">
        <v>24.97</v>
      </c>
      <c r="K1404" s="532">
        <f t="shared" si="90"/>
        <v>21.03</v>
      </c>
      <c r="L1404" s="533">
        <f t="shared" si="89"/>
        <v>2103</v>
      </c>
      <c r="M1404" s="534">
        <f t="shared" si="91"/>
        <v>0.45717391304347826</v>
      </c>
      <c r="N1404" s="84" t="s">
        <v>22</v>
      </c>
      <c r="O1404" s="47" t="s">
        <v>105</v>
      </c>
    </row>
    <row r="1405" spans="1:15">
      <c r="A1405" s="71">
        <v>2024</v>
      </c>
      <c r="B1405" s="16" t="s">
        <v>696</v>
      </c>
      <c r="C1405" s="62" t="s">
        <v>2056</v>
      </c>
      <c r="D1405" s="47" t="s">
        <v>94</v>
      </c>
      <c r="E1405" s="2" t="s">
        <v>613</v>
      </c>
      <c r="F1405" s="96">
        <v>1500</v>
      </c>
      <c r="G1405" s="1" t="s">
        <v>19</v>
      </c>
      <c r="H1405" s="44">
        <v>25.5</v>
      </c>
      <c r="I1405" s="49">
        <f t="shared" si="92"/>
        <v>38250</v>
      </c>
      <c r="J1405" s="532">
        <v>24.6</v>
      </c>
      <c r="K1405" s="532">
        <f t="shared" si="90"/>
        <v>0.89999999999999858</v>
      </c>
      <c r="L1405" s="533">
        <f t="shared" si="89"/>
        <v>1349.999999999998</v>
      </c>
      <c r="M1405" s="534">
        <f t="shared" si="91"/>
        <v>3.5294117647058768E-2</v>
      </c>
      <c r="N1405" s="84" t="s">
        <v>22</v>
      </c>
      <c r="O1405" s="47" t="s">
        <v>105</v>
      </c>
    </row>
    <row r="1406" spans="1:15">
      <c r="A1406" s="71">
        <v>2024</v>
      </c>
      <c r="B1406" s="16" t="s">
        <v>696</v>
      </c>
      <c r="C1406" s="62" t="s">
        <v>2056</v>
      </c>
      <c r="D1406" s="47" t="s">
        <v>94</v>
      </c>
      <c r="E1406" s="2" t="s">
        <v>2057</v>
      </c>
      <c r="F1406" s="96">
        <v>500</v>
      </c>
      <c r="G1406" s="1" t="s">
        <v>615</v>
      </c>
      <c r="H1406" s="44">
        <v>180</v>
      </c>
      <c r="I1406" s="49">
        <f t="shared" si="92"/>
        <v>90000</v>
      </c>
      <c r="J1406" s="532">
        <v>112.11</v>
      </c>
      <c r="K1406" s="532">
        <f t="shared" si="90"/>
        <v>67.89</v>
      </c>
      <c r="L1406" s="533">
        <f t="shared" si="89"/>
        <v>33945</v>
      </c>
      <c r="M1406" s="534">
        <f t="shared" si="91"/>
        <v>0.37716666666666665</v>
      </c>
      <c r="N1406" s="47" t="s">
        <v>22</v>
      </c>
      <c r="O1406" s="47" t="s">
        <v>105</v>
      </c>
    </row>
    <row r="1407" spans="1:15">
      <c r="A1407" s="71">
        <v>2024</v>
      </c>
      <c r="B1407" s="16" t="s">
        <v>696</v>
      </c>
      <c r="C1407" s="62" t="s">
        <v>2058</v>
      </c>
      <c r="D1407" s="47" t="s">
        <v>35</v>
      </c>
      <c r="E1407" s="2" t="s">
        <v>1130</v>
      </c>
      <c r="F1407" s="96">
        <v>3845</v>
      </c>
      <c r="G1407" s="1" t="s">
        <v>37</v>
      </c>
      <c r="H1407" s="44">
        <v>441</v>
      </c>
      <c r="I1407" s="49">
        <f t="shared" si="92"/>
        <v>1695645</v>
      </c>
      <c r="J1407" s="532">
        <v>422</v>
      </c>
      <c r="K1407" s="532">
        <f t="shared" si="90"/>
        <v>19</v>
      </c>
      <c r="L1407" s="533">
        <f t="shared" ref="L1407:L1470" si="93">K1407*F1407</f>
        <v>73055</v>
      </c>
      <c r="M1407" s="534">
        <f t="shared" si="91"/>
        <v>4.3083900226757371E-2</v>
      </c>
      <c r="N1407" s="47" t="s">
        <v>38</v>
      </c>
      <c r="O1407" s="47" t="s">
        <v>105</v>
      </c>
    </row>
    <row r="1408" spans="1:15">
      <c r="A1408" s="71">
        <v>2024</v>
      </c>
      <c r="B1408" s="16" t="s">
        <v>696</v>
      </c>
      <c r="C1408" s="62" t="s">
        <v>2058</v>
      </c>
      <c r="D1408" s="47" t="s">
        <v>35</v>
      </c>
      <c r="E1408" s="2" t="s">
        <v>2059</v>
      </c>
      <c r="F1408" s="96">
        <v>302</v>
      </c>
      <c r="G1408" s="1" t="s">
        <v>37</v>
      </c>
      <c r="H1408" s="44">
        <v>441</v>
      </c>
      <c r="I1408" s="49">
        <f t="shared" si="92"/>
        <v>133182</v>
      </c>
      <c r="J1408" s="532">
        <v>429</v>
      </c>
      <c r="K1408" s="532">
        <f t="shared" si="90"/>
        <v>12</v>
      </c>
      <c r="L1408" s="533">
        <f t="shared" si="93"/>
        <v>3624</v>
      </c>
      <c r="M1408" s="534">
        <f t="shared" si="91"/>
        <v>2.7210884353741496E-2</v>
      </c>
      <c r="N1408" s="47" t="s">
        <v>38</v>
      </c>
      <c r="O1408" s="47" t="s">
        <v>105</v>
      </c>
    </row>
    <row r="1409" spans="1:15">
      <c r="A1409" s="71">
        <v>2024</v>
      </c>
      <c r="B1409" s="16" t="s">
        <v>696</v>
      </c>
      <c r="C1409" s="63" t="s">
        <v>2060</v>
      </c>
      <c r="D1409" s="56" t="s">
        <v>192</v>
      </c>
      <c r="E1409" s="2" t="s">
        <v>1199</v>
      </c>
      <c r="F1409" s="2">
        <v>1000</v>
      </c>
      <c r="G1409" s="1" t="s">
        <v>37</v>
      </c>
      <c r="H1409" s="44">
        <v>83</v>
      </c>
      <c r="I1409" s="49">
        <f t="shared" si="92"/>
        <v>83000</v>
      </c>
      <c r="J1409" s="532">
        <v>82</v>
      </c>
      <c r="K1409" s="532">
        <f t="shared" si="90"/>
        <v>1</v>
      </c>
      <c r="L1409" s="533">
        <f t="shared" si="93"/>
        <v>1000</v>
      </c>
      <c r="M1409" s="534">
        <f t="shared" si="91"/>
        <v>1.2048192771084338E-2</v>
      </c>
      <c r="N1409" s="47" t="s">
        <v>38</v>
      </c>
      <c r="O1409" s="47" t="s">
        <v>39</v>
      </c>
    </row>
    <row r="1410" spans="1:15">
      <c r="A1410" s="71">
        <v>2024</v>
      </c>
      <c r="B1410" s="16" t="s">
        <v>696</v>
      </c>
      <c r="C1410" s="62" t="s">
        <v>2060</v>
      </c>
      <c r="D1410" s="47" t="s">
        <v>192</v>
      </c>
      <c r="E1410" s="2" t="s">
        <v>1200</v>
      </c>
      <c r="F1410" s="2">
        <v>2500</v>
      </c>
      <c r="G1410" s="1" t="s">
        <v>37</v>
      </c>
      <c r="H1410" s="44">
        <v>83</v>
      </c>
      <c r="I1410" s="49">
        <f t="shared" si="92"/>
        <v>207500</v>
      </c>
      <c r="J1410" s="532">
        <v>82</v>
      </c>
      <c r="K1410" s="532">
        <f t="shared" si="90"/>
        <v>1</v>
      </c>
      <c r="L1410" s="533">
        <f t="shared" si="93"/>
        <v>2500</v>
      </c>
      <c r="M1410" s="534">
        <f t="shared" si="91"/>
        <v>1.2048192771084338E-2</v>
      </c>
      <c r="N1410" s="47" t="s">
        <v>38</v>
      </c>
      <c r="O1410" s="47" t="s">
        <v>39</v>
      </c>
    </row>
    <row r="1411" spans="1:15">
      <c r="A1411" s="71">
        <v>2024</v>
      </c>
      <c r="B1411" s="16" t="s">
        <v>696</v>
      </c>
      <c r="C1411" s="62" t="s">
        <v>2060</v>
      </c>
      <c r="D1411" s="47" t="s">
        <v>192</v>
      </c>
      <c r="E1411" s="2" t="s">
        <v>1202</v>
      </c>
      <c r="F1411" s="2">
        <v>2000</v>
      </c>
      <c r="G1411" s="1" t="s">
        <v>37</v>
      </c>
      <c r="H1411" s="44">
        <v>215</v>
      </c>
      <c r="I1411" s="49">
        <f t="shared" si="92"/>
        <v>430000</v>
      </c>
      <c r="J1411" s="532">
        <v>213</v>
      </c>
      <c r="K1411" s="532">
        <f t="shared" ref="K1411:K1474" si="94">H1411-J1411</f>
        <v>2</v>
      </c>
      <c r="L1411" s="533">
        <f t="shared" si="93"/>
        <v>4000</v>
      </c>
      <c r="M1411" s="534">
        <f t="shared" ref="M1411:M1474" si="95">K1411/H1411</f>
        <v>9.3023255813953487E-3</v>
      </c>
      <c r="N1411" s="47" t="s">
        <v>38</v>
      </c>
      <c r="O1411" s="47" t="s">
        <v>39</v>
      </c>
    </row>
    <row r="1412" spans="1:15">
      <c r="A1412" s="71">
        <v>2024</v>
      </c>
      <c r="B1412" s="16" t="s">
        <v>696</v>
      </c>
      <c r="C1412" s="62" t="s">
        <v>2060</v>
      </c>
      <c r="D1412" s="47" t="s">
        <v>192</v>
      </c>
      <c r="E1412" s="2" t="s">
        <v>2061</v>
      </c>
      <c r="F1412" s="2">
        <v>500</v>
      </c>
      <c r="G1412" s="1" t="s">
        <v>37</v>
      </c>
      <c r="H1412" s="44">
        <v>85</v>
      </c>
      <c r="I1412" s="49">
        <f t="shared" si="92"/>
        <v>42500</v>
      </c>
      <c r="J1412" s="532">
        <v>84</v>
      </c>
      <c r="K1412" s="532">
        <f t="shared" si="94"/>
        <v>1</v>
      </c>
      <c r="L1412" s="533">
        <f t="shared" si="93"/>
        <v>500</v>
      </c>
      <c r="M1412" s="534">
        <f t="shared" si="95"/>
        <v>1.1764705882352941E-2</v>
      </c>
      <c r="N1412" s="47" t="s">
        <v>38</v>
      </c>
      <c r="O1412" s="47" t="s">
        <v>39</v>
      </c>
    </row>
    <row r="1413" spans="1:15">
      <c r="A1413" s="71">
        <v>2024</v>
      </c>
      <c r="B1413" s="16" t="s">
        <v>696</v>
      </c>
      <c r="C1413" s="62" t="s">
        <v>2060</v>
      </c>
      <c r="D1413" s="47" t="s">
        <v>192</v>
      </c>
      <c r="E1413" s="2" t="s">
        <v>2062</v>
      </c>
      <c r="F1413" s="2">
        <v>800</v>
      </c>
      <c r="G1413" s="1" t="s">
        <v>37</v>
      </c>
      <c r="H1413" s="44">
        <v>118</v>
      </c>
      <c r="I1413" s="49">
        <f t="shared" si="92"/>
        <v>94400</v>
      </c>
      <c r="J1413" s="532">
        <v>116</v>
      </c>
      <c r="K1413" s="532">
        <f t="shared" si="94"/>
        <v>2</v>
      </c>
      <c r="L1413" s="533">
        <f t="shared" si="93"/>
        <v>1600</v>
      </c>
      <c r="M1413" s="534">
        <f t="shared" si="95"/>
        <v>1.6949152542372881E-2</v>
      </c>
      <c r="N1413" s="47" t="s">
        <v>38</v>
      </c>
      <c r="O1413" s="47" t="s">
        <v>39</v>
      </c>
    </row>
    <row r="1414" spans="1:15">
      <c r="A1414" s="71">
        <v>2024</v>
      </c>
      <c r="B1414" s="16" t="s">
        <v>696</v>
      </c>
      <c r="C1414" s="62" t="s">
        <v>2060</v>
      </c>
      <c r="D1414" s="47" t="s">
        <v>192</v>
      </c>
      <c r="E1414" s="2" t="s">
        <v>1195</v>
      </c>
      <c r="F1414" s="2">
        <v>2000</v>
      </c>
      <c r="G1414" s="1" t="s">
        <v>19</v>
      </c>
      <c r="H1414" s="44">
        <v>19</v>
      </c>
      <c r="I1414" s="49">
        <f t="shared" si="92"/>
        <v>38000</v>
      </c>
      <c r="J1414" s="532">
        <v>18.5</v>
      </c>
      <c r="K1414" s="532">
        <f t="shared" si="94"/>
        <v>0.5</v>
      </c>
      <c r="L1414" s="533">
        <f t="shared" si="93"/>
        <v>1000</v>
      </c>
      <c r="M1414" s="534">
        <f t="shared" si="95"/>
        <v>2.6315789473684209E-2</v>
      </c>
      <c r="N1414" s="47" t="s">
        <v>38</v>
      </c>
      <c r="O1414" s="47" t="s">
        <v>39</v>
      </c>
    </row>
    <row r="1415" spans="1:15">
      <c r="A1415" s="71">
        <v>2024</v>
      </c>
      <c r="B1415" s="16" t="s">
        <v>696</v>
      </c>
      <c r="C1415" s="63" t="s">
        <v>2063</v>
      </c>
      <c r="D1415" s="56" t="s">
        <v>1119</v>
      </c>
      <c r="E1415" s="56" t="s">
        <v>2064</v>
      </c>
      <c r="F1415" s="101">
        <v>385</v>
      </c>
      <c r="G1415" s="42" t="s">
        <v>19</v>
      </c>
      <c r="H1415" s="60">
        <v>75</v>
      </c>
      <c r="I1415" s="49">
        <f t="shared" si="92"/>
        <v>28875</v>
      </c>
      <c r="J1415" s="532">
        <v>70</v>
      </c>
      <c r="K1415" s="532">
        <f t="shared" si="94"/>
        <v>5</v>
      </c>
      <c r="L1415" s="533">
        <f t="shared" si="93"/>
        <v>1925</v>
      </c>
      <c r="M1415" s="537">
        <f t="shared" si="95"/>
        <v>6.6666666666666666E-2</v>
      </c>
      <c r="N1415" s="2" t="s">
        <v>38</v>
      </c>
      <c r="O1415" s="81" t="s">
        <v>39</v>
      </c>
    </row>
    <row r="1416" spans="1:15">
      <c r="A1416" s="71">
        <v>2024</v>
      </c>
      <c r="B1416" s="16" t="s">
        <v>696</v>
      </c>
      <c r="C1416" s="63" t="s">
        <v>2063</v>
      </c>
      <c r="D1416" s="56" t="s">
        <v>1119</v>
      </c>
      <c r="E1416" s="56" t="s">
        <v>2065</v>
      </c>
      <c r="F1416" s="101">
        <v>1155</v>
      </c>
      <c r="G1416" s="59" t="s">
        <v>19</v>
      </c>
      <c r="H1416" s="60">
        <v>95</v>
      </c>
      <c r="I1416" s="49">
        <f t="shared" si="92"/>
        <v>109725</v>
      </c>
      <c r="J1416" s="532">
        <v>93</v>
      </c>
      <c r="K1416" s="532">
        <f t="shared" si="94"/>
        <v>2</v>
      </c>
      <c r="L1416" s="533">
        <f t="shared" si="93"/>
        <v>2310</v>
      </c>
      <c r="M1416" s="537">
        <f t="shared" si="95"/>
        <v>2.1052631578947368E-2</v>
      </c>
      <c r="N1416" s="2" t="s">
        <v>38</v>
      </c>
      <c r="O1416" s="81" t="s">
        <v>39</v>
      </c>
    </row>
    <row r="1417" spans="1:15">
      <c r="A1417" s="71">
        <v>2024</v>
      </c>
      <c r="B1417" s="16" t="s">
        <v>696</v>
      </c>
      <c r="C1417" s="63" t="s">
        <v>2063</v>
      </c>
      <c r="D1417" s="56" t="s">
        <v>1119</v>
      </c>
      <c r="E1417" s="56" t="s">
        <v>2066</v>
      </c>
      <c r="F1417" s="101">
        <v>385</v>
      </c>
      <c r="G1417" s="42" t="s">
        <v>19</v>
      </c>
      <c r="H1417" s="60">
        <v>32</v>
      </c>
      <c r="I1417" s="49">
        <f t="shared" si="92"/>
        <v>12320</v>
      </c>
      <c r="J1417" s="532">
        <v>30</v>
      </c>
      <c r="K1417" s="532">
        <f t="shared" si="94"/>
        <v>2</v>
      </c>
      <c r="L1417" s="533">
        <f t="shared" si="93"/>
        <v>770</v>
      </c>
      <c r="M1417" s="537">
        <f t="shared" si="95"/>
        <v>6.25E-2</v>
      </c>
      <c r="N1417" s="2" t="s">
        <v>38</v>
      </c>
      <c r="O1417" s="81" t="s">
        <v>39</v>
      </c>
    </row>
    <row r="1418" spans="1:15">
      <c r="A1418" s="71">
        <v>2024</v>
      </c>
      <c r="B1418" s="16" t="s">
        <v>696</v>
      </c>
      <c r="C1418" s="63" t="s">
        <v>2063</v>
      </c>
      <c r="D1418" s="56" t="s">
        <v>1119</v>
      </c>
      <c r="E1418" s="56" t="s">
        <v>2067</v>
      </c>
      <c r="F1418" s="101">
        <v>385</v>
      </c>
      <c r="G1418" s="59" t="s">
        <v>19</v>
      </c>
      <c r="H1418" s="60">
        <v>30</v>
      </c>
      <c r="I1418" s="49">
        <f t="shared" si="92"/>
        <v>11550</v>
      </c>
      <c r="J1418" s="532">
        <v>28</v>
      </c>
      <c r="K1418" s="532">
        <f t="shared" si="94"/>
        <v>2</v>
      </c>
      <c r="L1418" s="533">
        <f t="shared" si="93"/>
        <v>770</v>
      </c>
      <c r="M1418" s="537">
        <f t="shared" si="95"/>
        <v>6.6666666666666666E-2</v>
      </c>
      <c r="N1418" s="2" t="s">
        <v>38</v>
      </c>
      <c r="O1418" s="81" t="s">
        <v>39</v>
      </c>
    </row>
    <row r="1419" spans="1:15">
      <c r="A1419" s="71">
        <v>2024</v>
      </c>
      <c r="B1419" s="16" t="s">
        <v>696</v>
      </c>
      <c r="C1419" s="63" t="s">
        <v>2063</v>
      </c>
      <c r="D1419" s="56" t="s">
        <v>1119</v>
      </c>
      <c r="E1419" s="56" t="s">
        <v>2068</v>
      </c>
      <c r="F1419" s="101">
        <v>385</v>
      </c>
      <c r="G1419" s="59" t="s">
        <v>19</v>
      </c>
      <c r="H1419" s="60">
        <v>78</v>
      </c>
      <c r="I1419" s="49">
        <f t="shared" si="92"/>
        <v>30030</v>
      </c>
      <c r="J1419" s="532">
        <v>75</v>
      </c>
      <c r="K1419" s="532">
        <f t="shared" si="94"/>
        <v>3</v>
      </c>
      <c r="L1419" s="533">
        <f t="shared" si="93"/>
        <v>1155</v>
      </c>
      <c r="M1419" s="537">
        <f t="shared" si="95"/>
        <v>3.8461538461538464E-2</v>
      </c>
      <c r="N1419" s="2" t="s">
        <v>38</v>
      </c>
      <c r="O1419" s="81" t="s">
        <v>39</v>
      </c>
    </row>
    <row r="1420" spans="1:15">
      <c r="A1420" s="71">
        <v>2024</v>
      </c>
      <c r="B1420" s="16" t="s">
        <v>696</v>
      </c>
      <c r="C1420" s="63" t="s">
        <v>2060</v>
      </c>
      <c r="D1420" s="56" t="s">
        <v>192</v>
      </c>
      <c r="E1420" s="56" t="s">
        <v>1196</v>
      </c>
      <c r="F1420" s="101">
        <v>2200</v>
      </c>
      <c r="G1420" s="59" t="s">
        <v>19</v>
      </c>
      <c r="H1420" s="60">
        <v>4.5999999999999996</v>
      </c>
      <c r="I1420" s="49">
        <f t="shared" si="92"/>
        <v>10120</v>
      </c>
      <c r="J1420" s="532">
        <v>4</v>
      </c>
      <c r="K1420" s="532">
        <f t="shared" si="94"/>
        <v>0.59999999999999964</v>
      </c>
      <c r="L1420" s="533">
        <f t="shared" si="93"/>
        <v>1319.9999999999993</v>
      </c>
      <c r="M1420" s="537">
        <f t="shared" si="95"/>
        <v>0.13043478260869559</v>
      </c>
      <c r="N1420" s="2" t="s">
        <v>38</v>
      </c>
      <c r="O1420" s="81" t="s">
        <v>39</v>
      </c>
    </row>
    <row r="1421" spans="1:15">
      <c r="A1421" s="71">
        <v>2024</v>
      </c>
      <c r="B1421" s="16" t="s">
        <v>696</v>
      </c>
      <c r="C1421" s="63" t="s">
        <v>2060</v>
      </c>
      <c r="D1421" s="56" t="s">
        <v>192</v>
      </c>
      <c r="E1421" s="56" t="s">
        <v>1197</v>
      </c>
      <c r="F1421" s="101">
        <v>4400</v>
      </c>
      <c r="G1421" s="59" t="s">
        <v>19</v>
      </c>
      <c r="H1421" s="60">
        <v>8</v>
      </c>
      <c r="I1421" s="49">
        <f t="shared" si="92"/>
        <v>35200</v>
      </c>
      <c r="J1421" s="532">
        <v>7.5</v>
      </c>
      <c r="K1421" s="532">
        <f t="shared" si="94"/>
        <v>0.5</v>
      </c>
      <c r="L1421" s="533">
        <f t="shared" si="93"/>
        <v>2200</v>
      </c>
      <c r="M1421" s="537">
        <f t="shared" si="95"/>
        <v>6.25E-2</v>
      </c>
      <c r="N1421" s="2" t="s">
        <v>38</v>
      </c>
      <c r="O1421" s="81" t="s">
        <v>39</v>
      </c>
    </row>
    <row r="1422" spans="1:15">
      <c r="A1422" s="71">
        <v>2024</v>
      </c>
      <c r="B1422" s="16" t="s">
        <v>696</v>
      </c>
      <c r="C1422" s="63" t="s">
        <v>2060</v>
      </c>
      <c r="D1422" s="56" t="s">
        <v>192</v>
      </c>
      <c r="E1422" s="56" t="s">
        <v>1198</v>
      </c>
      <c r="F1422" s="101">
        <v>2200</v>
      </c>
      <c r="G1422" s="59" t="s">
        <v>19</v>
      </c>
      <c r="H1422" s="60">
        <v>8</v>
      </c>
      <c r="I1422" s="49">
        <f t="shared" si="92"/>
        <v>17600</v>
      </c>
      <c r="J1422" s="532">
        <v>7.5</v>
      </c>
      <c r="K1422" s="532">
        <f t="shared" si="94"/>
        <v>0.5</v>
      </c>
      <c r="L1422" s="533">
        <f t="shared" si="93"/>
        <v>1100</v>
      </c>
      <c r="M1422" s="537">
        <f t="shared" si="95"/>
        <v>6.25E-2</v>
      </c>
      <c r="N1422" s="2" t="s">
        <v>38</v>
      </c>
      <c r="O1422" s="81" t="s">
        <v>39</v>
      </c>
    </row>
    <row r="1423" spans="1:15">
      <c r="A1423" s="71">
        <v>2024</v>
      </c>
      <c r="B1423" s="16" t="s">
        <v>696</v>
      </c>
      <c r="C1423" s="63" t="s">
        <v>2069</v>
      </c>
      <c r="D1423" s="56" t="s">
        <v>1722</v>
      </c>
      <c r="E1423" s="56" t="s">
        <v>2070</v>
      </c>
      <c r="F1423" s="101">
        <v>194</v>
      </c>
      <c r="G1423" s="59" t="s">
        <v>19</v>
      </c>
      <c r="H1423" s="60">
        <v>1700</v>
      </c>
      <c r="I1423" s="49">
        <f t="shared" si="92"/>
        <v>329800</v>
      </c>
      <c r="J1423" s="532">
        <v>1530</v>
      </c>
      <c r="K1423" s="532">
        <f t="shared" si="94"/>
        <v>170</v>
      </c>
      <c r="L1423" s="533">
        <f t="shared" si="93"/>
        <v>32980</v>
      </c>
      <c r="M1423" s="537">
        <f t="shared" si="95"/>
        <v>0.1</v>
      </c>
      <c r="N1423" s="2" t="s">
        <v>38</v>
      </c>
      <c r="O1423" s="81" t="s">
        <v>39</v>
      </c>
    </row>
    <row r="1424" spans="1:15">
      <c r="A1424" s="71">
        <v>2024</v>
      </c>
      <c r="B1424" s="16" t="s">
        <v>696</v>
      </c>
      <c r="C1424" s="63" t="s">
        <v>2071</v>
      </c>
      <c r="D1424" s="56" t="s">
        <v>599</v>
      </c>
      <c r="E1424" s="56" t="s">
        <v>1211</v>
      </c>
      <c r="F1424" s="101">
        <v>800</v>
      </c>
      <c r="G1424" s="59" t="s">
        <v>19</v>
      </c>
      <c r="H1424" s="60">
        <v>9</v>
      </c>
      <c r="I1424" s="49">
        <f t="shared" si="92"/>
        <v>7200</v>
      </c>
      <c r="J1424" s="532">
        <v>8</v>
      </c>
      <c r="K1424" s="532">
        <f t="shared" si="94"/>
        <v>1</v>
      </c>
      <c r="L1424" s="533">
        <f t="shared" si="93"/>
        <v>800</v>
      </c>
      <c r="M1424" s="537">
        <f t="shared" si="95"/>
        <v>0.1111111111111111</v>
      </c>
      <c r="N1424" s="2" t="s">
        <v>38</v>
      </c>
      <c r="O1424" s="81" t="s">
        <v>39</v>
      </c>
    </row>
    <row r="1425" spans="1:15">
      <c r="A1425" s="71">
        <v>2024</v>
      </c>
      <c r="B1425" s="16" t="s">
        <v>696</v>
      </c>
      <c r="C1425" s="63" t="s">
        <v>2071</v>
      </c>
      <c r="D1425" s="56" t="s">
        <v>599</v>
      </c>
      <c r="E1425" s="56" t="s">
        <v>1210</v>
      </c>
      <c r="F1425" s="101">
        <v>1200</v>
      </c>
      <c r="G1425" s="59" t="s">
        <v>19</v>
      </c>
      <c r="H1425" s="60">
        <v>6.75</v>
      </c>
      <c r="I1425" s="49">
        <f t="shared" si="92"/>
        <v>8100</v>
      </c>
      <c r="J1425" s="532">
        <v>6</v>
      </c>
      <c r="K1425" s="532">
        <f t="shared" si="94"/>
        <v>0.75</v>
      </c>
      <c r="L1425" s="533">
        <f t="shared" si="93"/>
        <v>900</v>
      </c>
      <c r="M1425" s="537">
        <f t="shared" si="95"/>
        <v>0.1111111111111111</v>
      </c>
      <c r="N1425" s="2" t="s">
        <v>38</v>
      </c>
      <c r="O1425" s="81" t="s">
        <v>39</v>
      </c>
    </row>
    <row r="1426" spans="1:15">
      <c r="A1426" s="71">
        <v>2024</v>
      </c>
      <c r="B1426" s="16" t="s">
        <v>696</v>
      </c>
      <c r="C1426" s="63" t="s">
        <v>2072</v>
      </c>
      <c r="D1426" s="56" t="s">
        <v>1119</v>
      </c>
      <c r="E1426" s="56" t="s">
        <v>2073</v>
      </c>
      <c r="F1426" s="101">
        <v>582</v>
      </c>
      <c r="G1426" s="59" t="s">
        <v>19</v>
      </c>
      <c r="H1426" s="60">
        <v>95</v>
      </c>
      <c r="I1426" s="49">
        <f t="shared" si="92"/>
        <v>55290</v>
      </c>
      <c r="J1426" s="532">
        <v>93</v>
      </c>
      <c r="K1426" s="532">
        <f t="shared" si="94"/>
        <v>2</v>
      </c>
      <c r="L1426" s="533">
        <f t="shared" si="93"/>
        <v>1164</v>
      </c>
      <c r="M1426" s="537">
        <f t="shared" si="95"/>
        <v>2.1052631578947368E-2</v>
      </c>
      <c r="N1426" s="2" t="s">
        <v>38</v>
      </c>
      <c r="O1426" s="81" t="s">
        <v>39</v>
      </c>
    </row>
    <row r="1427" spans="1:15">
      <c r="A1427" s="71">
        <v>2024</v>
      </c>
      <c r="B1427" s="16" t="s">
        <v>696</v>
      </c>
      <c r="C1427" s="63" t="s">
        <v>2072</v>
      </c>
      <c r="D1427" s="56" t="s">
        <v>1119</v>
      </c>
      <c r="E1427" s="56" t="s">
        <v>2074</v>
      </c>
      <c r="F1427" s="101">
        <v>194</v>
      </c>
      <c r="G1427" s="59" t="s">
        <v>1979</v>
      </c>
      <c r="H1427" s="60">
        <v>670</v>
      </c>
      <c r="I1427" s="49">
        <f t="shared" si="92"/>
        <v>129980</v>
      </c>
      <c r="J1427" s="532">
        <v>650</v>
      </c>
      <c r="K1427" s="532">
        <f t="shared" si="94"/>
        <v>20</v>
      </c>
      <c r="L1427" s="533">
        <f t="shared" si="93"/>
        <v>3880</v>
      </c>
      <c r="M1427" s="537">
        <f t="shared" si="95"/>
        <v>2.9850746268656716E-2</v>
      </c>
      <c r="N1427" s="2" t="s">
        <v>38</v>
      </c>
      <c r="O1427" s="81" t="s">
        <v>39</v>
      </c>
    </row>
    <row r="1428" spans="1:15">
      <c r="A1428" s="71">
        <v>2024</v>
      </c>
      <c r="B1428" s="16" t="s">
        <v>696</v>
      </c>
      <c r="C1428" s="63" t="s">
        <v>2075</v>
      </c>
      <c r="D1428" s="56" t="s">
        <v>593</v>
      </c>
      <c r="E1428" s="56" t="s">
        <v>2076</v>
      </c>
      <c r="F1428" s="101">
        <v>194</v>
      </c>
      <c r="G1428" s="59" t="s">
        <v>1979</v>
      </c>
      <c r="H1428" s="60">
        <v>9000</v>
      </c>
      <c r="I1428" s="49">
        <f t="shared" si="92"/>
        <v>1746000</v>
      </c>
      <c r="J1428" s="532">
        <v>8100</v>
      </c>
      <c r="K1428" s="532">
        <f t="shared" si="94"/>
        <v>900</v>
      </c>
      <c r="L1428" s="533">
        <f t="shared" si="93"/>
        <v>174600</v>
      </c>
      <c r="M1428" s="537">
        <f t="shared" si="95"/>
        <v>0.1</v>
      </c>
      <c r="N1428" s="2" t="s">
        <v>38</v>
      </c>
      <c r="O1428" s="81" t="s">
        <v>39</v>
      </c>
    </row>
    <row r="1429" spans="1:15">
      <c r="A1429" s="71">
        <v>2024</v>
      </c>
      <c r="B1429" s="16" t="s">
        <v>696</v>
      </c>
      <c r="C1429" s="63" t="s">
        <v>2077</v>
      </c>
      <c r="D1429" s="56" t="s">
        <v>926</v>
      </c>
      <c r="E1429" s="56" t="s">
        <v>2078</v>
      </c>
      <c r="F1429" s="101">
        <v>26</v>
      </c>
      <c r="G1429" s="59" t="s">
        <v>1979</v>
      </c>
      <c r="H1429" s="60">
        <v>1790</v>
      </c>
      <c r="I1429" s="49">
        <f t="shared" si="92"/>
        <v>46540</v>
      </c>
      <c r="J1429" s="532">
        <v>1500</v>
      </c>
      <c r="K1429" s="532">
        <f t="shared" si="94"/>
        <v>290</v>
      </c>
      <c r="L1429" s="533">
        <f t="shared" si="93"/>
        <v>7540</v>
      </c>
      <c r="M1429" s="537">
        <f t="shared" si="95"/>
        <v>0.16201117318435754</v>
      </c>
      <c r="N1429" s="2" t="s">
        <v>22</v>
      </c>
      <c r="O1429" s="81" t="s">
        <v>39</v>
      </c>
    </row>
    <row r="1430" spans="1:15">
      <c r="A1430" s="71">
        <v>2024</v>
      </c>
      <c r="B1430" s="16" t="s">
        <v>696</v>
      </c>
      <c r="C1430" s="63" t="s">
        <v>2079</v>
      </c>
      <c r="D1430" s="56" t="s">
        <v>593</v>
      </c>
      <c r="E1430" s="56" t="s">
        <v>2080</v>
      </c>
      <c r="F1430" s="101">
        <v>118</v>
      </c>
      <c r="G1430" s="59" t="s">
        <v>1979</v>
      </c>
      <c r="H1430" s="60">
        <v>5500</v>
      </c>
      <c r="I1430" s="49">
        <f t="shared" si="92"/>
        <v>649000</v>
      </c>
      <c r="J1430" s="532">
        <v>5060</v>
      </c>
      <c r="K1430" s="532">
        <f t="shared" si="94"/>
        <v>440</v>
      </c>
      <c r="L1430" s="533">
        <f t="shared" si="93"/>
        <v>51920</v>
      </c>
      <c r="M1430" s="537">
        <f t="shared" si="95"/>
        <v>0.08</v>
      </c>
      <c r="N1430" s="2" t="s">
        <v>38</v>
      </c>
      <c r="O1430" s="81" t="s">
        <v>39</v>
      </c>
    </row>
    <row r="1431" spans="1:15">
      <c r="A1431" s="71">
        <v>2024</v>
      </c>
      <c r="B1431" s="16" t="s">
        <v>696</v>
      </c>
      <c r="C1431" s="63" t="s">
        <v>2081</v>
      </c>
      <c r="D1431" s="56" t="s">
        <v>776</v>
      </c>
      <c r="E1431" s="56" t="s">
        <v>503</v>
      </c>
      <c r="F1431" s="101">
        <v>160000</v>
      </c>
      <c r="G1431" s="59" t="s">
        <v>499</v>
      </c>
      <c r="H1431" s="60">
        <v>92.76</v>
      </c>
      <c r="I1431" s="49">
        <f t="shared" si="92"/>
        <v>14841600</v>
      </c>
      <c r="J1431" s="532">
        <v>90.91</v>
      </c>
      <c r="K1431" s="532">
        <f t="shared" si="94"/>
        <v>1.8500000000000085</v>
      </c>
      <c r="L1431" s="533">
        <f t="shared" si="93"/>
        <v>296000.00000000134</v>
      </c>
      <c r="M1431" s="537">
        <f t="shared" si="95"/>
        <v>1.9943941354032001E-2</v>
      </c>
      <c r="N1431" s="2" t="s">
        <v>22</v>
      </c>
      <c r="O1431" s="81" t="s">
        <v>39</v>
      </c>
    </row>
    <row r="1432" spans="1:15">
      <c r="A1432" s="71">
        <v>2024</v>
      </c>
      <c r="B1432" s="16" t="s">
        <v>696</v>
      </c>
      <c r="C1432" s="63" t="s">
        <v>2082</v>
      </c>
      <c r="D1432" s="56" t="s">
        <v>192</v>
      </c>
      <c r="E1432" s="56" t="s">
        <v>1200</v>
      </c>
      <c r="F1432" s="101">
        <v>1500</v>
      </c>
      <c r="G1432" s="59" t="s">
        <v>37</v>
      </c>
      <c r="H1432" s="60">
        <v>83</v>
      </c>
      <c r="I1432" s="49">
        <f t="shared" si="92"/>
        <v>124500</v>
      </c>
      <c r="J1432" s="532">
        <v>82</v>
      </c>
      <c r="K1432" s="532">
        <f t="shared" si="94"/>
        <v>1</v>
      </c>
      <c r="L1432" s="533">
        <f t="shared" si="93"/>
        <v>1500</v>
      </c>
      <c r="M1432" s="537">
        <f t="shared" si="95"/>
        <v>1.2048192771084338E-2</v>
      </c>
      <c r="N1432" s="2" t="s">
        <v>38</v>
      </c>
      <c r="O1432" s="81" t="s">
        <v>39</v>
      </c>
    </row>
    <row r="1433" spans="1:15">
      <c r="A1433" s="71">
        <v>2024</v>
      </c>
      <c r="B1433" s="16" t="s">
        <v>696</v>
      </c>
      <c r="C1433" s="63" t="s">
        <v>2082</v>
      </c>
      <c r="D1433" s="56" t="s">
        <v>192</v>
      </c>
      <c r="E1433" s="56" t="s">
        <v>1202</v>
      </c>
      <c r="F1433" s="101">
        <v>1000</v>
      </c>
      <c r="G1433" s="59" t="s">
        <v>37</v>
      </c>
      <c r="H1433" s="60">
        <v>215</v>
      </c>
      <c r="I1433" s="49">
        <f t="shared" si="92"/>
        <v>215000</v>
      </c>
      <c r="J1433" s="532">
        <v>213</v>
      </c>
      <c r="K1433" s="532">
        <f t="shared" si="94"/>
        <v>2</v>
      </c>
      <c r="L1433" s="533">
        <f t="shared" si="93"/>
        <v>2000</v>
      </c>
      <c r="M1433" s="537">
        <f t="shared" si="95"/>
        <v>9.3023255813953487E-3</v>
      </c>
      <c r="N1433" s="2" t="s">
        <v>38</v>
      </c>
      <c r="O1433" s="81" t="s">
        <v>39</v>
      </c>
    </row>
    <row r="1434" spans="1:15">
      <c r="A1434" s="71">
        <v>2024</v>
      </c>
      <c r="B1434" s="16" t="s">
        <v>696</v>
      </c>
      <c r="C1434" s="63" t="s">
        <v>2082</v>
      </c>
      <c r="D1434" s="56" t="s">
        <v>192</v>
      </c>
      <c r="E1434" s="56" t="s">
        <v>2083</v>
      </c>
      <c r="F1434" s="101">
        <v>1000</v>
      </c>
      <c r="G1434" s="59" t="s">
        <v>37</v>
      </c>
      <c r="H1434" s="60">
        <v>215</v>
      </c>
      <c r="I1434" s="49">
        <f t="shared" si="92"/>
        <v>215000</v>
      </c>
      <c r="J1434" s="532">
        <v>213</v>
      </c>
      <c r="K1434" s="532">
        <f t="shared" si="94"/>
        <v>2</v>
      </c>
      <c r="L1434" s="533">
        <f t="shared" si="93"/>
        <v>2000</v>
      </c>
      <c r="M1434" s="537">
        <f t="shared" si="95"/>
        <v>9.3023255813953487E-3</v>
      </c>
      <c r="N1434" s="2" t="s">
        <v>38</v>
      </c>
      <c r="O1434" s="81" t="s">
        <v>39</v>
      </c>
    </row>
    <row r="1435" spans="1:15">
      <c r="A1435" s="71">
        <v>2024</v>
      </c>
      <c r="B1435" s="16" t="s">
        <v>696</v>
      </c>
      <c r="C1435" s="63" t="s">
        <v>2082</v>
      </c>
      <c r="D1435" s="56" t="s">
        <v>192</v>
      </c>
      <c r="E1435" s="56" t="s">
        <v>2084</v>
      </c>
      <c r="F1435" s="101">
        <v>500</v>
      </c>
      <c r="G1435" s="59" t="s">
        <v>37</v>
      </c>
      <c r="H1435" s="60">
        <v>87</v>
      </c>
      <c r="I1435" s="49">
        <f t="shared" si="92"/>
        <v>43500</v>
      </c>
      <c r="J1435" s="532">
        <v>86</v>
      </c>
      <c r="K1435" s="532">
        <f t="shared" si="94"/>
        <v>1</v>
      </c>
      <c r="L1435" s="533">
        <f t="shared" si="93"/>
        <v>500</v>
      </c>
      <c r="M1435" s="537">
        <f t="shared" si="95"/>
        <v>1.1494252873563218E-2</v>
      </c>
      <c r="N1435" s="2" t="s">
        <v>38</v>
      </c>
      <c r="O1435" s="81" t="s">
        <v>39</v>
      </c>
    </row>
    <row r="1436" spans="1:15">
      <c r="A1436" s="71">
        <v>2024</v>
      </c>
      <c r="B1436" s="16" t="s">
        <v>696</v>
      </c>
      <c r="C1436" s="63" t="s">
        <v>2085</v>
      </c>
      <c r="D1436" s="56" t="s">
        <v>2086</v>
      </c>
      <c r="E1436" s="56" t="s">
        <v>2087</v>
      </c>
      <c r="F1436" s="101">
        <v>1</v>
      </c>
      <c r="G1436" s="59" t="s">
        <v>1979</v>
      </c>
      <c r="H1436" s="60">
        <v>148080</v>
      </c>
      <c r="I1436" s="49">
        <f t="shared" si="92"/>
        <v>148080</v>
      </c>
      <c r="J1436" s="532">
        <v>145000</v>
      </c>
      <c r="K1436" s="532">
        <f t="shared" si="94"/>
        <v>3080</v>
      </c>
      <c r="L1436" s="533">
        <f t="shared" si="93"/>
        <v>3080</v>
      </c>
      <c r="M1436" s="537">
        <f t="shared" si="95"/>
        <v>2.0799567801188548E-2</v>
      </c>
      <c r="N1436" s="2" t="s">
        <v>38</v>
      </c>
      <c r="O1436" s="81" t="s">
        <v>39</v>
      </c>
    </row>
    <row r="1437" spans="1:15">
      <c r="A1437" s="71">
        <v>2024</v>
      </c>
      <c r="B1437" s="16" t="s">
        <v>696</v>
      </c>
      <c r="C1437" s="63" t="s">
        <v>2088</v>
      </c>
      <c r="D1437" s="56" t="s">
        <v>192</v>
      </c>
      <c r="E1437" s="56" t="s">
        <v>1195</v>
      </c>
      <c r="F1437" s="101">
        <v>1000</v>
      </c>
      <c r="G1437" s="59" t="s">
        <v>1983</v>
      </c>
      <c r="H1437" s="60">
        <v>19</v>
      </c>
      <c r="I1437" s="49">
        <f t="shared" si="92"/>
        <v>19000</v>
      </c>
      <c r="J1437" s="532">
        <v>18.5</v>
      </c>
      <c r="K1437" s="532">
        <f t="shared" si="94"/>
        <v>0.5</v>
      </c>
      <c r="L1437" s="533">
        <f t="shared" si="93"/>
        <v>500</v>
      </c>
      <c r="M1437" s="534">
        <f t="shared" si="95"/>
        <v>2.6315789473684209E-2</v>
      </c>
      <c r="N1437" s="56" t="s">
        <v>38</v>
      </c>
      <c r="O1437" s="81" t="s">
        <v>39</v>
      </c>
    </row>
    <row r="1438" spans="1:15">
      <c r="A1438" s="71">
        <v>2024</v>
      </c>
      <c r="B1438" s="16" t="s">
        <v>696</v>
      </c>
      <c r="C1438" s="63" t="s">
        <v>2088</v>
      </c>
      <c r="D1438" s="56" t="s">
        <v>192</v>
      </c>
      <c r="E1438" s="56" t="s">
        <v>2089</v>
      </c>
      <c r="F1438" s="101">
        <v>900</v>
      </c>
      <c r="G1438" s="59" t="s">
        <v>1983</v>
      </c>
      <c r="H1438" s="60">
        <v>8.5</v>
      </c>
      <c r="I1438" s="49">
        <f t="shared" si="92"/>
        <v>7650</v>
      </c>
      <c r="J1438" s="532">
        <v>8</v>
      </c>
      <c r="K1438" s="532">
        <f t="shared" si="94"/>
        <v>0.5</v>
      </c>
      <c r="L1438" s="533">
        <f t="shared" si="93"/>
        <v>450</v>
      </c>
      <c r="M1438" s="537">
        <f t="shared" si="95"/>
        <v>5.8823529411764705E-2</v>
      </c>
      <c r="N1438" s="56" t="s">
        <v>38</v>
      </c>
      <c r="O1438" s="81" t="s">
        <v>39</v>
      </c>
    </row>
    <row r="1439" spans="1:15">
      <c r="A1439" s="71">
        <v>2024</v>
      </c>
      <c r="B1439" s="16" t="s">
        <v>696</v>
      </c>
      <c r="C1439" s="63" t="s">
        <v>2088</v>
      </c>
      <c r="D1439" s="56" t="s">
        <v>192</v>
      </c>
      <c r="E1439" s="56" t="s">
        <v>2090</v>
      </c>
      <c r="F1439" s="101">
        <v>1800</v>
      </c>
      <c r="G1439" s="59" t="s">
        <v>1983</v>
      </c>
      <c r="H1439" s="60">
        <v>11</v>
      </c>
      <c r="I1439" s="49">
        <f t="shared" si="92"/>
        <v>19800</v>
      </c>
      <c r="J1439" s="532">
        <v>10.5</v>
      </c>
      <c r="K1439" s="532">
        <f t="shared" si="94"/>
        <v>0.5</v>
      </c>
      <c r="L1439" s="533">
        <f t="shared" si="93"/>
        <v>900</v>
      </c>
      <c r="M1439" s="537">
        <f t="shared" si="95"/>
        <v>4.5454545454545456E-2</v>
      </c>
      <c r="N1439" s="56" t="s">
        <v>38</v>
      </c>
      <c r="O1439" s="81" t="s">
        <v>39</v>
      </c>
    </row>
    <row r="1440" spans="1:15">
      <c r="A1440" s="71">
        <v>2024</v>
      </c>
      <c r="B1440" s="16" t="s">
        <v>696</v>
      </c>
      <c r="C1440" s="63" t="s">
        <v>2088</v>
      </c>
      <c r="D1440" s="56" t="s">
        <v>192</v>
      </c>
      <c r="E1440" s="56" t="s">
        <v>2091</v>
      </c>
      <c r="F1440" s="101">
        <v>900</v>
      </c>
      <c r="G1440" s="59" t="s">
        <v>1983</v>
      </c>
      <c r="H1440" s="60">
        <v>9</v>
      </c>
      <c r="I1440" s="49">
        <f t="shared" si="92"/>
        <v>8100</v>
      </c>
      <c r="J1440" s="532">
        <v>8.5</v>
      </c>
      <c r="K1440" s="532">
        <f t="shared" si="94"/>
        <v>0.5</v>
      </c>
      <c r="L1440" s="533">
        <f t="shared" si="93"/>
        <v>450</v>
      </c>
      <c r="M1440" s="537">
        <f t="shared" si="95"/>
        <v>5.5555555555555552E-2</v>
      </c>
      <c r="N1440" s="2" t="s">
        <v>38</v>
      </c>
      <c r="O1440" s="81" t="s">
        <v>39</v>
      </c>
    </row>
    <row r="1441" spans="1:15">
      <c r="A1441" s="71">
        <v>2024</v>
      </c>
      <c r="B1441" s="16" t="s">
        <v>696</v>
      </c>
      <c r="C1441" s="63" t="s">
        <v>2092</v>
      </c>
      <c r="D1441" s="56" t="s">
        <v>335</v>
      </c>
      <c r="E1441" s="56" t="s">
        <v>336</v>
      </c>
      <c r="F1441" s="101">
        <v>196000</v>
      </c>
      <c r="G1441" s="59" t="s">
        <v>337</v>
      </c>
      <c r="H1441" s="60">
        <v>37.5</v>
      </c>
      <c r="I1441" s="49">
        <f t="shared" si="92"/>
        <v>7350000</v>
      </c>
      <c r="J1441" s="532">
        <v>34.5</v>
      </c>
      <c r="K1441" s="532">
        <f t="shared" si="94"/>
        <v>3</v>
      </c>
      <c r="L1441" s="533">
        <f t="shared" si="93"/>
        <v>588000</v>
      </c>
      <c r="M1441" s="534">
        <f t="shared" si="95"/>
        <v>0.08</v>
      </c>
      <c r="N1441" s="2" t="s">
        <v>22</v>
      </c>
      <c r="O1441" s="81" t="s">
        <v>39</v>
      </c>
    </row>
    <row r="1442" spans="1:15">
      <c r="A1442" s="71">
        <v>2024</v>
      </c>
      <c r="B1442" s="16" t="s">
        <v>696</v>
      </c>
      <c r="C1442" s="63" t="s">
        <v>2093</v>
      </c>
      <c r="D1442" s="56" t="s">
        <v>192</v>
      </c>
      <c r="E1442" s="56" t="s">
        <v>2094</v>
      </c>
      <c r="F1442" s="101">
        <v>2200</v>
      </c>
      <c r="G1442" s="59" t="s">
        <v>1983</v>
      </c>
      <c r="H1442" s="60">
        <v>56</v>
      </c>
      <c r="I1442" s="49">
        <f t="shared" si="92"/>
        <v>123200</v>
      </c>
      <c r="J1442" s="532">
        <v>53.2</v>
      </c>
      <c r="K1442" s="532">
        <f t="shared" si="94"/>
        <v>2.7999999999999972</v>
      </c>
      <c r="L1442" s="533">
        <f t="shared" si="93"/>
        <v>6159.9999999999936</v>
      </c>
      <c r="M1442" s="537">
        <f t="shared" si="95"/>
        <v>4.9999999999999947E-2</v>
      </c>
      <c r="N1442" s="2" t="s">
        <v>38</v>
      </c>
      <c r="O1442" s="81" t="s">
        <v>39</v>
      </c>
    </row>
    <row r="1443" spans="1:15">
      <c r="A1443" s="71">
        <v>2024</v>
      </c>
      <c r="B1443" s="16" t="s">
        <v>696</v>
      </c>
      <c r="C1443" s="63" t="s">
        <v>2093</v>
      </c>
      <c r="D1443" s="56" t="s">
        <v>192</v>
      </c>
      <c r="E1443" s="56" t="s">
        <v>2095</v>
      </c>
      <c r="F1443" s="101">
        <v>2400</v>
      </c>
      <c r="G1443" s="59" t="s">
        <v>1983</v>
      </c>
      <c r="H1443" s="60">
        <v>36</v>
      </c>
      <c r="I1443" s="49">
        <f t="shared" si="92"/>
        <v>86400</v>
      </c>
      <c r="J1443" s="532">
        <v>34.200000000000003</v>
      </c>
      <c r="K1443" s="532">
        <f t="shared" si="94"/>
        <v>1.7999999999999972</v>
      </c>
      <c r="L1443" s="533">
        <f t="shared" si="93"/>
        <v>4319.9999999999927</v>
      </c>
      <c r="M1443" s="537">
        <f t="shared" si="95"/>
        <v>4.999999999999992E-2</v>
      </c>
      <c r="N1443" s="2" t="s">
        <v>38</v>
      </c>
      <c r="O1443" s="81" t="s">
        <v>39</v>
      </c>
    </row>
    <row r="1444" spans="1:15">
      <c r="A1444" s="71">
        <v>2024</v>
      </c>
      <c r="B1444" s="16" t="s">
        <v>696</v>
      </c>
      <c r="C1444" s="63" t="s">
        <v>2093</v>
      </c>
      <c r="D1444" s="56" t="s">
        <v>192</v>
      </c>
      <c r="E1444" s="56" t="s">
        <v>2096</v>
      </c>
      <c r="F1444" s="101">
        <v>1600</v>
      </c>
      <c r="G1444" s="59" t="s">
        <v>1983</v>
      </c>
      <c r="H1444" s="60">
        <v>78</v>
      </c>
      <c r="I1444" s="49">
        <f t="shared" si="92"/>
        <v>124800</v>
      </c>
      <c r="J1444" s="532">
        <v>74.099999999999994</v>
      </c>
      <c r="K1444" s="532">
        <f t="shared" si="94"/>
        <v>3.9000000000000057</v>
      </c>
      <c r="L1444" s="533">
        <f t="shared" si="93"/>
        <v>6240.0000000000091</v>
      </c>
      <c r="M1444" s="534">
        <f t="shared" si="95"/>
        <v>5.0000000000000072E-2</v>
      </c>
      <c r="N1444" s="2" t="s">
        <v>38</v>
      </c>
      <c r="O1444" s="81" t="s">
        <v>39</v>
      </c>
    </row>
    <row r="1445" spans="1:15">
      <c r="A1445" s="71">
        <v>2024</v>
      </c>
      <c r="B1445" s="16" t="s">
        <v>696</v>
      </c>
      <c r="C1445" s="63" t="s">
        <v>2097</v>
      </c>
      <c r="D1445" s="56" t="s">
        <v>192</v>
      </c>
      <c r="E1445" s="56" t="s">
        <v>2098</v>
      </c>
      <c r="F1445" s="101">
        <v>1</v>
      </c>
      <c r="G1445" s="59" t="s">
        <v>19</v>
      </c>
      <c r="H1445" s="60">
        <v>37500</v>
      </c>
      <c r="I1445" s="49">
        <f t="shared" si="92"/>
        <v>37500</v>
      </c>
      <c r="J1445" s="532">
        <v>32990</v>
      </c>
      <c r="K1445" s="532">
        <f t="shared" si="94"/>
        <v>4510</v>
      </c>
      <c r="L1445" s="533">
        <f t="shared" si="93"/>
        <v>4510</v>
      </c>
      <c r="M1445" s="537">
        <f t="shared" si="95"/>
        <v>0.12026666666666666</v>
      </c>
      <c r="N1445" s="2" t="s">
        <v>22</v>
      </c>
      <c r="O1445" s="81" t="s">
        <v>105</v>
      </c>
    </row>
    <row r="1446" spans="1:15">
      <c r="A1446" s="71">
        <v>2024</v>
      </c>
      <c r="B1446" s="16" t="s">
        <v>696</v>
      </c>
      <c r="C1446" s="63" t="s">
        <v>2099</v>
      </c>
      <c r="D1446" s="56" t="s">
        <v>174</v>
      </c>
      <c r="E1446" s="56" t="s">
        <v>2100</v>
      </c>
      <c r="F1446" s="101">
        <v>197</v>
      </c>
      <c r="G1446" s="59" t="s">
        <v>19</v>
      </c>
      <c r="H1446" s="60">
        <v>170</v>
      </c>
      <c r="I1446" s="49">
        <f t="shared" si="92"/>
        <v>33490</v>
      </c>
      <c r="J1446" s="532">
        <v>165</v>
      </c>
      <c r="K1446" s="532">
        <f t="shared" si="94"/>
        <v>5</v>
      </c>
      <c r="L1446" s="533">
        <f t="shared" si="93"/>
        <v>985</v>
      </c>
      <c r="M1446" s="537">
        <f t="shared" si="95"/>
        <v>2.9411764705882353E-2</v>
      </c>
      <c r="N1446" s="2" t="s">
        <v>38</v>
      </c>
      <c r="O1446" s="81" t="s">
        <v>105</v>
      </c>
    </row>
    <row r="1447" spans="1:15">
      <c r="A1447" s="71">
        <v>2024</v>
      </c>
      <c r="B1447" s="16" t="s">
        <v>696</v>
      </c>
      <c r="C1447" s="63" t="s">
        <v>2099</v>
      </c>
      <c r="D1447" s="56" t="s">
        <v>174</v>
      </c>
      <c r="E1447" s="56" t="s">
        <v>2101</v>
      </c>
      <c r="F1447" s="101">
        <v>194</v>
      </c>
      <c r="G1447" s="59" t="s">
        <v>19</v>
      </c>
      <c r="H1447" s="60">
        <v>100</v>
      </c>
      <c r="I1447" s="49">
        <f t="shared" si="92"/>
        <v>19400</v>
      </c>
      <c r="J1447" s="532">
        <v>95</v>
      </c>
      <c r="K1447" s="532">
        <f t="shared" si="94"/>
        <v>5</v>
      </c>
      <c r="L1447" s="533">
        <f t="shared" si="93"/>
        <v>970</v>
      </c>
      <c r="M1447" s="537">
        <f t="shared" si="95"/>
        <v>0.05</v>
      </c>
      <c r="N1447" s="2" t="s">
        <v>38</v>
      </c>
      <c r="O1447" s="81" t="s">
        <v>105</v>
      </c>
    </row>
    <row r="1448" spans="1:15">
      <c r="A1448" s="71">
        <v>2024</v>
      </c>
      <c r="B1448" s="16" t="s">
        <v>696</v>
      </c>
      <c r="C1448" s="63" t="s">
        <v>2102</v>
      </c>
      <c r="D1448" s="56" t="s">
        <v>1181</v>
      </c>
      <c r="E1448" s="56" t="s">
        <v>2103</v>
      </c>
      <c r="F1448" s="101">
        <v>1</v>
      </c>
      <c r="G1448" s="59" t="s">
        <v>302</v>
      </c>
      <c r="H1448" s="60">
        <v>2160</v>
      </c>
      <c r="I1448" s="49">
        <f t="shared" si="92"/>
        <v>2160</v>
      </c>
      <c r="J1448" s="532">
        <v>1400</v>
      </c>
      <c r="K1448" s="532">
        <f t="shared" si="94"/>
        <v>760</v>
      </c>
      <c r="L1448" s="533">
        <f t="shared" si="93"/>
        <v>760</v>
      </c>
      <c r="M1448" s="537">
        <f t="shared" si="95"/>
        <v>0.35185185185185186</v>
      </c>
      <c r="N1448" s="2" t="s">
        <v>22</v>
      </c>
      <c r="O1448" s="81" t="s">
        <v>105</v>
      </c>
    </row>
    <row r="1449" spans="1:15">
      <c r="A1449" s="71">
        <v>2024</v>
      </c>
      <c r="B1449" s="16" t="s">
        <v>696</v>
      </c>
      <c r="C1449" s="63" t="s">
        <v>2104</v>
      </c>
      <c r="D1449" s="56" t="s">
        <v>1042</v>
      </c>
      <c r="E1449" s="56" t="s">
        <v>2105</v>
      </c>
      <c r="F1449" s="101">
        <v>1</v>
      </c>
      <c r="G1449" s="59" t="s">
        <v>285</v>
      </c>
      <c r="H1449" s="60">
        <v>214866</v>
      </c>
      <c r="I1449" s="49">
        <f t="shared" si="92"/>
        <v>214866</v>
      </c>
      <c r="J1449" s="532">
        <v>161270.87</v>
      </c>
      <c r="K1449" s="532">
        <f t="shared" si="94"/>
        <v>53595.130000000005</v>
      </c>
      <c r="L1449" s="533">
        <f t="shared" si="93"/>
        <v>53595.130000000005</v>
      </c>
      <c r="M1449" s="537">
        <f t="shared" si="95"/>
        <v>0.24943513631751885</v>
      </c>
      <c r="N1449" s="2" t="s">
        <v>38</v>
      </c>
      <c r="O1449" s="81" t="s">
        <v>105</v>
      </c>
    </row>
    <row r="1450" spans="1:15">
      <c r="A1450" s="71">
        <v>2024</v>
      </c>
      <c r="B1450" s="16" t="s">
        <v>696</v>
      </c>
      <c r="C1450" s="63" t="s">
        <v>2106</v>
      </c>
      <c r="D1450" s="56" t="s">
        <v>107</v>
      </c>
      <c r="E1450" s="56" t="s">
        <v>2107</v>
      </c>
      <c r="F1450" s="101">
        <v>1</v>
      </c>
      <c r="G1450" s="59" t="s">
        <v>19</v>
      </c>
      <c r="H1450" s="60">
        <v>31140</v>
      </c>
      <c r="I1450" s="49">
        <f t="shared" si="92"/>
        <v>31140</v>
      </c>
      <c r="J1450" s="532">
        <v>27500</v>
      </c>
      <c r="K1450" s="532">
        <f t="shared" si="94"/>
        <v>3640</v>
      </c>
      <c r="L1450" s="533">
        <f t="shared" si="93"/>
        <v>3640</v>
      </c>
      <c r="M1450" s="537">
        <f t="shared" si="95"/>
        <v>0.11689145793192036</v>
      </c>
      <c r="N1450" s="47" t="s">
        <v>22</v>
      </c>
      <c r="O1450" s="81" t="s">
        <v>105</v>
      </c>
    </row>
    <row r="1451" spans="1:15">
      <c r="A1451" s="71">
        <v>2024</v>
      </c>
      <c r="B1451" s="16" t="s">
        <v>696</v>
      </c>
      <c r="C1451" s="63" t="s">
        <v>2108</v>
      </c>
      <c r="D1451" s="56" t="s">
        <v>200</v>
      </c>
      <c r="E1451" s="56" t="s">
        <v>2109</v>
      </c>
      <c r="F1451" s="101">
        <v>7</v>
      </c>
      <c r="G1451" s="59" t="s">
        <v>1608</v>
      </c>
      <c r="H1451" s="60">
        <v>5800</v>
      </c>
      <c r="I1451" s="49">
        <f t="shared" si="92"/>
        <v>40600</v>
      </c>
      <c r="J1451" s="532">
        <v>5500</v>
      </c>
      <c r="K1451" s="532">
        <f t="shared" si="94"/>
        <v>300</v>
      </c>
      <c r="L1451" s="533">
        <f t="shared" si="93"/>
        <v>2100</v>
      </c>
      <c r="M1451" s="537">
        <f t="shared" si="95"/>
        <v>5.1724137931034482E-2</v>
      </c>
      <c r="N1451" s="47" t="s">
        <v>38</v>
      </c>
      <c r="O1451" s="81" t="s">
        <v>39</v>
      </c>
    </row>
    <row r="1452" spans="1:15">
      <c r="A1452" s="71">
        <v>2024</v>
      </c>
      <c r="B1452" s="16" t="s">
        <v>696</v>
      </c>
      <c r="C1452" s="63" t="s">
        <v>2110</v>
      </c>
      <c r="D1452" s="56" t="s">
        <v>590</v>
      </c>
      <c r="E1452" s="56" t="s">
        <v>2111</v>
      </c>
      <c r="F1452" s="101">
        <v>12</v>
      </c>
      <c r="G1452" s="59" t="s">
        <v>1608</v>
      </c>
      <c r="H1452" s="60">
        <v>10000</v>
      </c>
      <c r="I1452" s="49">
        <f t="shared" si="92"/>
        <v>120000</v>
      </c>
      <c r="J1452" s="532">
        <v>9600</v>
      </c>
      <c r="K1452" s="532">
        <f t="shared" si="94"/>
        <v>400</v>
      </c>
      <c r="L1452" s="533">
        <f t="shared" si="93"/>
        <v>4800</v>
      </c>
      <c r="M1452" s="537">
        <f t="shared" si="95"/>
        <v>0.04</v>
      </c>
      <c r="N1452" s="47" t="s">
        <v>22</v>
      </c>
      <c r="O1452" s="81" t="s">
        <v>39</v>
      </c>
    </row>
    <row r="1453" spans="1:15">
      <c r="A1453" s="71">
        <v>2024</v>
      </c>
      <c r="B1453" s="16" t="s">
        <v>696</v>
      </c>
      <c r="C1453" s="63" t="s">
        <v>2112</v>
      </c>
      <c r="D1453" s="56" t="s">
        <v>192</v>
      </c>
      <c r="E1453" s="56" t="s">
        <v>502</v>
      </c>
      <c r="F1453" s="101">
        <v>25000</v>
      </c>
      <c r="G1453" s="59" t="s">
        <v>1605</v>
      </c>
      <c r="H1453" s="60">
        <v>61.5</v>
      </c>
      <c r="I1453" s="49">
        <f t="shared" si="92"/>
        <v>1537500</v>
      </c>
      <c r="J1453" s="532">
        <v>60.5</v>
      </c>
      <c r="K1453" s="532">
        <f t="shared" si="94"/>
        <v>1</v>
      </c>
      <c r="L1453" s="533">
        <f t="shared" si="93"/>
        <v>25000</v>
      </c>
      <c r="M1453" s="537">
        <f t="shared" si="95"/>
        <v>1.6260162601626018E-2</v>
      </c>
      <c r="N1453" s="47" t="s">
        <v>22</v>
      </c>
      <c r="O1453" s="81" t="s">
        <v>39</v>
      </c>
    </row>
    <row r="1454" spans="1:15">
      <c r="A1454" s="71">
        <v>2024</v>
      </c>
      <c r="B1454" s="16" t="s">
        <v>696</v>
      </c>
      <c r="C1454" s="63" t="s">
        <v>2113</v>
      </c>
      <c r="D1454" s="56" t="s">
        <v>511</v>
      </c>
      <c r="E1454" s="56" t="s">
        <v>2114</v>
      </c>
      <c r="F1454" s="101">
        <v>1</v>
      </c>
      <c r="G1454" s="59" t="s">
        <v>19</v>
      </c>
      <c r="H1454" s="60">
        <v>13000</v>
      </c>
      <c r="I1454" s="49">
        <f t="shared" si="92"/>
        <v>13000</v>
      </c>
      <c r="J1454" s="532">
        <v>11700</v>
      </c>
      <c r="K1454" s="532">
        <f t="shared" si="94"/>
        <v>1300</v>
      </c>
      <c r="L1454" s="533">
        <f t="shared" si="93"/>
        <v>1300</v>
      </c>
      <c r="M1454" s="537">
        <f t="shared" si="95"/>
        <v>0.1</v>
      </c>
      <c r="N1454" s="47" t="s">
        <v>22</v>
      </c>
      <c r="O1454" s="81" t="s">
        <v>21</v>
      </c>
    </row>
    <row r="1455" spans="1:15">
      <c r="A1455" s="71">
        <v>2024</v>
      </c>
      <c r="B1455" s="16" t="s">
        <v>696</v>
      </c>
      <c r="C1455" s="63" t="s">
        <v>2115</v>
      </c>
      <c r="D1455" s="56" t="s">
        <v>926</v>
      </c>
      <c r="E1455" s="56" t="s">
        <v>2116</v>
      </c>
      <c r="F1455" s="101">
        <v>600</v>
      </c>
      <c r="G1455" s="59" t="s">
        <v>19</v>
      </c>
      <c r="H1455" s="60">
        <v>45</v>
      </c>
      <c r="I1455" s="49">
        <f t="shared" ref="I1455:I1492" si="96">H1455*F1455</f>
        <v>27000</v>
      </c>
      <c r="J1455" s="532">
        <v>25</v>
      </c>
      <c r="K1455" s="532">
        <f t="shared" si="94"/>
        <v>20</v>
      </c>
      <c r="L1455" s="533">
        <f t="shared" si="93"/>
        <v>12000</v>
      </c>
      <c r="M1455" s="537">
        <f t="shared" si="95"/>
        <v>0.44444444444444442</v>
      </c>
      <c r="N1455" s="47" t="s">
        <v>22</v>
      </c>
      <c r="O1455" s="81" t="s">
        <v>21</v>
      </c>
    </row>
    <row r="1456" spans="1:15">
      <c r="A1456" s="71">
        <v>2024</v>
      </c>
      <c r="B1456" s="16" t="s">
        <v>696</v>
      </c>
      <c r="C1456" s="63" t="s">
        <v>2117</v>
      </c>
      <c r="D1456" s="56" t="s">
        <v>1625</v>
      </c>
      <c r="E1456" s="56" t="s">
        <v>2118</v>
      </c>
      <c r="F1456" s="101">
        <v>1</v>
      </c>
      <c r="G1456" s="59" t="s">
        <v>59</v>
      </c>
      <c r="H1456" s="60">
        <v>4943485.42</v>
      </c>
      <c r="I1456" s="49">
        <f t="shared" si="96"/>
        <v>4943485.42</v>
      </c>
      <c r="J1456" s="532">
        <v>4869333.13</v>
      </c>
      <c r="K1456" s="532">
        <f t="shared" si="94"/>
        <v>74152.290000000037</v>
      </c>
      <c r="L1456" s="533">
        <f t="shared" si="93"/>
        <v>74152.290000000037</v>
      </c>
      <c r="M1456" s="537">
        <f t="shared" si="95"/>
        <v>1.5000001759891917E-2</v>
      </c>
      <c r="N1456" s="47" t="s">
        <v>22</v>
      </c>
      <c r="O1456" s="81" t="s">
        <v>21</v>
      </c>
    </row>
    <row r="1457" spans="1:15">
      <c r="A1457" s="71">
        <v>2024</v>
      </c>
      <c r="B1457" s="16" t="s">
        <v>696</v>
      </c>
      <c r="C1457" s="63" t="s">
        <v>2119</v>
      </c>
      <c r="D1457" s="56" t="s">
        <v>1227</v>
      </c>
      <c r="E1457" s="56" t="s">
        <v>2120</v>
      </c>
      <c r="F1457" s="101">
        <v>600</v>
      </c>
      <c r="G1457" s="59" t="s">
        <v>469</v>
      </c>
      <c r="H1457" s="60">
        <v>92</v>
      </c>
      <c r="I1457" s="49">
        <f t="shared" si="96"/>
        <v>55200</v>
      </c>
      <c r="J1457" s="532">
        <v>88</v>
      </c>
      <c r="K1457" s="532">
        <f t="shared" si="94"/>
        <v>4</v>
      </c>
      <c r="L1457" s="533">
        <f t="shared" si="93"/>
        <v>2400</v>
      </c>
      <c r="M1457" s="537">
        <f t="shared" si="95"/>
        <v>4.3478260869565216E-2</v>
      </c>
      <c r="N1457" s="47" t="s">
        <v>38</v>
      </c>
      <c r="O1457" s="81" t="s">
        <v>39</v>
      </c>
    </row>
    <row r="1458" spans="1:15">
      <c r="A1458" s="71">
        <v>2024</v>
      </c>
      <c r="B1458" s="16" t="s">
        <v>696</v>
      </c>
      <c r="C1458" s="63" t="s">
        <v>2121</v>
      </c>
      <c r="D1458" s="56" t="s">
        <v>94</v>
      </c>
      <c r="E1458" s="56" t="s">
        <v>971</v>
      </c>
      <c r="F1458" s="101">
        <v>60</v>
      </c>
      <c r="G1458" s="59" t="s">
        <v>615</v>
      </c>
      <c r="H1458" s="60">
        <v>115</v>
      </c>
      <c r="I1458" s="49">
        <f t="shared" si="96"/>
        <v>6900</v>
      </c>
      <c r="J1458" s="532">
        <v>91.85</v>
      </c>
      <c r="K1458" s="532">
        <f t="shared" si="94"/>
        <v>23.150000000000006</v>
      </c>
      <c r="L1458" s="533">
        <f t="shared" si="93"/>
        <v>1389.0000000000005</v>
      </c>
      <c r="M1458" s="537">
        <f t="shared" si="95"/>
        <v>0.201304347826087</v>
      </c>
      <c r="N1458" s="47" t="s">
        <v>22</v>
      </c>
      <c r="O1458" s="81" t="s">
        <v>105</v>
      </c>
    </row>
    <row r="1459" spans="1:15">
      <c r="A1459" s="71">
        <v>2024</v>
      </c>
      <c r="B1459" s="16" t="s">
        <v>696</v>
      </c>
      <c r="C1459" s="63" t="s">
        <v>2121</v>
      </c>
      <c r="D1459" s="56" t="s">
        <v>94</v>
      </c>
      <c r="E1459" s="56" t="s">
        <v>2122</v>
      </c>
      <c r="F1459" s="101">
        <v>2</v>
      </c>
      <c r="G1459" s="59" t="s">
        <v>29</v>
      </c>
      <c r="H1459" s="60">
        <v>1100</v>
      </c>
      <c r="I1459" s="49">
        <f t="shared" si="96"/>
        <v>2200</v>
      </c>
      <c r="J1459" s="532">
        <v>918</v>
      </c>
      <c r="K1459" s="532">
        <f t="shared" si="94"/>
        <v>182</v>
      </c>
      <c r="L1459" s="533">
        <f t="shared" si="93"/>
        <v>364</v>
      </c>
      <c r="M1459" s="537">
        <f t="shared" si="95"/>
        <v>0.16545454545454547</v>
      </c>
      <c r="N1459" s="47" t="s">
        <v>22</v>
      </c>
      <c r="O1459" s="81" t="s">
        <v>105</v>
      </c>
    </row>
    <row r="1460" spans="1:15">
      <c r="A1460" s="71">
        <v>2024</v>
      </c>
      <c r="B1460" s="16" t="s">
        <v>696</v>
      </c>
      <c r="C1460" s="63" t="s">
        <v>2121</v>
      </c>
      <c r="D1460" s="56" t="s">
        <v>94</v>
      </c>
      <c r="E1460" s="56" t="s">
        <v>2123</v>
      </c>
      <c r="F1460" s="101">
        <v>1</v>
      </c>
      <c r="G1460" s="59" t="s">
        <v>29</v>
      </c>
      <c r="H1460" s="60">
        <v>1100</v>
      </c>
      <c r="I1460" s="49">
        <f t="shared" si="96"/>
        <v>1100</v>
      </c>
      <c r="J1460" s="532">
        <v>918</v>
      </c>
      <c r="K1460" s="532">
        <f t="shared" si="94"/>
        <v>182</v>
      </c>
      <c r="L1460" s="533">
        <f t="shared" si="93"/>
        <v>182</v>
      </c>
      <c r="M1460" s="537">
        <f t="shared" si="95"/>
        <v>0.16545454545454547</v>
      </c>
      <c r="N1460" s="47" t="s">
        <v>22</v>
      </c>
      <c r="O1460" s="81" t="s">
        <v>105</v>
      </c>
    </row>
    <row r="1461" spans="1:15">
      <c r="A1461" s="71">
        <v>2024</v>
      </c>
      <c r="B1461" s="16" t="s">
        <v>696</v>
      </c>
      <c r="C1461" s="63" t="s">
        <v>2124</v>
      </c>
      <c r="D1461" s="56" t="s">
        <v>200</v>
      </c>
      <c r="E1461" s="56" t="s">
        <v>2125</v>
      </c>
      <c r="F1461" s="101">
        <v>2</v>
      </c>
      <c r="G1461" s="59" t="s">
        <v>1979</v>
      </c>
      <c r="H1461" s="60">
        <v>9650</v>
      </c>
      <c r="I1461" s="49">
        <f t="shared" si="96"/>
        <v>19300</v>
      </c>
      <c r="J1461" s="532">
        <v>9600</v>
      </c>
      <c r="K1461" s="532">
        <f t="shared" si="94"/>
        <v>50</v>
      </c>
      <c r="L1461" s="533">
        <f t="shared" si="93"/>
        <v>100</v>
      </c>
      <c r="M1461" s="537">
        <f t="shared" si="95"/>
        <v>5.1813471502590676E-3</v>
      </c>
      <c r="N1461" s="47" t="s">
        <v>22</v>
      </c>
      <c r="O1461" s="81" t="s">
        <v>39</v>
      </c>
    </row>
    <row r="1462" spans="1:15">
      <c r="A1462" s="71">
        <v>2024</v>
      </c>
      <c r="B1462" s="16" t="s">
        <v>696</v>
      </c>
      <c r="C1462" s="63" t="s">
        <v>2126</v>
      </c>
      <c r="D1462" s="56" t="s">
        <v>323</v>
      </c>
      <c r="E1462" s="56" t="s">
        <v>737</v>
      </c>
      <c r="F1462" s="101">
        <v>40</v>
      </c>
      <c r="G1462" s="59" t="s">
        <v>29</v>
      </c>
      <c r="H1462" s="60">
        <v>2190</v>
      </c>
      <c r="I1462" s="49">
        <f t="shared" si="96"/>
        <v>87600</v>
      </c>
      <c r="J1462" s="532">
        <v>1890</v>
      </c>
      <c r="K1462" s="532">
        <f t="shared" si="94"/>
        <v>300</v>
      </c>
      <c r="L1462" s="533">
        <f t="shared" si="93"/>
        <v>12000</v>
      </c>
      <c r="M1462" s="537">
        <f t="shared" si="95"/>
        <v>0.13698630136986301</v>
      </c>
      <c r="N1462" s="47" t="s">
        <v>20</v>
      </c>
      <c r="O1462" s="81" t="s">
        <v>21</v>
      </c>
    </row>
    <row r="1463" spans="1:15">
      <c r="A1463" s="71">
        <v>2024</v>
      </c>
      <c r="B1463" s="16" t="s">
        <v>696</v>
      </c>
      <c r="C1463" s="63" t="s">
        <v>2127</v>
      </c>
      <c r="D1463" s="56" t="s">
        <v>101</v>
      </c>
      <c r="E1463" s="56" t="s">
        <v>101</v>
      </c>
      <c r="F1463" s="101">
        <v>60</v>
      </c>
      <c r="G1463" s="59" t="s">
        <v>29</v>
      </c>
      <c r="H1463" s="60">
        <v>1100</v>
      </c>
      <c r="I1463" s="49">
        <f t="shared" si="96"/>
        <v>66000</v>
      </c>
      <c r="J1463" s="532">
        <v>890</v>
      </c>
      <c r="K1463" s="532">
        <f t="shared" si="94"/>
        <v>210</v>
      </c>
      <c r="L1463" s="533">
        <f t="shared" si="93"/>
        <v>12600</v>
      </c>
      <c r="M1463" s="537">
        <f t="shared" si="95"/>
        <v>0.19090909090909092</v>
      </c>
      <c r="N1463" s="47" t="s">
        <v>22</v>
      </c>
      <c r="O1463" s="81" t="s">
        <v>21</v>
      </c>
    </row>
    <row r="1464" spans="1:15">
      <c r="A1464" s="71">
        <v>2024</v>
      </c>
      <c r="B1464" s="16" t="s">
        <v>696</v>
      </c>
      <c r="C1464" s="63" t="s">
        <v>2128</v>
      </c>
      <c r="D1464" s="56" t="s">
        <v>345</v>
      </c>
      <c r="E1464" s="56" t="s">
        <v>2129</v>
      </c>
      <c r="F1464" s="101">
        <v>1</v>
      </c>
      <c r="G1464" s="59" t="s">
        <v>59</v>
      </c>
      <c r="H1464" s="60">
        <v>68500</v>
      </c>
      <c r="I1464" s="49">
        <f t="shared" si="96"/>
        <v>68500</v>
      </c>
      <c r="J1464" s="532">
        <v>67200</v>
      </c>
      <c r="K1464" s="532">
        <f t="shared" si="94"/>
        <v>1300</v>
      </c>
      <c r="L1464" s="533">
        <f t="shared" si="93"/>
        <v>1300</v>
      </c>
      <c r="M1464" s="537">
        <f t="shared" si="95"/>
        <v>1.8978102189781021E-2</v>
      </c>
      <c r="N1464" s="47" t="s">
        <v>38</v>
      </c>
      <c r="O1464" s="81" t="s">
        <v>21</v>
      </c>
    </row>
    <row r="1465" spans="1:15">
      <c r="A1465" s="71">
        <v>2024</v>
      </c>
      <c r="B1465" s="16" t="s">
        <v>696</v>
      </c>
      <c r="C1465" s="71" t="s">
        <v>2130</v>
      </c>
      <c r="D1465" s="2" t="s">
        <v>1619</v>
      </c>
      <c r="E1465" s="81" t="s">
        <v>2131</v>
      </c>
      <c r="F1465" s="459">
        <v>1</v>
      </c>
      <c r="G1465" s="160" t="s">
        <v>2132</v>
      </c>
      <c r="H1465" s="8">
        <v>590000</v>
      </c>
      <c r="I1465" s="49">
        <f t="shared" si="96"/>
        <v>590000</v>
      </c>
      <c r="J1465" s="532">
        <v>580000</v>
      </c>
      <c r="K1465" s="532">
        <f t="shared" si="94"/>
        <v>10000</v>
      </c>
      <c r="L1465" s="533">
        <f t="shared" si="93"/>
        <v>10000</v>
      </c>
      <c r="M1465" s="537">
        <f t="shared" si="95"/>
        <v>1.6949152542372881E-2</v>
      </c>
      <c r="N1465" s="47" t="s">
        <v>38</v>
      </c>
      <c r="O1465" s="81" t="s">
        <v>21</v>
      </c>
    </row>
    <row r="1466" spans="1:15">
      <c r="A1466" s="71">
        <v>2024</v>
      </c>
      <c r="B1466" s="16" t="s">
        <v>696</v>
      </c>
      <c r="C1466" s="71" t="s">
        <v>2133</v>
      </c>
      <c r="D1466" s="2" t="s">
        <v>1670</v>
      </c>
      <c r="E1466" s="81" t="s">
        <v>1692</v>
      </c>
      <c r="F1466" s="459">
        <v>2</v>
      </c>
      <c r="G1466" s="160" t="s">
        <v>59</v>
      </c>
      <c r="H1466" s="8">
        <v>1850</v>
      </c>
      <c r="I1466" s="49">
        <f t="shared" si="96"/>
        <v>3700</v>
      </c>
      <c r="J1466" s="532">
        <v>1800</v>
      </c>
      <c r="K1466" s="532">
        <f t="shared" si="94"/>
        <v>50</v>
      </c>
      <c r="L1466" s="533">
        <f t="shared" si="93"/>
        <v>100</v>
      </c>
      <c r="M1466" s="537">
        <f t="shared" si="95"/>
        <v>2.7027027027027029E-2</v>
      </c>
      <c r="N1466" s="47" t="s">
        <v>22</v>
      </c>
      <c r="O1466" s="81" t="s">
        <v>21</v>
      </c>
    </row>
    <row r="1467" spans="1:15">
      <c r="A1467" s="71">
        <v>2024</v>
      </c>
      <c r="B1467" s="16" t="s">
        <v>696</v>
      </c>
      <c r="C1467" s="71" t="s">
        <v>2133</v>
      </c>
      <c r="D1467" s="2" t="s">
        <v>1670</v>
      </c>
      <c r="E1467" s="81" t="s">
        <v>1693</v>
      </c>
      <c r="F1467" s="459">
        <v>2</v>
      </c>
      <c r="G1467" s="160" t="s">
        <v>59</v>
      </c>
      <c r="H1467" s="8">
        <v>1850</v>
      </c>
      <c r="I1467" s="49">
        <f t="shared" si="96"/>
        <v>3700</v>
      </c>
      <c r="J1467" s="532">
        <v>1500</v>
      </c>
      <c r="K1467" s="532">
        <f t="shared" si="94"/>
        <v>350</v>
      </c>
      <c r="L1467" s="533">
        <f t="shared" si="93"/>
        <v>700</v>
      </c>
      <c r="M1467" s="537">
        <f t="shared" si="95"/>
        <v>0.1891891891891892</v>
      </c>
      <c r="N1467" s="47" t="s">
        <v>22</v>
      </c>
      <c r="O1467" s="81" t="s">
        <v>21</v>
      </c>
    </row>
    <row r="1468" spans="1:15">
      <c r="A1468" s="71">
        <v>2024</v>
      </c>
      <c r="B1468" s="16" t="s">
        <v>696</v>
      </c>
      <c r="C1468" s="71" t="s">
        <v>2134</v>
      </c>
      <c r="D1468" s="2" t="s">
        <v>1560</v>
      </c>
      <c r="E1468" s="81" t="s">
        <v>2135</v>
      </c>
      <c r="F1468" s="459">
        <v>10</v>
      </c>
      <c r="G1468" s="160" t="s">
        <v>19</v>
      </c>
      <c r="H1468" s="8">
        <v>120</v>
      </c>
      <c r="I1468" s="49">
        <f t="shared" si="96"/>
        <v>1200</v>
      </c>
      <c r="J1468" s="532">
        <v>105</v>
      </c>
      <c r="K1468" s="532">
        <f t="shared" si="94"/>
        <v>15</v>
      </c>
      <c r="L1468" s="533">
        <f t="shared" si="93"/>
        <v>150</v>
      </c>
      <c r="M1468" s="537">
        <f t="shared" si="95"/>
        <v>0.125</v>
      </c>
      <c r="N1468" s="47" t="s">
        <v>22</v>
      </c>
      <c r="O1468" s="81" t="s">
        <v>21</v>
      </c>
    </row>
    <row r="1469" spans="1:15">
      <c r="A1469" s="71">
        <v>2024</v>
      </c>
      <c r="B1469" s="16" t="s">
        <v>696</v>
      </c>
      <c r="C1469" s="71" t="s">
        <v>2136</v>
      </c>
      <c r="D1469" s="2" t="s">
        <v>17</v>
      </c>
      <c r="E1469" s="2" t="s">
        <v>1731</v>
      </c>
      <c r="F1469" s="96">
        <v>1</v>
      </c>
      <c r="G1469" s="1" t="s">
        <v>19</v>
      </c>
      <c r="H1469" s="60">
        <v>5085</v>
      </c>
      <c r="I1469" s="49">
        <f t="shared" si="96"/>
        <v>5085</v>
      </c>
      <c r="J1469" s="532">
        <v>4700</v>
      </c>
      <c r="K1469" s="532">
        <f t="shared" si="94"/>
        <v>385</v>
      </c>
      <c r="L1469" s="533">
        <f t="shared" si="93"/>
        <v>385</v>
      </c>
      <c r="M1469" s="537">
        <f t="shared" si="95"/>
        <v>7.571288102261553E-2</v>
      </c>
      <c r="N1469" s="47" t="s">
        <v>22</v>
      </c>
      <c r="O1469" s="81" t="s">
        <v>21</v>
      </c>
    </row>
    <row r="1470" spans="1:15">
      <c r="A1470" s="71">
        <v>2024</v>
      </c>
      <c r="B1470" s="16" t="s">
        <v>696</v>
      </c>
      <c r="C1470" s="71" t="s">
        <v>2137</v>
      </c>
      <c r="D1470" s="2" t="s">
        <v>157</v>
      </c>
      <c r="E1470" s="2" t="s">
        <v>2138</v>
      </c>
      <c r="F1470" s="96">
        <v>2</v>
      </c>
      <c r="G1470" s="1" t="s">
        <v>19</v>
      </c>
      <c r="H1470" s="60">
        <v>1100</v>
      </c>
      <c r="I1470" s="49">
        <f t="shared" si="96"/>
        <v>2200</v>
      </c>
      <c r="J1470" s="532">
        <v>880</v>
      </c>
      <c r="K1470" s="532">
        <f t="shared" si="94"/>
        <v>220</v>
      </c>
      <c r="L1470" s="533">
        <f t="shared" si="93"/>
        <v>440</v>
      </c>
      <c r="M1470" s="537">
        <f t="shared" si="95"/>
        <v>0.2</v>
      </c>
      <c r="N1470" s="47" t="s">
        <v>38</v>
      </c>
      <c r="O1470" s="81" t="s">
        <v>21</v>
      </c>
    </row>
    <row r="1471" spans="1:15">
      <c r="A1471" s="71">
        <v>2024</v>
      </c>
      <c r="B1471" s="16" t="s">
        <v>696</v>
      </c>
      <c r="C1471" s="71" t="s">
        <v>2137</v>
      </c>
      <c r="D1471" s="2" t="s">
        <v>157</v>
      </c>
      <c r="E1471" s="2" t="s">
        <v>2139</v>
      </c>
      <c r="F1471" s="469">
        <v>200</v>
      </c>
      <c r="G1471" s="1" t="s">
        <v>615</v>
      </c>
      <c r="H1471" s="60">
        <v>10.5</v>
      </c>
      <c r="I1471" s="49">
        <f t="shared" si="96"/>
        <v>2100</v>
      </c>
      <c r="J1471" s="532">
        <v>8.4</v>
      </c>
      <c r="K1471" s="532">
        <f t="shared" si="94"/>
        <v>2.0999999999999996</v>
      </c>
      <c r="L1471" s="533">
        <f t="shared" ref="L1471:L1534" si="97">K1471*F1471</f>
        <v>419.99999999999994</v>
      </c>
      <c r="M1471" s="537">
        <f t="shared" si="95"/>
        <v>0.19999999999999996</v>
      </c>
      <c r="N1471" s="47" t="s">
        <v>38</v>
      </c>
      <c r="O1471" s="81" t="s">
        <v>21</v>
      </c>
    </row>
    <row r="1472" spans="1:15">
      <c r="A1472" s="71">
        <v>2024</v>
      </c>
      <c r="B1472" s="16" t="s">
        <v>696</v>
      </c>
      <c r="C1472" s="71" t="s">
        <v>2140</v>
      </c>
      <c r="D1472" s="2" t="s">
        <v>118</v>
      </c>
      <c r="E1472" s="2" t="s">
        <v>2141</v>
      </c>
      <c r="F1472" s="96">
        <v>4</v>
      </c>
      <c r="G1472" s="1" t="s">
        <v>19</v>
      </c>
      <c r="H1472" s="60">
        <v>1300</v>
      </c>
      <c r="I1472" s="49">
        <f t="shared" si="96"/>
        <v>5200</v>
      </c>
      <c r="J1472" s="532">
        <v>718</v>
      </c>
      <c r="K1472" s="532">
        <f t="shared" si="94"/>
        <v>582</v>
      </c>
      <c r="L1472" s="533">
        <f t="shared" si="97"/>
        <v>2328</v>
      </c>
      <c r="M1472" s="537">
        <f t="shared" si="95"/>
        <v>0.44769230769230767</v>
      </c>
      <c r="N1472" s="47" t="s">
        <v>22</v>
      </c>
      <c r="O1472" s="81" t="s">
        <v>21</v>
      </c>
    </row>
    <row r="1473" spans="1:15">
      <c r="A1473" s="71">
        <v>2024</v>
      </c>
      <c r="B1473" s="16" t="s">
        <v>696</v>
      </c>
      <c r="C1473" s="71" t="s">
        <v>2140</v>
      </c>
      <c r="D1473" s="2" t="s">
        <v>118</v>
      </c>
      <c r="E1473" s="2" t="s">
        <v>2142</v>
      </c>
      <c r="F1473" s="96">
        <v>6</v>
      </c>
      <c r="G1473" s="1" t="s">
        <v>19</v>
      </c>
      <c r="H1473" s="60">
        <v>1300</v>
      </c>
      <c r="I1473" s="49">
        <f t="shared" si="96"/>
        <v>7800</v>
      </c>
      <c r="J1473" s="532">
        <v>718</v>
      </c>
      <c r="K1473" s="532">
        <f t="shared" si="94"/>
        <v>582</v>
      </c>
      <c r="L1473" s="533">
        <f t="shared" si="97"/>
        <v>3492</v>
      </c>
      <c r="M1473" s="537">
        <f t="shared" si="95"/>
        <v>0.44769230769230767</v>
      </c>
      <c r="N1473" s="47" t="s">
        <v>22</v>
      </c>
      <c r="O1473" s="81" t="s">
        <v>21</v>
      </c>
    </row>
    <row r="1474" spans="1:15">
      <c r="A1474" s="71">
        <v>2024</v>
      </c>
      <c r="B1474" s="16" t="s">
        <v>696</v>
      </c>
      <c r="C1474" s="71" t="s">
        <v>2140</v>
      </c>
      <c r="D1474" s="2" t="s">
        <v>118</v>
      </c>
      <c r="E1474" s="2" t="s">
        <v>2143</v>
      </c>
      <c r="F1474" s="96">
        <v>8</v>
      </c>
      <c r="G1474" s="1" t="s">
        <v>19</v>
      </c>
      <c r="H1474" s="60">
        <v>1300</v>
      </c>
      <c r="I1474" s="49">
        <f t="shared" si="96"/>
        <v>10400</v>
      </c>
      <c r="J1474" s="532">
        <v>718</v>
      </c>
      <c r="K1474" s="532">
        <f t="shared" si="94"/>
        <v>582</v>
      </c>
      <c r="L1474" s="533">
        <f t="shared" si="97"/>
        <v>4656</v>
      </c>
      <c r="M1474" s="537">
        <f t="shared" si="95"/>
        <v>0.44769230769230767</v>
      </c>
      <c r="N1474" s="47" t="s">
        <v>22</v>
      </c>
      <c r="O1474" s="81" t="s">
        <v>21</v>
      </c>
    </row>
    <row r="1475" spans="1:15">
      <c r="A1475" s="71">
        <v>2024</v>
      </c>
      <c r="B1475" s="16" t="s">
        <v>696</v>
      </c>
      <c r="C1475" s="71" t="s">
        <v>2140</v>
      </c>
      <c r="D1475" s="2" t="s">
        <v>118</v>
      </c>
      <c r="E1475" s="2" t="s">
        <v>2144</v>
      </c>
      <c r="F1475" s="96">
        <v>4</v>
      </c>
      <c r="G1475" s="1" t="s">
        <v>19</v>
      </c>
      <c r="H1475" s="60">
        <v>1470</v>
      </c>
      <c r="I1475" s="49">
        <f t="shared" si="96"/>
        <v>5880</v>
      </c>
      <c r="J1475" s="532">
        <v>817</v>
      </c>
      <c r="K1475" s="532">
        <f t="shared" ref="K1475:K1538" si="98">H1475-J1475</f>
        <v>653</v>
      </c>
      <c r="L1475" s="533">
        <f t="shared" si="97"/>
        <v>2612</v>
      </c>
      <c r="M1475" s="537">
        <f t="shared" ref="M1475:M1538" si="99">K1475/H1475</f>
        <v>0.44421768707482995</v>
      </c>
      <c r="N1475" s="47" t="s">
        <v>22</v>
      </c>
      <c r="O1475" s="81" t="s">
        <v>21</v>
      </c>
    </row>
    <row r="1476" spans="1:15">
      <c r="A1476" s="71">
        <v>2024</v>
      </c>
      <c r="B1476" s="16" t="s">
        <v>696</v>
      </c>
      <c r="C1476" s="71" t="s">
        <v>2140</v>
      </c>
      <c r="D1476" s="2" t="s">
        <v>118</v>
      </c>
      <c r="E1476" s="2" t="s">
        <v>2145</v>
      </c>
      <c r="F1476" s="96">
        <v>4</v>
      </c>
      <c r="G1476" s="1" t="s">
        <v>19</v>
      </c>
      <c r="H1476" s="60">
        <v>1900</v>
      </c>
      <c r="I1476" s="49">
        <f t="shared" si="96"/>
        <v>7600</v>
      </c>
      <c r="J1476" s="532">
        <v>1048</v>
      </c>
      <c r="K1476" s="532">
        <f t="shared" si="98"/>
        <v>852</v>
      </c>
      <c r="L1476" s="533">
        <f t="shared" si="97"/>
        <v>3408</v>
      </c>
      <c r="M1476" s="537">
        <f t="shared" si="99"/>
        <v>0.44842105263157894</v>
      </c>
      <c r="N1476" s="47" t="s">
        <v>22</v>
      </c>
      <c r="O1476" s="81" t="s">
        <v>21</v>
      </c>
    </row>
    <row r="1477" spans="1:15">
      <c r="A1477" s="71">
        <v>2024</v>
      </c>
      <c r="B1477" s="16" t="s">
        <v>696</v>
      </c>
      <c r="C1477" s="71" t="s">
        <v>2146</v>
      </c>
      <c r="D1477" s="2" t="s">
        <v>17</v>
      </c>
      <c r="E1477" s="2" t="s">
        <v>2147</v>
      </c>
      <c r="F1477" s="96">
        <v>1</v>
      </c>
      <c r="G1477" s="1" t="s">
        <v>19</v>
      </c>
      <c r="H1477" s="60">
        <v>6600</v>
      </c>
      <c r="I1477" s="49">
        <f t="shared" si="96"/>
        <v>6600</v>
      </c>
      <c r="J1477" s="532">
        <v>4400</v>
      </c>
      <c r="K1477" s="532">
        <f t="shared" si="98"/>
        <v>2200</v>
      </c>
      <c r="L1477" s="533">
        <f t="shared" si="97"/>
        <v>2200</v>
      </c>
      <c r="M1477" s="537">
        <f t="shared" si="99"/>
        <v>0.33333333333333331</v>
      </c>
      <c r="N1477" s="47" t="s">
        <v>22</v>
      </c>
      <c r="O1477" s="81" t="s">
        <v>21</v>
      </c>
    </row>
    <row r="1478" spans="1:15">
      <c r="A1478" s="71">
        <v>2024</v>
      </c>
      <c r="B1478" s="16" t="s">
        <v>696</v>
      </c>
      <c r="C1478" s="71" t="s">
        <v>2148</v>
      </c>
      <c r="D1478" s="2" t="s">
        <v>2149</v>
      </c>
      <c r="E1478" s="2" t="s">
        <v>2150</v>
      </c>
      <c r="F1478" s="96">
        <v>1</v>
      </c>
      <c r="G1478" s="1" t="s">
        <v>59</v>
      </c>
      <c r="H1478" s="60">
        <v>52000</v>
      </c>
      <c r="I1478" s="49">
        <f t="shared" si="96"/>
        <v>52000</v>
      </c>
      <c r="J1478" s="532">
        <v>47000</v>
      </c>
      <c r="K1478" s="532">
        <f t="shared" si="98"/>
        <v>5000</v>
      </c>
      <c r="L1478" s="533">
        <f t="shared" si="97"/>
        <v>5000</v>
      </c>
      <c r="M1478" s="537">
        <f t="shared" si="99"/>
        <v>9.6153846153846159E-2</v>
      </c>
      <c r="N1478" s="47" t="s">
        <v>38</v>
      </c>
      <c r="O1478" s="81" t="s">
        <v>21</v>
      </c>
    </row>
    <row r="1479" spans="1:15">
      <c r="A1479" s="71">
        <v>2024</v>
      </c>
      <c r="B1479" s="16" t="s">
        <v>696</v>
      </c>
      <c r="C1479" s="71" t="s">
        <v>2151</v>
      </c>
      <c r="D1479" s="2" t="s">
        <v>1670</v>
      </c>
      <c r="E1479" s="2" t="s">
        <v>2152</v>
      </c>
      <c r="F1479" s="96">
        <v>1</v>
      </c>
      <c r="G1479" s="1" t="s">
        <v>238</v>
      </c>
      <c r="H1479" s="60">
        <v>70000</v>
      </c>
      <c r="I1479" s="49">
        <f t="shared" si="96"/>
        <v>70000</v>
      </c>
      <c r="J1479" s="532">
        <v>50000</v>
      </c>
      <c r="K1479" s="532">
        <f t="shared" si="98"/>
        <v>20000</v>
      </c>
      <c r="L1479" s="533">
        <f t="shared" si="97"/>
        <v>20000</v>
      </c>
      <c r="M1479" s="537">
        <f t="shared" si="99"/>
        <v>0.2857142857142857</v>
      </c>
      <c r="N1479" s="47" t="s">
        <v>22</v>
      </c>
      <c r="O1479" s="81" t="s">
        <v>21</v>
      </c>
    </row>
    <row r="1480" spans="1:15">
      <c r="A1480" s="71">
        <v>2024</v>
      </c>
      <c r="B1480" s="16" t="s">
        <v>696</v>
      </c>
      <c r="C1480" s="71" t="s">
        <v>2153</v>
      </c>
      <c r="D1480" s="2" t="s">
        <v>118</v>
      </c>
      <c r="E1480" s="2" t="s">
        <v>2154</v>
      </c>
      <c r="F1480" s="96">
        <v>1</v>
      </c>
      <c r="G1480" s="1" t="s">
        <v>19</v>
      </c>
      <c r="H1480" s="60">
        <v>9900</v>
      </c>
      <c r="I1480" s="49">
        <f t="shared" si="96"/>
        <v>9900</v>
      </c>
      <c r="J1480" s="532">
        <v>7670</v>
      </c>
      <c r="K1480" s="532">
        <f t="shared" si="98"/>
        <v>2230</v>
      </c>
      <c r="L1480" s="533">
        <f t="shared" si="97"/>
        <v>2230</v>
      </c>
      <c r="M1480" s="537">
        <f t="shared" si="99"/>
        <v>0.22525252525252526</v>
      </c>
      <c r="N1480" s="47" t="s">
        <v>22</v>
      </c>
      <c r="O1480" s="81" t="s">
        <v>21</v>
      </c>
    </row>
    <row r="1481" spans="1:15">
      <c r="A1481" s="71">
        <v>2024</v>
      </c>
      <c r="B1481" s="16" t="s">
        <v>696</v>
      </c>
      <c r="C1481" s="71" t="s">
        <v>2153</v>
      </c>
      <c r="D1481" s="2" t="s">
        <v>118</v>
      </c>
      <c r="E1481" s="2" t="s">
        <v>2155</v>
      </c>
      <c r="F1481" s="96">
        <v>1</v>
      </c>
      <c r="G1481" s="1" t="s">
        <v>19</v>
      </c>
      <c r="H1481" s="60">
        <v>3500</v>
      </c>
      <c r="I1481" s="49">
        <f t="shared" si="96"/>
        <v>3500</v>
      </c>
      <c r="J1481" s="532">
        <v>3320</v>
      </c>
      <c r="K1481" s="532">
        <f t="shared" si="98"/>
        <v>180</v>
      </c>
      <c r="L1481" s="533">
        <f t="shared" si="97"/>
        <v>180</v>
      </c>
      <c r="M1481" s="537">
        <f t="shared" si="99"/>
        <v>5.1428571428571428E-2</v>
      </c>
      <c r="N1481" s="47" t="s">
        <v>22</v>
      </c>
      <c r="O1481" s="81" t="s">
        <v>21</v>
      </c>
    </row>
    <row r="1482" spans="1:15">
      <c r="A1482" s="71">
        <v>2024</v>
      </c>
      <c r="B1482" s="16" t="s">
        <v>696</v>
      </c>
      <c r="C1482" s="71" t="s">
        <v>2153</v>
      </c>
      <c r="D1482" s="2" t="s">
        <v>118</v>
      </c>
      <c r="E1482" s="2" t="s">
        <v>2156</v>
      </c>
      <c r="F1482" s="96">
        <v>1</v>
      </c>
      <c r="G1482" s="1" t="s">
        <v>19</v>
      </c>
      <c r="H1482" s="60">
        <v>2500</v>
      </c>
      <c r="I1482" s="49">
        <f t="shared" si="96"/>
        <v>2500</v>
      </c>
      <c r="J1482" s="532">
        <v>2250</v>
      </c>
      <c r="K1482" s="532">
        <f t="shared" si="98"/>
        <v>250</v>
      </c>
      <c r="L1482" s="533">
        <f t="shared" si="97"/>
        <v>250</v>
      </c>
      <c r="M1482" s="537">
        <f t="shared" si="99"/>
        <v>0.1</v>
      </c>
      <c r="N1482" s="47" t="s">
        <v>22</v>
      </c>
      <c r="O1482" s="81" t="s">
        <v>21</v>
      </c>
    </row>
    <row r="1483" spans="1:15">
      <c r="A1483" s="71">
        <v>2024</v>
      </c>
      <c r="B1483" s="16" t="s">
        <v>696</v>
      </c>
      <c r="C1483" s="71" t="s">
        <v>2157</v>
      </c>
      <c r="D1483" s="2" t="s">
        <v>926</v>
      </c>
      <c r="E1483" s="2" t="s">
        <v>2158</v>
      </c>
      <c r="F1483" s="96">
        <v>1</v>
      </c>
      <c r="G1483" s="1" t="s">
        <v>302</v>
      </c>
      <c r="H1483" s="60">
        <v>14500</v>
      </c>
      <c r="I1483" s="49">
        <f t="shared" si="96"/>
        <v>14500</v>
      </c>
      <c r="J1483" s="532">
        <v>13900</v>
      </c>
      <c r="K1483" s="532">
        <f t="shared" si="98"/>
        <v>600</v>
      </c>
      <c r="L1483" s="533">
        <f t="shared" si="97"/>
        <v>600</v>
      </c>
      <c r="M1483" s="537">
        <f t="shared" si="99"/>
        <v>4.1379310344827586E-2</v>
      </c>
      <c r="N1483" s="47" t="s">
        <v>38</v>
      </c>
      <c r="O1483" s="81" t="s">
        <v>105</v>
      </c>
    </row>
    <row r="1484" spans="1:15">
      <c r="A1484" s="71">
        <v>2024</v>
      </c>
      <c r="B1484" s="16" t="s">
        <v>696</v>
      </c>
      <c r="C1484" s="71" t="s">
        <v>2159</v>
      </c>
      <c r="D1484" s="2" t="s">
        <v>329</v>
      </c>
      <c r="E1484" s="2" t="s">
        <v>2160</v>
      </c>
      <c r="F1484" s="96">
        <v>20</v>
      </c>
      <c r="G1484" s="1" t="s">
        <v>1368</v>
      </c>
      <c r="H1484" s="60">
        <v>4420</v>
      </c>
      <c r="I1484" s="49">
        <f t="shared" si="96"/>
        <v>88400</v>
      </c>
      <c r="J1484" s="532">
        <v>4385</v>
      </c>
      <c r="K1484" s="532">
        <f t="shared" si="98"/>
        <v>35</v>
      </c>
      <c r="L1484" s="533">
        <f t="shared" si="97"/>
        <v>700</v>
      </c>
      <c r="M1484" s="537">
        <f t="shared" si="99"/>
        <v>7.9185520361990946E-3</v>
      </c>
      <c r="N1484" s="47" t="s">
        <v>22</v>
      </c>
      <c r="O1484" s="81" t="s">
        <v>39</v>
      </c>
    </row>
    <row r="1485" spans="1:15">
      <c r="A1485" s="71">
        <v>2024</v>
      </c>
      <c r="B1485" s="16" t="s">
        <v>696</v>
      </c>
      <c r="C1485" s="71" t="s">
        <v>2159</v>
      </c>
      <c r="D1485" s="2" t="s">
        <v>329</v>
      </c>
      <c r="E1485" s="2" t="s">
        <v>2161</v>
      </c>
      <c r="F1485" s="96">
        <v>15</v>
      </c>
      <c r="G1485" s="1" t="s">
        <v>1368</v>
      </c>
      <c r="H1485" s="60">
        <v>3200</v>
      </c>
      <c r="I1485" s="49">
        <f t="shared" si="96"/>
        <v>48000</v>
      </c>
      <c r="J1485" s="532">
        <v>3150</v>
      </c>
      <c r="K1485" s="532">
        <f t="shared" si="98"/>
        <v>50</v>
      </c>
      <c r="L1485" s="533">
        <f t="shared" si="97"/>
        <v>750</v>
      </c>
      <c r="M1485" s="537">
        <f t="shared" si="99"/>
        <v>1.5625E-2</v>
      </c>
      <c r="N1485" s="47" t="s">
        <v>22</v>
      </c>
      <c r="O1485" s="81" t="s">
        <v>39</v>
      </c>
    </row>
    <row r="1486" spans="1:15">
      <c r="A1486" s="71">
        <v>2024</v>
      </c>
      <c r="B1486" s="16" t="s">
        <v>696</v>
      </c>
      <c r="C1486" s="71" t="s">
        <v>2162</v>
      </c>
      <c r="D1486" s="2" t="s">
        <v>1042</v>
      </c>
      <c r="E1486" s="2" t="s">
        <v>889</v>
      </c>
      <c r="F1486" s="96">
        <v>1206</v>
      </c>
      <c r="G1486" s="1" t="s">
        <v>37</v>
      </c>
      <c r="H1486" s="60">
        <v>414</v>
      </c>
      <c r="I1486" s="49">
        <f t="shared" si="96"/>
        <v>499284</v>
      </c>
      <c r="J1486" s="532">
        <v>409</v>
      </c>
      <c r="K1486" s="532">
        <f t="shared" si="98"/>
        <v>5</v>
      </c>
      <c r="L1486" s="533">
        <f t="shared" si="97"/>
        <v>6030</v>
      </c>
      <c r="M1486" s="537">
        <f t="shared" si="99"/>
        <v>1.2077294685990338E-2</v>
      </c>
      <c r="N1486" s="47" t="s">
        <v>38</v>
      </c>
      <c r="O1486" s="81" t="s">
        <v>105</v>
      </c>
    </row>
    <row r="1487" spans="1:15">
      <c r="A1487" s="71">
        <v>2024</v>
      </c>
      <c r="B1487" s="16" t="s">
        <v>696</v>
      </c>
      <c r="C1487" s="71" t="s">
        <v>2163</v>
      </c>
      <c r="D1487" s="2" t="s">
        <v>2164</v>
      </c>
      <c r="E1487" s="2" t="s">
        <v>1137</v>
      </c>
      <c r="F1487" s="469">
        <v>820</v>
      </c>
      <c r="G1487" s="1" t="s">
        <v>37</v>
      </c>
      <c r="H1487" s="60">
        <v>433.5</v>
      </c>
      <c r="I1487" s="49">
        <f t="shared" si="96"/>
        <v>355470</v>
      </c>
      <c r="J1487" s="532">
        <v>425</v>
      </c>
      <c r="K1487" s="532">
        <f t="shared" si="98"/>
        <v>8.5</v>
      </c>
      <c r="L1487" s="533">
        <f t="shared" si="97"/>
        <v>6970</v>
      </c>
      <c r="M1487" s="537">
        <f t="shared" si="99"/>
        <v>1.9607843137254902E-2</v>
      </c>
      <c r="N1487" s="47" t="s">
        <v>38</v>
      </c>
      <c r="O1487" s="81" t="s">
        <v>105</v>
      </c>
    </row>
    <row r="1488" spans="1:15">
      <c r="A1488" s="71">
        <v>2024</v>
      </c>
      <c r="B1488" s="16" t="s">
        <v>696</v>
      </c>
      <c r="C1488" s="71" t="s">
        <v>2165</v>
      </c>
      <c r="D1488" s="2" t="s">
        <v>94</v>
      </c>
      <c r="E1488" s="2" t="s">
        <v>550</v>
      </c>
      <c r="F1488" s="96">
        <v>200</v>
      </c>
      <c r="G1488" s="1" t="s">
        <v>19</v>
      </c>
      <c r="H1488" s="60">
        <v>50</v>
      </c>
      <c r="I1488" s="49">
        <f t="shared" si="96"/>
        <v>10000</v>
      </c>
      <c r="J1488" s="532">
        <v>47.56</v>
      </c>
      <c r="K1488" s="532">
        <f t="shared" si="98"/>
        <v>2.4399999999999977</v>
      </c>
      <c r="L1488" s="533">
        <f t="shared" si="97"/>
        <v>487.99999999999955</v>
      </c>
      <c r="M1488" s="537">
        <f t="shared" si="99"/>
        <v>4.8799999999999955E-2</v>
      </c>
      <c r="N1488" s="47" t="s">
        <v>22</v>
      </c>
      <c r="O1488" s="81" t="s">
        <v>105</v>
      </c>
    </row>
    <row r="1489" spans="1:15">
      <c r="A1489" s="71">
        <v>2024</v>
      </c>
      <c r="B1489" s="16" t="s">
        <v>696</v>
      </c>
      <c r="C1489" s="71" t="s">
        <v>2165</v>
      </c>
      <c r="D1489" s="2" t="s">
        <v>94</v>
      </c>
      <c r="E1489" s="2" t="s">
        <v>546</v>
      </c>
      <c r="F1489" s="96">
        <v>200</v>
      </c>
      <c r="G1489" s="1" t="s">
        <v>19</v>
      </c>
      <c r="H1489" s="60">
        <v>185</v>
      </c>
      <c r="I1489" s="49">
        <f t="shared" si="96"/>
        <v>37000</v>
      </c>
      <c r="J1489" s="532">
        <v>182.25</v>
      </c>
      <c r="K1489" s="532">
        <f t="shared" si="98"/>
        <v>2.75</v>
      </c>
      <c r="L1489" s="533">
        <f t="shared" si="97"/>
        <v>550</v>
      </c>
      <c r="M1489" s="537">
        <f t="shared" si="99"/>
        <v>1.4864864864864866E-2</v>
      </c>
      <c r="N1489" s="47" t="s">
        <v>22</v>
      </c>
      <c r="O1489" s="81" t="s">
        <v>105</v>
      </c>
    </row>
    <row r="1490" spans="1:15">
      <c r="A1490" s="71">
        <v>2024</v>
      </c>
      <c r="B1490" s="16" t="s">
        <v>696</v>
      </c>
      <c r="C1490" s="71" t="s">
        <v>2166</v>
      </c>
      <c r="D1490" s="2" t="s">
        <v>2167</v>
      </c>
      <c r="E1490" s="2" t="s">
        <v>2168</v>
      </c>
      <c r="F1490" s="96">
        <v>23000</v>
      </c>
      <c r="G1490" s="1" t="s">
        <v>2169</v>
      </c>
      <c r="H1490" s="60">
        <f>3.9*40</f>
        <v>156</v>
      </c>
      <c r="I1490" s="49">
        <f t="shared" si="96"/>
        <v>3588000</v>
      </c>
      <c r="J1490" s="532">
        <f>3.5*40</f>
        <v>140</v>
      </c>
      <c r="K1490" s="532">
        <f t="shared" si="98"/>
        <v>16</v>
      </c>
      <c r="L1490" s="533">
        <f t="shared" si="97"/>
        <v>368000</v>
      </c>
      <c r="M1490" s="537">
        <f t="shared" si="99"/>
        <v>0.10256410256410256</v>
      </c>
      <c r="N1490" s="47" t="s">
        <v>38</v>
      </c>
      <c r="O1490" s="81" t="s">
        <v>39</v>
      </c>
    </row>
    <row r="1491" spans="1:15">
      <c r="A1491" s="71">
        <v>2024</v>
      </c>
      <c r="B1491" s="16" t="s">
        <v>696</v>
      </c>
      <c r="C1491" s="71" t="s">
        <v>2166</v>
      </c>
      <c r="D1491" s="2" t="s">
        <v>2167</v>
      </c>
      <c r="E1491" s="2" t="s">
        <v>2170</v>
      </c>
      <c r="F1491" s="96">
        <v>24</v>
      </c>
      <c r="G1491" s="1" t="s">
        <v>2171</v>
      </c>
      <c r="H1491" s="60">
        <f>851*40</f>
        <v>34040</v>
      </c>
      <c r="I1491" s="49">
        <f t="shared" si="96"/>
        <v>816960</v>
      </c>
      <c r="J1491" s="532">
        <f>743.4*40</f>
        <v>29736</v>
      </c>
      <c r="K1491" s="532">
        <f t="shared" si="98"/>
        <v>4304</v>
      </c>
      <c r="L1491" s="533">
        <f t="shared" si="97"/>
        <v>103296</v>
      </c>
      <c r="M1491" s="537">
        <f t="shared" si="99"/>
        <v>0.12643948296122209</v>
      </c>
      <c r="N1491" s="47" t="s">
        <v>38</v>
      </c>
      <c r="O1491" s="81" t="s">
        <v>39</v>
      </c>
    </row>
    <row r="1492" spans="1:15">
      <c r="A1492" s="71">
        <v>2024</v>
      </c>
      <c r="B1492" s="16" t="s">
        <v>696</v>
      </c>
      <c r="C1492" s="63" t="s">
        <v>2172</v>
      </c>
      <c r="D1492" s="56" t="s">
        <v>590</v>
      </c>
      <c r="E1492" s="56" t="s">
        <v>2173</v>
      </c>
      <c r="F1492" s="101">
        <v>8</v>
      </c>
      <c r="G1492" s="59" t="s">
        <v>238</v>
      </c>
      <c r="H1492" s="60">
        <v>10000</v>
      </c>
      <c r="I1492" s="49">
        <f t="shared" si="96"/>
        <v>80000</v>
      </c>
      <c r="J1492" s="532">
        <v>9600</v>
      </c>
      <c r="K1492" s="532">
        <f t="shared" si="98"/>
        <v>400</v>
      </c>
      <c r="L1492" s="533">
        <f t="shared" si="97"/>
        <v>3200</v>
      </c>
      <c r="M1492" s="537">
        <f t="shared" si="99"/>
        <v>0.04</v>
      </c>
      <c r="N1492" s="47" t="s">
        <v>38</v>
      </c>
      <c r="O1492" s="81" t="s">
        <v>39</v>
      </c>
    </row>
    <row r="1493" spans="1:15">
      <c r="A1493" s="71">
        <v>2024</v>
      </c>
      <c r="B1493" s="16" t="s">
        <v>696</v>
      </c>
      <c r="C1493" s="63" t="s">
        <v>2172</v>
      </c>
      <c r="D1493" s="56" t="s">
        <v>590</v>
      </c>
      <c r="E1493" s="56" t="s">
        <v>2174</v>
      </c>
      <c r="F1493" s="101">
        <v>1</v>
      </c>
      <c r="G1493" s="59" t="s">
        <v>238</v>
      </c>
      <c r="H1493" s="60">
        <v>42000</v>
      </c>
      <c r="I1493" s="49">
        <v>42000</v>
      </c>
      <c r="J1493" s="532">
        <v>41000</v>
      </c>
      <c r="K1493" s="532">
        <f t="shared" si="98"/>
        <v>1000</v>
      </c>
      <c r="L1493" s="533">
        <f t="shared" si="97"/>
        <v>1000</v>
      </c>
      <c r="M1493" s="537">
        <f t="shared" si="99"/>
        <v>2.3809523809523808E-2</v>
      </c>
      <c r="N1493" s="47" t="s">
        <v>38</v>
      </c>
      <c r="O1493" s="81" t="s">
        <v>39</v>
      </c>
    </row>
    <row r="1494" spans="1:15">
      <c r="A1494" s="71">
        <v>2024</v>
      </c>
      <c r="B1494" s="16" t="s">
        <v>696</v>
      </c>
      <c r="C1494" s="63" t="s">
        <v>2175</v>
      </c>
      <c r="D1494" s="56" t="s">
        <v>35</v>
      </c>
      <c r="E1494" s="56" t="s">
        <v>1130</v>
      </c>
      <c r="F1494" s="101">
        <v>9920</v>
      </c>
      <c r="G1494" s="59" t="s">
        <v>37</v>
      </c>
      <c r="H1494" s="60">
        <v>441</v>
      </c>
      <c r="I1494" s="49">
        <f t="shared" ref="I1494:I1525" si="100">H1494*F1494</f>
        <v>4374720</v>
      </c>
      <c r="J1494" s="532">
        <v>422</v>
      </c>
      <c r="K1494" s="532">
        <f t="shared" si="98"/>
        <v>19</v>
      </c>
      <c r="L1494" s="533">
        <f t="shared" si="97"/>
        <v>188480</v>
      </c>
      <c r="M1494" s="537">
        <f t="shared" si="99"/>
        <v>4.3083900226757371E-2</v>
      </c>
      <c r="N1494" s="47" t="s">
        <v>38</v>
      </c>
      <c r="O1494" s="81" t="s">
        <v>105</v>
      </c>
    </row>
    <row r="1495" spans="1:15">
      <c r="A1495" s="71">
        <v>2024</v>
      </c>
      <c r="B1495" s="16" t="s">
        <v>696</v>
      </c>
      <c r="C1495" s="63" t="s">
        <v>2175</v>
      </c>
      <c r="D1495" s="56" t="s">
        <v>35</v>
      </c>
      <c r="E1495" s="56" t="s">
        <v>2176</v>
      </c>
      <c r="F1495" s="101">
        <v>768</v>
      </c>
      <c r="G1495" s="59" t="s">
        <v>37</v>
      </c>
      <c r="H1495" s="60">
        <v>448</v>
      </c>
      <c r="I1495" s="49">
        <f t="shared" si="100"/>
        <v>344064</v>
      </c>
      <c r="J1495" s="532">
        <v>429</v>
      </c>
      <c r="K1495" s="532">
        <f t="shared" si="98"/>
        <v>19</v>
      </c>
      <c r="L1495" s="533">
        <f t="shared" si="97"/>
        <v>14592</v>
      </c>
      <c r="M1495" s="537">
        <f t="shared" si="99"/>
        <v>4.2410714285714288E-2</v>
      </c>
      <c r="N1495" s="47" t="s">
        <v>38</v>
      </c>
      <c r="O1495" s="81" t="s">
        <v>105</v>
      </c>
    </row>
    <row r="1496" spans="1:15">
      <c r="A1496" s="71">
        <v>2024</v>
      </c>
      <c r="B1496" s="16" t="s">
        <v>696</v>
      </c>
      <c r="C1496" s="63" t="s">
        <v>2177</v>
      </c>
      <c r="D1496" s="56" t="s">
        <v>1042</v>
      </c>
      <c r="E1496" s="56" t="s">
        <v>473</v>
      </c>
      <c r="F1496" s="101">
        <v>373</v>
      </c>
      <c r="G1496" s="59" t="s">
        <v>37</v>
      </c>
      <c r="H1496" s="60">
        <v>414</v>
      </c>
      <c r="I1496" s="49">
        <f t="shared" si="100"/>
        <v>154422</v>
      </c>
      <c r="J1496" s="532">
        <v>409</v>
      </c>
      <c r="K1496" s="532">
        <f t="shared" si="98"/>
        <v>5</v>
      </c>
      <c r="L1496" s="533">
        <f t="shared" si="97"/>
        <v>1865</v>
      </c>
      <c r="M1496" s="537">
        <f t="shared" si="99"/>
        <v>1.2077294685990338E-2</v>
      </c>
      <c r="N1496" s="47" t="s">
        <v>38</v>
      </c>
      <c r="O1496" s="81" t="s">
        <v>105</v>
      </c>
    </row>
    <row r="1497" spans="1:15">
      <c r="A1497" s="71">
        <v>2024</v>
      </c>
      <c r="B1497" s="16" t="s">
        <v>696</v>
      </c>
      <c r="C1497" s="63" t="s">
        <v>2178</v>
      </c>
      <c r="D1497" s="56" t="s">
        <v>192</v>
      </c>
      <c r="E1497" s="56" t="s">
        <v>2179</v>
      </c>
      <c r="F1497" s="101">
        <v>14</v>
      </c>
      <c r="G1497" s="59" t="s">
        <v>19</v>
      </c>
      <c r="H1497" s="60">
        <v>10980</v>
      </c>
      <c r="I1497" s="49">
        <f t="shared" si="100"/>
        <v>153720</v>
      </c>
      <c r="J1497" s="532">
        <v>10650</v>
      </c>
      <c r="K1497" s="532">
        <f t="shared" si="98"/>
        <v>330</v>
      </c>
      <c r="L1497" s="533">
        <f t="shared" si="97"/>
        <v>4620</v>
      </c>
      <c r="M1497" s="537">
        <f t="shared" si="99"/>
        <v>3.0054644808743168E-2</v>
      </c>
      <c r="N1497" s="47" t="s">
        <v>38</v>
      </c>
      <c r="O1497" s="81" t="s">
        <v>105</v>
      </c>
    </row>
    <row r="1498" spans="1:15">
      <c r="A1498" s="71">
        <v>2024</v>
      </c>
      <c r="B1498" s="16" t="s">
        <v>696</v>
      </c>
      <c r="C1498" s="63" t="s">
        <v>2178</v>
      </c>
      <c r="D1498" s="56" t="s">
        <v>192</v>
      </c>
      <c r="E1498" s="56" t="s">
        <v>2180</v>
      </c>
      <c r="F1498" s="101">
        <v>6</v>
      </c>
      <c r="G1498" s="59" t="s">
        <v>19</v>
      </c>
      <c r="H1498" s="60">
        <v>9875</v>
      </c>
      <c r="I1498" s="49">
        <f t="shared" si="100"/>
        <v>59250</v>
      </c>
      <c r="J1498" s="532">
        <v>9575</v>
      </c>
      <c r="K1498" s="532">
        <f t="shared" si="98"/>
        <v>300</v>
      </c>
      <c r="L1498" s="533">
        <f t="shared" si="97"/>
        <v>1800</v>
      </c>
      <c r="M1498" s="537">
        <f t="shared" si="99"/>
        <v>3.0379746835443037E-2</v>
      </c>
      <c r="N1498" s="47" t="s">
        <v>38</v>
      </c>
      <c r="O1498" s="81" t="s">
        <v>105</v>
      </c>
    </row>
    <row r="1499" spans="1:15">
      <c r="A1499" s="71">
        <v>2024</v>
      </c>
      <c r="B1499" s="16" t="s">
        <v>696</v>
      </c>
      <c r="C1499" s="63" t="s">
        <v>2181</v>
      </c>
      <c r="D1499" s="56" t="s">
        <v>192</v>
      </c>
      <c r="E1499" s="56" t="s">
        <v>2182</v>
      </c>
      <c r="F1499" s="101">
        <v>2</v>
      </c>
      <c r="G1499" s="59" t="s">
        <v>225</v>
      </c>
      <c r="H1499" s="60">
        <v>40000</v>
      </c>
      <c r="I1499" s="49">
        <f t="shared" si="100"/>
        <v>80000</v>
      </c>
      <c r="J1499" s="532">
        <v>30170</v>
      </c>
      <c r="K1499" s="532">
        <f t="shared" si="98"/>
        <v>9830</v>
      </c>
      <c r="L1499" s="533">
        <f t="shared" si="97"/>
        <v>19660</v>
      </c>
      <c r="M1499" s="537">
        <f t="shared" si="99"/>
        <v>0.24575</v>
      </c>
      <c r="N1499" s="47" t="s">
        <v>38</v>
      </c>
      <c r="O1499" s="81" t="s">
        <v>105</v>
      </c>
    </row>
    <row r="1500" spans="1:15">
      <c r="A1500" s="71">
        <v>2024</v>
      </c>
      <c r="B1500" s="16" t="s">
        <v>696</v>
      </c>
      <c r="C1500" s="63" t="s">
        <v>2183</v>
      </c>
      <c r="D1500" s="56" t="s">
        <v>398</v>
      </c>
      <c r="E1500" s="56" t="s">
        <v>2184</v>
      </c>
      <c r="F1500" s="101">
        <v>1</v>
      </c>
      <c r="G1500" s="59" t="s">
        <v>59</v>
      </c>
      <c r="H1500" s="60">
        <v>9425290</v>
      </c>
      <c r="I1500" s="49">
        <f t="shared" si="100"/>
        <v>9425290</v>
      </c>
      <c r="J1500" s="532">
        <v>9100000</v>
      </c>
      <c r="K1500" s="532">
        <f t="shared" si="98"/>
        <v>325290</v>
      </c>
      <c r="L1500" s="533">
        <f t="shared" si="97"/>
        <v>325290</v>
      </c>
      <c r="M1500" s="537">
        <f t="shared" si="99"/>
        <v>3.4512465929430289E-2</v>
      </c>
      <c r="N1500" s="47" t="s">
        <v>22</v>
      </c>
      <c r="O1500" s="81" t="s">
        <v>21</v>
      </c>
    </row>
    <row r="1501" spans="1:15">
      <c r="A1501" s="71">
        <v>2024</v>
      </c>
      <c r="B1501" s="16" t="s">
        <v>696</v>
      </c>
      <c r="C1501" s="63" t="s">
        <v>2185</v>
      </c>
      <c r="D1501" s="56" t="s">
        <v>828</v>
      </c>
      <c r="E1501" s="56" t="s">
        <v>2186</v>
      </c>
      <c r="F1501" s="136">
        <v>100</v>
      </c>
      <c r="G1501" s="59" t="s">
        <v>225</v>
      </c>
      <c r="H1501" s="60">
        <v>45</v>
      </c>
      <c r="I1501" s="49">
        <f t="shared" si="100"/>
        <v>4500</v>
      </c>
      <c r="J1501" s="532">
        <v>42</v>
      </c>
      <c r="K1501" s="532">
        <f t="shared" si="98"/>
        <v>3</v>
      </c>
      <c r="L1501" s="533">
        <f t="shared" si="97"/>
        <v>300</v>
      </c>
      <c r="M1501" s="537">
        <f t="shared" si="99"/>
        <v>6.6666666666666666E-2</v>
      </c>
      <c r="N1501" s="47" t="s">
        <v>20</v>
      </c>
      <c r="O1501" s="81" t="s">
        <v>21</v>
      </c>
    </row>
    <row r="1502" spans="1:15">
      <c r="A1502" s="71">
        <v>2024</v>
      </c>
      <c r="B1502" s="16" t="s">
        <v>696</v>
      </c>
      <c r="C1502" s="63" t="s">
        <v>2185</v>
      </c>
      <c r="D1502" s="56" t="s">
        <v>828</v>
      </c>
      <c r="E1502" s="82" t="s">
        <v>2187</v>
      </c>
      <c r="F1502" s="99">
        <v>100</v>
      </c>
      <c r="G1502" s="160" t="s">
        <v>225</v>
      </c>
      <c r="H1502" s="60">
        <v>45</v>
      </c>
      <c r="I1502" s="49">
        <f t="shared" si="100"/>
        <v>4500</v>
      </c>
      <c r="J1502" s="532">
        <v>42</v>
      </c>
      <c r="K1502" s="532">
        <f t="shared" si="98"/>
        <v>3</v>
      </c>
      <c r="L1502" s="533">
        <f t="shared" si="97"/>
        <v>300</v>
      </c>
      <c r="M1502" s="537">
        <f t="shared" si="99"/>
        <v>6.6666666666666666E-2</v>
      </c>
      <c r="N1502" s="47" t="s">
        <v>20</v>
      </c>
      <c r="O1502" s="81" t="s">
        <v>21</v>
      </c>
    </row>
    <row r="1503" spans="1:15">
      <c r="A1503" s="71">
        <v>2024</v>
      </c>
      <c r="B1503" s="16" t="s">
        <v>696</v>
      </c>
      <c r="C1503" s="63" t="s">
        <v>2188</v>
      </c>
      <c r="D1503" s="56" t="s">
        <v>1948</v>
      </c>
      <c r="E1503" s="56" t="s">
        <v>2189</v>
      </c>
      <c r="F1503" s="101">
        <v>1</v>
      </c>
      <c r="G1503" s="59" t="s">
        <v>225</v>
      </c>
      <c r="H1503" s="60">
        <v>3950</v>
      </c>
      <c r="I1503" s="49">
        <f t="shared" si="100"/>
        <v>3950</v>
      </c>
      <c r="J1503" s="532">
        <v>3150</v>
      </c>
      <c r="K1503" s="532">
        <f t="shared" si="98"/>
        <v>800</v>
      </c>
      <c r="L1503" s="533">
        <f t="shared" si="97"/>
        <v>800</v>
      </c>
      <c r="M1503" s="537">
        <f t="shared" si="99"/>
        <v>0.20253164556962025</v>
      </c>
      <c r="N1503" s="47" t="s">
        <v>22</v>
      </c>
      <c r="O1503" s="81" t="s">
        <v>21</v>
      </c>
    </row>
    <row r="1504" spans="1:15">
      <c r="A1504" s="71">
        <v>2024</v>
      </c>
      <c r="B1504" s="16" t="s">
        <v>696</v>
      </c>
      <c r="C1504" s="63" t="s">
        <v>2190</v>
      </c>
      <c r="D1504" s="56" t="s">
        <v>253</v>
      </c>
      <c r="E1504" s="56" t="s">
        <v>2191</v>
      </c>
      <c r="F1504" s="101">
        <v>1</v>
      </c>
      <c r="G1504" s="59" t="s">
        <v>225</v>
      </c>
      <c r="H1504" s="60">
        <v>7500</v>
      </c>
      <c r="I1504" s="49">
        <f t="shared" si="100"/>
        <v>7500</v>
      </c>
      <c r="J1504" s="532">
        <v>6990</v>
      </c>
      <c r="K1504" s="532">
        <f t="shared" si="98"/>
        <v>510</v>
      </c>
      <c r="L1504" s="533">
        <f t="shared" si="97"/>
        <v>510</v>
      </c>
      <c r="M1504" s="537">
        <f t="shared" si="99"/>
        <v>6.8000000000000005E-2</v>
      </c>
      <c r="N1504" s="47" t="s">
        <v>22</v>
      </c>
      <c r="O1504" s="81" t="s">
        <v>21</v>
      </c>
    </row>
    <row r="1505" spans="1:15">
      <c r="A1505" s="71">
        <v>2024</v>
      </c>
      <c r="B1505" s="16" t="s">
        <v>696</v>
      </c>
      <c r="C1505" s="63" t="s">
        <v>2192</v>
      </c>
      <c r="D1505" s="56" t="s">
        <v>448</v>
      </c>
      <c r="E1505" s="56" t="s">
        <v>2193</v>
      </c>
      <c r="F1505" s="101">
        <v>40</v>
      </c>
      <c r="G1505" s="59" t="s">
        <v>225</v>
      </c>
      <c r="H1505" s="60">
        <v>855</v>
      </c>
      <c r="I1505" s="49">
        <f t="shared" si="100"/>
        <v>34200</v>
      </c>
      <c r="J1505" s="532">
        <v>710</v>
      </c>
      <c r="K1505" s="532">
        <f t="shared" si="98"/>
        <v>145</v>
      </c>
      <c r="L1505" s="533">
        <f t="shared" si="97"/>
        <v>5800</v>
      </c>
      <c r="M1505" s="537">
        <f t="shared" si="99"/>
        <v>0.16959064327485379</v>
      </c>
      <c r="N1505" s="47" t="s">
        <v>22</v>
      </c>
      <c r="O1505" s="81" t="s">
        <v>21</v>
      </c>
    </row>
    <row r="1506" spans="1:15">
      <c r="A1506" s="71">
        <v>2024</v>
      </c>
      <c r="B1506" s="16" t="s">
        <v>696</v>
      </c>
      <c r="C1506" s="63" t="s">
        <v>2194</v>
      </c>
      <c r="D1506" s="56" t="s">
        <v>2195</v>
      </c>
      <c r="E1506" s="56" t="s">
        <v>2196</v>
      </c>
      <c r="F1506" s="101">
        <v>3</v>
      </c>
      <c r="G1506" s="59" t="s">
        <v>225</v>
      </c>
      <c r="H1506" s="60">
        <v>4800</v>
      </c>
      <c r="I1506" s="49">
        <f t="shared" si="100"/>
        <v>14400</v>
      </c>
      <c r="J1506" s="532">
        <v>4700</v>
      </c>
      <c r="K1506" s="532">
        <f t="shared" si="98"/>
        <v>100</v>
      </c>
      <c r="L1506" s="533">
        <f t="shared" si="97"/>
        <v>300</v>
      </c>
      <c r="M1506" s="537">
        <f t="shared" si="99"/>
        <v>2.0833333333333332E-2</v>
      </c>
      <c r="N1506" s="47" t="s">
        <v>22</v>
      </c>
      <c r="O1506" s="81" t="s">
        <v>21</v>
      </c>
    </row>
    <row r="1507" spans="1:15">
      <c r="A1507" s="71">
        <v>2024</v>
      </c>
      <c r="B1507" s="16" t="s">
        <v>696</v>
      </c>
      <c r="C1507" s="63" t="s">
        <v>2194</v>
      </c>
      <c r="D1507" s="56" t="s">
        <v>2195</v>
      </c>
      <c r="E1507" s="56" t="s">
        <v>2197</v>
      </c>
      <c r="F1507" s="101">
        <v>1</v>
      </c>
      <c r="G1507" s="59" t="s">
        <v>225</v>
      </c>
      <c r="H1507" s="60">
        <v>4800</v>
      </c>
      <c r="I1507" s="49">
        <f t="shared" si="100"/>
        <v>4800</v>
      </c>
      <c r="J1507" s="532">
        <v>4700</v>
      </c>
      <c r="K1507" s="532">
        <f t="shared" si="98"/>
        <v>100</v>
      </c>
      <c r="L1507" s="533">
        <f t="shared" si="97"/>
        <v>100</v>
      </c>
      <c r="M1507" s="537">
        <f t="shared" si="99"/>
        <v>2.0833333333333332E-2</v>
      </c>
      <c r="N1507" s="47" t="s">
        <v>22</v>
      </c>
      <c r="O1507" s="81" t="s">
        <v>21</v>
      </c>
    </row>
    <row r="1508" spans="1:15">
      <c r="A1508" s="71">
        <v>2024</v>
      </c>
      <c r="B1508" s="16" t="s">
        <v>696</v>
      </c>
      <c r="C1508" s="63" t="s">
        <v>2198</v>
      </c>
      <c r="D1508" s="56" t="s">
        <v>1896</v>
      </c>
      <c r="E1508" s="56" t="s">
        <v>1897</v>
      </c>
      <c r="F1508" s="101">
        <v>60</v>
      </c>
      <c r="G1508" s="59" t="s">
        <v>225</v>
      </c>
      <c r="H1508" s="60">
        <v>80</v>
      </c>
      <c r="I1508" s="49">
        <f t="shared" si="100"/>
        <v>4800</v>
      </c>
      <c r="J1508" s="532">
        <v>70</v>
      </c>
      <c r="K1508" s="532">
        <f t="shared" si="98"/>
        <v>10</v>
      </c>
      <c r="L1508" s="533">
        <f t="shared" si="97"/>
        <v>600</v>
      </c>
      <c r="M1508" s="537">
        <f t="shared" si="99"/>
        <v>0.125</v>
      </c>
      <c r="N1508" s="47" t="s">
        <v>38</v>
      </c>
      <c r="O1508" s="81"/>
    </row>
    <row r="1509" spans="1:15">
      <c r="A1509" s="71">
        <v>2024</v>
      </c>
      <c r="B1509" s="16" t="s">
        <v>696</v>
      </c>
      <c r="C1509" s="63" t="s">
        <v>2199</v>
      </c>
      <c r="D1509" s="56" t="s">
        <v>1470</v>
      </c>
      <c r="E1509" s="56" t="s">
        <v>2200</v>
      </c>
      <c r="F1509" s="101">
        <v>60</v>
      </c>
      <c r="G1509" s="59" t="s">
        <v>98</v>
      </c>
      <c r="H1509" s="60">
        <v>4700</v>
      </c>
      <c r="I1509" s="49">
        <f t="shared" si="100"/>
        <v>282000</v>
      </c>
      <c r="J1509" s="532">
        <v>4465</v>
      </c>
      <c r="K1509" s="532">
        <f t="shared" si="98"/>
        <v>235</v>
      </c>
      <c r="L1509" s="533">
        <f t="shared" si="97"/>
        <v>14100</v>
      </c>
      <c r="M1509" s="537">
        <f t="shared" si="99"/>
        <v>0.05</v>
      </c>
      <c r="N1509" s="47" t="s">
        <v>38</v>
      </c>
      <c r="O1509" s="81" t="s">
        <v>21</v>
      </c>
    </row>
    <row r="1510" spans="1:15">
      <c r="A1510" s="71">
        <v>2024</v>
      </c>
      <c r="B1510" s="16" t="s">
        <v>696</v>
      </c>
      <c r="C1510" s="63" t="s">
        <v>2201</v>
      </c>
      <c r="D1510" s="56" t="s">
        <v>94</v>
      </c>
      <c r="E1510" s="56" t="s">
        <v>2202</v>
      </c>
      <c r="F1510" s="101">
        <v>360</v>
      </c>
      <c r="G1510" s="59" t="s">
        <v>615</v>
      </c>
      <c r="H1510" s="60">
        <v>42</v>
      </c>
      <c r="I1510" s="49">
        <f t="shared" si="100"/>
        <v>15120</v>
      </c>
      <c r="J1510" s="532">
        <v>41.2</v>
      </c>
      <c r="K1510" s="532">
        <f t="shared" si="98"/>
        <v>0.79999999999999716</v>
      </c>
      <c r="L1510" s="533">
        <f t="shared" si="97"/>
        <v>287.99999999999898</v>
      </c>
      <c r="M1510" s="537">
        <f t="shared" si="99"/>
        <v>1.904761904761898E-2</v>
      </c>
      <c r="N1510" s="47" t="s">
        <v>38</v>
      </c>
      <c r="O1510" s="81" t="s">
        <v>21</v>
      </c>
    </row>
    <row r="1511" spans="1:15">
      <c r="A1511" s="71">
        <v>2024</v>
      </c>
      <c r="B1511" s="16" t="s">
        <v>696</v>
      </c>
      <c r="C1511" s="63" t="s">
        <v>2203</v>
      </c>
      <c r="D1511" s="56" t="s">
        <v>2204</v>
      </c>
      <c r="E1511" s="56" t="s">
        <v>2205</v>
      </c>
      <c r="F1511" s="101">
        <v>1</v>
      </c>
      <c r="G1511" s="59" t="s">
        <v>238</v>
      </c>
      <c r="H1511" s="60">
        <v>34000</v>
      </c>
      <c r="I1511" s="49">
        <f t="shared" si="100"/>
        <v>34000</v>
      </c>
      <c r="J1511" s="532">
        <v>32000</v>
      </c>
      <c r="K1511" s="532">
        <f t="shared" si="98"/>
        <v>2000</v>
      </c>
      <c r="L1511" s="533">
        <f t="shared" si="97"/>
        <v>2000</v>
      </c>
      <c r="M1511" s="537">
        <f t="shared" si="99"/>
        <v>5.8823529411764705E-2</v>
      </c>
      <c r="N1511" s="47" t="s">
        <v>38</v>
      </c>
      <c r="O1511" s="81" t="s">
        <v>21</v>
      </c>
    </row>
    <row r="1512" spans="1:15">
      <c r="A1512" s="71">
        <v>2024</v>
      </c>
      <c r="B1512" s="16" t="s">
        <v>696</v>
      </c>
      <c r="C1512" s="63" t="s">
        <v>2206</v>
      </c>
      <c r="D1512" s="56" t="s">
        <v>1670</v>
      </c>
      <c r="E1512" s="56" t="s">
        <v>2207</v>
      </c>
      <c r="F1512" s="101">
        <v>3</v>
      </c>
      <c r="G1512" s="59" t="s">
        <v>225</v>
      </c>
      <c r="H1512" s="60">
        <v>1850</v>
      </c>
      <c r="I1512" s="49">
        <f t="shared" si="100"/>
        <v>5550</v>
      </c>
      <c r="J1512" s="532">
        <v>1800</v>
      </c>
      <c r="K1512" s="532">
        <f t="shared" si="98"/>
        <v>50</v>
      </c>
      <c r="L1512" s="533">
        <f t="shared" si="97"/>
        <v>150</v>
      </c>
      <c r="M1512" s="537">
        <f t="shared" si="99"/>
        <v>2.7027027027027029E-2</v>
      </c>
      <c r="N1512" s="47" t="s">
        <v>38</v>
      </c>
      <c r="O1512" s="81" t="s">
        <v>21</v>
      </c>
    </row>
    <row r="1513" spans="1:15">
      <c r="A1513" s="71">
        <v>2024</v>
      </c>
      <c r="B1513" s="16" t="s">
        <v>696</v>
      </c>
      <c r="C1513" s="63" t="s">
        <v>2206</v>
      </c>
      <c r="D1513" s="56" t="s">
        <v>1670</v>
      </c>
      <c r="E1513" s="56" t="s">
        <v>2208</v>
      </c>
      <c r="F1513" s="101">
        <v>3</v>
      </c>
      <c r="G1513" s="59" t="s">
        <v>225</v>
      </c>
      <c r="H1513" s="60">
        <v>1850</v>
      </c>
      <c r="I1513" s="49">
        <f t="shared" si="100"/>
        <v>5550</v>
      </c>
      <c r="J1513" s="532">
        <v>1500</v>
      </c>
      <c r="K1513" s="532">
        <f t="shared" si="98"/>
        <v>350</v>
      </c>
      <c r="L1513" s="533">
        <f t="shared" si="97"/>
        <v>1050</v>
      </c>
      <c r="M1513" s="537">
        <f t="shared" si="99"/>
        <v>0.1891891891891892</v>
      </c>
      <c r="N1513" s="47" t="s">
        <v>38</v>
      </c>
      <c r="O1513" s="81" t="s">
        <v>21</v>
      </c>
    </row>
    <row r="1514" spans="1:15">
      <c r="A1514" s="71">
        <v>2024</v>
      </c>
      <c r="B1514" s="16" t="s">
        <v>696</v>
      </c>
      <c r="C1514" s="63" t="s">
        <v>2209</v>
      </c>
      <c r="D1514" s="56" t="s">
        <v>2210</v>
      </c>
      <c r="E1514" s="56" t="s">
        <v>2211</v>
      </c>
      <c r="F1514" s="101">
        <v>1000</v>
      </c>
      <c r="G1514" s="59" t="s">
        <v>225</v>
      </c>
      <c r="H1514" s="60">
        <v>14.92</v>
      </c>
      <c r="I1514" s="49">
        <f t="shared" si="100"/>
        <v>14920</v>
      </c>
      <c r="J1514" s="532">
        <v>13.38</v>
      </c>
      <c r="K1514" s="532">
        <f t="shared" si="98"/>
        <v>1.5399999999999991</v>
      </c>
      <c r="L1514" s="533">
        <f t="shared" si="97"/>
        <v>1539.9999999999991</v>
      </c>
      <c r="M1514" s="537">
        <f t="shared" si="99"/>
        <v>0.10321715817694364</v>
      </c>
      <c r="N1514" s="47" t="s">
        <v>38</v>
      </c>
      <c r="O1514" s="81" t="s">
        <v>21</v>
      </c>
    </row>
    <row r="1515" spans="1:15">
      <c r="A1515" s="71">
        <v>2024</v>
      </c>
      <c r="B1515" s="16" t="s">
        <v>1</v>
      </c>
      <c r="C1515" s="63" t="s">
        <v>2212</v>
      </c>
      <c r="D1515" s="56" t="s">
        <v>2213</v>
      </c>
      <c r="E1515" s="56" t="s">
        <v>2214</v>
      </c>
      <c r="F1515" s="101">
        <v>24</v>
      </c>
      <c r="G1515" s="59" t="s">
        <v>1979</v>
      </c>
      <c r="H1515" s="60">
        <f>1025*37</f>
        <v>37925</v>
      </c>
      <c r="I1515" s="49">
        <f t="shared" si="100"/>
        <v>910200</v>
      </c>
      <c r="J1515" s="532">
        <f>1002*37</f>
        <v>37074</v>
      </c>
      <c r="K1515" s="532">
        <f t="shared" si="98"/>
        <v>851</v>
      </c>
      <c r="L1515" s="533">
        <f t="shared" si="97"/>
        <v>20424</v>
      </c>
      <c r="M1515" s="537">
        <f t="shared" si="99"/>
        <v>2.2439024390243902E-2</v>
      </c>
      <c r="N1515" s="64" t="s">
        <v>22</v>
      </c>
      <c r="O1515" s="81" t="s">
        <v>39</v>
      </c>
    </row>
    <row r="1516" spans="1:15">
      <c r="A1516" s="71">
        <v>2024</v>
      </c>
      <c r="B1516" s="16" t="s">
        <v>1</v>
      </c>
      <c r="C1516" s="63" t="s">
        <v>2215</v>
      </c>
      <c r="D1516" s="56" t="s">
        <v>200</v>
      </c>
      <c r="E1516" s="56" t="s">
        <v>2125</v>
      </c>
      <c r="F1516" s="101">
        <v>1</v>
      </c>
      <c r="G1516" s="59" t="s">
        <v>1979</v>
      </c>
      <c r="H1516" s="60">
        <v>9650</v>
      </c>
      <c r="I1516" s="49">
        <f t="shared" si="100"/>
        <v>9650</v>
      </c>
      <c r="J1516" s="532">
        <v>9600</v>
      </c>
      <c r="K1516" s="532">
        <f t="shared" si="98"/>
        <v>50</v>
      </c>
      <c r="L1516" s="533">
        <f t="shared" si="97"/>
        <v>50</v>
      </c>
      <c r="M1516" s="537">
        <f t="shared" si="99"/>
        <v>5.1813471502590676E-3</v>
      </c>
      <c r="N1516" s="64" t="s">
        <v>22</v>
      </c>
      <c r="O1516" s="81" t="s">
        <v>39</v>
      </c>
    </row>
    <row r="1517" spans="1:15">
      <c r="A1517" s="71">
        <v>2024</v>
      </c>
      <c r="B1517" s="16" t="s">
        <v>1</v>
      </c>
      <c r="C1517" s="63" t="s">
        <v>2216</v>
      </c>
      <c r="D1517" s="56" t="s">
        <v>200</v>
      </c>
      <c r="E1517" s="56" t="s">
        <v>2217</v>
      </c>
      <c r="F1517" s="101">
        <v>1</v>
      </c>
      <c r="G1517" s="59" t="s">
        <v>1979</v>
      </c>
      <c r="H1517" s="60">
        <v>65000</v>
      </c>
      <c r="I1517" s="49">
        <f t="shared" si="100"/>
        <v>65000</v>
      </c>
      <c r="J1517" s="518">
        <v>62000</v>
      </c>
      <c r="K1517" s="532">
        <f t="shared" si="98"/>
        <v>3000</v>
      </c>
      <c r="L1517" s="533">
        <f t="shared" si="97"/>
        <v>3000</v>
      </c>
      <c r="M1517" s="537">
        <f t="shared" si="99"/>
        <v>4.6153846153846156E-2</v>
      </c>
      <c r="N1517" s="64" t="s">
        <v>38</v>
      </c>
      <c r="O1517" s="81" t="s">
        <v>39</v>
      </c>
    </row>
    <row r="1518" spans="1:15">
      <c r="A1518" s="71">
        <v>2024</v>
      </c>
      <c r="B1518" s="16" t="s">
        <v>1</v>
      </c>
      <c r="C1518" s="63" t="s">
        <v>2218</v>
      </c>
      <c r="D1518" s="56" t="s">
        <v>304</v>
      </c>
      <c r="E1518" s="56" t="s">
        <v>2219</v>
      </c>
      <c r="F1518" s="101">
        <v>2</v>
      </c>
      <c r="G1518" s="59" t="s">
        <v>19</v>
      </c>
      <c r="H1518" s="60">
        <v>20520</v>
      </c>
      <c r="I1518" s="49">
        <f t="shared" si="100"/>
        <v>41040</v>
      </c>
      <c r="J1518" s="518">
        <v>10000</v>
      </c>
      <c r="K1518" s="532">
        <f t="shared" si="98"/>
        <v>10520</v>
      </c>
      <c r="L1518" s="533">
        <f t="shared" si="97"/>
        <v>21040</v>
      </c>
      <c r="M1518" s="537">
        <f t="shared" si="99"/>
        <v>0.51267056530214428</v>
      </c>
      <c r="N1518" s="64" t="s">
        <v>22</v>
      </c>
      <c r="O1518" s="81" t="s">
        <v>105</v>
      </c>
    </row>
    <row r="1519" spans="1:15">
      <c r="A1519" s="71">
        <v>2024</v>
      </c>
      <c r="B1519" s="16" t="s">
        <v>1</v>
      </c>
      <c r="C1519" s="63" t="s">
        <v>2220</v>
      </c>
      <c r="D1519" s="56" t="s">
        <v>94</v>
      </c>
      <c r="E1519" s="56" t="s">
        <v>1038</v>
      </c>
      <c r="F1519" s="101">
        <v>1500</v>
      </c>
      <c r="G1519" s="59" t="s">
        <v>19</v>
      </c>
      <c r="H1519" s="60">
        <v>15.5</v>
      </c>
      <c r="I1519" s="49">
        <f t="shared" si="100"/>
        <v>23250</v>
      </c>
      <c r="J1519" s="532">
        <v>14.76</v>
      </c>
      <c r="K1519" s="532">
        <f t="shared" si="98"/>
        <v>0.74000000000000021</v>
      </c>
      <c r="L1519" s="533">
        <f t="shared" si="97"/>
        <v>1110.0000000000002</v>
      </c>
      <c r="M1519" s="537">
        <f t="shared" si="99"/>
        <v>4.7741935483870984E-2</v>
      </c>
      <c r="N1519" s="64" t="s">
        <v>22</v>
      </c>
      <c r="O1519" s="81" t="s">
        <v>105</v>
      </c>
    </row>
    <row r="1520" spans="1:15">
      <c r="A1520" s="71">
        <v>2024</v>
      </c>
      <c r="B1520" s="16" t="s">
        <v>1</v>
      </c>
      <c r="C1520" s="63" t="s">
        <v>2221</v>
      </c>
      <c r="D1520" s="56" t="s">
        <v>236</v>
      </c>
      <c r="E1520" s="56" t="s">
        <v>2222</v>
      </c>
      <c r="F1520" s="101">
        <v>12</v>
      </c>
      <c r="G1520" s="59" t="s">
        <v>19</v>
      </c>
      <c r="H1520" s="60">
        <v>125</v>
      </c>
      <c r="I1520" s="49">
        <f t="shared" si="100"/>
        <v>1500</v>
      </c>
      <c r="J1520" s="518">
        <v>108</v>
      </c>
      <c r="K1520" s="532">
        <f t="shared" si="98"/>
        <v>17</v>
      </c>
      <c r="L1520" s="533">
        <f t="shared" si="97"/>
        <v>204</v>
      </c>
      <c r="M1520" s="537">
        <f t="shared" si="99"/>
        <v>0.13600000000000001</v>
      </c>
      <c r="N1520" s="64" t="s">
        <v>22</v>
      </c>
      <c r="O1520" s="81" t="s">
        <v>21</v>
      </c>
    </row>
    <row r="1521" spans="1:15">
      <c r="A1521" s="71">
        <v>2024</v>
      </c>
      <c r="B1521" s="16" t="s">
        <v>1</v>
      </c>
      <c r="C1521" s="63" t="s">
        <v>2221</v>
      </c>
      <c r="D1521" s="56" t="s">
        <v>236</v>
      </c>
      <c r="E1521" s="56" t="s">
        <v>2223</v>
      </c>
      <c r="F1521" s="101">
        <v>6</v>
      </c>
      <c r="G1521" s="59" t="s">
        <v>19</v>
      </c>
      <c r="H1521" s="60">
        <v>14850</v>
      </c>
      <c r="I1521" s="49">
        <f t="shared" si="100"/>
        <v>89100</v>
      </c>
      <c r="J1521" s="518">
        <v>14500</v>
      </c>
      <c r="K1521" s="532">
        <f t="shared" si="98"/>
        <v>350</v>
      </c>
      <c r="L1521" s="533">
        <f t="shared" si="97"/>
        <v>2100</v>
      </c>
      <c r="M1521" s="537">
        <f t="shared" si="99"/>
        <v>2.3569023569023569E-2</v>
      </c>
      <c r="N1521" s="64" t="s">
        <v>22</v>
      </c>
      <c r="O1521" s="81" t="s">
        <v>21</v>
      </c>
    </row>
    <row r="1522" spans="1:15">
      <c r="A1522" s="71">
        <v>2024</v>
      </c>
      <c r="B1522" s="16" t="s">
        <v>1</v>
      </c>
      <c r="C1522" s="63" t="s">
        <v>2224</v>
      </c>
      <c r="D1522" s="56" t="s">
        <v>17</v>
      </c>
      <c r="E1522" s="56" t="s">
        <v>25</v>
      </c>
      <c r="F1522" s="101">
        <v>48</v>
      </c>
      <c r="G1522" s="59" t="s">
        <v>19</v>
      </c>
      <c r="H1522" s="60">
        <v>44.5</v>
      </c>
      <c r="I1522" s="49">
        <f t="shared" si="100"/>
        <v>2136</v>
      </c>
      <c r="J1522" s="518">
        <v>38.5</v>
      </c>
      <c r="K1522" s="532">
        <f t="shared" si="98"/>
        <v>6</v>
      </c>
      <c r="L1522" s="533">
        <f t="shared" si="97"/>
        <v>288</v>
      </c>
      <c r="M1522" s="537">
        <f t="shared" si="99"/>
        <v>0.1348314606741573</v>
      </c>
      <c r="N1522" s="64" t="s">
        <v>22</v>
      </c>
      <c r="O1522" s="81" t="s">
        <v>21</v>
      </c>
    </row>
    <row r="1523" spans="1:15">
      <c r="A1523" s="71">
        <v>2024</v>
      </c>
      <c r="B1523" s="16" t="s">
        <v>1</v>
      </c>
      <c r="C1523" s="63" t="s">
        <v>2224</v>
      </c>
      <c r="D1523" s="56" t="s">
        <v>17</v>
      </c>
      <c r="E1523" s="56" t="s">
        <v>382</v>
      </c>
      <c r="F1523" s="101">
        <v>48</v>
      </c>
      <c r="G1523" s="59" t="s">
        <v>19</v>
      </c>
      <c r="H1523" s="60">
        <v>69</v>
      </c>
      <c r="I1523" s="49">
        <f t="shared" si="100"/>
        <v>3312</v>
      </c>
      <c r="J1523" s="518">
        <v>64</v>
      </c>
      <c r="K1523" s="532">
        <f t="shared" si="98"/>
        <v>5</v>
      </c>
      <c r="L1523" s="533">
        <f t="shared" si="97"/>
        <v>240</v>
      </c>
      <c r="M1523" s="537">
        <f t="shared" si="99"/>
        <v>7.2463768115942032E-2</v>
      </c>
      <c r="N1523" s="64" t="s">
        <v>22</v>
      </c>
      <c r="O1523" s="81" t="s">
        <v>21</v>
      </c>
    </row>
    <row r="1524" spans="1:15">
      <c r="A1524" s="71">
        <v>2024</v>
      </c>
      <c r="B1524" s="16" t="s">
        <v>1</v>
      </c>
      <c r="C1524" s="63" t="s">
        <v>2224</v>
      </c>
      <c r="D1524" s="56" t="s">
        <v>17</v>
      </c>
      <c r="E1524" s="56" t="s">
        <v>2225</v>
      </c>
      <c r="F1524" s="101">
        <v>20</v>
      </c>
      <c r="G1524" s="59" t="s">
        <v>19</v>
      </c>
      <c r="H1524" s="60">
        <v>370</v>
      </c>
      <c r="I1524" s="49">
        <f t="shared" si="100"/>
        <v>7400</v>
      </c>
      <c r="J1524" s="518">
        <v>215</v>
      </c>
      <c r="K1524" s="532">
        <f t="shared" si="98"/>
        <v>155</v>
      </c>
      <c r="L1524" s="533">
        <f t="shared" si="97"/>
        <v>3100</v>
      </c>
      <c r="M1524" s="537">
        <f t="shared" si="99"/>
        <v>0.41891891891891891</v>
      </c>
      <c r="N1524" s="64" t="s">
        <v>22</v>
      </c>
      <c r="O1524" s="81" t="s">
        <v>21</v>
      </c>
    </row>
    <row r="1525" spans="1:15">
      <c r="A1525" s="71">
        <v>2024</v>
      </c>
      <c r="B1525" s="16" t="s">
        <v>1</v>
      </c>
      <c r="C1525" s="63" t="s">
        <v>2226</v>
      </c>
      <c r="D1525" s="56" t="s">
        <v>946</v>
      </c>
      <c r="E1525" s="56" t="s">
        <v>2227</v>
      </c>
      <c r="F1525" s="101">
        <v>2000</v>
      </c>
      <c r="G1525" s="59" t="s">
        <v>19</v>
      </c>
      <c r="H1525" s="60">
        <v>22.5</v>
      </c>
      <c r="I1525" s="49">
        <f t="shared" si="100"/>
        <v>45000</v>
      </c>
      <c r="J1525" s="518">
        <v>21.375</v>
      </c>
      <c r="K1525" s="532">
        <f t="shared" si="98"/>
        <v>1.125</v>
      </c>
      <c r="L1525" s="533">
        <f t="shared" si="97"/>
        <v>2250</v>
      </c>
      <c r="M1525" s="537">
        <f t="shared" si="99"/>
        <v>0.05</v>
      </c>
      <c r="N1525" s="64" t="s">
        <v>38</v>
      </c>
      <c r="O1525" s="81" t="s">
        <v>21</v>
      </c>
    </row>
    <row r="1526" spans="1:15">
      <c r="A1526" s="71">
        <v>2024</v>
      </c>
      <c r="B1526" s="16" t="s">
        <v>1</v>
      </c>
      <c r="C1526" s="63" t="s">
        <v>2228</v>
      </c>
      <c r="D1526" s="56" t="s">
        <v>174</v>
      </c>
      <c r="E1526" s="56" t="s">
        <v>1173</v>
      </c>
      <c r="F1526" s="101">
        <v>1000</v>
      </c>
      <c r="G1526" s="59" t="s">
        <v>19</v>
      </c>
      <c r="H1526" s="60">
        <v>2.8</v>
      </c>
      <c r="I1526" s="49">
        <f t="shared" ref="I1526:I1557" si="101">H1526*F1526</f>
        <v>2800</v>
      </c>
      <c r="J1526" s="518">
        <v>2</v>
      </c>
      <c r="K1526" s="532">
        <f t="shared" si="98"/>
        <v>0.79999999999999982</v>
      </c>
      <c r="L1526" s="533">
        <f t="shared" si="97"/>
        <v>799.99999999999977</v>
      </c>
      <c r="M1526" s="537">
        <f t="shared" si="99"/>
        <v>0.28571428571428564</v>
      </c>
      <c r="N1526" s="64" t="s">
        <v>22</v>
      </c>
      <c r="O1526" s="81" t="s">
        <v>21</v>
      </c>
    </row>
    <row r="1527" spans="1:15">
      <c r="A1527" s="71">
        <v>2024</v>
      </c>
      <c r="B1527" s="16" t="s">
        <v>1</v>
      </c>
      <c r="C1527" s="63" t="s">
        <v>2229</v>
      </c>
      <c r="D1527" s="56" t="s">
        <v>1948</v>
      </c>
      <c r="E1527" s="56" t="s">
        <v>2230</v>
      </c>
      <c r="F1527" s="101">
        <v>5</v>
      </c>
      <c r="G1527" s="59" t="s">
        <v>19</v>
      </c>
      <c r="H1527" s="60">
        <v>1290</v>
      </c>
      <c r="I1527" s="49">
        <f t="shared" si="101"/>
        <v>6450</v>
      </c>
      <c r="J1527" s="518">
        <v>705</v>
      </c>
      <c r="K1527" s="532">
        <f t="shared" si="98"/>
        <v>585</v>
      </c>
      <c r="L1527" s="533">
        <f t="shared" si="97"/>
        <v>2925</v>
      </c>
      <c r="M1527" s="537">
        <f t="shared" si="99"/>
        <v>0.45348837209302323</v>
      </c>
      <c r="N1527" s="64" t="s">
        <v>22</v>
      </c>
      <c r="O1527" s="81" t="s">
        <v>21</v>
      </c>
    </row>
    <row r="1528" spans="1:15">
      <c r="A1528" s="71">
        <v>2024</v>
      </c>
      <c r="B1528" s="16" t="s">
        <v>1</v>
      </c>
      <c r="C1528" s="63" t="s">
        <v>2231</v>
      </c>
      <c r="D1528" s="56" t="s">
        <v>24</v>
      </c>
      <c r="E1528" s="56" t="s">
        <v>2232</v>
      </c>
      <c r="F1528" s="101">
        <v>20</v>
      </c>
      <c r="G1528" s="59" t="s">
        <v>19</v>
      </c>
      <c r="H1528" s="60">
        <v>1350</v>
      </c>
      <c r="I1528" s="49">
        <f t="shared" si="101"/>
        <v>27000</v>
      </c>
      <c r="J1528" s="518">
        <v>720</v>
      </c>
      <c r="K1528" s="532">
        <f t="shared" si="98"/>
        <v>630</v>
      </c>
      <c r="L1528" s="533">
        <f t="shared" si="97"/>
        <v>12600</v>
      </c>
      <c r="M1528" s="537">
        <f t="shared" si="99"/>
        <v>0.46666666666666667</v>
      </c>
      <c r="N1528" s="64" t="s">
        <v>22</v>
      </c>
      <c r="O1528" s="81" t="s">
        <v>21</v>
      </c>
    </row>
    <row r="1529" spans="1:15">
      <c r="A1529" s="71">
        <v>2024</v>
      </c>
      <c r="B1529" s="16" t="s">
        <v>1</v>
      </c>
      <c r="C1529" s="63" t="s">
        <v>2233</v>
      </c>
      <c r="D1529" s="56" t="s">
        <v>17</v>
      </c>
      <c r="E1529" s="56" t="s">
        <v>2234</v>
      </c>
      <c r="F1529" s="101">
        <v>200</v>
      </c>
      <c r="G1529" s="59" t="s">
        <v>29</v>
      </c>
      <c r="H1529" s="60">
        <v>22</v>
      </c>
      <c r="I1529" s="49">
        <f t="shared" si="101"/>
        <v>4400</v>
      </c>
      <c r="J1529" s="518">
        <v>21</v>
      </c>
      <c r="K1529" s="532">
        <f t="shared" si="98"/>
        <v>1</v>
      </c>
      <c r="L1529" s="533">
        <f t="shared" si="97"/>
        <v>200</v>
      </c>
      <c r="M1529" s="537">
        <f t="shared" si="99"/>
        <v>4.5454545454545456E-2</v>
      </c>
      <c r="N1529" s="64" t="s">
        <v>20</v>
      </c>
      <c r="O1529" s="81" t="s">
        <v>21</v>
      </c>
    </row>
    <row r="1530" spans="1:15">
      <c r="A1530" s="71">
        <v>2024</v>
      </c>
      <c r="B1530" s="16" t="s">
        <v>1</v>
      </c>
      <c r="C1530" s="63" t="s">
        <v>2233</v>
      </c>
      <c r="D1530" s="56" t="s">
        <v>17</v>
      </c>
      <c r="E1530" s="56" t="s">
        <v>32</v>
      </c>
      <c r="F1530" s="101">
        <v>1152</v>
      </c>
      <c r="G1530" s="59" t="s">
        <v>29</v>
      </c>
      <c r="H1530" s="60">
        <v>27</v>
      </c>
      <c r="I1530" s="49">
        <f t="shared" si="101"/>
        <v>31104</v>
      </c>
      <c r="J1530" s="518">
        <v>25</v>
      </c>
      <c r="K1530" s="532">
        <f t="shared" si="98"/>
        <v>2</v>
      </c>
      <c r="L1530" s="533">
        <f t="shared" si="97"/>
        <v>2304</v>
      </c>
      <c r="M1530" s="537">
        <f t="shared" si="99"/>
        <v>7.407407407407407E-2</v>
      </c>
      <c r="N1530" s="64" t="s">
        <v>20</v>
      </c>
      <c r="O1530" s="81" t="s">
        <v>21</v>
      </c>
    </row>
    <row r="1531" spans="1:15">
      <c r="A1531" s="71">
        <v>2024</v>
      </c>
      <c r="B1531" s="16" t="s">
        <v>1</v>
      </c>
      <c r="C1531" s="63" t="s">
        <v>2235</v>
      </c>
      <c r="D1531" s="56" t="s">
        <v>17</v>
      </c>
      <c r="E1531" s="56" t="s">
        <v>2236</v>
      </c>
      <c r="F1531" s="101">
        <v>100</v>
      </c>
      <c r="G1531" s="59" t="s">
        <v>19</v>
      </c>
      <c r="H1531" s="60">
        <v>365</v>
      </c>
      <c r="I1531" s="49">
        <f t="shared" si="101"/>
        <v>36500</v>
      </c>
      <c r="J1531" s="518">
        <v>350</v>
      </c>
      <c r="K1531" s="532">
        <f t="shared" si="98"/>
        <v>15</v>
      </c>
      <c r="L1531" s="533">
        <f t="shared" si="97"/>
        <v>1500</v>
      </c>
      <c r="M1531" s="537">
        <f t="shared" si="99"/>
        <v>4.1095890410958902E-2</v>
      </c>
      <c r="N1531" s="64" t="s">
        <v>22</v>
      </c>
      <c r="O1531" s="81" t="s">
        <v>21</v>
      </c>
    </row>
    <row r="1532" spans="1:15">
      <c r="A1532" s="71">
        <v>2024</v>
      </c>
      <c r="B1532" s="16" t="s">
        <v>1</v>
      </c>
      <c r="C1532" s="63" t="s">
        <v>2237</v>
      </c>
      <c r="D1532" s="56" t="s">
        <v>68</v>
      </c>
      <c r="E1532" s="56" t="s">
        <v>755</v>
      </c>
      <c r="F1532" s="101">
        <v>1161.5999999999999</v>
      </c>
      <c r="G1532" s="59" t="s">
        <v>37</v>
      </c>
      <c r="H1532" s="60">
        <v>413</v>
      </c>
      <c r="I1532" s="49">
        <f t="shared" si="101"/>
        <v>479740.8</v>
      </c>
      <c r="J1532" s="518">
        <v>410</v>
      </c>
      <c r="K1532" s="532">
        <f t="shared" si="98"/>
        <v>3</v>
      </c>
      <c r="L1532" s="533">
        <f t="shared" si="97"/>
        <v>3484.7999999999997</v>
      </c>
      <c r="M1532" s="537">
        <f t="shared" si="99"/>
        <v>7.2639225181598066E-3</v>
      </c>
      <c r="N1532" s="64" t="s">
        <v>38</v>
      </c>
      <c r="O1532" s="81" t="s">
        <v>105</v>
      </c>
    </row>
    <row r="1533" spans="1:15">
      <c r="A1533" s="71">
        <v>2024</v>
      </c>
      <c r="B1533" s="16" t="s">
        <v>1</v>
      </c>
      <c r="C1533" s="63" t="s">
        <v>2238</v>
      </c>
      <c r="D1533" s="56" t="s">
        <v>590</v>
      </c>
      <c r="E1533" s="56" t="s">
        <v>2125</v>
      </c>
      <c r="F1533" s="101">
        <v>1</v>
      </c>
      <c r="G1533" s="59" t="s">
        <v>1979</v>
      </c>
      <c r="H1533" s="60">
        <v>10000</v>
      </c>
      <c r="I1533" s="49">
        <f t="shared" si="101"/>
        <v>10000</v>
      </c>
      <c r="J1533" s="518">
        <v>9600</v>
      </c>
      <c r="K1533" s="532">
        <f t="shared" si="98"/>
        <v>400</v>
      </c>
      <c r="L1533" s="533">
        <f t="shared" si="97"/>
        <v>400</v>
      </c>
      <c r="M1533" s="537">
        <f t="shared" si="99"/>
        <v>0.04</v>
      </c>
      <c r="N1533" s="64" t="s">
        <v>22</v>
      </c>
      <c r="O1533" s="81" t="s">
        <v>39</v>
      </c>
    </row>
    <row r="1534" spans="1:15">
      <c r="A1534" s="71">
        <v>2024</v>
      </c>
      <c r="B1534" s="16" t="s">
        <v>1</v>
      </c>
      <c r="C1534" s="63" t="s">
        <v>2239</v>
      </c>
      <c r="D1534" s="56" t="s">
        <v>1119</v>
      </c>
      <c r="E1534" s="56" t="s">
        <v>2240</v>
      </c>
      <c r="F1534" s="101">
        <v>450</v>
      </c>
      <c r="G1534" s="59" t="s">
        <v>1983</v>
      </c>
      <c r="H1534" s="60">
        <v>20</v>
      </c>
      <c r="I1534" s="49">
        <f t="shared" si="101"/>
        <v>9000</v>
      </c>
      <c r="J1534" s="518">
        <v>15</v>
      </c>
      <c r="K1534" s="532">
        <f t="shared" si="98"/>
        <v>5</v>
      </c>
      <c r="L1534" s="533">
        <f t="shared" si="97"/>
        <v>2250</v>
      </c>
      <c r="M1534" s="537">
        <f t="shared" si="99"/>
        <v>0.25</v>
      </c>
      <c r="N1534" s="64" t="s">
        <v>22</v>
      </c>
      <c r="O1534" s="81" t="s">
        <v>39</v>
      </c>
    </row>
    <row r="1535" spans="1:15">
      <c r="A1535" s="71">
        <v>2024</v>
      </c>
      <c r="B1535" s="16" t="s">
        <v>1</v>
      </c>
      <c r="C1535" s="63" t="s">
        <v>2241</v>
      </c>
      <c r="D1535" s="56" t="s">
        <v>1042</v>
      </c>
      <c r="E1535" s="56" t="s">
        <v>889</v>
      </c>
      <c r="F1535" s="101">
        <v>2914</v>
      </c>
      <c r="G1535" s="59" t="s">
        <v>37</v>
      </c>
      <c r="H1535" s="60">
        <v>422</v>
      </c>
      <c r="I1535" s="49">
        <f t="shared" si="101"/>
        <v>1229708</v>
      </c>
      <c r="J1535" s="518">
        <v>395</v>
      </c>
      <c r="K1535" s="532">
        <f t="shared" si="98"/>
        <v>27</v>
      </c>
      <c r="L1535" s="533">
        <f t="shared" ref="L1535:L1598" si="102">K1535*F1535</f>
        <v>78678</v>
      </c>
      <c r="M1535" s="537">
        <f t="shared" si="99"/>
        <v>6.398104265402843E-2</v>
      </c>
      <c r="N1535" s="64" t="s">
        <v>22</v>
      </c>
      <c r="O1535" s="81" t="s">
        <v>105</v>
      </c>
    </row>
    <row r="1536" spans="1:15">
      <c r="A1536" s="71">
        <v>2024</v>
      </c>
      <c r="B1536" s="16" t="s">
        <v>1</v>
      </c>
      <c r="C1536" s="63" t="s">
        <v>2242</v>
      </c>
      <c r="D1536" s="56" t="s">
        <v>1808</v>
      </c>
      <c r="E1536" s="56" t="s">
        <v>2243</v>
      </c>
      <c r="F1536" s="101">
        <v>120</v>
      </c>
      <c r="G1536" s="59" t="s">
        <v>19</v>
      </c>
      <c r="H1536" s="60">
        <v>212</v>
      </c>
      <c r="I1536" s="49">
        <f t="shared" si="101"/>
        <v>25440</v>
      </c>
      <c r="J1536" s="518">
        <v>210</v>
      </c>
      <c r="K1536" s="532">
        <f t="shared" si="98"/>
        <v>2</v>
      </c>
      <c r="L1536" s="533">
        <f t="shared" si="102"/>
        <v>240</v>
      </c>
      <c r="M1536" s="537">
        <f t="shared" si="99"/>
        <v>9.433962264150943E-3</v>
      </c>
      <c r="N1536" s="64" t="s">
        <v>38</v>
      </c>
      <c r="O1536" s="81" t="s">
        <v>105</v>
      </c>
    </row>
    <row r="1537" spans="1:15">
      <c r="A1537" s="71">
        <v>2024</v>
      </c>
      <c r="B1537" s="16" t="s">
        <v>1</v>
      </c>
      <c r="C1537" s="63" t="s">
        <v>2244</v>
      </c>
      <c r="D1537" s="56" t="s">
        <v>174</v>
      </c>
      <c r="E1537" s="56" t="s">
        <v>2245</v>
      </c>
      <c r="F1537" s="101">
        <v>120</v>
      </c>
      <c r="G1537" s="59" t="s">
        <v>19</v>
      </c>
      <c r="H1537" s="60">
        <v>154</v>
      </c>
      <c r="I1537" s="49">
        <f t="shared" si="101"/>
        <v>18480</v>
      </c>
      <c r="J1537" s="518">
        <v>140</v>
      </c>
      <c r="K1537" s="532">
        <f t="shared" si="98"/>
        <v>14</v>
      </c>
      <c r="L1537" s="533">
        <f t="shared" si="102"/>
        <v>1680</v>
      </c>
      <c r="M1537" s="537">
        <f t="shared" si="99"/>
        <v>9.0909090909090912E-2</v>
      </c>
      <c r="N1537" s="64" t="s">
        <v>38</v>
      </c>
      <c r="O1537" s="81" t="s">
        <v>105</v>
      </c>
    </row>
    <row r="1538" spans="1:15">
      <c r="A1538" s="71">
        <v>2024</v>
      </c>
      <c r="B1538" s="16" t="s">
        <v>1</v>
      </c>
      <c r="C1538" s="63" t="s">
        <v>2246</v>
      </c>
      <c r="D1538" s="56" t="s">
        <v>590</v>
      </c>
      <c r="E1538" s="56" t="s">
        <v>2125</v>
      </c>
      <c r="F1538" s="101">
        <v>6</v>
      </c>
      <c r="G1538" s="59" t="s">
        <v>1979</v>
      </c>
      <c r="H1538" s="60">
        <v>10000</v>
      </c>
      <c r="I1538" s="49">
        <f t="shared" si="101"/>
        <v>60000</v>
      </c>
      <c r="J1538" s="518">
        <v>9600</v>
      </c>
      <c r="K1538" s="532">
        <f t="shared" si="98"/>
        <v>400</v>
      </c>
      <c r="L1538" s="533">
        <f t="shared" si="102"/>
        <v>2400</v>
      </c>
      <c r="M1538" s="537">
        <f t="shared" si="99"/>
        <v>0.04</v>
      </c>
      <c r="N1538" s="64" t="s">
        <v>22</v>
      </c>
      <c r="O1538" s="81" t="s">
        <v>39</v>
      </c>
    </row>
    <row r="1539" spans="1:15">
      <c r="A1539" s="71">
        <v>2024</v>
      </c>
      <c r="B1539" s="16" t="s">
        <v>1</v>
      </c>
      <c r="C1539" s="63" t="s">
        <v>2247</v>
      </c>
      <c r="D1539" s="56" t="s">
        <v>2167</v>
      </c>
      <c r="E1539" s="56" t="s">
        <v>2248</v>
      </c>
      <c r="F1539" s="101">
        <v>4</v>
      </c>
      <c r="G1539" s="59" t="s">
        <v>2171</v>
      </c>
      <c r="H1539" s="60">
        <f>851*37</f>
        <v>31487</v>
      </c>
      <c r="I1539" s="49">
        <f t="shared" si="101"/>
        <v>125948</v>
      </c>
      <c r="J1539" s="518">
        <f>743.4*37</f>
        <v>27505.8</v>
      </c>
      <c r="K1539" s="532">
        <f t="shared" ref="K1539:K1602" si="103">H1539-J1539</f>
        <v>3981.2000000000007</v>
      </c>
      <c r="L1539" s="533">
        <f t="shared" si="102"/>
        <v>15924.800000000003</v>
      </c>
      <c r="M1539" s="537">
        <f t="shared" ref="M1539:M1602" si="104">K1539/H1539</f>
        <v>0.12643948296122212</v>
      </c>
      <c r="N1539" s="64" t="s">
        <v>38</v>
      </c>
      <c r="O1539" s="81" t="s">
        <v>39</v>
      </c>
    </row>
    <row r="1540" spans="1:15">
      <c r="A1540" s="71">
        <v>2024</v>
      </c>
      <c r="B1540" s="16" t="s">
        <v>1</v>
      </c>
      <c r="C1540" s="63" t="s">
        <v>2249</v>
      </c>
      <c r="D1540" s="56" t="s">
        <v>2250</v>
      </c>
      <c r="E1540" s="56" t="s">
        <v>2251</v>
      </c>
      <c r="F1540" s="101">
        <v>6</v>
      </c>
      <c r="G1540" s="59" t="s">
        <v>1983</v>
      </c>
      <c r="H1540" s="60">
        <v>27500</v>
      </c>
      <c r="I1540" s="49">
        <f t="shared" si="101"/>
        <v>165000</v>
      </c>
      <c r="J1540" s="518">
        <v>22000</v>
      </c>
      <c r="K1540" s="532">
        <f t="shared" si="103"/>
        <v>5500</v>
      </c>
      <c r="L1540" s="533">
        <f t="shared" si="102"/>
        <v>33000</v>
      </c>
      <c r="M1540" s="537">
        <f t="shared" si="104"/>
        <v>0.2</v>
      </c>
      <c r="N1540" s="64" t="s">
        <v>38</v>
      </c>
      <c r="O1540" s="81" t="s">
        <v>39</v>
      </c>
    </row>
    <row r="1541" spans="1:15">
      <c r="A1541" s="71">
        <v>2024</v>
      </c>
      <c r="B1541" s="16" t="s">
        <v>1</v>
      </c>
      <c r="C1541" s="63" t="s">
        <v>2252</v>
      </c>
      <c r="D1541" s="56" t="s">
        <v>1119</v>
      </c>
      <c r="E1541" s="56" t="s">
        <v>2253</v>
      </c>
      <c r="F1541" s="101">
        <v>388</v>
      </c>
      <c r="G1541" s="59" t="s">
        <v>1983</v>
      </c>
      <c r="H1541" s="60">
        <v>750</v>
      </c>
      <c r="I1541" s="49">
        <f t="shared" si="101"/>
        <v>291000</v>
      </c>
      <c r="J1541" s="518">
        <v>720</v>
      </c>
      <c r="K1541" s="532">
        <f t="shared" si="103"/>
        <v>30</v>
      </c>
      <c r="L1541" s="533">
        <f t="shared" si="102"/>
        <v>11640</v>
      </c>
      <c r="M1541" s="537">
        <f t="shared" si="104"/>
        <v>0.04</v>
      </c>
      <c r="N1541" s="64" t="s">
        <v>38</v>
      </c>
      <c r="O1541" s="81" t="s">
        <v>39</v>
      </c>
    </row>
    <row r="1542" spans="1:15">
      <c r="A1542" s="71">
        <v>2024</v>
      </c>
      <c r="B1542" s="16" t="s">
        <v>1</v>
      </c>
      <c r="C1542" s="63" t="s">
        <v>2254</v>
      </c>
      <c r="D1542" s="56" t="s">
        <v>617</v>
      </c>
      <c r="E1542" s="56" t="s">
        <v>2255</v>
      </c>
      <c r="F1542" s="101">
        <v>6000</v>
      </c>
      <c r="G1542" s="59" t="s">
        <v>231</v>
      </c>
      <c r="H1542" s="60">
        <v>31.5</v>
      </c>
      <c r="I1542" s="49">
        <f t="shared" si="101"/>
        <v>189000</v>
      </c>
      <c r="J1542" s="518">
        <v>31.3</v>
      </c>
      <c r="K1542" s="532">
        <f t="shared" si="103"/>
        <v>0.19999999999999929</v>
      </c>
      <c r="L1542" s="533">
        <f t="shared" si="102"/>
        <v>1199.9999999999957</v>
      </c>
      <c r="M1542" s="537">
        <f t="shared" si="104"/>
        <v>6.3492063492063266E-3</v>
      </c>
      <c r="N1542" s="64" t="s">
        <v>22</v>
      </c>
      <c r="O1542" s="81" t="s">
        <v>39</v>
      </c>
    </row>
    <row r="1543" spans="1:15">
      <c r="A1543" s="71">
        <v>2024</v>
      </c>
      <c r="B1543" s="16" t="s">
        <v>1</v>
      </c>
      <c r="C1543" s="63" t="s">
        <v>2254</v>
      </c>
      <c r="D1543" s="56" t="s">
        <v>617</v>
      </c>
      <c r="E1543" s="56" t="s">
        <v>274</v>
      </c>
      <c r="F1543" s="101">
        <v>12000</v>
      </c>
      <c r="G1543" s="59" t="s">
        <v>231</v>
      </c>
      <c r="H1543" s="60">
        <v>31.5</v>
      </c>
      <c r="I1543" s="49">
        <f t="shared" si="101"/>
        <v>378000</v>
      </c>
      <c r="J1543" s="518">
        <v>31.3</v>
      </c>
      <c r="K1543" s="532">
        <f t="shared" si="103"/>
        <v>0.19999999999999929</v>
      </c>
      <c r="L1543" s="533">
        <f t="shared" si="102"/>
        <v>2399.9999999999914</v>
      </c>
      <c r="M1543" s="537">
        <f t="shared" si="104"/>
        <v>6.3492063492063266E-3</v>
      </c>
      <c r="N1543" s="64" t="s">
        <v>22</v>
      </c>
      <c r="O1543" s="81" t="s">
        <v>39</v>
      </c>
    </row>
    <row r="1544" spans="1:15">
      <c r="A1544" s="71">
        <v>2024</v>
      </c>
      <c r="B1544" s="16" t="s">
        <v>1</v>
      </c>
      <c r="C1544" s="63" t="s">
        <v>2254</v>
      </c>
      <c r="D1544" s="56" t="s">
        <v>617</v>
      </c>
      <c r="E1544" s="56" t="s">
        <v>230</v>
      </c>
      <c r="F1544" s="101">
        <v>3000</v>
      </c>
      <c r="G1544" s="59" t="s">
        <v>231</v>
      </c>
      <c r="H1544" s="60">
        <v>31.5</v>
      </c>
      <c r="I1544" s="49">
        <f t="shared" si="101"/>
        <v>94500</v>
      </c>
      <c r="J1544" s="518">
        <v>31.3</v>
      </c>
      <c r="K1544" s="532">
        <f t="shared" si="103"/>
        <v>0.19999999999999929</v>
      </c>
      <c r="L1544" s="533">
        <f t="shared" si="102"/>
        <v>599.99999999999784</v>
      </c>
      <c r="M1544" s="537">
        <f t="shared" si="104"/>
        <v>6.3492063492063266E-3</v>
      </c>
      <c r="N1544" s="64" t="s">
        <v>22</v>
      </c>
      <c r="O1544" s="81" t="s">
        <v>39</v>
      </c>
    </row>
    <row r="1545" spans="1:15">
      <c r="A1545" s="71">
        <v>2024</v>
      </c>
      <c r="B1545" s="16" t="s">
        <v>1</v>
      </c>
      <c r="C1545" s="56" t="s">
        <v>2256</v>
      </c>
      <c r="D1545" s="56" t="s">
        <v>270</v>
      </c>
      <c r="E1545" s="56" t="s">
        <v>1244</v>
      </c>
      <c r="F1545" s="101">
        <v>1</v>
      </c>
      <c r="G1545" s="59" t="s">
        <v>1979</v>
      </c>
      <c r="H1545" s="60">
        <v>112428</v>
      </c>
      <c r="I1545" s="49">
        <f t="shared" si="101"/>
        <v>112428</v>
      </c>
      <c r="J1545" s="518">
        <v>110748</v>
      </c>
      <c r="K1545" s="532">
        <f t="shared" si="103"/>
        <v>1680</v>
      </c>
      <c r="L1545" s="533">
        <f t="shared" si="102"/>
        <v>1680</v>
      </c>
      <c r="M1545" s="537">
        <f t="shared" si="104"/>
        <v>1.494289678727719E-2</v>
      </c>
      <c r="N1545" s="64" t="s">
        <v>38</v>
      </c>
      <c r="O1545" s="81" t="s">
        <v>39</v>
      </c>
    </row>
    <row r="1546" spans="1:15">
      <c r="A1546" s="71">
        <v>2024</v>
      </c>
      <c r="B1546" s="16" t="s">
        <v>1</v>
      </c>
      <c r="C1546" s="63" t="s">
        <v>2257</v>
      </c>
      <c r="D1546" s="56" t="s">
        <v>497</v>
      </c>
      <c r="E1546" s="56" t="s">
        <v>2258</v>
      </c>
      <c r="F1546" s="101">
        <v>1</v>
      </c>
      <c r="G1546" s="59" t="s">
        <v>2259</v>
      </c>
      <c r="H1546" s="60">
        <v>1961000</v>
      </c>
      <c r="I1546" s="49">
        <f t="shared" si="101"/>
        <v>1961000</v>
      </c>
      <c r="J1546" s="518">
        <v>1954054.79</v>
      </c>
      <c r="K1546" s="532">
        <f t="shared" si="103"/>
        <v>6945.2099999999627</v>
      </c>
      <c r="L1546" s="533">
        <f t="shared" si="102"/>
        <v>6945.2099999999627</v>
      </c>
      <c r="M1546" s="537">
        <f t="shared" si="104"/>
        <v>3.541667516573158E-3</v>
      </c>
      <c r="N1546" s="64" t="s">
        <v>30</v>
      </c>
      <c r="O1546" s="81" t="s">
        <v>39</v>
      </c>
    </row>
    <row r="1547" spans="1:15">
      <c r="A1547" s="71">
        <v>2024</v>
      </c>
      <c r="B1547" s="16" t="s">
        <v>1</v>
      </c>
      <c r="C1547" s="63" t="s">
        <v>2254</v>
      </c>
      <c r="D1547" s="56" t="s">
        <v>229</v>
      </c>
      <c r="E1547" s="56" t="s">
        <v>2260</v>
      </c>
      <c r="F1547" s="101">
        <v>6000</v>
      </c>
      <c r="G1547" s="59" t="s">
        <v>231</v>
      </c>
      <c r="H1547" s="60">
        <v>31.8</v>
      </c>
      <c r="I1547" s="49">
        <f t="shared" si="101"/>
        <v>190800</v>
      </c>
      <c r="J1547" s="518">
        <v>31</v>
      </c>
      <c r="K1547" s="532">
        <f t="shared" si="103"/>
        <v>0.80000000000000071</v>
      </c>
      <c r="L1547" s="533">
        <f t="shared" si="102"/>
        <v>4800.0000000000045</v>
      </c>
      <c r="M1547" s="537">
        <f t="shared" si="104"/>
        <v>2.5157232704402538E-2</v>
      </c>
      <c r="N1547" s="64" t="s">
        <v>22</v>
      </c>
      <c r="O1547" s="81" t="s">
        <v>39</v>
      </c>
    </row>
    <row r="1548" spans="1:15">
      <c r="A1548" s="71">
        <v>2024</v>
      </c>
      <c r="B1548" s="16" t="s">
        <v>1</v>
      </c>
      <c r="C1548" s="63" t="s">
        <v>2254</v>
      </c>
      <c r="D1548" s="56" t="s">
        <v>229</v>
      </c>
      <c r="E1548" s="56" t="s">
        <v>2261</v>
      </c>
      <c r="F1548" s="101">
        <v>12000</v>
      </c>
      <c r="G1548" s="59" t="s">
        <v>231</v>
      </c>
      <c r="H1548" s="60">
        <v>31.8</v>
      </c>
      <c r="I1548" s="49">
        <f t="shared" si="101"/>
        <v>381600</v>
      </c>
      <c r="J1548" s="518">
        <v>31</v>
      </c>
      <c r="K1548" s="532">
        <f t="shared" si="103"/>
        <v>0.80000000000000071</v>
      </c>
      <c r="L1548" s="533">
        <f t="shared" si="102"/>
        <v>9600.0000000000091</v>
      </c>
      <c r="M1548" s="537">
        <f t="shared" si="104"/>
        <v>2.5157232704402538E-2</v>
      </c>
      <c r="N1548" s="64" t="s">
        <v>22</v>
      </c>
      <c r="O1548" s="81" t="s">
        <v>39</v>
      </c>
    </row>
    <row r="1549" spans="1:15">
      <c r="A1549" s="71">
        <v>2024</v>
      </c>
      <c r="B1549" s="16" t="s">
        <v>1</v>
      </c>
      <c r="C1549" s="63" t="s">
        <v>2254</v>
      </c>
      <c r="D1549" s="56" t="s">
        <v>229</v>
      </c>
      <c r="E1549" s="56" t="s">
        <v>230</v>
      </c>
      <c r="F1549" s="101">
        <v>3000</v>
      </c>
      <c r="G1549" s="59" t="s">
        <v>231</v>
      </c>
      <c r="H1549" s="60">
        <v>31.8</v>
      </c>
      <c r="I1549" s="49">
        <f t="shared" si="101"/>
        <v>95400</v>
      </c>
      <c r="J1549" s="518">
        <v>31</v>
      </c>
      <c r="K1549" s="532">
        <f t="shared" si="103"/>
        <v>0.80000000000000071</v>
      </c>
      <c r="L1549" s="533">
        <f t="shared" si="102"/>
        <v>2400.0000000000023</v>
      </c>
      <c r="M1549" s="537">
        <f t="shared" si="104"/>
        <v>2.5157232704402538E-2</v>
      </c>
      <c r="N1549" s="64" t="s">
        <v>22</v>
      </c>
      <c r="O1549" s="81" t="s">
        <v>39</v>
      </c>
    </row>
    <row r="1550" spans="1:15">
      <c r="A1550" s="71">
        <v>2024</v>
      </c>
      <c r="B1550" s="16" t="s">
        <v>1</v>
      </c>
      <c r="C1550" s="63" t="s">
        <v>2262</v>
      </c>
      <c r="D1550" s="56" t="s">
        <v>1119</v>
      </c>
      <c r="E1550" s="56" t="s">
        <v>2240</v>
      </c>
      <c r="F1550" s="101">
        <v>150</v>
      </c>
      <c r="G1550" s="59" t="s">
        <v>1983</v>
      </c>
      <c r="H1550" s="60">
        <v>20</v>
      </c>
      <c r="I1550" s="49">
        <f t="shared" si="101"/>
        <v>3000</v>
      </c>
      <c r="J1550" s="518">
        <v>15</v>
      </c>
      <c r="K1550" s="532">
        <f t="shared" si="103"/>
        <v>5</v>
      </c>
      <c r="L1550" s="533">
        <f t="shared" si="102"/>
        <v>750</v>
      </c>
      <c r="M1550" s="537">
        <f t="shared" si="104"/>
        <v>0.25</v>
      </c>
      <c r="N1550" s="64" t="s">
        <v>22</v>
      </c>
      <c r="O1550" s="81" t="s">
        <v>39</v>
      </c>
    </row>
    <row r="1551" spans="1:15">
      <c r="A1551" s="71">
        <v>2024</v>
      </c>
      <c r="B1551" s="16" t="s">
        <v>1</v>
      </c>
      <c r="C1551" s="63" t="s">
        <v>2262</v>
      </c>
      <c r="D1551" s="56" t="s">
        <v>1119</v>
      </c>
      <c r="E1551" s="56" t="s">
        <v>2263</v>
      </c>
      <c r="F1551" s="101">
        <v>120</v>
      </c>
      <c r="G1551" s="59" t="s">
        <v>1983</v>
      </c>
      <c r="H1551" s="60">
        <v>85</v>
      </c>
      <c r="I1551" s="49">
        <f t="shared" si="101"/>
        <v>10200</v>
      </c>
      <c r="J1551" s="518">
        <v>80</v>
      </c>
      <c r="K1551" s="532">
        <f t="shared" si="103"/>
        <v>5</v>
      </c>
      <c r="L1551" s="533">
        <f t="shared" si="102"/>
        <v>600</v>
      </c>
      <c r="M1551" s="537">
        <f t="shared" si="104"/>
        <v>5.8823529411764705E-2</v>
      </c>
      <c r="N1551" s="64" t="s">
        <v>38</v>
      </c>
      <c r="O1551" s="81" t="s">
        <v>39</v>
      </c>
    </row>
    <row r="1552" spans="1:15">
      <c r="A1552" s="71">
        <v>2024</v>
      </c>
      <c r="B1552" s="16" t="s">
        <v>1</v>
      </c>
      <c r="C1552" s="63" t="s">
        <v>2262</v>
      </c>
      <c r="D1552" s="56" t="s">
        <v>1119</v>
      </c>
      <c r="E1552" s="56" t="s">
        <v>2264</v>
      </c>
      <c r="F1552" s="101">
        <v>120</v>
      </c>
      <c r="G1552" s="59" t="s">
        <v>1983</v>
      </c>
      <c r="H1552" s="60">
        <v>290</v>
      </c>
      <c r="I1552" s="49">
        <f t="shared" si="101"/>
        <v>34800</v>
      </c>
      <c r="J1552" s="518">
        <v>285</v>
      </c>
      <c r="K1552" s="532">
        <f t="shared" si="103"/>
        <v>5</v>
      </c>
      <c r="L1552" s="533">
        <f t="shared" si="102"/>
        <v>600</v>
      </c>
      <c r="M1552" s="537">
        <f t="shared" si="104"/>
        <v>1.7241379310344827E-2</v>
      </c>
      <c r="N1552" s="64" t="s">
        <v>38</v>
      </c>
      <c r="O1552" s="81" t="s">
        <v>39</v>
      </c>
    </row>
    <row r="1553" spans="1:15">
      <c r="A1553" s="71">
        <v>2024</v>
      </c>
      <c r="B1553" s="16" t="s">
        <v>1</v>
      </c>
      <c r="C1553" s="63" t="s">
        <v>2262</v>
      </c>
      <c r="D1553" s="56" t="s">
        <v>1119</v>
      </c>
      <c r="E1553" s="56" t="s">
        <v>2265</v>
      </c>
      <c r="F1553" s="101">
        <v>120</v>
      </c>
      <c r="G1553" s="59" t="s">
        <v>1983</v>
      </c>
      <c r="H1553" s="60">
        <v>50</v>
      </c>
      <c r="I1553" s="49">
        <f t="shared" si="101"/>
        <v>6000</v>
      </c>
      <c r="J1553" s="518">
        <v>45</v>
      </c>
      <c r="K1553" s="532">
        <f t="shared" si="103"/>
        <v>5</v>
      </c>
      <c r="L1553" s="533">
        <f t="shared" si="102"/>
        <v>600</v>
      </c>
      <c r="M1553" s="537">
        <f t="shared" si="104"/>
        <v>0.1</v>
      </c>
      <c r="N1553" s="64" t="s">
        <v>38</v>
      </c>
      <c r="O1553" s="81" t="s">
        <v>39</v>
      </c>
    </row>
    <row r="1554" spans="1:15">
      <c r="A1554" s="71">
        <v>2024</v>
      </c>
      <c r="B1554" s="16" t="s">
        <v>1</v>
      </c>
      <c r="C1554" s="63" t="s">
        <v>2266</v>
      </c>
      <c r="D1554" s="56" t="s">
        <v>1252</v>
      </c>
      <c r="E1554" s="56" t="s">
        <v>1665</v>
      </c>
      <c r="F1554" s="101">
        <v>17200</v>
      </c>
      <c r="G1554" s="59" t="s">
        <v>37</v>
      </c>
      <c r="H1554" s="60">
        <v>32.56</v>
      </c>
      <c r="I1554" s="49">
        <f t="shared" si="101"/>
        <v>560032</v>
      </c>
      <c r="J1554" s="518">
        <v>30.34</v>
      </c>
      <c r="K1554" s="532">
        <f t="shared" si="103"/>
        <v>2.2200000000000024</v>
      </c>
      <c r="L1554" s="533">
        <f t="shared" si="102"/>
        <v>38184.000000000044</v>
      </c>
      <c r="M1554" s="537">
        <f t="shared" si="104"/>
        <v>6.8181818181818246E-2</v>
      </c>
      <c r="N1554" s="64" t="s">
        <v>22</v>
      </c>
      <c r="O1554" s="81" t="s">
        <v>105</v>
      </c>
    </row>
    <row r="1555" spans="1:15">
      <c r="A1555" s="71">
        <v>2024</v>
      </c>
      <c r="B1555" s="16" t="s">
        <v>1</v>
      </c>
      <c r="C1555" s="63" t="s">
        <v>2267</v>
      </c>
      <c r="D1555" s="56" t="s">
        <v>304</v>
      </c>
      <c r="E1555" s="56" t="s">
        <v>2268</v>
      </c>
      <c r="F1555" s="101">
        <v>3</v>
      </c>
      <c r="G1555" s="59" t="s">
        <v>19</v>
      </c>
      <c r="H1555" s="60">
        <v>15130</v>
      </c>
      <c r="I1555" s="49">
        <f t="shared" si="101"/>
        <v>45390</v>
      </c>
      <c r="J1555" s="518">
        <v>11000</v>
      </c>
      <c r="K1555" s="532">
        <f t="shared" si="103"/>
        <v>4130</v>
      </c>
      <c r="L1555" s="533">
        <f t="shared" si="102"/>
        <v>12390</v>
      </c>
      <c r="M1555" s="537">
        <f t="shared" si="104"/>
        <v>0.2729676140118969</v>
      </c>
      <c r="N1555" s="64" t="s">
        <v>22</v>
      </c>
      <c r="O1555" s="81" t="s">
        <v>105</v>
      </c>
    </row>
    <row r="1556" spans="1:15">
      <c r="A1556" s="71">
        <v>2024</v>
      </c>
      <c r="B1556" s="16" t="s">
        <v>1</v>
      </c>
      <c r="C1556" s="63" t="s">
        <v>2269</v>
      </c>
      <c r="D1556" s="56" t="s">
        <v>1042</v>
      </c>
      <c r="E1556" s="56" t="s">
        <v>711</v>
      </c>
      <c r="F1556" s="101">
        <v>1705</v>
      </c>
      <c r="G1556" s="59" t="s">
        <v>37</v>
      </c>
      <c r="H1556" s="60">
        <v>422</v>
      </c>
      <c r="I1556" s="49">
        <f t="shared" si="101"/>
        <v>719510</v>
      </c>
      <c r="J1556" s="518">
        <v>395</v>
      </c>
      <c r="K1556" s="532">
        <f t="shared" si="103"/>
        <v>27</v>
      </c>
      <c r="L1556" s="533">
        <f t="shared" si="102"/>
        <v>46035</v>
      </c>
      <c r="M1556" s="537">
        <f t="shared" si="104"/>
        <v>6.398104265402843E-2</v>
      </c>
      <c r="N1556" s="64" t="s">
        <v>22</v>
      </c>
      <c r="O1556" s="81" t="s">
        <v>105</v>
      </c>
    </row>
    <row r="1557" spans="1:15">
      <c r="A1557" s="71">
        <v>2024</v>
      </c>
      <c r="B1557" s="16" t="s">
        <v>1</v>
      </c>
      <c r="C1557" s="63" t="s">
        <v>2270</v>
      </c>
      <c r="D1557" s="56" t="s">
        <v>94</v>
      </c>
      <c r="E1557" s="56" t="s">
        <v>550</v>
      </c>
      <c r="F1557" s="101">
        <v>1500</v>
      </c>
      <c r="G1557" s="59" t="s">
        <v>37</v>
      </c>
      <c r="H1557" s="60">
        <v>49</v>
      </c>
      <c r="I1557" s="49">
        <f t="shared" si="101"/>
        <v>73500</v>
      </c>
      <c r="J1557" s="518">
        <v>47.56</v>
      </c>
      <c r="K1557" s="532">
        <f t="shared" si="103"/>
        <v>1.4399999999999977</v>
      </c>
      <c r="L1557" s="533">
        <f t="shared" si="102"/>
        <v>2159.9999999999964</v>
      </c>
      <c r="M1557" s="537">
        <f t="shared" si="104"/>
        <v>2.938775510204077E-2</v>
      </c>
      <c r="N1557" s="64" t="s">
        <v>22</v>
      </c>
      <c r="O1557" s="81" t="s">
        <v>105</v>
      </c>
    </row>
    <row r="1558" spans="1:15">
      <c r="A1558" s="71">
        <v>2024</v>
      </c>
      <c r="B1558" s="16" t="s">
        <v>1</v>
      </c>
      <c r="C1558" s="63" t="s">
        <v>2270</v>
      </c>
      <c r="D1558" s="56" t="s">
        <v>94</v>
      </c>
      <c r="E1558" s="56" t="s">
        <v>2271</v>
      </c>
      <c r="F1558" s="101">
        <v>1000</v>
      </c>
      <c r="G1558" s="59" t="s">
        <v>37</v>
      </c>
      <c r="H1558" s="60">
        <v>1.45</v>
      </c>
      <c r="I1558" s="49">
        <f t="shared" ref="I1558:I1589" si="105">H1558*F1558</f>
        <v>1450</v>
      </c>
      <c r="J1558" s="518">
        <v>1.4</v>
      </c>
      <c r="K1558" s="532">
        <f t="shared" si="103"/>
        <v>5.0000000000000044E-2</v>
      </c>
      <c r="L1558" s="533">
        <f t="shared" si="102"/>
        <v>50.000000000000043</v>
      </c>
      <c r="M1558" s="537">
        <f t="shared" si="104"/>
        <v>3.4482758620689689E-2</v>
      </c>
      <c r="N1558" s="64" t="s">
        <v>22</v>
      </c>
      <c r="O1558" s="81" t="s">
        <v>105</v>
      </c>
    </row>
    <row r="1559" spans="1:15">
      <c r="A1559" s="71">
        <v>2024</v>
      </c>
      <c r="B1559" s="16" t="s">
        <v>1</v>
      </c>
      <c r="C1559" s="63" t="s">
        <v>2272</v>
      </c>
      <c r="D1559" s="56" t="s">
        <v>1042</v>
      </c>
      <c r="E1559" s="56" t="s">
        <v>2273</v>
      </c>
      <c r="F1559" s="101">
        <v>1512</v>
      </c>
      <c r="G1559" s="59" t="s">
        <v>37</v>
      </c>
      <c r="H1559" s="60">
        <v>421</v>
      </c>
      <c r="I1559" s="49">
        <f t="shared" si="105"/>
        <v>636552</v>
      </c>
      <c r="J1559" s="518">
        <v>395</v>
      </c>
      <c r="K1559" s="532">
        <f t="shared" si="103"/>
        <v>26</v>
      </c>
      <c r="L1559" s="533">
        <f t="shared" si="102"/>
        <v>39312</v>
      </c>
      <c r="M1559" s="537">
        <f t="shared" si="104"/>
        <v>6.1757719714964368E-2</v>
      </c>
      <c r="N1559" s="64" t="s">
        <v>22</v>
      </c>
      <c r="O1559" s="81" t="s">
        <v>105</v>
      </c>
    </row>
    <row r="1560" spans="1:15">
      <c r="A1560" s="71">
        <v>2024</v>
      </c>
      <c r="B1560" s="16" t="s">
        <v>1</v>
      </c>
      <c r="C1560" s="63" t="s">
        <v>2274</v>
      </c>
      <c r="D1560" s="56" t="s">
        <v>68</v>
      </c>
      <c r="E1560" s="56" t="s">
        <v>962</v>
      </c>
      <c r="F1560" s="101">
        <v>470.9</v>
      </c>
      <c r="G1560" s="59" t="s">
        <v>37</v>
      </c>
      <c r="H1560" s="60">
        <v>410</v>
      </c>
      <c r="I1560" s="49">
        <f t="shared" si="105"/>
        <v>193069</v>
      </c>
      <c r="J1560" s="518">
        <v>409</v>
      </c>
      <c r="K1560" s="532">
        <f t="shared" si="103"/>
        <v>1</v>
      </c>
      <c r="L1560" s="533">
        <f t="shared" si="102"/>
        <v>470.9</v>
      </c>
      <c r="M1560" s="537">
        <f t="shared" si="104"/>
        <v>2.4390243902439024E-3</v>
      </c>
      <c r="N1560" s="64" t="s">
        <v>38</v>
      </c>
      <c r="O1560" s="81" t="s">
        <v>105</v>
      </c>
    </row>
    <row r="1561" spans="1:15">
      <c r="A1561" s="71">
        <v>2024</v>
      </c>
      <c r="B1561" s="16" t="s">
        <v>1</v>
      </c>
      <c r="C1561" s="63" t="s">
        <v>2275</v>
      </c>
      <c r="D1561" s="56" t="s">
        <v>1670</v>
      </c>
      <c r="E1561" s="56" t="s">
        <v>2276</v>
      </c>
      <c r="F1561" s="101">
        <v>4</v>
      </c>
      <c r="G1561" s="59" t="s">
        <v>19</v>
      </c>
      <c r="H1561" s="60">
        <v>6000</v>
      </c>
      <c r="I1561" s="49">
        <f t="shared" si="105"/>
        <v>24000</v>
      </c>
      <c r="J1561" s="518">
        <v>1925</v>
      </c>
      <c r="K1561" s="532">
        <f t="shared" si="103"/>
        <v>4075</v>
      </c>
      <c r="L1561" s="533">
        <f t="shared" si="102"/>
        <v>16300</v>
      </c>
      <c r="M1561" s="537">
        <f t="shared" si="104"/>
        <v>0.6791666666666667</v>
      </c>
      <c r="N1561" s="64" t="s">
        <v>22</v>
      </c>
      <c r="O1561" s="81" t="s">
        <v>21</v>
      </c>
    </row>
    <row r="1562" spans="1:15">
      <c r="A1562" s="71">
        <v>2024</v>
      </c>
      <c r="B1562" s="16" t="s">
        <v>1</v>
      </c>
      <c r="C1562" s="63" t="s">
        <v>2275</v>
      </c>
      <c r="D1562" s="56" t="s">
        <v>1670</v>
      </c>
      <c r="E1562" s="56" t="s">
        <v>2277</v>
      </c>
      <c r="F1562" s="101">
        <v>4</v>
      </c>
      <c r="G1562" s="59" t="s">
        <v>19</v>
      </c>
      <c r="H1562" s="60">
        <v>5000</v>
      </c>
      <c r="I1562" s="49">
        <f t="shared" si="105"/>
        <v>20000</v>
      </c>
      <c r="J1562" s="518">
        <v>1725</v>
      </c>
      <c r="K1562" s="532">
        <f t="shared" si="103"/>
        <v>3275</v>
      </c>
      <c r="L1562" s="533">
        <f t="shared" si="102"/>
        <v>13100</v>
      </c>
      <c r="M1562" s="537">
        <f t="shared" si="104"/>
        <v>0.65500000000000003</v>
      </c>
      <c r="N1562" s="64" t="s">
        <v>22</v>
      </c>
      <c r="O1562" s="81" t="s">
        <v>21</v>
      </c>
    </row>
    <row r="1563" spans="1:15">
      <c r="A1563" s="71">
        <v>2024</v>
      </c>
      <c r="B1563" s="16" t="s">
        <v>1</v>
      </c>
      <c r="C1563" s="63" t="s">
        <v>2278</v>
      </c>
      <c r="D1563" s="56" t="s">
        <v>345</v>
      </c>
      <c r="E1563" s="56" t="s">
        <v>2279</v>
      </c>
      <c r="F1563" s="101">
        <v>1</v>
      </c>
      <c r="G1563" s="59" t="s">
        <v>59</v>
      </c>
      <c r="H1563" s="60">
        <v>483800</v>
      </c>
      <c r="I1563" s="49">
        <f t="shared" si="105"/>
        <v>483800</v>
      </c>
      <c r="J1563" s="518">
        <v>455000</v>
      </c>
      <c r="K1563" s="532">
        <f t="shared" si="103"/>
        <v>28800</v>
      </c>
      <c r="L1563" s="533">
        <f t="shared" si="102"/>
        <v>28800</v>
      </c>
      <c r="M1563" s="537">
        <f t="shared" si="104"/>
        <v>5.9528730880529145E-2</v>
      </c>
      <c r="N1563" s="64" t="s">
        <v>38</v>
      </c>
      <c r="O1563" s="81" t="s">
        <v>21</v>
      </c>
    </row>
    <row r="1564" spans="1:15">
      <c r="A1564" s="71">
        <v>2024</v>
      </c>
      <c r="B1564" s="16" t="s">
        <v>1</v>
      </c>
      <c r="C1564" s="63" t="s">
        <v>2280</v>
      </c>
      <c r="D1564" s="56" t="s">
        <v>118</v>
      </c>
      <c r="E1564" s="56" t="s">
        <v>2281</v>
      </c>
      <c r="F1564" s="101">
        <v>1</v>
      </c>
      <c r="G1564" s="59" t="s">
        <v>19</v>
      </c>
      <c r="H1564" s="60">
        <v>8480</v>
      </c>
      <c r="I1564" s="49">
        <f t="shared" si="105"/>
        <v>8480</v>
      </c>
      <c r="J1564" s="518">
        <v>8345</v>
      </c>
      <c r="K1564" s="532">
        <f t="shared" si="103"/>
        <v>135</v>
      </c>
      <c r="L1564" s="533">
        <f t="shared" si="102"/>
        <v>135</v>
      </c>
      <c r="M1564" s="537">
        <f t="shared" si="104"/>
        <v>1.5919811320754717E-2</v>
      </c>
      <c r="N1564" s="64" t="s">
        <v>22</v>
      </c>
      <c r="O1564" s="81" t="s">
        <v>21</v>
      </c>
    </row>
    <row r="1565" spans="1:15">
      <c r="A1565" s="71">
        <v>2024</v>
      </c>
      <c r="B1565" s="16" t="s">
        <v>1</v>
      </c>
      <c r="C1565" s="63" t="s">
        <v>2280</v>
      </c>
      <c r="D1565" s="56" t="s">
        <v>118</v>
      </c>
      <c r="E1565" s="56" t="s">
        <v>2282</v>
      </c>
      <c r="F1565" s="101">
        <v>1</v>
      </c>
      <c r="G1565" s="59" t="s">
        <v>19</v>
      </c>
      <c r="H1565" s="60">
        <v>9590</v>
      </c>
      <c r="I1565" s="49">
        <f t="shared" si="105"/>
        <v>9590</v>
      </c>
      <c r="J1565" s="518">
        <v>9300</v>
      </c>
      <c r="K1565" s="532">
        <f t="shared" si="103"/>
        <v>290</v>
      </c>
      <c r="L1565" s="533">
        <f t="shared" si="102"/>
        <v>290</v>
      </c>
      <c r="M1565" s="537">
        <f t="shared" si="104"/>
        <v>3.023983315954119E-2</v>
      </c>
      <c r="N1565" s="64" t="s">
        <v>22</v>
      </c>
      <c r="O1565" s="81" t="s">
        <v>21</v>
      </c>
    </row>
    <row r="1566" spans="1:15">
      <c r="A1566" s="71">
        <v>2024</v>
      </c>
      <c r="B1566" s="16" t="s">
        <v>1</v>
      </c>
      <c r="C1566" s="63" t="s">
        <v>2283</v>
      </c>
      <c r="D1566" s="56" t="s">
        <v>1948</v>
      </c>
      <c r="E1566" s="56" t="s">
        <v>2284</v>
      </c>
      <c r="F1566" s="101">
        <v>1</v>
      </c>
      <c r="G1566" s="59" t="s">
        <v>19</v>
      </c>
      <c r="H1566" s="60">
        <v>9500</v>
      </c>
      <c r="I1566" s="49">
        <f t="shared" si="105"/>
        <v>9500</v>
      </c>
      <c r="J1566" s="518">
        <v>8789</v>
      </c>
      <c r="K1566" s="532">
        <f t="shared" si="103"/>
        <v>711</v>
      </c>
      <c r="L1566" s="533">
        <f t="shared" si="102"/>
        <v>711</v>
      </c>
      <c r="M1566" s="537">
        <f t="shared" si="104"/>
        <v>7.484210526315789E-2</v>
      </c>
      <c r="N1566" s="64" t="s">
        <v>22</v>
      </c>
      <c r="O1566" s="81" t="s">
        <v>21</v>
      </c>
    </row>
    <row r="1567" spans="1:15">
      <c r="A1567" s="71">
        <v>2024</v>
      </c>
      <c r="B1567" s="16" t="s">
        <v>1</v>
      </c>
      <c r="C1567" s="63" t="s">
        <v>2285</v>
      </c>
      <c r="D1567" s="56" t="s">
        <v>2286</v>
      </c>
      <c r="E1567" s="56" t="s">
        <v>2287</v>
      </c>
      <c r="F1567" s="101">
        <v>1</v>
      </c>
      <c r="G1567" s="59" t="s">
        <v>59</v>
      </c>
      <c r="H1567" s="60">
        <v>91330</v>
      </c>
      <c r="I1567" s="49">
        <f t="shared" si="105"/>
        <v>91330</v>
      </c>
      <c r="J1567" s="518">
        <v>74892</v>
      </c>
      <c r="K1567" s="532">
        <f t="shared" si="103"/>
        <v>16438</v>
      </c>
      <c r="L1567" s="533">
        <f t="shared" si="102"/>
        <v>16438</v>
      </c>
      <c r="M1567" s="537">
        <f t="shared" si="104"/>
        <v>0.17998467097339318</v>
      </c>
      <c r="N1567" s="64" t="s">
        <v>22</v>
      </c>
      <c r="O1567" s="81" t="s">
        <v>21</v>
      </c>
    </row>
    <row r="1568" spans="1:15">
      <c r="A1568" s="71">
        <v>2024</v>
      </c>
      <c r="B1568" s="16" t="s">
        <v>1</v>
      </c>
      <c r="C1568" s="63" t="s">
        <v>2288</v>
      </c>
      <c r="D1568" s="56" t="s">
        <v>323</v>
      </c>
      <c r="E1568" s="56" t="s">
        <v>324</v>
      </c>
      <c r="F1568" s="101">
        <v>96</v>
      </c>
      <c r="G1568" s="59" t="s">
        <v>29</v>
      </c>
      <c r="H1568" s="60">
        <v>405</v>
      </c>
      <c r="I1568" s="49">
        <f t="shared" si="105"/>
        <v>38880</v>
      </c>
      <c r="J1568" s="518">
        <v>385</v>
      </c>
      <c r="K1568" s="532">
        <f t="shared" si="103"/>
        <v>20</v>
      </c>
      <c r="L1568" s="533">
        <f t="shared" si="102"/>
        <v>1920</v>
      </c>
      <c r="M1568" s="537">
        <f t="shared" si="104"/>
        <v>4.9382716049382713E-2</v>
      </c>
      <c r="N1568" s="64" t="s">
        <v>22</v>
      </c>
      <c r="O1568" s="81" t="s">
        <v>21</v>
      </c>
    </row>
    <row r="1569" spans="1:15">
      <c r="A1569" s="71">
        <v>2024</v>
      </c>
      <c r="B1569" s="16" t="s">
        <v>1</v>
      </c>
      <c r="C1569" s="63" t="s">
        <v>2289</v>
      </c>
      <c r="D1569" s="56" t="s">
        <v>1470</v>
      </c>
      <c r="E1569" s="56" t="s">
        <v>1471</v>
      </c>
      <c r="F1569" s="101">
        <v>250</v>
      </c>
      <c r="G1569" s="59" t="s">
        <v>98</v>
      </c>
      <c r="H1569" s="60">
        <v>3000</v>
      </c>
      <c r="I1569" s="49">
        <f t="shared" si="105"/>
        <v>750000</v>
      </c>
      <c r="J1569" s="518">
        <v>2850</v>
      </c>
      <c r="K1569" s="532">
        <f t="shared" si="103"/>
        <v>150</v>
      </c>
      <c r="L1569" s="533">
        <f t="shared" si="102"/>
        <v>37500</v>
      </c>
      <c r="M1569" s="537">
        <f t="shared" si="104"/>
        <v>0.05</v>
      </c>
      <c r="N1569" s="64" t="s">
        <v>38</v>
      </c>
      <c r="O1569" s="81" t="s">
        <v>21</v>
      </c>
    </row>
    <row r="1570" spans="1:15">
      <c r="A1570" s="71">
        <v>2024</v>
      </c>
      <c r="B1570" s="16" t="s">
        <v>1</v>
      </c>
      <c r="C1570" s="63" t="s">
        <v>2290</v>
      </c>
      <c r="D1570" s="56" t="s">
        <v>2291</v>
      </c>
      <c r="E1570" s="56" t="s">
        <v>2292</v>
      </c>
      <c r="F1570" s="101">
        <v>1</v>
      </c>
      <c r="G1570" s="59" t="s">
        <v>59</v>
      </c>
      <c r="H1570" s="60">
        <v>13500</v>
      </c>
      <c r="I1570" s="49">
        <f t="shared" si="105"/>
        <v>13500</v>
      </c>
      <c r="J1570" s="518">
        <v>13000</v>
      </c>
      <c r="K1570" s="532">
        <f t="shared" si="103"/>
        <v>500</v>
      </c>
      <c r="L1570" s="533">
        <f t="shared" si="102"/>
        <v>500</v>
      </c>
      <c r="M1570" s="537">
        <f t="shared" si="104"/>
        <v>3.7037037037037035E-2</v>
      </c>
      <c r="N1570" s="64" t="s">
        <v>22</v>
      </c>
      <c r="O1570" s="81" t="s">
        <v>21</v>
      </c>
    </row>
    <row r="1571" spans="1:15">
      <c r="A1571" s="71">
        <v>2024</v>
      </c>
      <c r="B1571" s="16" t="s">
        <v>1</v>
      </c>
      <c r="C1571" s="63" t="s">
        <v>2293</v>
      </c>
      <c r="D1571" s="56" t="s">
        <v>2294</v>
      </c>
      <c r="E1571" s="56" t="s">
        <v>2295</v>
      </c>
      <c r="F1571" s="101">
        <v>1</v>
      </c>
      <c r="G1571" s="59" t="s">
        <v>59</v>
      </c>
      <c r="H1571" s="60">
        <v>24000</v>
      </c>
      <c r="I1571" s="49">
        <f t="shared" si="105"/>
        <v>24000</v>
      </c>
      <c r="J1571" s="518">
        <v>19000</v>
      </c>
      <c r="K1571" s="532">
        <f t="shared" si="103"/>
        <v>5000</v>
      </c>
      <c r="L1571" s="533">
        <f t="shared" si="102"/>
        <v>5000</v>
      </c>
      <c r="M1571" s="537">
        <f t="shared" si="104"/>
        <v>0.20833333333333334</v>
      </c>
      <c r="N1571" s="64" t="s">
        <v>22</v>
      </c>
      <c r="O1571" s="81" t="s">
        <v>21</v>
      </c>
    </row>
    <row r="1572" spans="1:15">
      <c r="A1572" s="71">
        <v>2024</v>
      </c>
      <c r="B1572" s="16" t="s">
        <v>1</v>
      </c>
      <c r="C1572" s="63" t="s">
        <v>2296</v>
      </c>
      <c r="D1572" s="56" t="s">
        <v>356</v>
      </c>
      <c r="E1572" s="56" t="s">
        <v>2297</v>
      </c>
      <c r="F1572" s="101">
        <v>12</v>
      </c>
      <c r="G1572" s="59" t="s">
        <v>29</v>
      </c>
      <c r="H1572" s="60">
        <v>4080</v>
      </c>
      <c r="I1572" s="49">
        <f t="shared" si="105"/>
        <v>48960</v>
      </c>
      <c r="J1572" s="518">
        <v>3850</v>
      </c>
      <c r="K1572" s="532">
        <f t="shared" si="103"/>
        <v>230</v>
      </c>
      <c r="L1572" s="533">
        <f t="shared" si="102"/>
        <v>2760</v>
      </c>
      <c r="M1572" s="537">
        <f t="shared" si="104"/>
        <v>5.6372549019607844E-2</v>
      </c>
      <c r="N1572" s="64" t="s">
        <v>38</v>
      </c>
      <c r="O1572" s="81" t="s">
        <v>21</v>
      </c>
    </row>
    <row r="1573" spans="1:15">
      <c r="A1573" s="71">
        <v>2024</v>
      </c>
      <c r="B1573" s="16" t="s">
        <v>1</v>
      </c>
      <c r="C1573" s="63" t="s">
        <v>2298</v>
      </c>
      <c r="D1573" s="56" t="s">
        <v>17</v>
      </c>
      <c r="E1573" s="56" t="s">
        <v>2299</v>
      </c>
      <c r="F1573" s="101">
        <v>1</v>
      </c>
      <c r="G1573" s="59" t="s">
        <v>19</v>
      </c>
      <c r="H1573" s="60">
        <v>4850</v>
      </c>
      <c r="I1573" s="49">
        <f t="shared" si="105"/>
        <v>4850</v>
      </c>
      <c r="J1573" s="518">
        <v>4750</v>
      </c>
      <c r="K1573" s="532">
        <f t="shared" si="103"/>
        <v>100</v>
      </c>
      <c r="L1573" s="533">
        <f t="shared" si="102"/>
        <v>100</v>
      </c>
      <c r="M1573" s="537">
        <f t="shared" si="104"/>
        <v>2.0618556701030927E-2</v>
      </c>
      <c r="N1573" s="64" t="s">
        <v>38</v>
      </c>
      <c r="O1573" s="81" t="s">
        <v>21</v>
      </c>
    </row>
    <row r="1574" spans="1:15">
      <c r="A1574" s="71">
        <v>2024</v>
      </c>
      <c r="B1574" s="16" t="s">
        <v>1</v>
      </c>
      <c r="C1574" s="63" t="s">
        <v>2300</v>
      </c>
      <c r="D1574" s="56" t="s">
        <v>260</v>
      </c>
      <c r="E1574" s="2" t="s">
        <v>2301</v>
      </c>
      <c r="F1574" s="96">
        <v>8</v>
      </c>
      <c r="G1574" s="59" t="s">
        <v>19</v>
      </c>
      <c r="H1574" s="60">
        <v>3900</v>
      </c>
      <c r="I1574" s="49">
        <f t="shared" si="105"/>
        <v>31200</v>
      </c>
      <c r="J1574" s="518">
        <v>3315</v>
      </c>
      <c r="K1574" s="532">
        <f t="shared" si="103"/>
        <v>585</v>
      </c>
      <c r="L1574" s="533">
        <f t="shared" si="102"/>
        <v>4680</v>
      </c>
      <c r="M1574" s="537">
        <f t="shared" si="104"/>
        <v>0.15</v>
      </c>
      <c r="N1574" s="64" t="s">
        <v>22</v>
      </c>
      <c r="O1574" s="81" t="s">
        <v>21</v>
      </c>
    </row>
    <row r="1575" spans="1:15">
      <c r="A1575" s="71">
        <v>2024</v>
      </c>
      <c r="B1575" s="16" t="s">
        <v>1</v>
      </c>
      <c r="C1575" s="63" t="s">
        <v>2302</v>
      </c>
      <c r="D1575" s="56" t="s">
        <v>182</v>
      </c>
      <c r="E1575" s="2" t="s">
        <v>2303</v>
      </c>
      <c r="F1575" s="96">
        <v>1</v>
      </c>
      <c r="G1575" s="59" t="s">
        <v>19</v>
      </c>
      <c r="H1575" s="60">
        <v>42000</v>
      </c>
      <c r="I1575" s="49">
        <f t="shared" si="105"/>
        <v>42000</v>
      </c>
      <c r="J1575" s="518">
        <v>33600</v>
      </c>
      <c r="K1575" s="532">
        <f t="shared" si="103"/>
        <v>8400</v>
      </c>
      <c r="L1575" s="533">
        <f t="shared" si="102"/>
        <v>8400</v>
      </c>
      <c r="M1575" s="537">
        <f t="shared" si="104"/>
        <v>0.2</v>
      </c>
      <c r="N1575" s="64" t="s">
        <v>38</v>
      </c>
      <c r="O1575" s="81" t="s">
        <v>21</v>
      </c>
    </row>
    <row r="1576" spans="1:15">
      <c r="A1576" s="71">
        <v>2024</v>
      </c>
      <c r="B1576" s="16" t="s">
        <v>1</v>
      </c>
      <c r="C1576" s="63" t="s">
        <v>2304</v>
      </c>
      <c r="D1576" s="56" t="s">
        <v>2305</v>
      </c>
      <c r="E1576" s="2" t="s">
        <v>2306</v>
      </c>
      <c r="F1576" s="96">
        <v>1</v>
      </c>
      <c r="G1576" s="59" t="s">
        <v>59</v>
      </c>
      <c r="H1576" s="60">
        <v>405000</v>
      </c>
      <c r="I1576" s="49">
        <f t="shared" si="105"/>
        <v>405000</v>
      </c>
      <c r="J1576" s="518">
        <v>390000</v>
      </c>
      <c r="K1576" s="532">
        <f t="shared" si="103"/>
        <v>15000</v>
      </c>
      <c r="L1576" s="533">
        <f t="shared" si="102"/>
        <v>15000</v>
      </c>
      <c r="M1576" s="537">
        <f t="shared" si="104"/>
        <v>3.7037037037037035E-2</v>
      </c>
      <c r="N1576" s="64" t="s">
        <v>38</v>
      </c>
      <c r="O1576" s="81" t="s">
        <v>21</v>
      </c>
    </row>
    <row r="1577" spans="1:15">
      <c r="A1577" s="71">
        <v>2024</v>
      </c>
      <c r="B1577" s="16" t="s">
        <v>1</v>
      </c>
      <c r="C1577" s="63" t="s">
        <v>2307</v>
      </c>
      <c r="D1577" s="56" t="s">
        <v>2308</v>
      </c>
      <c r="E1577" s="56" t="s">
        <v>2309</v>
      </c>
      <c r="F1577" s="101">
        <v>1</v>
      </c>
      <c r="G1577" s="59" t="s">
        <v>569</v>
      </c>
      <c r="H1577" s="60">
        <v>960000</v>
      </c>
      <c r="I1577" s="49">
        <f t="shared" si="105"/>
        <v>960000</v>
      </c>
      <c r="J1577" s="518">
        <v>855000</v>
      </c>
      <c r="K1577" s="532">
        <f t="shared" si="103"/>
        <v>105000</v>
      </c>
      <c r="L1577" s="533">
        <f t="shared" si="102"/>
        <v>105000</v>
      </c>
      <c r="M1577" s="537">
        <f t="shared" si="104"/>
        <v>0.109375</v>
      </c>
      <c r="N1577" s="64" t="s">
        <v>38</v>
      </c>
      <c r="O1577" s="81" t="s">
        <v>21</v>
      </c>
    </row>
    <row r="1578" spans="1:15">
      <c r="A1578" s="71">
        <v>2024</v>
      </c>
      <c r="B1578" s="16" t="s">
        <v>1</v>
      </c>
      <c r="C1578" s="63" t="s">
        <v>2310</v>
      </c>
      <c r="D1578" s="56" t="s">
        <v>110</v>
      </c>
      <c r="E1578" s="56" t="s">
        <v>2311</v>
      </c>
      <c r="F1578" s="101">
        <v>1</v>
      </c>
      <c r="G1578" s="59" t="s">
        <v>19</v>
      </c>
      <c r="H1578" s="60">
        <v>5000</v>
      </c>
      <c r="I1578" s="49">
        <f t="shared" si="105"/>
        <v>5000</v>
      </c>
      <c r="J1578" s="518">
        <v>4500</v>
      </c>
      <c r="K1578" s="532">
        <f t="shared" si="103"/>
        <v>500</v>
      </c>
      <c r="L1578" s="533">
        <f t="shared" si="102"/>
        <v>500</v>
      </c>
      <c r="M1578" s="537">
        <f t="shared" si="104"/>
        <v>0.1</v>
      </c>
      <c r="N1578" s="64" t="s">
        <v>22</v>
      </c>
      <c r="O1578" s="81" t="s">
        <v>21</v>
      </c>
    </row>
    <row r="1579" spans="1:15">
      <c r="A1579" s="71">
        <v>2024</v>
      </c>
      <c r="B1579" s="16" t="s">
        <v>1</v>
      </c>
      <c r="C1579" s="63" t="s">
        <v>2312</v>
      </c>
      <c r="D1579" s="56" t="s">
        <v>96</v>
      </c>
      <c r="E1579" s="56" t="s">
        <v>99</v>
      </c>
      <c r="F1579" s="101">
        <v>60</v>
      </c>
      <c r="G1579" s="59" t="s">
        <v>98</v>
      </c>
      <c r="H1579" s="60">
        <v>805</v>
      </c>
      <c r="I1579" s="49">
        <f t="shared" si="105"/>
        <v>48300</v>
      </c>
      <c r="J1579" s="518">
        <v>432</v>
      </c>
      <c r="K1579" s="532">
        <f t="shared" si="103"/>
        <v>373</v>
      </c>
      <c r="L1579" s="533">
        <f t="shared" si="102"/>
        <v>22380</v>
      </c>
      <c r="M1579" s="537">
        <f t="shared" si="104"/>
        <v>0.46335403726708074</v>
      </c>
      <c r="N1579" s="64" t="s">
        <v>22</v>
      </c>
      <c r="O1579" s="81" t="s">
        <v>21</v>
      </c>
    </row>
    <row r="1580" spans="1:15">
      <c r="A1580" s="71">
        <v>2024</v>
      </c>
      <c r="B1580" s="16" t="s">
        <v>1</v>
      </c>
      <c r="C1580" s="63" t="s">
        <v>2312</v>
      </c>
      <c r="D1580" s="56" t="s">
        <v>96</v>
      </c>
      <c r="E1580" s="56" t="s">
        <v>97</v>
      </c>
      <c r="F1580" s="101">
        <v>60</v>
      </c>
      <c r="G1580" s="59" t="s">
        <v>98</v>
      </c>
      <c r="H1580" s="60">
        <v>275</v>
      </c>
      <c r="I1580" s="49">
        <f t="shared" si="105"/>
        <v>16500</v>
      </c>
      <c r="J1580" s="518">
        <v>140</v>
      </c>
      <c r="K1580" s="532">
        <f t="shared" si="103"/>
        <v>135</v>
      </c>
      <c r="L1580" s="533">
        <f t="shared" si="102"/>
        <v>8100</v>
      </c>
      <c r="M1580" s="537">
        <f t="shared" si="104"/>
        <v>0.49090909090909091</v>
      </c>
      <c r="N1580" s="64" t="s">
        <v>22</v>
      </c>
      <c r="O1580" s="81" t="s">
        <v>21</v>
      </c>
    </row>
    <row r="1581" spans="1:15">
      <c r="A1581" s="71">
        <v>2024</v>
      </c>
      <c r="B1581" s="16" t="s">
        <v>1</v>
      </c>
      <c r="C1581" s="63" t="s">
        <v>2312</v>
      </c>
      <c r="D1581" s="56" t="s">
        <v>96</v>
      </c>
      <c r="E1581" s="56" t="s">
        <v>774</v>
      </c>
      <c r="F1581" s="101">
        <v>60</v>
      </c>
      <c r="G1581" s="59" t="s">
        <v>98</v>
      </c>
      <c r="H1581" s="60">
        <v>1425</v>
      </c>
      <c r="I1581" s="49">
        <f t="shared" si="105"/>
        <v>85500</v>
      </c>
      <c r="J1581" s="518">
        <v>1050</v>
      </c>
      <c r="K1581" s="532">
        <f t="shared" si="103"/>
        <v>375</v>
      </c>
      <c r="L1581" s="533">
        <f t="shared" si="102"/>
        <v>22500</v>
      </c>
      <c r="M1581" s="537">
        <f t="shared" si="104"/>
        <v>0.26315789473684209</v>
      </c>
      <c r="N1581" s="64" t="s">
        <v>22</v>
      </c>
      <c r="O1581" s="81" t="s">
        <v>21</v>
      </c>
    </row>
    <row r="1582" spans="1:15">
      <c r="A1582" s="71">
        <v>2024</v>
      </c>
      <c r="B1582" s="16" t="s">
        <v>1</v>
      </c>
      <c r="C1582" s="63" t="s">
        <v>2313</v>
      </c>
      <c r="D1582" s="56" t="s">
        <v>118</v>
      </c>
      <c r="E1582" s="56" t="s">
        <v>2314</v>
      </c>
      <c r="F1582" s="101">
        <v>1</v>
      </c>
      <c r="G1582" s="59" t="s">
        <v>19</v>
      </c>
      <c r="H1582" s="60">
        <v>3500</v>
      </c>
      <c r="I1582" s="49">
        <f t="shared" si="105"/>
        <v>3500</v>
      </c>
      <c r="J1582" s="518">
        <v>2945</v>
      </c>
      <c r="K1582" s="532">
        <f t="shared" si="103"/>
        <v>555</v>
      </c>
      <c r="L1582" s="533">
        <f t="shared" si="102"/>
        <v>555</v>
      </c>
      <c r="M1582" s="537">
        <f t="shared" si="104"/>
        <v>0.15857142857142856</v>
      </c>
      <c r="N1582" s="64" t="s">
        <v>22</v>
      </c>
      <c r="O1582" s="81" t="s">
        <v>21</v>
      </c>
    </row>
    <row r="1583" spans="1:15">
      <c r="A1583" s="71">
        <v>2024</v>
      </c>
      <c r="B1583" s="16" t="s">
        <v>1</v>
      </c>
      <c r="C1583" s="63" t="s">
        <v>2315</v>
      </c>
      <c r="D1583" s="56" t="s">
        <v>2316</v>
      </c>
      <c r="E1583" s="56" t="s">
        <v>2317</v>
      </c>
      <c r="F1583" s="101">
        <v>1</v>
      </c>
      <c r="G1583" s="59" t="s">
        <v>1979</v>
      </c>
      <c r="H1583" s="60">
        <f>22000*37</f>
        <v>814000</v>
      </c>
      <c r="I1583" s="49">
        <f t="shared" si="105"/>
        <v>814000</v>
      </c>
      <c r="J1583" s="518">
        <f>21200*37</f>
        <v>784400</v>
      </c>
      <c r="K1583" s="532">
        <f t="shared" si="103"/>
        <v>29600</v>
      </c>
      <c r="L1583" s="533">
        <f t="shared" si="102"/>
        <v>29600</v>
      </c>
      <c r="M1583" s="537">
        <f t="shared" si="104"/>
        <v>3.6363636363636362E-2</v>
      </c>
      <c r="N1583" s="64" t="s">
        <v>38</v>
      </c>
      <c r="O1583" s="81" t="s">
        <v>39</v>
      </c>
    </row>
    <row r="1584" spans="1:15">
      <c r="A1584" s="71">
        <v>2024</v>
      </c>
      <c r="B1584" s="16" t="s">
        <v>1</v>
      </c>
      <c r="C1584" s="63" t="s">
        <v>2318</v>
      </c>
      <c r="D1584" s="56" t="s">
        <v>1000</v>
      </c>
      <c r="E1584" s="56" t="s">
        <v>2319</v>
      </c>
      <c r="F1584" s="101">
        <v>194</v>
      </c>
      <c r="G1584" s="59" t="s">
        <v>1979</v>
      </c>
      <c r="H1584" s="60">
        <v>1330</v>
      </c>
      <c r="I1584" s="49">
        <f t="shared" si="105"/>
        <v>258020</v>
      </c>
      <c r="J1584" s="518">
        <v>1150</v>
      </c>
      <c r="K1584" s="532">
        <f t="shared" si="103"/>
        <v>180</v>
      </c>
      <c r="L1584" s="533">
        <f t="shared" si="102"/>
        <v>34920</v>
      </c>
      <c r="M1584" s="537">
        <f t="shared" si="104"/>
        <v>0.13533834586466165</v>
      </c>
      <c r="N1584" s="64" t="s">
        <v>22</v>
      </c>
      <c r="O1584" s="81" t="s">
        <v>39</v>
      </c>
    </row>
    <row r="1585" spans="1:15">
      <c r="A1585" s="71">
        <v>2024</v>
      </c>
      <c r="B1585" s="16" t="s">
        <v>1</v>
      </c>
      <c r="C1585" s="63" t="s">
        <v>2318</v>
      </c>
      <c r="D1585" s="56" t="s">
        <v>1000</v>
      </c>
      <c r="E1585" s="56" t="s">
        <v>2320</v>
      </c>
      <c r="F1585" s="101">
        <v>194</v>
      </c>
      <c r="G1585" s="59" t="s">
        <v>1979</v>
      </c>
      <c r="H1585" s="60">
        <v>870</v>
      </c>
      <c r="I1585" s="49">
        <f t="shared" si="105"/>
        <v>168780</v>
      </c>
      <c r="J1585" s="518">
        <v>730</v>
      </c>
      <c r="K1585" s="532">
        <f t="shared" si="103"/>
        <v>140</v>
      </c>
      <c r="L1585" s="533">
        <f t="shared" si="102"/>
        <v>27160</v>
      </c>
      <c r="M1585" s="537">
        <f t="shared" si="104"/>
        <v>0.16091954022988506</v>
      </c>
      <c r="N1585" s="64" t="s">
        <v>22</v>
      </c>
      <c r="O1585" s="81" t="s">
        <v>39</v>
      </c>
    </row>
    <row r="1586" spans="1:15">
      <c r="A1586" s="71">
        <v>2024</v>
      </c>
      <c r="B1586" s="16" t="s">
        <v>1</v>
      </c>
      <c r="C1586" s="63" t="s">
        <v>2321</v>
      </c>
      <c r="D1586" s="56" t="s">
        <v>590</v>
      </c>
      <c r="E1586" s="56" t="s">
        <v>2111</v>
      </c>
      <c r="F1586" s="101">
        <v>6</v>
      </c>
      <c r="G1586" s="59" t="s">
        <v>1979</v>
      </c>
      <c r="H1586" s="60">
        <v>10000</v>
      </c>
      <c r="I1586" s="49">
        <f t="shared" si="105"/>
        <v>60000</v>
      </c>
      <c r="J1586" s="518">
        <v>9600</v>
      </c>
      <c r="K1586" s="532">
        <f t="shared" si="103"/>
        <v>400</v>
      </c>
      <c r="L1586" s="533">
        <f t="shared" si="102"/>
        <v>2400</v>
      </c>
      <c r="M1586" s="537">
        <f t="shared" si="104"/>
        <v>0.04</v>
      </c>
      <c r="N1586" s="64" t="s">
        <v>22</v>
      </c>
      <c r="O1586" s="81" t="s">
        <v>39</v>
      </c>
    </row>
    <row r="1587" spans="1:15">
      <c r="A1587" s="71">
        <v>2024</v>
      </c>
      <c r="B1587" s="16" t="s">
        <v>1</v>
      </c>
      <c r="C1587" s="63" t="s">
        <v>2321</v>
      </c>
      <c r="D1587" s="56" t="s">
        <v>590</v>
      </c>
      <c r="E1587" s="56" t="s">
        <v>2322</v>
      </c>
      <c r="F1587" s="101">
        <v>1</v>
      </c>
      <c r="G1587" s="59" t="s">
        <v>1979</v>
      </c>
      <c r="H1587" s="60">
        <v>47500</v>
      </c>
      <c r="I1587" s="49">
        <f t="shared" si="105"/>
        <v>47500</v>
      </c>
      <c r="J1587" s="518">
        <v>45000</v>
      </c>
      <c r="K1587" s="532">
        <f t="shared" si="103"/>
        <v>2500</v>
      </c>
      <c r="L1587" s="533">
        <f t="shared" si="102"/>
        <v>2500</v>
      </c>
      <c r="M1587" s="537">
        <f t="shared" si="104"/>
        <v>5.2631578947368418E-2</v>
      </c>
      <c r="N1587" s="64" t="s">
        <v>22</v>
      </c>
      <c r="O1587" s="81" t="s">
        <v>39</v>
      </c>
    </row>
    <row r="1588" spans="1:15">
      <c r="A1588" s="71">
        <v>2024</v>
      </c>
      <c r="B1588" s="16" t="s">
        <v>1</v>
      </c>
      <c r="C1588" s="63" t="s">
        <v>2323</v>
      </c>
      <c r="D1588" s="56" t="s">
        <v>192</v>
      </c>
      <c r="E1588" s="56" t="s">
        <v>2324</v>
      </c>
      <c r="F1588" s="101">
        <v>40</v>
      </c>
      <c r="G1588" s="59" t="s">
        <v>1983</v>
      </c>
      <c r="H1588" s="60">
        <v>7990</v>
      </c>
      <c r="I1588" s="49">
        <f t="shared" si="105"/>
        <v>319600</v>
      </c>
      <c r="J1588" s="518">
        <v>7760</v>
      </c>
      <c r="K1588" s="532">
        <f t="shared" si="103"/>
        <v>230</v>
      </c>
      <c r="L1588" s="533">
        <f t="shared" si="102"/>
        <v>9200</v>
      </c>
      <c r="M1588" s="537">
        <f t="shared" si="104"/>
        <v>2.8785982478097622E-2</v>
      </c>
      <c r="N1588" s="64" t="s">
        <v>38</v>
      </c>
      <c r="O1588" s="81" t="s">
        <v>39</v>
      </c>
    </row>
    <row r="1589" spans="1:15">
      <c r="A1589" s="71">
        <v>2024</v>
      </c>
      <c r="B1589" s="16" t="s">
        <v>1</v>
      </c>
      <c r="C1589" s="63" t="s">
        <v>2325</v>
      </c>
      <c r="D1589" s="56" t="s">
        <v>200</v>
      </c>
      <c r="E1589" s="56" t="s">
        <v>2111</v>
      </c>
      <c r="F1589" s="101">
        <v>2</v>
      </c>
      <c r="G1589" s="59" t="s">
        <v>1979</v>
      </c>
      <c r="H1589" s="60">
        <v>9650</v>
      </c>
      <c r="I1589" s="49">
        <f t="shared" si="105"/>
        <v>19300</v>
      </c>
      <c r="J1589" s="518">
        <v>9600</v>
      </c>
      <c r="K1589" s="532">
        <f t="shared" si="103"/>
        <v>50</v>
      </c>
      <c r="L1589" s="533">
        <f t="shared" si="102"/>
        <v>100</v>
      </c>
      <c r="M1589" s="537">
        <f t="shared" si="104"/>
        <v>5.1813471502590676E-3</v>
      </c>
      <c r="N1589" s="64" t="s">
        <v>22</v>
      </c>
      <c r="O1589" s="81" t="s">
        <v>39</v>
      </c>
    </row>
    <row r="1590" spans="1:15">
      <c r="A1590" s="71">
        <v>2024</v>
      </c>
      <c r="B1590" s="16" t="s">
        <v>1</v>
      </c>
      <c r="C1590" s="63" t="s">
        <v>2326</v>
      </c>
      <c r="D1590" s="56" t="s">
        <v>200</v>
      </c>
      <c r="E1590" s="56" t="s">
        <v>2327</v>
      </c>
      <c r="F1590" s="101">
        <v>2</v>
      </c>
      <c r="G1590" s="59" t="s">
        <v>1983</v>
      </c>
      <c r="H1590" s="60">
        <v>59000</v>
      </c>
      <c r="I1590" s="49">
        <f t="shared" ref="I1590:I1621" si="106">H1590*F1590</f>
        <v>118000</v>
      </c>
      <c r="J1590" s="518">
        <v>53100</v>
      </c>
      <c r="K1590" s="532">
        <f t="shared" si="103"/>
        <v>5900</v>
      </c>
      <c r="L1590" s="533">
        <f t="shared" si="102"/>
        <v>11800</v>
      </c>
      <c r="M1590" s="537">
        <f t="shared" si="104"/>
        <v>0.1</v>
      </c>
      <c r="N1590" s="64" t="s">
        <v>22</v>
      </c>
      <c r="O1590" s="81" t="s">
        <v>39</v>
      </c>
    </row>
    <row r="1591" spans="1:15">
      <c r="A1591" s="71">
        <v>2024</v>
      </c>
      <c r="B1591" s="16" t="s">
        <v>1</v>
      </c>
      <c r="C1591" s="63" t="s">
        <v>2326</v>
      </c>
      <c r="D1591" s="56" t="s">
        <v>200</v>
      </c>
      <c r="E1591" s="56" t="s">
        <v>2328</v>
      </c>
      <c r="F1591" s="101">
        <v>2</v>
      </c>
      <c r="G1591" s="59" t="s">
        <v>1983</v>
      </c>
      <c r="H1591" s="60">
        <v>12500</v>
      </c>
      <c r="I1591" s="49">
        <f t="shared" si="106"/>
        <v>25000</v>
      </c>
      <c r="J1591" s="518">
        <v>11250</v>
      </c>
      <c r="K1591" s="532">
        <f t="shared" si="103"/>
        <v>1250</v>
      </c>
      <c r="L1591" s="533">
        <f t="shared" si="102"/>
        <v>2500</v>
      </c>
      <c r="M1591" s="537">
        <f t="shared" si="104"/>
        <v>0.1</v>
      </c>
      <c r="N1591" s="64" t="s">
        <v>22</v>
      </c>
      <c r="O1591" s="81" t="s">
        <v>39</v>
      </c>
    </row>
    <row r="1592" spans="1:15">
      <c r="A1592" s="71">
        <v>2024</v>
      </c>
      <c r="B1592" s="16" t="s">
        <v>1</v>
      </c>
      <c r="C1592" s="63" t="s">
        <v>2329</v>
      </c>
      <c r="D1592" s="56" t="s">
        <v>1375</v>
      </c>
      <c r="E1592" s="56" t="s">
        <v>813</v>
      </c>
      <c r="F1592" s="101">
        <v>20000</v>
      </c>
      <c r="G1592" s="59" t="s">
        <v>231</v>
      </c>
      <c r="H1592" s="60">
        <v>61</v>
      </c>
      <c r="I1592" s="49">
        <f t="shared" si="106"/>
        <v>1220000</v>
      </c>
      <c r="J1592" s="518">
        <v>59</v>
      </c>
      <c r="K1592" s="532">
        <f t="shared" si="103"/>
        <v>2</v>
      </c>
      <c r="L1592" s="533">
        <f t="shared" si="102"/>
        <v>40000</v>
      </c>
      <c r="M1592" s="537">
        <f t="shared" si="104"/>
        <v>3.2786885245901641E-2</v>
      </c>
      <c r="N1592" s="64" t="s">
        <v>22</v>
      </c>
      <c r="O1592" s="81" t="s">
        <v>39</v>
      </c>
    </row>
    <row r="1593" spans="1:15">
      <c r="A1593" s="71">
        <v>2024</v>
      </c>
      <c r="B1593" s="16" t="s">
        <v>1</v>
      </c>
      <c r="C1593" s="63" t="s">
        <v>2330</v>
      </c>
      <c r="D1593" s="56" t="s">
        <v>1430</v>
      </c>
      <c r="E1593" s="56" t="s">
        <v>859</v>
      </c>
      <c r="F1593" s="101">
        <v>5800</v>
      </c>
      <c r="G1593" s="59" t="s">
        <v>337</v>
      </c>
      <c r="H1593" s="60">
        <v>100</v>
      </c>
      <c r="I1593" s="49">
        <f t="shared" si="106"/>
        <v>580000</v>
      </c>
      <c r="J1593" s="518">
        <v>89.5</v>
      </c>
      <c r="K1593" s="532">
        <f t="shared" si="103"/>
        <v>10.5</v>
      </c>
      <c r="L1593" s="533">
        <f t="shared" si="102"/>
        <v>60900</v>
      </c>
      <c r="M1593" s="537">
        <f t="shared" si="104"/>
        <v>0.105</v>
      </c>
      <c r="N1593" s="64" t="s">
        <v>38</v>
      </c>
      <c r="O1593" s="81" t="s">
        <v>39</v>
      </c>
    </row>
    <row r="1594" spans="1:15">
      <c r="A1594" s="71">
        <v>2024</v>
      </c>
      <c r="B1594" s="16" t="s">
        <v>1</v>
      </c>
      <c r="C1594" s="63" t="s">
        <v>2331</v>
      </c>
      <c r="D1594" s="56" t="s">
        <v>1375</v>
      </c>
      <c r="E1594" s="56" t="s">
        <v>502</v>
      </c>
      <c r="F1594" s="101">
        <v>120000</v>
      </c>
      <c r="G1594" s="59" t="s">
        <v>231</v>
      </c>
      <c r="H1594" s="60">
        <v>63</v>
      </c>
      <c r="I1594" s="49">
        <f t="shared" si="106"/>
        <v>7560000</v>
      </c>
      <c r="J1594" s="518">
        <v>60</v>
      </c>
      <c r="K1594" s="532">
        <f t="shared" si="103"/>
        <v>3</v>
      </c>
      <c r="L1594" s="533">
        <f t="shared" si="102"/>
        <v>360000</v>
      </c>
      <c r="M1594" s="537">
        <f t="shared" si="104"/>
        <v>4.7619047619047616E-2</v>
      </c>
      <c r="N1594" s="64" t="s">
        <v>22</v>
      </c>
      <c r="O1594" s="81" t="s">
        <v>39</v>
      </c>
    </row>
    <row r="1595" spans="1:15">
      <c r="A1595" s="71">
        <v>2024</v>
      </c>
      <c r="B1595" s="16" t="s">
        <v>1</v>
      </c>
      <c r="C1595" s="63" t="s">
        <v>2332</v>
      </c>
      <c r="D1595" s="56" t="s">
        <v>1119</v>
      </c>
      <c r="E1595" s="56" t="s">
        <v>2333</v>
      </c>
      <c r="F1595" s="101">
        <v>8</v>
      </c>
      <c r="G1595" s="59" t="s">
        <v>1983</v>
      </c>
      <c r="H1595" s="60">
        <v>1550</v>
      </c>
      <c r="I1595" s="49">
        <f t="shared" si="106"/>
        <v>12400</v>
      </c>
      <c r="J1595" s="518">
        <v>1500</v>
      </c>
      <c r="K1595" s="532">
        <f t="shared" si="103"/>
        <v>50</v>
      </c>
      <c r="L1595" s="533">
        <f t="shared" si="102"/>
        <v>400</v>
      </c>
      <c r="M1595" s="537">
        <f t="shared" si="104"/>
        <v>3.2258064516129031E-2</v>
      </c>
      <c r="N1595" s="64" t="s">
        <v>22</v>
      </c>
      <c r="O1595" s="81" t="s">
        <v>39</v>
      </c>
    </row>
    <row r="1596" spans="1:15">
      <c r="A1596" s="71">
        <v>2024</v>
      </c>
      <c r="B1596" s="16" t="s">
        <v>1</v>
      </c>
      <c r="C1596" s="63" t="s">
        <v>2334</v>
      </c>
      <c r="D1596" s="56" t="s">
        <v>200</v>
      </c>
      <c r="E1596" s="56" t="s">
        <v>2335</v>
      </c>
      <c r="F1596" s="101">
        <v>1</v>
      </c>
      <c r="G1596" s="59" t="s">
        <v>1983</v>
      </c>
      <c r="H1596" s="60">
        <v>48000</v>
      </c>
      <c r="I1596" s="49">
        <f t="shared" si="106"/>
        <v>48000</v>
      </c>
      <c r="J1596" s="518">
        <v>46000</v>
      </c>
      <c r="K1596" s="532">
        <f t="shared" si="103"/>
        <v>2000</v>
      </c>
      <c r="L1596" s="533">
        <f t="shared" si="102"/>
        <v>2000</v>
      </c>
      <c r="M1596" s="537">
        <f t="shared" si="104"/>
        <v>4.1666666666666664E-2</v>
      </c>
      <c r="N1596" s="64" t="s">
        <v>38</v>
      </c>
      <c r="O1596" s="81" t="s">
        <v>39</v>
      </c>
    </row>
    <row r="1597" spans="1:15">
      <c r="A1597" s="71">
        <v>2024</v>
      </c>
      <c r="B1597" s="16" t="s">
        <v>1</v>
      </c>
      <c r="C1597" s="63" t="s">
        <v>2336</v>
      </c>
      <c r="D1597" s="56" t="s">
        <v>1488</v>
      </c>
      <c r="E1597" s="56" t="s">
        <v>962</v>
      </c>
      <c r="F1597" s="101">
        <v>1964.8</v>
      </c>
      <c r="G1597" s="59" t="s">
        <v>37</v>
      </c>
      <c r="H1597" s="60">
        <v>408</v>
      </c>
      <c r="I1597" s="49">
        <f t="shared" si="106"/>
        <v>801638.40000000002</v>
      </c>
      <c r="J1597" s="518">
        <v>400</v>
      </c>
      <c r="K1597" s="532">
        <f t="shared" si="103"/>
        <v>8</v>
      </c>
      <c r="L1597" s="533">
        <f t="shared" si="102"/>
        <v>15718.4</v>
      </c>
      <c r="M1597" s="537">
        <f t="shared" si="104"/>
        <v>1.9607843137254902E-2</v>
      </c>
      <c r="N1597" s="64" t="s">
        <v>22</v>
      </c>
      <c r="O1597" s="81" t="s">
        <v>105</v>
      </c>
    </row>
    <row r="1598" spans="1:15">
      <c r="A1598" s="71">
        <v>2024</v>
      </c>
      <c r="B1598" s="16" t="s">
        <v>1</v>
      </c>
      <c r="C1598" s="63" t="s">
        <v>2337</v>
      </c>
      <c r="D1598" s="56" t="s">
        <v>94</v>
      </c>
      <c r="E1598" s="56" t="s">
        <v>546</v>
      </c>
      <c r="F1598" s="101">
        <v>200</v>
      </c>
      <c r="G1598" s="59" t="s">
        <v>19</v>
      </c>
      <c r="H1598" s="60">
        <v>185</v>
      </c>
      <c r="I1598" s="49">
        <f t="shared" si="106"/>
        <v>37000</v>
      </c>
      <c r="J1598" s="518">
        <v>182.25</v>
      </c>
      <c r="K1598" s="532">
        <f t="shared" si="103"/>
        <v>2.75</v>
      </c>
      <c r="L1598" s="533">
        <f t="shared" si="102"/>
        <v>550</v>
      </c>
      <c r="M1598" s="537">
        <f t="shared" si="104"/>
        <v>1.4864864864864866E-2</v>
      </c>
      <c r="N1598" s="64" t="s">
        <v>22</v>
      </c>
      <c r="O1598" s="81" t="s">
        <v>105</v>
      </c>
    </row>
    <row r="1599" spans="1:15">
      <c r="A1599" s="71">
        <v>2024</v>
      </c>
      <c r="B1599" s="16" t="s">
        <v>1</v>
      </c>
      <c r="C1599" s="63" t="s">
        <v>2338</v>
      </c>
      <c r="D1599" s="56" t="s">
        <v>1042</v>
      </c>
      <c r="E1599" s="56" t="s">
        <v>220</v>
      </c>
      <c r="F1599" s="101">
        <v>324</v>
      </c>
      <c r="G1599" s="59" t="s">
        <v>37</v>
      </c>
      <c r="H1599" s="60">
        <v>422</v>
      </c>
      <c r="I1599" s="49">
        <f t="shared" si="106"/>
        <v>136728</v>
      </c>
      <c r="J1599" s="518">
        <v>395</v>
      </c>
      <c r="K1599" s="532">
        <f t="shared" si="103"/>
        <v>27</v>
      </c>
      <c r="L1599" s="533">
        <f t="shared" ref="L1599:L1662" si="107">K1599*F1599</f>
        <v>8748</v>
      </c>
      <c r="M1599" s="537">
        <f t="shared" si="104"/>
        <v>6.398104265402843E-2</v>
      </c>
      <c r="N1599" s="64" t="s">
        <v>22</v>
      </c>
      <c r="O1599" s="81" t="s">
        <v>105</v>
      </c>
    </row>
    <row r="1600" spans="1:15">
      <c r="A1600" s="71">
        <v>2024</v>
      </c>
      <c r="B1600" s="16" t="s">
        <v>1</v>
      </c>
      <c r="C1600" s="63" t="s">
        <v>2339</v>
      </c>
      <c r="D1600" s="56" t="s">
        <v>1042</v>
      </c>
      <c r="E1600" s="56" t="s">
        <v>2340</v>
      </c>
      <c r="F1600" s="101">
        <v>88</v>
      </c>
      <c r="G1600" s="59" t="s">
        <v>37</v>
      </c>
      <c r="H1600" s="60">
        <v>422</v>
      </c>
      <c r="I1600" s="49">
        <f t="shared" si="106"/>
        <v>37136</v>
      </c>
      <c r="J1600" s="518">
        <v>395</v>
      </c>
      <c r="K1600" s="532">
        <f t="shared" si="103"/>
        <v>27</v>
      </c>
      <c r="L1600" s="533">
        <f t="shared" si="107"/>
        <v>2376</v>
      </c>
      <c r="M1600" s="537">
        <f t="shared" si="104"/>
        <v>6.398104265402843E-2</v>
      </c>
      <c r="N1600" s="64" t="s">
        <v>22</v>
      </c>
      <c r="O1600" s="81" t="s">
        <v>105</v>
      </c>
    </row>
    <row r="1601" spans="1:15">
      <c r="A1601" s="71">
        <v>2024</v>
      </c>
      <c r="B1601" s="16" t="s">
        <v>1</v>
      </c>
      <c r="C1601" s="63" t="s">
        <v>2341</v>
      </c>
      <c r="D1601" s="56" t="s">
        <v>2342</v>
      </c>
      <c r="E1601" s="56" t="s">
        <v>2343</v>
      </c>
      <c r="F1601" s="101">
        <v>1</v>
      </c>
      <c r="G1601" s="59" t="s">
        <v>285</v>
      </c>
      <c r="H1601" s="60">
        <v>28051.01</v>
      </c>
      <c r="I1601" s="49">
        <f t="shared" si="106"/>
        <v>28051.01</v>
      </c>
      <c r="J1601" s="518">
        <v>10398.36</v>
      </c>
      <c r="K1601" s="532">
        <f t="shared" si="103"/>
        <v>17652.649999999998</v>
      </c>
      <c r="L1601" s="533">
        <f t="shared" si="107"/>
        <v>17652.649999999998</v>
      </c>
      <c r="M1601" s="537">
        <f t="shared" si="104"/>
        <v>0.62930532626097946</v>
      </c>
      <c r="N1601" s="64" t="s">
        <v>22</v>
      </c>
      <c r="O1601" s="81" t="s">
        <v>105</v>
      </c>
    </row>
    <row r="1602" spans="1:15">
      <c r="A1602" s="71">
        <v>2024</v>
      </c>
      <c r="B1602" s="16" t="s">
        <v>1</v>
      </c>
      <c r="C1602" s="63" t="s">
        <v>2027</v>
      </c>
      <c r="D1602" s="56" t="s">
        <v>2028</v>
      </c>
      <c r="E1602" s="56" t="s">
        <v>2343</v>
      </c>
      <c r="F1602" s="101">
        <v>1</v>
      </c>
      <c r="G1602" s="59" t="s">
        <v>285</v>
      </c>
      <c r="H1602" s="60">
        <v>68293</v>
      </c>
      <c r="I1602" s="49">
        <f t="shared" si="106"/>
        <v>68293</v>
      </c>
      <c r="J1602" s="518">
        <v>29000</v>
      </c>
      <c r="K1602" s="532">
        <f t="shared" si="103"/>
        <v>39293</v>
      </c>
      <c r="L1602" s="533">
        <f t="shared" si="107"/>
        <v>39293</v>
      </c>
      <c r="M1602" s="537">
        <f t="shared" si="104"/>
        <v>0.57535911440411169</v>
      </c>
      <c r="N1602" s="64" t="s">
        <v>22</v>
      </c>
      <c r="O1602" s="81" t="s">
        <v>105</v>
      </c>
    </row>
    <row r="1603" spans="1:15">
      <c r="A1603" s="71">
        <v>2024</v>
      </c>
      <c r="B1603" s="16" t="s">
        <v>1</v>
      </c>
      <c r="C1603" s="63" t="s">
        <v>2344</v>
      </c>
      <c r="D1603" s="56" t="s">
        <v>229</v>
      </c>
      <c r="E1603" s="90" t="s">
        <v>2345</v>
      </c>
      <c r="F1603" s="90">
        <v>3000</v>
      </c>
      <c r="G1603" s="487" t="s">
        <v>37</v>
      </c>
      <c r="H1603" s="60">
        <v>31.8</v>
      </c>
      <c r="I1603" s="49">
        <f t="shared" si="106"/>
        <v>95400</v>
      </c>
      <c r="J1603" s="518">
        <v>31</v>
      </c>
      <c r="K1603" s="532">
        <f t="shared" ref="K1603:K1666" si="108">H1603-J1603</f>
        <v>0.80000000000000071</v>
      </c>
      <c r="L1603" s="533">
        <f t="shared" si="107"/>
        <v>2400.0000000000023</v>
      </c>
      <c r="M1603" s="537">
        <f t="shared" ref="M1603:M1666" si="109">K1603/H1603</f>
        <v>2.5157232704402538E-2</v>
      </c>
      <c r="N1603" s="64" t="s">
        <v>22</v>
      </c>
      <c r="O1603" s="81" t="s">
        <v>39</v>
      </c>
    </row>
    <row r="1604" spans="1:15">
      <c r="A1604" s="71">
        <v>2024</v>
      </c>
      <c r="B1604" s="16" t="s">
        <v>1</v>
      </c>
      <c r="C1604" s="63" t="s">
        <v>2344</v>
      </c>
      <c r="D1604" s="56" t="s">
        <v>229</v>
      </c>
      <c r="E1604" s="90" t="s">
        <v>996</v>
      </c>
      <c r="F1604" s="90">
        <v>3000</v>
      </c>
      <c r="G1604" s="487" t="s">
        <v>37</v>
      </c>
      <c r="H1604" s="60">
        <v>31.8</v>
      </c>
      <c r="I1604" s="49">
        <f t="shared" si="106"/>
        <v>95400</v>
      </c>
      <c r="J1604" s="518">
        <v>31</v>
      </c>
      <c r="K1604" s="532">
        <f t="shared" si="108"/>
        <v>0.80000000000000071</v>
      </c>
      <c r="L1604" s="533">
        <f t="shared" si="107"/>
        <v>2400.0000000000023</v>
      </c>
      <c r="M1604" s="537">
        <f t="shared" si="109"/>
        <v>2.5157232704402538E-2</v>
      </c>
      <c r="N1604" s="64" t="s">
        <v>22</v>
      </c>
      <c r="O1604" s="81" t="s">
        <v>39</v>
      </c>
    </row>
    <row r="1605" spans="1:15">
      <c r="A1605" s="71">
        <v>2024</v>
      </c>
      <c r="B1605" s="16" t="s">
        <v>1</v>
      </c>
      <c r="C1605" s="63" t="s">
        <v>2344</v>
      </c>
      <c r="D1605" s="56" t="s">
        <v>229</v>
      </c>
      <c r="E1605" s="90" t="s">
        <v>230</v>
      </c>
      <c r="F1605" s="90">
        <v>3000</v>
      </c>
      <c r="G1605" s="487" t="s">
        <v>37</v>
      </c>
      <c r="H1605" s="60">
        <v>31.8</v>
      </c>
      <c r="I1605" s="49">
        <f t="shared" si="106"/>
        <v>95400</v>
      </c>
      <c r="J1605" s="518">
        <v>31</v>
      </c>
      <c r="K1605" s="532">
        <f t="shared" si="108"/>
        <v>0.80000000000000071</v>
      </c>
      <c r="L1605" s="533">
        <f t="shared" si="107"/>
        <v>2400.0000000000023</v>
      </c>
      <c r="M1605" s="537">
        <f t="shared" si="109"/>
        <v>2.5157232704402538E-2</v>
      </c>
      <c r="N1605" s="64" t="s">
        <v>22</v>
      </c>
      <c r="O1605" s="81" t="s">
        <v>39</v>
      </c>
    </row>
    <row r="1606" spans="1:15">
      <c r="A1606" s="71">
        <v>2024</v>
      </c>
      <c r="B1606" s="16" t="s">
        <v>1</v>
      </c>
      <c r="C1606" s="63" t="s">
        <v>2344</v>
      </c>
      <c r="D1606" s="56" t="s">
        <v>229</v>
      </c>
      <c r="E1606" s="90" t="s">
        <v>233</v>
      </c>
      <c r="F1606" s="90">
        <v>9000</v>
      </c>
      <c r="G1606" s="487" t="s">
        <v>37</v>
      </c>
      <c r="H1606" s="60">
        <v>31.8</v>
      </c>
      <c r="I1606" s="49">
        <f t="shared" si="106"/>
        <v>286200</v>
      </c>
      <c r="J1606" s="518">
        <v>31</v>
      </c>
      <c r="K1606" s="532">
        <f t="shared" si="108"/>
        <v>0.80000000000000071</v>
      </c>
      <c r="L1606" s="533">
        <f t="shared" si="107"/>
        <v>7200.0000000000064</v>
      </c>
      <c r="M1606" s="537">
        <f t="shared" si="109"/>
        <v>2.5157232704402538E-2</v>
      </c>
      <c r="N1606" s="64" t="s">
        <v>22</v>
      </c>
      <c r="O1606" s="81" t="s">
        <v>39</v>
      </c>
    </row>
    <row r="1607" spans="1:15">
      <c r="A1607" s="71">
        <v>2024</v>
      </c>
      <c r="B1607" s="16" t="s">
        <v>1</v>
      </c>
      <c r="C1607" s="63" t="s">
        <v>2346</v>
      </c>
      <c r="D1607" s="56" t="s">
        <v>599</v>
      </c>
      <c r="E1607" s="56" t="s">
        <v>1208</v>
      </c>
      <c r="F1607" s="101">
        <v>900</v>
      </c>
      <c r="G1607" s="59" t="s">
        <v>1983</v>
      </c>
      <c r="H1607" s="60">
        <v>62</v>
      </c>
      <c r="I1607" s="49">
        <f t="shared" si="106"/>
        <v>55800</v>
      </c>
      <c r="J1607" s="518">
        <v>61</v>
      </c>
      <c r="K1607" s="532">
        <f t="shared" si="108"/>
        <v>1</v>
      </c>
      <c r="L1607" s="533">
        <f t="shared" si="107"/>
        <v>900</v>
      </c>
      <c r="M1607" s="537">
        <f t="shared" si="109"/>
        <v>1.6129032258064516E-2</v>
      </c>
      <c r="N1607" s="64" t="s">
        <v>22</v>
      </c>
      <c r="O1607" s="81" t="s">
        <v>39</v>
      </c>
    </row>
    <row r="1608" spans="1:15">
      <c r="A1608" s="71">
        <v>2024</v>
      </c>
      <c r="B1608" s="16" t="s">
        <v>1</v>
      </c>
      <c r="C1608" s="63" t="s">
        <v>2347</v>
      </c>
      <c r="D1608" s="56" t="s">
        <v>1670</v>
      </c>
      <c r="E1608" s="56" t="s">
        <v>2207</v>
      </c>
      <c r="F1608" s="101">
        <v>2</v>
      </c>
      <c r="G1608" s="59" t="s">
        <v>19</v>
      </c>
      <c r="H1608" s="60">
        <v>1850</v>
      </c>
      <c r="I1608" s="49">
        <f t="shared" si="106"/>
        <v>3700</v>
      </c>
      <c r="J1608" s="518">
        <v>1800</v>
      </c>
      <c r="K1608" s="532">
        <f t="shared" si="108"/>
        <v>50</v>
      </c>
      <c r="L1608" s="533">
        <f t="shared" si="107"/>
        <v>100</v>
      </c>
      <c r="M1608" s="537">
        <f t="shared" si="109"/>
        <v>2.7027027027027029E-2</v>
      </c>
      <c r="N1608" s="64" t="s">
        <v>22</v>
      </c>
      <c r="O1608" s="81" t="s">
        <v>21</v>
      </c>
    </row>
    <row r="1609" spans="1:15">
      <c r="A1609" s="71">
        <v>2024</v>
      </c>
      <c r="B1609" s="16" t="s">
        <v>1</v>
      </c>
      <c r="C1609" s="63" t="s">
        <v>2347</v>
      </c>
      <c r="D1609" s="56" t="s">
        <v>1670</v>
      </c>
      <c r="E1609" s="56" t="s">
        <v>2208</v>
      </c>
      <c r="F1609" s="101">
        <v>2</v>
      </c>
      <c r="G1609" s="59" t="s">
        <v>19</v>
      </c>
      <c r="H1609" s="60">
        <v>1850</v>
      </c>
      <c r="I1609" s="49">
        <f t="shared" si="106"/>
        <v>3700</v>
      </c>
      <c r="J1609" s="518">
        <v>1500</v>
      </c>
      <c r="K1609" s="532">
        <f t="shared" si="108"/>
        <v>350</v>
      </c>
      <c r="L1609" s="533">
        <f t="shared" si="107"/>
        <v>700</v>
      </c>
      <c r="M1609" s="537">
        <f t="shared" si="109"/>
        <v>0.1891891891891892</v>
      </c>
      <c r="N1609" s="64" t="s">
        <v>22</v>
      </c>
      <c r="O1609" s="81" t="s">
        <v>21</v>
      </c>
    </row>
    <row r="1610" spans="1:15">
      <c r="A1610" s="71">
        <v>2024</v>
      </c>
      <c r="B1610" s="16" t="s">
        <v>1</v>
      </c>
      <c r="C1610" s="63" t="s">
        <v>2348</v>
      </c>
      <c r="D1610" s="56" t="s">
        <v>1101</v>
      </c>
      <c r="E1610" s="56" t="s">
        <v>1938</v>
      </c>
      <c r="F1610" s="101">
        <v>1220</v>
      </c>
      <c r="G1610" s="59" t="s">
        <v>19</v>
      </c>
      <c r="H1610" s="60">
        <v>16</v>
      </c>
      <c r="I1610" s="49">
        <f t="shared" si="106"/>
        <v>19520</v>
      </c>
      <c r="J1610" s="518">
        <v>15</v>
      </c>
      <c r="K1610" s="532">
        <f t="shared" si="108"/>
        <v>1</v>
      </c>
      <c r="L1610" s="533">
        <f t="shared" si="107"/>
        <v>1220</v>
      </c>
      <c r="M1610" s="537">
        <f t="shared" si="109"/>
        <v>6.25E-2</v>
      </c>
      <c r="N1610" s="64" t="s">
        <v>22</v>
      </c>
      <c r="O1610" s="81" t="s">
        <v>21</v>
      </c>
    </row>
    <row r="1611" spans="1:15">
      <c r="A1611" s="71">
        <v>2024</v>
      </c>
      <c r="B1611" s="16" t="s">
        <v>1</v>
      </c>
      <c r="C1611" s="63" t="s">
        <v>2349</v>
      </c>
      <c r="D1611" s="56" t="s">
        <v>430</v>
      </c>
      <c r="E1611" s="56" t="s">
        <v>2350</v>
      </c>
      <c r="F1611" s="101">
        <v>1200</v>
      </c>
      <c r="G1611" s="59" t="s">
        <v>19</v>
      </c>
      <c r="H1611" s="60">
        <v>3.5</v>
      </c>
      <c r="I1611" s="49">
        <f t="shared" si="106"/>
        <v>4200</v>
      </c>
      <c r="J1611" s="518">
        <v>1.2</v>
      </c>
      <c r="K1611" s="532">
        <f t="shared" si="108"/>
        <v>2.2999999999999998</v>
      </c>
      <c r="L1611" s="533">
        <f t="shared" si="107"/>
        <v>2760</v>
      </c>
      <c r="M1611" s="537">
        <f t="shared" si="109"/>
        <v>0.65714285714285714</v>
      </c>
      <c r="N1611" s="64" t="s">
        <v>22</v>
      </c>
      <c r="O1611" s="81" t="s">
        <v>21</v>
      </c>
    </row>
    <row r="1612" spans="1:15">
      <c r="A1612" s="71">
        <v>2024</v>
      </c>
      <c r="B1612" s="16" t="s">
        <v>1</v>
      </c>
      <c r="C1612" s="63" t="s">
        <v>2351</v>
      </c>
      <c r="D1612" s="56" t="s">
        <v>118</v>
      </c>
      <c r="E1612" s="56" t="s">
        <v>2352</v>
      </c>
      <c r="F1612" s="101">
        <v>1</v>
      </c>
      <c r="G1612" s="59" t="s">
        <v>29</v>
      </c>
      <c r="H1612" s="60">
        <v>14000</v>
      </c>
      <c r="I1612" s="49">
        <f t="shared" si="106"/>
        <v>14000</v>
      </c>
      <c r="J1612" s="518">
        <v>13180</v>
      </c>
      <c r="K1612" s="532">
        <f t="shared" si="108"/>
        <v>820</v>
      </c>
      <c r="L1612" s="533">
        <f t="shared" si="107"/>
        <v>820</v>
      </c>
      <c r="M1612" s="537">
        <f t="shared" si="109"/>
        <v>5.8571428571428573E-2</v>
      </c>
      <c r="N1612" s="64" t="s">
        <v>22</v>
      </c>
      <c r="O1612" s="81" t="s">
        <v>21</v>
      </c>
    </row>
    <row r="1613" spans="1:15">
      <c r="A1613" s="71">
        <v>2024</v>
      </c>
      <c r="B1613" s="16" t="s">
        <v>1</v>
      </c>
      <c r="C1613" s="63" t="s">
        <v>2353</v>
      </c>
      <c r="D1613" s="56" t="s">
        <v>110</v>
      </c>
      <c r="E1613" s="56" t="s">
        <v>2354</v>
      </c>
      <c r="F1613" s="101">
        <v>1</v>
      </c>
      <c r="G1613" s="59" t="s">
        <v>19</v>
      </c>
      <c r="H1613" s="60">
        <v>3900</v>
      </c>
      <c r="I1613" s="49">
        <f t="shared" si="106"/>
        <v>3900</v>
      </c>
      <c r="J1613" s="518">
        <v>3500</v>
      </c>
      <c r="K1613" s="532">
        <f t="shared" si="108"/>
        <v>400</v>
      </c>
      <c r="L1613" s="533">
        <f t="shared" si="107"/>
        <v>400</v>
      </c>
      <c r="M1613" s="537">
        <f t="shared" si="109"/>
        <v>0.10256410256410256</v>
      </c>
      <c r="N1613" s="64" t="s">
        <v>22</v>
      </c>
      <c r="O1613" s="81" t="s">
        <v>21</v>
      </c>
    </row>
    <row r="1614" spans="1:15">
      <c r="A1614" s="71">
        <v>2024</v>
      </c>
      <c r="B1614" s="16" t="s">
        <v>1</v>
      </c>
      <c r="C1614" s="63" t="s">
        <v>2355</v>
      </c>
      <c r="D1614" s="82" t="s">
        <v>2356</v>
      </c>
      <c r="E1614" s="56" t="s">
        <v>2357</v>
      </c>
      <c r="F1614" s="101">
        <v>1</v>
      </c>
      <c r="G1614" s="59" t="s">
        <v>285</v>
      </c>
      <c r="H1614" s="60">
        <v>1176000</v>
      </c>
      <c r="I1614" s="49">
        <f t="shared" si="106"/>
        <v>1176000</v>
      </c>
      <c r="J1614" s="550">
        <v>1120000</v>
      </c>
      <c r="K1614" s="532">
        <f t="shared" si="108"/>
        <v>56000</v>
      </c>
      <c r="L1614" s="533">
        <f t="shared" si="107"/>
        <v>56000</v>
      </c>
      <c r="M1614" s="537">
        <f t="shared" si="109"/>
        <v>4.7619047619047616E-2</v>
      </c>
      <c r="N1614" s="64" t="s">
        <v>22</v>
      </c>
      <c r="O1614" s="81" t="s">
        <v>21</v>
      </c>
    </row>
    <row r="1615" spans="1:15">
      <c r="A1615" s="71">
        <v>2024</v>
      </c>
      <c r="B1615" s="16" t="s">
        <v>1</v>
      </c>
      <c r="C1615" s="63" t="s">
        <v>2358</v>
      </c>
      <c r="D1615" s="82" t="s">
        <v>345</v>
      </c>
      <c r="E1615" s="56" t="s">
        <v>2359</v>
      </c>
      <c r="F1615" s="101">
        <v>1</v>
      </c>
      <c r="G1615" s="59" t="s">
        <v>285</v>
      </c>
      <c r="H1615" s="60">
        <v>64130</v>
      </c>
      <c r="I1615" s="49">
        <f t="shared" si="106"/>
        <v>64130</v>
      </c>
      <c r="J1615" s="550">
        <v>60000</v>
      </c>
      <c r="K1615" s="532">
        <f t="shared" si="108"/>
        <v>4130</v>
      </c>
      <c r="L1615" s="533">
        <f t="shared" si="107"/>
        <v>4130</v>
      </c>
      <c r="M1615" s="537">
        <f t="shared" si="109"/>
        <v>6.440043661312958E-2</v>
      </c>
      <c r="N1615" s="64" t="s">
        <v>22</v>
      </c>
      <c r="O1615" s="81" t="s">
        <v>21</v>
      </c>
    </row>
    <row r="1616" spans="1:15">
      <c r="A1616" s="71">
        <v>2024</v>
      </c>
      <c r="B1616" s="16" t="s">
        <v>1</v>
      </c>
      <c r="C1616" s="63" t="s">
        <v>2360</v>
      </c>
      <c r="D1616" s="82" t="s">
        <v>2052</v>
      </c>
      <c r="E1616" s="56" t="s">
        <v>2053</v>
      </c>
      <c r="F1616" s="101">
        <v>2</v>
      </c>
      <c r="G1616" s="59" t="s">
        <v>798</v>
      </c>
      <c r="H1616" s="60">
        <v>3147</v>
      </c>
      <c r="I1616" s="49">
        <f t="shared" si="106"/>
        <v>6294</v>
      </c>
      <c r="J1616" s="550">
        <v>2202.9</v>
      </c>
      <c r="K1616" s="532">
        <f t="shared" si="108"/>
        <v>944.09999999999991</v>
      </c>
      <c r="L1616" s="533">
        <f t="shared" si="107"/>
        <v>1888.1999999999998</v>
      </c>
      <c r="M1616" s="537">
        <f t="shared" si="109"/>
        <v>0.3</v>
      </c>
      <c r="N1616" s="64" t="s">
        <v>22</v>
      </c>
      <c r="O1616" s="81" t="s">
        <v>21</v>
      </c>
    </row>
    <row r="1617" spans="1:15">
      <c r="A1617" s="71">
        <v>2024</v>
      </c>
      <c r="B1617" s="16" t="s">
        <v>1</v>
      </c>
      <c r="C1617" s="63" t="s">
        <v>2360</v>
      </c>
      <c r="D1617" s="56" t="s">
        <v>2052</v>
      </c>
      <c r="E1617" s="56" t="s">
        <v>2361</v>
      </c>
      <c r="F1617" s="101">
        <v>2</v>
      </c>
      <c r="G1617" s="59" t="s">
        <v>19</v>
      </c>
      <c r="H1617" s="60">
        <v>30898</v>
      </c>
      <c r="I1617" s="49">
        <f t="shared" si="106"/>
        <v>61796</v>
      </c>
      <c r="J1617" s="550">
        <v>21628.6</v>
      </c>
      <c r="K1617" s="532">
        <f t="shared" si="108"/>
        <v>9269.4000000000015</v>
      </c>
      <c r="L1617" s="533">
        <f t="shared" si="107"/>
        <v>18538.800000000003</v>
      </c>
      <c r="M1617" s="537">
        <f t="shared" si="109"/>
        <v>0.30000000000000004</v>
      </c>
      <c r="N1617" s="64" t="s">
        <v>22</v>
      </c>
      <c r="O1617" s="81" t="s">
        <v>21</v>
      </c>
    </row>
    <row r="1618" spans="1:15">
      <c r="A1618" s="71">
        <v>2024</v>
      </c>
      <c r="B1618" s="16" t="s">
        <v>1</v>
      </c>
      <c r="C1618" s="63" t="s">
        <v>2360</v>
      </c>
      <c r="D1618" s="56" t="s">
        <v>2052</v>
      </c>
      <c r="E1618" s="56" t="s">
        <v>2362</v>
      </c>
      <c r="F1618" s="101">
        <v>2</v>
      </c>
      <c r="G1618" s="59" t="s">
        <v>798</v>
      </c>
      <c r="H1618" s="60">
        <v>2101</v>
      </c>
      <c r="I1618" s="49">
        <f t="shared" si="106"/>
        <v>4202</v>
      </c>
      <c r="J1618" s="550">
        <v>1470.7</v>
      </c>
      <c r="K1618" s="532">
        <f t="shared" si="108"/>
        <v>630.29999999999995</v>
      </c>
      <c r="L1618" s="533">
        <f t="shared" si="107"/>
        <v>1260.5999999999999</v>
      </c>
      <c r="M1618" s="537">
        <f t="shared" si="109"/>
        <v>0.3</v>
      </c>
      <c r="N1618" s="64" t="s">
        <v>22</v>
      </c>
      <c r="O1618" s="81" t="s">
        <v>21</v>
      </c>
    </row>
    <row r="1619" spans="1:15">
      <c r="A1619" s="71">
        <v>2024</v>
      </c>
      <c r="B1619" s="16" t="s">
        <v>1</v>
      </c>
      <c r="C1619" s="63" t="s">
        <v>2363</v>
      </c>
      <c r="D1619" s="56" t="s">
        <v>17</v>
      </c>
      <c r="E1619" s="56" t="s">
        <v>2364</v>
      </c>
      <c r="F1619" s="101">
        <v>5</v>
      </c>
      <c r="G1619" s="59" t="s">
        <v>19</v>
      </c>
      <c r="H1619" s="60">
        <v>7375</v>
      </c>
      <c r="I1619" s="49">
        <f t="shared" si="106"/>
        <v>36875</v>
      </c>
      <c r="J1619" s="550">
        <v>5500</v>
      </c>
      <c r="K1619" s="532">
        <f t="shared" si="108"/>
        <v>1875</v>
      </c>
      <c r="L1619" s="533">
        <f t="shared" si="107"/>
        <v>9375</v>
      </c>
      <c r="M1619" s="537">
        <f t="shared" si="109"/>
        <v>0.25423728813559321</v>
      </c>
      <c r="N1619" s="64" t="s">
        <v>22</v>
      </c>
      <c r="O1619" s="81" t="s">
        <v>21</v>
      </c>
    </row>
    <row r="1620" spans="1:15">
      <c r="A1620" s="71">
        <v>2024</v>
      </c>
      <c r="B1620" s="16" t="s">
        <v>1</v>
      </c>
      <c r="C1620" s="63" t="s">
        <v>2365</v>
      </c>
      <c r="D1620" s="82" t="s">
        <v>1948</v>
      </c>
      <c r="E1620" s="56" t="s">
        <v>2366</v>
      </c>
      <c r="F1620" s="101">
        <v>6</v>
      </c>
      <c r="G1620" s="59" t="s">
        <v>588</v>
      </c>
      <c r="H1620" s="60">
        <v>650</v>
      </c>
      <c r="I1620" s="49">
        <f t="shared" si="106"/>
        <v>3900</v>
      </c>
      <c r="J1620" s="550">
        <v>644</v>
      </c>
      <c r="K1620" s="532">
        <f t="shared" si="108"/>
        <v>6</v>
      </c>
      <c r="L1620" s="533">
        <f t="shared" si="107"/>
        <v>36</v>
      </c>
      <c r="M1620" s="537">
        <f t="shared" si="109"/>
        <v>9.2307692307692316E-3</v>
      </c>
      <c r="N1620" s="64" t="s">
        <v>22</v>
      </c>
      <c r="O1620" s="81" t="s">
        <v>21</v>
      </c>
    </row>
    <row r="1621" spans="1:15">
      <c r="A1621" s="71">
        <v>2024</v>
      </c>
      <c r="B1621" s="16" t="s">
        <v>1</v>
      </c>
      <c r="C1621" s="63" t="s">
        <v>2365</v>
      </c>
      <c r="D1621" s="82" t="s">
        <v>1948</v>
      </c>
      <c r="E1621" s="56" t="s">
        <v>1388</v>
      </c>
      <c r="F1621" s="101">
        <v>156</v>
      </c>
      <c r="G1621" s="59" t="s">
        <v>19</v>
      </c>
      <c r="H1621" s="60">
        <v>69</v>
      </c>
      <c r="I1621" s="49">
        <f t="shared" si="106"/>
        <v>10764</v>
      </c>
      <c r="J1621" s="550">
        <v>57</v>
      </c>
      <c r="K1621" s="532">
        <f t="shared" si="108"/>
        <v>12</v>
      </c>
      <c r="L1621" s="533">
        <f t="shared" si="107"/>
        <v>1872</v>
      </c>
      <c r="M1621" s="537">
        <f t="shared" si="109"/>
        <v>0.17391304347826086</v>
      </c>
      <c r="N1621" s="64" t="s">
        <v>22</v>
      </c>
      <c r="O1621" s="81" t="s">
        <v>21</v>
      </c>
    </row>
    <row r="1622" spans="1:15">
      <c r="A1622" s="71">
        <v>2024</v>
      </c>
      <c r="B1622" s="16" t="s">
        <v>1</v>
      </c>
      <c r="C1622" s="63" t="s">
        <v>2367</v>
      </c>
      <c r="D1622" s="82" t="s">
        <v>430</v>
      </c>
      <c r="E1622" s="56" t="s">
        <v>1454</v>
      </c>
      <c r="F1622" s="101">
        <v>1000</v>
      </c>
      <c r="G1622" s="59" t="s">
        <v>19</v>
      </c>
      <c r="H1622" s="60">
        <v>2.5</v>
      </c>
      <c r="I1622" s="49">
        <f t="shared" ref="I1622:I1643" si="110">H1622*F1622</f>
        <v>2500</v>
      </c>
      <c r="J1622" s="550">
        <v>1.2</v>
      </c>
      <c r="K1622" s="532">
        <f t="shared" si="108"/>
        <v>1.3</v>
      </c>
      <c r="L1622" s="533">
        <f t="shared" si="107"/>
        <v>1300</v>
      </c>
      <c r="M1622" s="537">
        <f t="shared" si="109"/>
        <v>0.52</v>
      </c>
      <c r="N1622" s="64" t="s">
        <v>22</v>
      </c>
      <c r="O1622" s="81" t="s">
        <v>21</v>
      </c>
    </row>
    <row r="1623" spans="1:15">
      <c r="A1623" s="71">
        <v>2024</v>
      </c>
      <c r="B1623" s="16" t="s">
        <v>895</v>
      </c>
      <c r="C1623" s="63" t="s">
        <v>2368</v>
      </c>
      <c r="D1623" s="82" t="s">
        <v>192</v>
      </c>
      <c r="E1623" s="90" t="s">
        <v>2369</v>
      </c>
      <c r="F1623" s="90">
        <v>500</v>
      </c>
      <c r="G1623" s="487" t="s">
        <v>37</v>
      </c>
      <c r="H1623" s="60">
        <v>85</v>
      </c>
      <c r="I1623" s="49">
        <f t="shared" si="110"/>
        <v>42500</v>
      </c>
      <c r="J1623" s="538">
        <v>84</v>
      </c>
      <c r="K1623" s="532">
        <f t="shared" si="108"/>
        <v>1</v>
      </c>
      <c r="L1623" s="533">
        <f t="shared" si="107"/>
        <v>500</v>
      </c>
      <c r="M1623" s="534">
        <f t="shared" si="109"/>
        <v>1.1764705882352941E-2</v>
      </c>
      <c r="N1623" s="64" t="s">
        <v>22</v>
      </c>
      <c r="O1623" s="81" t="s">
        <v>39</v>
      </c>
    </row>
    <row r="1624" spans="1:15">
      <c r="A1624" s="71">
        <v>2024</v>
      </c>
      <c r="B1624" s="16" t="s">
        <v>895</v>
      </c>
      <c r="C1624" s="63" t="s">
        <v>2368</v>
      </c>
      <c r="D1624" s="82" t="s">
        <v>192</v>
      </c>
      <c r="E1624" s="90" t="s">
        <v>2370</v>
      </c>
      <c r="F1624" s="90">
        <v>100</v>
      </c>
      <c r="G1624" s="487" t="s">
        <v>37</v>
      </c>
      <c r="H1624" s="60">
        <v>149</v>
      </c>
      <c r="I1624" s="49">
        <f t="shared" si="110"/>
        <v>14900</v>
      </c>
      <c r="J1624" s="538">
        <v>148</v>
      </c>
      <c r="K1624" s="532">
        <f t="shared" si="108"/>
        <v>1</v>
      </c>
      <c r="L1624" s="533">
        <f t="shared" si="107"/>
        <v>100</v>
      </c>
      <c r="M1624" s="534">
        <f t="shared" si="109"/>
        <v>6.7114093959731542E-3</v>
      </c>
      <c r="N1624" s="64" t="s">
        <v>22</v>
      </c>
      <c r="O1624" s="81" t="s">
        <v>39</v>
      </c>
    </row>
    <row r="1625" spans="1:15">
      <c r="A1625" s="71">
        <v>2024</v>
      </c>
      <c r="B1625" s="16" t="s">
        <v>895</v>
      </c>
      <c r="C1625" s="63" t="s">
        <v>2368</v>
      </c>
      <c r="D1625" s="82" t="s">
        <v>192</v>
      </c>
      <c r="E1625" s="90" t="s">
        <v>2371</v>
      </c>
      <c r="F1625" s="90">
        <v>500</v>
      </c>
      <c r="G1625" s="487" t="s">
        <v>37</v>
      </c>
      <c r="H1625" s="60">
        <v>85</v>
      </c>
      <c r="I1625" s="49">
        <f t="shared" si="110"/>
        <v>42500</v>
      </c>
      <c r="J1625" s="550">
        <v>82</v>
      </c>
      <c r="K1625" s="532">
        <f t="shared" si="108"/>
        <v>3</v>
      </c>
      <c r="L1625" s="533">
        <f t="shared" si="107"/>
        <v>1500</v>
      </c>
      <c r="M1625" s="537">
        <f t="shared" si="109"/>
        <v>3.5294117647058823E-2</v>
      </c>
      <c r="N1625" s="64" t="s">
        <v>22</v>
      </c>
      <c r="O1625" s="81" t="s">
        <v>39</v>
      </c>
    </row>
    <row r="1626" spans="1:15">
      <c r="A1626" s="71">
        <v>2024</v>
      </c>
      <c r="B1626" s="16" t="s">
        <v>895</v>
      </c>
      <c r="C1626" s="63" t="s">
        <v>2368</v>
      </c>
      <c r="D1626" s="82" t="s">
        <v>192</v>
      </c>
      <c r="E1626" s="90" t="s">
        <v>2372</v>
      </c>
      <c r="F1626" s="90">
        <v>300</v>
      </c>
      <c r="G1626" s="487" t="s">
        <v>37</v>
      </c>
      <c r="H1626" s="60">
        <v>85</v>
      </c>
      <c r="I1626" s="49">
        <f t="shared" si="110"/>
        <v>25500</v>
      </c>
      <c r="J1626" s="550">
        <v>84</v>
      </c>
      <c r="K1626" s="532">
        <f t="shared" si="108"/>
        <v>1</v>
      </c>
      <c r="L1626" s="533">
        <f t="shared" si="107"/>
        <v>300</v>
      </c>
      <c r="M1626" s="537">
        <f t="shared" si="109"/>
        <v>1.1764705882352941E-2</v>
      </c>
      <c r="N1626" s="64" t="s">
        <v>22</v>
      </c>
      <c r="O1626" s="81" t="s">
        <v>39</v>
      </c>
    </row>
    <row r="1627" spans="1:15">
      <c r="A1627" s="71">
        <v>2024</v>
      </c>
      <c r="B1627" s="16" t="s">
        <v>895</v>
      </c>
      <c r="C1627" s="63" t="s">
        <v>2368</v>
      </c>
      <c r="D1627" s="82" t="s">
        <v>192</v>
      </c>
      <c r="E1627" s="90" t="s">
        <v>1199</v>
      </c>
      <c r="F1627" s="90">
        <v>500</v>
      </c>
      <c r="G1627" s="487" t="s">
        <v>37</v>
      </c>
      <c r="H1627" s="60">
        <v>85</v>
      </c>
      <c r="I1627" s="49">
        <f t="shared" si="110"/>
        <v>42500</v>
      </c>
      <c r="J1627" s="550">
        <v>82</v>
      </c>
      <c r="K1627" s="532">
        <f t="shared" si="108"/>
        <v>3</v>
      </c>
      <c r="L1627" s="533">
        <f t="shared" si="107"/>
        <v>1500</v>
      </c>
      <c r="M1627" s="534">
        <f t="shared" si="109"/>
        <v>3.5294117647058823E-2</v>
      </c>
      <c r="N1627" s="64" t="s">
        <v>22</v>
      </c>
      <c r="O1627" s="81" t="s">
        <v>39</v>
      </c>
    </row>
    <row r="1628" spans="1:15">
      <c r="A1628" s="71">
        <v>2024</v>
      </c>
      <c r="B1628" s="16" t="s">
        <v>895</v>
      </c>
      <c r="C1628" s="63" t="s">
        <v>2368</v>
      </c>
      <c r="D1628" s="82" t="s">
        <v>192</v>
      </c>
      <c r="E1628" s="90" t="s">
        <v>2373</v>
      </c>
      <c r="F1628" s="90">
        <v>2000</v>
      </c>
      <c r="G1628" s="487" t="s">
        <v>37</v>
      </c>
      <c r="H1628" s="60">
        <v>85</v>
      </c>
      <c r="I1628" s="49">
        <f t="shared" si="110"/>
        <v>170000</v>
      </c>
      <c r="J1628" s="550">
        <v>82</v>
      </c>
      <c r="K1628" s="532">
        <f t="shared" si="108"/>
        <v>3</v>
      </c>
      <c r="L1628" s="533">
        <f t="shared" si="107"/>
        <v>6000</v>
      </c>
      <c r="M1628" s="537">
        <f t="shared" si="109"/>
        <v>3.5294117647058823E-2</v>
      </c>
      <c r="N1628" s="64" t="s">
        <v>22</v>
      </c>
      <c r="O1628" s="81" t="s">
        <v>39</v>
      </c>
    </row>
    <row r="1629" spans="1:15">
      <c r="A1629" s="71">
        <v>2024</v>
      </c>
      <c r="B1629" s="16" t="s">
        <v>895</v>
      </c>
      <c r="C1629" s="63" t="s">
        <v>2368</v>
      </c>
      <c r="D1629" s="82" t="s">
        <v>192</v>
      </c>
      <c r="E1629" s="90" t="s">
        <v>2374</v>
      </c>
      <c r="F1629" s="90">
        <v>500</v>
      </c>
      <c r="G1629" s="487" t="s">
        <v>37</v>
      </c>
      <c r="H1629" s="60">
        <v>215</v>
      </c>
      <c r="I1629" s="49">
        <f t="shared" si="110"/>
        <v>107500</v>
      </c>
      <c r="J1629" s="550">
        <v>213</v>
      </c>
      <c r="K1629" s="532">
        <f t="shared" si="108"/>
        <v>2</v>
      </c>
      <c r="L1629" s="533">
        <f t="shared" si="107"/>
        <v>1000</v>
      </c>
      <c r="M1629" s="534">
        <f t="shared" si="109"/>
        <v>9.3023255813953487E-3</v>
      </c>
      <c r="N1629" s="64" t="s">
        <v>22</v>
      </c>
      <c r="O1629" s="81" t="s">
        <v>39</v>
      </c>
    </row>
    <row r="1630" spans="1:15">
      <c r="A1630" s="71">
        <v>2024</v>
      </c>
      <c r="B1630" s="16" t="s">
        <v>895</v>
      </c>
      <c r="C1630" s="63" t="s">
        <v>2368</v>
      </c>
      <c r="D1630" s="82" t="s">
        <v>192</v>
      </c>
      <c r="E1630" s="90" t="s">
        <v>2375</v>
      </c>
      <c r="F1630" s="90">
        <v>100</v>
      </c>
      <c r="G1630" s="487" t="s">
        <v>37</v>
      </c>
      <c r="H1630" s="60">
        <v>135</v>
      </c>
      <c r="I1630" s="49">
        <f t="shared" si="110"/>
        <v>13500</v>
      </c>
      <c r="J1630" s="550">
        <v>133</v>
      </c>
      <c r="K1630" s="532">
        <f t="shared" si="108"/>
        <v>2</v>
      </c>
      <c r="L1630" s="533">
        <f t="shared" si="107"/>
        <v>200</v>
      </c>
      <c r="M1630" s="534">
        <f t="shared" si="109"/>
        <v>1.4814814814814815E-2</v>
      </c>
      <c r="N1630" s="64" t="s">
        <v>22</v>
      </c>
      <c r="O1630" s="81" t="s">
        <v>39</v>
      </c>
    </row>
    <row r="1631" spans="1:15">
      <c r="A1631" s="71">
        <v>2024</v>
      </c>
      <c r="B1631" s="16" t="s">
        <v>895</v>
      </c>
      <c r="C1631" s="63" t="s">
        <v>2368</v>
      </c>
      <c r="D1631" s="82" t="s">
        <v>192</v>
      </c>
      <c r="E1631" s="90" t="s">
        <v>2376</v>
      </c>
      <c r="F1631" s="90">
        <v>200</v>
      </c>
      <c r="G1631" s="487" t="s">
        <v>37</v>
      </c>
      <c r="H1631" s="60">
        <v>149</v>
      </c>
      <c r="I1631" s="49">
        <f t="shared" si="110"/>
        <v>29800</v>
      </c>
      <c r="J1631" s="550">
        <v>148</v>
      </c>
      <c r="K1631" s="532">
        <f t="shared" si="108"/>
        <v>1</v>
      </c>
      <c r="L1631" s="533">
        <f t="shared" si="107"/>
        <v>200</v>
      </c>
      <c r="M1631" s="537">
        <f t="shared" si="109"/>
        <v>6.7114093959731542E-3</v>
      </c>
      <c r="N1631" s="64" t="s">
        <v>22</v>
      </c>
      <c r="O1631" s="81" t="s">
        <v>39</v>
      </c>
    </row>
    <row r="1632" spans="1:15">
      <c r="A1632" s="71">
        <v>2024</v>
      </c>
      <c r="B1632" s="16" t="s">
        <v>895</v>
      </c>
      <c r="C1632" s="63" t="s">
        <v>2377</v>
      </c>
      <c r="D1632" s="82" t="s">
        <v>192</v>
      </c>
      <c r="E1632" s="56" t="s">
        <v>976</v>
      </c>
      <c r="F1632" s="101">
        <v>6300</v>
      </c>
      <c r="G1632" s="59" t="s">
        <v>337</v>
      </c>
      <c r="H1632" s="60">
        <v>56.5</v>
      </c>
      <c r="I1632" s="49">
        <f t="shared" si="110"/>
        <v>355950</v>
      </c>
      <c r="J1632" s="550">
        <v>55.5</v>
      </c>
      <c r="K1632" s="532">
        <f t="shared" si="108"/>
        <v>1</v>
      </c>
      <c r="L1632" s="533">
        <f t="shared" si="107"/>
        <v>6300</v>
      </c>
      <c r="M1632" s="537">
        <f t="shared" si="109"/>
        <v>1.7699115044247787E-2</v>
      </c>
      <c r="N1632" s="64" t="s">
        <v>38</v>
      </c>
      <c r="O1632" s="81" t="s">
        <v>39</v>
      </c>
    </row>
    <row r="1633" spans="1:15">
      <c r="A1633" s="71">
        <v>2024</v>
      </c>
      <c r="B1633" s="16" t="s">
        <v>895</v>
      </c>
      <c r="C1633" s="63" t="s">
        <v>2378</v>
      </c>
      <c r="D1633" s="82" t="s">
        <v>200</v>
      </c>
      <c r="E1633" s="56" t="s">
        <v>2111</v>
      </c>
      <c r="F1633" s="101">
        <v>6</v>
      </c>
      <c r="G1633" s="59" t="s">
        <v>1979</v>
      </c>
      <c r="H1633" s="60">
        <v>9650</v>
      </c>
      <c r="I1633" s="49">
        <f t="shared" si="110"/>
        <v>57900</v>
      </c>
      <c r="J1633" s="550">
        <v>9600</v>
      </c>
      <c r="K1633" s="532">
        <f t="shared" si="108"/>
        <v>50</v>
      </c>
      <c r="L1633" s="533">
        <f t="shared" si="107"/>
        <v>300</v>
      </c>
      <c r="M1633" s="537">
        <f t="shared" si="109"/>
        <v>5.1813471502590676E-3</v>
      </c>
      <c r="N1633" s="64" t="s">
        <v>22</v>
      </c>
      <c r="O1633" s="81" t="s">
        <v>39</v>
      </c>
    </row>
    <row r="1634" spans="1:15">
      <c r="A1634" s="71">
        <v>2024</v>
      </c>
      <c r="B1634" s="16" t="s">
        <v>895</v>
      </c>
      <c r="C1634" s="378" t="s">
        <v>2379</v>
      </c>
      <c r="D1634" s="379" t="s">
        <v>1000</v>
      </c>
      <c r="E1634" s="55" t="s">
        <v>2380</v>
      </c>
      <c r="F1634" s="136">
        <v>120</v>
      </c>
      <c r="G1634" s="137" t="s">
        <v>1979</v>
      </c>
      <c r="H1634" s="380">
        <v>1350</v>
      </c>
      <c r="I1634" s="49">
        <f t="shared" si="110"/>
        <v>162000</v>
      </c>
      <c r="J1634" s="518">
        <v>1200</v>
      </c>
      <c r="K1634" s="532">
        <f t="shared" si="108"/>
        <v>150</v>
      </c>
      <c r="L1634" s="533">
        <f t="shared" si="107"/>
        <v>18000</v>
      </c>
      <c r="M1634" s="534">
        <f t="shared" si="109"/>
        <v>0.1111111111111111</v>
      </c>
      <c r="N1634" s="381" t="s">
        <v>22</v>
      </c>
      <c r="O1634" s="83" t="s">
        <v>39</v>
      </c>
    </row>
    <row r="1635" spans="1:15">
      <c r="A1635" s="71">
        <v>2024</v>
      </c>
      <c r="B1635" s="16" t="s">
        <v>895</v>
      </c>
      <c r="C1635" s="71" t="s">
        <v>2381</v>
      </c>
      <c r="D1635" s="2" t="s">
        <v>617</v>
      </c>
      <c r="E1635" s="2" t="s">
        <v>275</v>
      </c>
      <c r="F1635" s="96">
        <v>3000</v>
      </c>
      <c r="G1635" s="1" t="s">
        <v>231</v>
      </c>
      <c r="H1635" s="8">
        <v>31.5</v>
      </c>
      <c r="I1635" s="8">
        <f t="shared" si="110"/>
        <v>94500</v>
      </c>
      <c r="J1635" s="539">
        <v>30.5</v>
      </c>
      <c r="K1635" s="521">
        <f t="shared" si="108"/>
        <v>1</v>
      </c>
      <c r="L1635" s="522">
        <f t="shared" si="107"/>
        <v>3000</v>
      </c>
      <c r="M1635" s="523">
        <f t="shared" si="109"/>
        <v>3.1746031746031744E-2</v>
      </c>
      <c r="N1635" s="30" t="s">
        <v>22</v>
      </c>
      <c r="O1635" s="2" t="s">
        <v>39</v>
      </c>
    </row>
    <row r="1636" spans="1:15">
      <c r="A1636" s="71">
        <v>2024</v>
      </c>
      <c r="B1636" s="16" t="s">
        <v>895</v>
      </c>
      <c r="C1636" s="71" t="s">
        <v>2382</v>
      </c>
      <c r="D1636" s="2" t="s">
        <v>617</v>
      </c>
      <c r="E1636" s="2" t="s">
        <v>2255</v>
      </c>
      <c r="F1636" s="96">
        <v>3000</v>
      </c>
      <c r="G1636" s="1" t="s">
        <v>231</v>
      </c>
      <c r="H1636" s="8">
        <v>31.5</v>
      </c>
      <c r="I1636" s="8">
        <f t="shared" si="110"/>
        <v>94500</v>
      </c>
      <c r="J1636" s="539">
        <v>30.5</v>
      </c>
      <c r="K1636" s="521">
        <f t="shared" si="108"/>
        <v>1</v>
      </c>
      <c r="L1636" s="522">
        <f t="shared" si="107"/>
        <v>3000</v>
      </c>
      <c r="M1636" s="523">
        <f t="shared" si="109"/>
        <v>3.1746031746031744E-2</v>
      </c>
      <c r="N1636" s="30" t="s">
        <v>22</v>
      </c>
      <c r="O1636" s="2" t="s">
        <v>39</v>
      </c>
    </row>
    <row r="1637" spans="1:15">
      <c r="A1637" s="71">
        <v>2024</v>
      </c>
      <c r="B1637" s="16" t="s">
        <v>895</v>
      </c>
      <c r="C1637" s="71" t="s">
        <v>2382</v>
      </c>
      <c r="D1637" s="2" t="s">
        <v>617</v>
      </c>
      <c r="E1637" s="2" t="s">
        <v>230</v>
      </c>
      <c r="F1637" s="96">
        <v>3000</v>
      </c>
      <c r="G1637" s="1" t="s">
        <v>231</v>
      </c>
      <c r="H1637" s="8">
        <v>31.5</v>
      </c>
      <c r="I1637" s="8">
        <f t="shared" si="110"/>
        <v>94500</v>
      </c>
      <c r="J1637" s="539">
        <v>30.5</v>
      </c>
      <c r="K1637" s="521">
        <f t="shared" si="108"/>
        <v>1</v>
      </c>
      <c r="L1637" s="522">
        <f t="shared" si="107"/>
        <v>3000</v>
      </c>
      <c r="M1637" s="523">
        <f t="shared" si="109"/>
        <v>3.1746031746031744E-2</v>
      </c>
      <c r="N1637" s="30" t="s">
        <v>22</v>
      </c>
      <c r="O1637" s="2" t="s">
        <v>39</v>
      </c>
    </row>
    <row r="1638" spans="1:15">
      <c r="A1638" s="71">
        <v>2024</v>
      </c>
      <c r="B1638" s="16" t="s">
        <v>895</v>
      </c>
      <c r="C1638" s="71" t="s">
        <v>2382</v>
      </c>
      <c r="D1638" s="2" t="s">
        <v>617</v>
      </c>
      <c r="E1638" s="2" t="s">
        <v>233</v>
      </c>
      <c r="F1638" s="96">
        <v>6000</v>
      </c>
      <c r="G1638" s="1" t="s">
        <v>231</v>
      </c>
      <c r="H1638" s="8">
        <v>31.5</v>
      </c>
      <c r="I1638" s="8">
        <f t="shared" si="110"/>
        <v>189000</v>
      </c>
      <c r="J1638" s="539">
        <v>30.5</v>
      </c>
      <c r="K1638" s="521">
        <f t="shared" si="108"/>
        <v>1</v>
      </c>
      <c r="L1638" s="522">
        <f t="shared" si="107"/>
        <v>6000</v>
      </c>
      <c r="M1638" s="523">
        <f t="shared" si="109"/>
        <v>3.1746031746031744E-2</v>
      </c>
      <c r="N1638" s="30" t="s">
        <v>22</v>
      </c>
      <c r="O1638" s="2" t="s">
        <v>39</v>
      </c>
    </row>
    <row r="1639" spans="1:15">
      <c r="A1639" s="71">
        <v>2024</v>
      </c>
      <c r="B1639" s="16" t="s">
        <v>895</v>
      </c>
      <c r="C1639" s="71" t="s">
        <v>2383</v>
      </c>
      <c r="D1639" s="2" t="s">
        <v>192</v>
      </c>
      <c r="E1639" s="2" t="s">
        <v>1201</v>
      </c>
      <c r="F1639" s="96">
        <v>2000</v>
      </c>
      <c r="G1639" s="1" t="s">
        <v>231</v>
      </c>
      <c r="H1639" s="8">
        <v>83</v>
      </c>
      <c r="I1639" s="8">
        <f t="shared" si="110"/>
        <v>166000</v>
      </c>
      <c r="J1639" s="539">
        <v>82</v>
      </c>
      <c r="K1639" s="521">
        <f t="shared" si="108"/>
        <v>1</v>
      </c>
      <c r="L1639" s="522">
        <f t="shared" si="107"/>
        <v>2000</v>
      </c>
      <c r="M1639" s="523">
        <f t="shared" si="109"/>
        <v>1.2048192771084338E-2</v>
      </c>
      <c r="N1639" s="30" t="s">
        <v>38</v>
      </c>
      <c r="O1639" s="2" t="s">
        <v>39</v>
      </c>
    </row>
    <row r="1640" spans="1:15">
      <c r="A1640" s="71">
        <v>2024</v>
      </c>
      <c r="B1640" s="16" t="s">
        <v>895</v>
      </c>
      <c r="C1640" s="71" t="s">
        <v>2383</v>
      </c>
      <c r="D1640" s="2" t="s">
        <v>192</v>
      </c>
      <c r="E1640" s="2" t="s">
        <v>1202</v>
      </c>
      <c r="F1640" s="96">
        <v>1000</v>
      </c>
      <c r="G1640" s="1" t="s">
        <v>231</v>
      </c>
      <c r="H1640" s="8">
        <v>215</v>
      </c>
      <c r="I1640" s="8">
        <f t="shared" si="110"/>
        <v>215000</v>
      </c>
      <c r="J1640" s="539">
        <v>213</v>
      </c>
      <c r="K1640" s="521">
        <f t="shared" si="108"/>
        <v>2</v>
      </c>
      <c r="L1640" s="522">
        <f t="shared" si="107"/>
        <v>2000</v>
      </c>
      <c r="M1640" s="523">
        <f t="shared" si="109"/>
        <v>9.3023255813953487E-3</v>
      </c>
      <c r="N1640" s="30" t="s">
        <v>38</v>
      </c>
      <c r="O1640" s="2" t="s">
        <v>39</v>
      </c>
    </row>
    <row r="1641" spans="1:15">
      <c r="A1641" s="71">
        <v>2024</v>
      </c>
      <c r="B1641" s="16" t="s">
        <v>895</v>
      </c>
      <c r="C1641" s="71" t="s">
        <v>2384</v>
      </c>
      <c r="D1641" s="2" t="s">
        <v>192</v>
      </c>
      <c r="E1641" s="14" t="s">
        <v>2096</v>
      </c>
      <c r="F1641" s="96">
        <v>300</v>
      </c>
      <c r="G1641" s="1" t="s">
        <v>231</v>
      </c>
      <c r="H1641" s="8">
        <v>78</v>
      </c>
      <c r="I1641" s="8">
        <f t="shared" si="110"/>
        <v>23400</v>
      </c>
      <c r="J1641" s="539">
        <v>74.099999999999994</v>
      </c>
      <c r="K1641" s="521">
        <f t="shared" si="108"/>
        <v>3.9000000000000057</v>
      </c>
      <c r="L1641" s="522">
        <f t="shared" si="107"/>
        <v>1170.0000000000018</v>
      </c>
      <c r="M1641" s="523">
        <f t="shared" si="109"/>
        <v>5.0000000000000072E-2</v>
      </c>
      <c r="N1641" s="30" t="s">
        <v>22</v>
      </c>
      <c r="O1641" s="2" t="s">
        <v>39</v>
      </c>
    </row>
    <row r="1642" spans="1:15">
      <c r="A1642" s="71">
        <v>2024</v>
      </c>
      <c r="B1642" s="16" t="s">
        <v>895</v>
      </c>
      <c r="C1642" s="71" t="s">
        <v>2385</v>
      </c>
      <c r="D1642" s="2" t="s">
        <v>200</v>
      </c>
      <c r="E1642" s="2" t="s">
        <v>2125</v>
      </c>
      <c r="F1642" s="96">
        <v>2</v>
      </c>
      <c r="G1642" s="1" t="s">
        <v>63</v>
      </c>
      <c r="H1642" s="8">
        <v>9650</v>
      </c>
      <c r="I1642" s="8">
        <f t="shared" si="110"/>
        <v>19300</v>
      </c>
      <c r="J1642" s="539">
        <v>9600</v>
      </c>
      <c r="K1642" s="521">
        <f t="shared" si="108"/>
        <v>50</v>
      </c>
      <c r="L1642" s="522">
        <f t="shared" si="107"/>
        <v>100</v>
      </c>
      <c r="M1642" s="523">
        <f t="shared" si="109"/>
        <v>5.1813471502590676E-3</v>
      </c>
      <c r="N1642" s="30" t="s">
        <v>22</v>
      </c>
      <c r="O1642" s="2" t="s">
        <v>39</v>
      </c>
    </row>
    <row r="1643" spans="1:15">
      <c r="A1643" s="71">
        <v>2024</v>
      </c>
      <c r="B1643" s="16" t="s">
        <v>895</v>
      </c>
      <c r="C1643" s="71" t="s">
        <v>2386</v>
      </c>
      <c r="D1643" s="2" t="s">
        <v>1430</v>
      </c>
      <c r="E1643" s="2" t="s">
        <v>859</v>
      </c>
      <c r="F1643" s="96">
        <v>7600</v>
      </c>
      <c r="G1643" s="1" t="s">
        <v>337</v>
      </c>
      <c r="H1643" s="8">
        <v>90</v>
      </c>
      <c r="I1643" s="8">
        <f t="shared" si="110"/>
        <v>684000</v>
      </c>
      <c r="J1643" s="539">
        <v>89.5</v>
      </c>
      <c r="K1643" s="521">
        <f t="shared" si="108"/>
        <v>0.5</v>
      </c>
      <c r="L1643" s="522">
        <f t="shared" si="107"/>
        <v>3800</v>
      </c>
      <c r="M1643" s="523">
        <f t="shared" si="109"/>
        <v>5.5555555555555558E-3</v>
      </c>
      <c r="N1643" s="30" t="s">
        <v>22</v>
      </c>
      <c r="O1643" s="2" t="s">
        <v>39</v>
      </c>
    </row>
    <row r="1644" spans="1:15">
      <c r="A1644" s="71">
        <v>2024</v>
      </c>
      <c r="B1644" s="16" t="s">
        <v>895</v>
      </c>
      <c r="C1644" s="71" t="s">
        <v>2387</v>
      </c>
      <c r="D1644" s="2" t="s">
        <v>926</v>
      </c>
      <c r="E1644" s="2" t="s">
        <v>1532</v>
      </c>
      <c r="F1644" s="96">
        <v>500</v>
      </c>
      <c r="G1644" s="1" t="s">
        <v>19</v>
      </c>
      <c r="H1644" s="8">
        <v>60</v>
      </c>
      <c r="I1644" s="8">
        <f>H1644*F1643</f>
        <v>456000</v>
      </c>
      <c r="J1644" s="539">
        <v>45</v>
      </c>
      <c r="K1644" s="521">
        <f t="shared" si="108"/>
        <v>15</v>
      </c>
      <c r="L1644" s="522">
        <f t="shared" si="107"/>
        <v>7500</v>
      </c>
      <c r="M1644" s="523">
        <f t="shared" si="109"/>
        <v>0.25</v>
      </c>
      <c r="N1644" s="30" t="s">
        <v>22</v>
      </c>
      <c r="O1644" s="2" t="s">
        <v>21</v>
      </c>
    </row>
    <row r="1645" spans="1:15">
      <c r="A1645" s="71">
        <v>2024</v>
      </c>
      <c r="B1645" s="16" t="s">
        <v>895</v>
      </c>
      <c r="C1645" s="71" t="s">
        <v>2387</v>
      </c>
      <c r="D1645" s="2" t="s">
        <v>926</v>
      </c>
      <c r="E1645" s="2" t="s">
        <v>123</v>
      </c>
      <c r="F1645" s="96">
        <v>200</v>
      </c>
      <c r="G1645" s="1" t="s">
        <v>19</v>
      </c>
      <c r="H1645" s="8">
        <v>95</v>
      </c>
      <c r="I1645" s="8">
        <f t="shared" ref="I1645:I1708" si="111">H1645*F1645</f>
        <v>19000</v>
      </c>
      <c r="J1645" s="539">
        <v>80</v>
      </c>
      <c r="K1645" s="521">
        <f t="shared" si="108"/>
        <v>15</v>
      </c>
      <c r="L1645" s="522">
        <f t="shared" si="107"/>
        <v>3000</v>
      </c>
      <c r="M1645" s="523">
        <f t="shared" si="109"/>
        <v>0.15789473684210525</v>
      </c>
      <c r="N1645" s="30" t="s">
        <v>22</v>
      </c>
      <c r="O1645" s="2" t="s">
        <v>21</v>
      </c>
    </row>
    <row r="1646" spans="1:15">
      <c r="A1646" s="71">
        <v>2024</v>
      </c>
      <c r="B1646" s="16" t="s">
        <v>895</v>
      </c>
      <c r="C1646" s="71" t="s">
        <v>2388</v>
      </c>
      <c r="D1646" s="2" t="s">
        <v>2294</v>
      </c>
      <c r="E1646" s="2" t="s">
        <v>2389</v>
      </c>
      <c r="F1646" s="96">
        <v>1</v>
      </c>
      <c r="G1646" s="1" t="s">
        <v>59</v>
      </c>
      <c r="H1646" s="8">
        <v>55000</v>
      </c>
      <c r="I1646" s="8">
        <f t="shared" si="111"/>
        <v>55000</v>
      </c>
      <c r="J1646" s="539">
        <v>35000</v>
      </c>
      <c r="K1646" s="521">
        <f t="shared" si="108"/>
        <v>20000</v>
      </c>
      <c r="L1646" s="522">
        <f t="shared" si="107"/>
        <v>20000</v>
      </c>
      <c r="M1646" s="523">
        <f t="shared" si="109"/>
        <v>0.36363636363636365</v>
      </c>
      <c r="N1646" s="30" t="s">
        <v>22</v>
      </c>
      <c r="O1646" s="2" t="s">
        <v>21</v>
      </c>
    </row>
    <row r="1647" spans="1:15">
      <c r="A1647" s="71">
        <v>2024</v>
      </c>
      <c r="B1647" s="16" t="s">
        <v>895</v>
      </c>
      <c r="C1647" s="71" t="s">
        <v>2390</v>
      </c>
      <c r="D1647" s="2" t="s">
        <v>530</v>
      </c>
      <c r="E1647" s="2" t="s">
        <v>2391</v>
      </c>
      <c r="F1647" s="96">
        <v>1</v>
      </c>
      <c r="G1647" s="1" t="s">
        <v>59</v>
      </c>
      <c r="H1647" s="8">
        <v>29000</v>
      </c>
      <c r="I1647" s="8">
        <f t="shared" si="111"/>
        <v>29000</v>
      </c>
      <c r="J1647" s="539">
        <v>14900</v>
      </c>
      <c r="K1647" s="521">
        <f t="shared" si="108"/>
        <v>14100</v>
      </c>
      <c r="L1647" s="522">
        <f t="shared" si="107"/>
        <v>14100</v>
      </c>
      <c r="M1647" s="523">
        <f t="shared" si="109"/>
        <v>0.48620689655172411</v>
      </c>
      <c r="N1647" s="30" t="s">
        <v>22</v>
      </c>
      <c r="O1647" s="2" t="s">
        <v>21</v>
      </c>
    </row>
    <row r="1648" spans="1:15">
      <c r="A1648" s="71">
        <v>2024</v>
      </c>
      <c r="B1648" s="16" t="s">
        <v>895</v>
      </c>
      <c r="C1648" s="71" t="s">
        <v>2392</v>
      </c>
      <c r="D1648" s="2" t="s">
        <v>1948</v>
      </c>
      <c r="E1648" s="2" t="s">
        <v>2393</v>
      </c>
      <c r="F1648" s="96">
        <v>1</v>
      </c>
      <c r="G1648" s="1" t="s">
        <v>19</v>
      </c>
      <c r="H1648" s="8">
        <v>3500</v>
      </c>
      <c r="I1648" s="8">
        <f t="shared" si="111"/>
        <v>3500</v>
      </c>
      <c r="J1648" s="539">
        <v>2875</v>
      </c>
      <c r="K1648" s="521">
        <f t="shared" si="108"/>
        <v>625</v>
      </c>
      <c r="L1648" s="522">
        <f t="shared" si="107"/>
        <v>625</v>
      </c>
      <c r="M1648" s="523">
        <f t="shared" si="109"/>
        <v>0.17857142857142858</v>
      </c>
      <c r="N1648" s="30" t="s">
        <v>22</v>
      </c>
      <c r="O1648" s="2" t="s">
        <v>21</v>
      </c>
    </row>
    <row r="1649" spans="1:15">
      <c r="A1649" s="71">
        <v>2024</v>
      </c>
      <c r="B1649" s="16" t="s">
        <v>895</v>
      </c>
      <c r="C1649" s="71" t="s">
        <v>2394</v>
      </c>
      <c r="D1649" s="2" t="s">
        <v>236</v>
      </c>
      <c r="E1649" s="2" t="s">
        <v>2395</v>
      </c>
      <c r="F1649" s="96">
        <v>1</v>
      </c>
      <c r="G1649" s="1" t="s">
        <v>59</v>
      </c>
      <c r="H1649" s="8">
        <v>350000</v>
      </c>
      <c r="I1649" s="8">
        <f t="shared" si="111"/>
        <v>350000</v>
      </c>
      <c r="J1649" s="539">
        <v>268000</v>
      </c>
      <c r="K1649" s="521">
        <f t="shared" si="108"/>
        <v>82000</v>
      </c>
      <c r="L1649" s="522">
        <f t="shared" si="107"/>
        <v>82000</v>
      </c>
      <c r="M1649" s="523">
        <f t="shared" si="109"/>
        <v>0.23428571428571429</v>
      </c>
      <c r="N1649" s="30" t="s">
        <v>22</v>
      </c>
      <c r="O1649" s="2" t="s">
        <v>21</v>
      </c>
    </row>
    <row r="1650" spans="1:15">
      <c r="A1650" s="71">
        <v>2024</v>
      </c>
      <c r="B1650" s="16" t="s">
        <v>895</v>
      </c>
      <c r="C1650" s="71" t="s">
        <v>2396</v>
      </c>
      <c r="D1650" s="2" t="s">
        <v>586</v>
      </c>
      <c r="E1650" s="2" t="s">
        <v>1898</v>
      </c>
      <c r="F1650" s="96">
        <v>160</v>
      </c>
      <c r="G1650" s="1" t="s">
        <v>2397</v>
      </c>
      <c r="H1650" s="8">
        <v>945</v>
      </c>
      <c r="I1650" s="8">
        <f t="shared" si="111"/>
        <v>151200</v>
      </c>
      <c r="J1650" s="539">
        <v>855</v>
      </c>
      <c r="K1650" s="521">
        <f t="shared" si="108"/>
        <v>90</v>
      </c>
      <c r="L1650" s="522">
        <f t="shared" si="107"/>
        <v>14400</v>
      </c>
      <c r="M1650" s="523">
        <f t="shared" si="109"/>
        <v>9.5238095238095233E-2</v>
      </c>
      <c r="N1650" s="30" t="s">
        <v>22</v>
      </c>
      <c r="O1650" s="2" t="s">
        <v>21</v>
      </c>
    </row>
    <row r="1651" spans="1:15">
      <c r="A1651" s="71">
        <v>2024</v>
      </c>
      <c r="B1651" s="16" t="s">
        <v>895</v>
      </c>
      <c r="C1651" s="71" t="s">
        <v>2398</v>
      </c>
      <c r="D1651" s="2" t="s">
        <v>518</v>
      </c>
      <c r="E1651" s="2" t="s">
        <v>2399</v>
      </c>
      <c r="F1651" s="96">
        <v>1</v>
      </c>
      <c r="G1651" s="1" t="s">
        <v>19</v>
      </c>
      <c r="H1651" s="8">
        <v>83500</v>
      </c>
      <c r="I1651" s="8">
        <f t="shared" si="111"/>
        <v>83500</v>
      </c>
      <c r="J1651" s="539">
        <v>66800</v>
      </c>
      <c r="K1651" s="521">
        <f t="shared" si="108"/>
        <v>16700</v>
      </c>
      <c r="L1651" s="522">
        <f t="shared" si="107"/>
        <v>16700</v>
      </c>
      <c r="M1651" s="523">
        <f t="shared" si="109"/>
        <v>0.2</v>
      </c>
      <c r="N1651" s="30" t="s">
        <v>22</v>
      </c>
      <c r="O1651" s="2" t="s">
        <v>21</v>
      </c>
    </row>
    <row r="1652" spans="1:15">
      <c r="A1652" s="71">
        <v>2024</v>
      </c>
      <c r="B1652" s="16" t="s">
        <v>895</v>
      </c>
      <c r="C1652" s="71" t="s">
        <v>2400</v>
      </c>
      <c r="D1652" s="2" t="s">
        <v>94</v>
      </c>
      <c r="E1652" s="2" t="s">
        <v>1888</v>
      </c>
      <c r="F1652" s="96">
        <v>2000</v>
      </c>
      <c r="G1652" s="1" t="s">
        <v>19</v>
      </c>
      <c r="H1652" s="8">
        <v>2.65</v>
      </c>
      <c r="I1652" s="8">
        <f t="shared" si="111"/>
        <v>5300</v>
      </c>
      <c r="J1652" s="539">
        <v>2.5499999999999998</v>
      </c>
      <c r="K1652" s="521">
        <f t="shared" si="108"/>
        <v>0.10000000000000009</v>
      </c>
      <c r="L1652" s="522">
        <f t="shared" si="107"/>
        <v>200.00000000000017</v>
      </c>
      <c r="M1652" s="523">
        <f t="shared" si="109"/>
        <v>3.7735849056603807E-2</v>
      </c>
      <c r="N1652" s="30" t="s">
        <v>22</v>
      </c>
      <c r="O1652" s="2" t="s">
        <v>21</v>
      </c>
    </row>
    <row r="1653" spans="1:15">
      <c r="A1653" s="71">
        <v>2024</v>
      </c>
      <c r="B1653" s="16" t="s">
        <v>895</v>
      </c>
      <c r="C1653" s="71" t="s">
        <v>2401</v>
      </c>
      <c r="D1653" s="2" t="s">
        <v>1670</v>
      </c>
      <c r="E1653" s="2" t="s">
        <v>2207</v>
      </c>
      <c r="F1653" s="96">
        <v>1</v>
      </c>
      <c r="G1653" s="1" t="s">
        <v>19</v>
      </c>
      <c r="H1653" s="8">
        <v>1850</v>
      </c>
      <c r="I1653" s="8">
        <f t="shared" si="111"/>
        <v>1850</v>
      </c>
      <c r="J1653" s="539">
        <v>1800</v>
      </c>
      <c r="K1653" s="521">
        <f t="shared" si="108"/>
        <v>50</v>
      </c>
      <c r="L1653" s="522">
        <f t="shared" si="107"/>
        <v>50</v>
      </c>
      <c r="M1653" s="523">
        <f t="shared" si="109"/>
        <v>2.7027027027027029E-2</v>
      </c>
      <c r="N1653" s="30" t="s">
        <v>22</v>
      </c>
      <c r="O1653" s="2" t="s">
        <v>21</v>
      </c>
    </row>
    <row r="1654" spans="1:15">
      <c r="A1654" s="71">
        <v>2024</v>
      </c>
      <c r="B1654" s="16" t="s">
        <v>895</v>
      </c>
      <c r="C1654" s="71" t="s">
        <v>2401</v>
      </c>
      <c r="D1654" s="2" t="s">
        <v>1670</v>
      </c>
      <c r="E1654" s="2" t="s">
        <v>2208</v>
      </c>
      <c r="F1654" s="96">
        <v>1</v>
      </c>
      <c r="G1654" s="1" t="s">
        <v>19</v>
      </c>
      <c r="H1654" s="8">
        <v>1850</v>
      </c>
      <c r="I1654" s="8">
        <f t="shared" si="111"/>
        <v>1850</v>
      </c>
      <c r="J1654" s="539">
        <v>1500</v>
      </c>
      <c r="K1654" s="521">
        <f t="shared" si="108"/>
        <v>350</v>
      </c>
      <c r="L1654" s="522">
        <f t="shared" si="107"/>
        <v>350</v>
      </c>
      <c r="M1654" s="523">
        <f t="shared" si="109"/>
        <v>0.1891891891891892</v>
      </c>
      <c r="N1654" s="30" t="s">
        <v>22</v>
      </c>
      <c r="O1654" s="2" t="s">
        <v>21</v>
      </c>
    </row>
    <row r="1655" spans="1:15">
      <c r="A1655" s="71">
        <v>2024</v>
      </c>
      <c r="B1655" s="16" t="s">
        <v>895</v>
      </c>
      <c r="C1655" s="71" t="s">
        <v>2401</v>
      </c>
      <c r="D1655" s="2" t="s">
        <v>1670</v>
      </c>
      <c r="E1655" s="2" t="s">
        <v>2402</v>
      </c>
      <c r="F1655" s="96">
        <v>1</v>
      </c>
      <c r="G1655" s="1" t="s">
        <v>238</v>
      </c>
      <c r="H1655" s="8">
        <v>70000</v>
      </c>
      <c r="I1655" s="8">
        <f t="shared" si="111"/>
        <v>70000</v>
      </c>
      <c r="J1655" s="539">
        <v>50000</v>
      </c>
      <c r="K1655" s="521">
        <f t="shared" si="108"/>
        <v>20000</v>
      </c>
      <c r="L1655" s="522">
        <f t="shared" si="107"/>
        <v>20000</v>
      </c>
      <c r="M1655" s="523">
        <f t="shared" si="109"/>
        <v>0.2857142857142857</v>
      </c>
      <c r="N1655" s="30" t="s">
        <v>22</v>
      </c>
      <c r="O1655" s="2" t="s">
        <v>21</v>
      </c>
    </row>
    <row r="1656" spans="1:15">
      <c r="A1656" s="71">
        <v>2024</v>
      </c>
      <c r="B1656" s="16" t="s">
        <v>895</v>
      </c>
      <c r="C1656" s="71" t="s">
        <v>2403</v>
      </c>
      <c r="D1656" s="2" t="s">
        <v>2404</v>
      </c>
      <c r="E1656" s="2" t="s">
        <v>2405</v>
      </c>
      <c r="F1656" s="96">
        <v>1</v>
      </c>
      <c r="G1656" s="1" t="s">
        <v>19</v>
      </c>
      <c r="H1656" s="8">
        <v>45000</v>
      </c>
      <c r="I1656" s="8">
        <f t="shared" si="111"/>
        <v>45000</v>
      </c>
      <c r="J1656" s="539">
        <v>42500</v>
      </c>
      <c r="K1656" s="521">
        <f t="shared" si="108"/>
        <v>2500</v>
      </c>
      <c r="L1656" s="522">
        <f t="shared" si="107"/>
        <v>2500</v>
      </c>
      <c r="M1656" s="523">
        <f t="shared" si="109"/>
        <v>5.5555555555555552E-2</v>
      </c>
      <c r="N1656" s="30" t="s">
        <v>38</v>
      </c>
      <c r="O1656" s="2" t="s">
        <v>21</v>
      </c>
    </row>
    <row r="1657" spans="1:15">
      <c r="A1657" s="71">
        <v>2024</v>
      </c>
      <c r="B1657" s="16" t="s">
        <v>895</v>
      </c>
      <c r="C1657" s="71" t="s">
        <v>2406</v>
      </c>
      <c r="D1657" s="2" t="s">
        <v>1948</v>
      </c>
      <c r="E1657" s="2" t="s">
        <v>2407</v>
      </c>
      <c r="F1657" s="96">
        <v>1</v>
      </c>
      <c r="G1657" s="1" t="s">
        <v>19</v>
      </c>
      <c r="H1657" s="8">
        <v>13500</v>
      </c>
      <c r="I1657" s="8">
        <f t="shared" si="111"/>
        <v>13500</v>
      </c>
      <c r="J1657" s="539">
        <v>11138</v>
      </c>
      <c r="K1657" s="521">
        <f t="shared" si="108"/>
        <v>2362</v>
      </c>
      <c r="L1657" s="522">
        <f t="shared" si="107"/>
        <v>2362</v>
      </c>
      <c r="M1657" s="523">
        <f t="shared" si="109"/>
        <v>0.17496296296296296</v>
      </c>
      <c r="N1657" s="30" t="s">
        <v>22</v>
      </c>
      <c r="O1657" s="2" t="s">
        <v>21</v>
      </c>
    </row>
    <row r="1658" spans="1:15">
      <c r="A1658" s="71">
        <v>2024</v>
      </c>
      <c r="B1658" s="16" t="s">
        <v>895</v>
      </c>
      <c r="C1658" s="71" t="s">
        <v>2408</v>
      </c>
      <c r="D1658" s="2" t="s">
        <v>149</v>
      </c>
      <c r="E1658" s="2" t="s">
        <v>2409</v>
      </c>
      <c r="F1658" s="96">
        <v>20</v>
      </c>
      <c r="G1658" s="1" t="s">
        <v>2397</v>
      </c>
      <c r="H1658" s="8">
        <v>650</v>
      </c>
      <c r="I1658" s="8">
        <f t="shared" si="111"/>
        <v>13000</v>
      </c>
      <c r="J1658" s="539">
        <v>600</v>
      </c>
      <c r="K1658" s="521">
        <f t="shared" si="108"/>
        <v>50</v>
      </c>
      <c r="L1658" s="522">
        <f t="shared" si="107"/>
        <v>1000</v>
      </c>
      <c r="M1658" s="523">
        <f t="shared" si="109"/>
        <v>7.6923076923076927E-2</v>
      </c>
      <c r="N1658" s="30" t="s">
        <v>22</v>
      </c>
      <c r="O1658" s="2" t="s">
        <v>21</v>
      </c>
    </row>
    <row r="1659" spans="1:15">
      <c r="A1659" s="71">
        <v>2024</v>
      </c>
      <c r="B1659" s="16" t="s">
        <v>895</v>
      </c>
      <c r="C1659" s="71" t="s">
        <v>2410</v>
      </c>
      <c r="D1659" s="2" t="s">
        <v>2411</v>
      </c>
      <c r="E1659" s="2" t="s">
        <v>2412</v>
      </c>
      <c r="F1659" s="96">
        <v>2</v>
      </c>
      <c r="G1659" s="1" t="s">
        <v>19</v>
      </c>
      <c r="H1659" s="8">
        <v>29000</v>
      </c>
      <c r="I1659" s="8">
        <f t="shared" si="111"/>
        <v>58000</v>
      </c>
      <c r="J1659" s="540">
        <v>20400</v>
      </c>
      <c r="K1659" s="521">
        <f t="shared" si="108"/>
        <v>8600</v>
      </c>
      <c r="L1659" s="522">
        <f t="shared" si="107"/>
        <v>17200</v>
      </c>
      <c r="M1659" s="523">
        <f t="shared" si="109"/>
        <v>0.29655172413793102</v>
      </c>
      <c r="N1659" s="30" t="s">
        <v>22</v>
      </c>
      <c r="O1659" s="2" t="s">
        <v>21</v>
      </c>
    </row>
    <row r="1660" spans="1:15">
      <c r="A1660" s="71">
        <v>2024</v>
      </c>
      <c r="B1660" s="16" t="s">
        <v>895</v>
      </c>
      <c r="C1660" s="71" t="s">
        <v>2413</v>
      </c>
      <c r="D1660" s="2" t="s">
        <v>2294</v>
      </c>
      <c r="E1660" s="2" t="s">
        <v>2414</v>
      </c>
      <c r="F1660" s="96">
        <v>1</v>
      </c>
      <c r="G1660" s="1" t="s">
        <v>59</v>
      </c>
      <c r="H1660" s="8">
        <v>12800</v>
      </c>
      <c r="I1660" s="8">
        <f t="shared" si="111"/>
        <v>12800</v>
      </c>
      <c r="J1660" s="540">
        <v>11000</v>
      </c>
      <c r="K1660" s="521">
        <f t="shared" si="108"/>
        <v>1800</v>
      </c>
      <c r="L1660" s="522">
        <f t="shared" si="107"/>
        <v>1800</v>
      </c>
      <c r="M1660" s="523">
        <f t="shared" si="109"/>
        <v>0.140625</v>
      </c>
      <c r="N1660" s="30" t="s">
        <v>22</v>
      </c>
      <c r="O1660" s="2" t="s">
        <v>21</v>
      </c>
    </row>
    <row r="1661" spans="1:15">
      <c r="A1661" s="71">
        <v>2024</v>
      </c>
      <c r="B1661" s="16" t="s">
        <v>895</v>
      </c>
      <c r="C1661" s="71" t="s">
        <v>2415</v>
      </c>
      <c r="D1661" s="2" t="s">
        <v>1948</v>
      </c>
      <c r="E1661" s="2" t="s">
        <v>2416</v>
      </c>
      <c r="F1661" s="96">
        <v>1</v>
      </c>
      <c r="G1661" s="1" t="s">
        <v>19</v>
      </c>
      <c r="H1661" s="8">
        <v>4850</v>
      </c>
      <c r="I1661" s="8">
        <f t="shared" si="111"/>
        <v>4850</v>
      </c>
      <c r="J1661" s="540">
        <v>4000</v>
      </c>
      <c r="K1661" s="521">
        <f t="shared" si="108"/>
        <v>850</v>
      </c>
      <c r="L1661" s="522">
        <f t="shared" si="107"/>
        <v>850</v>
      </c>
      <c r="M1661" s="523">
        <f t="shared" si="109"/>
        <v>0.17525773195876287</v>
      </c>
      <c r="N1661" s="30" t="s">
        <v>22</v>
      </c>
      <c r="O1661" s="2" t="s">
        <v>21</v>
      </c>
    </row>
    <row r="1662" spans="1:15">
      <c r="A1662" s="71">
        <v>2024</v>
      </c>
      <c r="B1662" s="16" t="s">
        <v>895</v>
      </c>
      <c r="C1662" s="71" t="s">
        <v>2415</v>
      </c>
      <c r="D1662" s="2" t="s">
        <v>430</v>
      </c>
      <c r="E1662" s="2" t="s">
        <v>2417</v>
      </c>
      <c r="F1662" s="96">
        <v>1000</v>
      </c>
      <c r="G1662" s="1" t="s">
        <v>19</v>
      </c>
      <c r="H1662" s="8">
        <v>35</v>
      </c>
      <c r="I1662" s="8">
        <f t="shared" si="111"/>
        <v>35000</v>
      </c>
      <c r="J1662" s="540">
        <v>17</v>
      </c>
      <c r="K1662" s="521">
        <f t="shared" si="108"/>
        <v>18</v>
      </c>
      <c r="L1662" s="522">
        <f t="shared" si="107"/>
        <v>18000</v>
      </c>
      <c r="M1662" s="523">
        <f t="shared" si="109"/>
        <v>0.51428571428571423</v>
      </c>
      <c r="N1662" s="30" t="s">
        <v>22</v>
      </c>
      <c r="O1662" s="2" t="s">
        <v>21</v>
      </c>
    </row>
    <row r="1663" spans="1:15">
      <c r="A1663" s="71">
        <v>2024</v>
      </c>
      <c r="B1663" s="16" t="s">
        <v>895</v>
      </c>
      <c r="C1663" s="71" t="s">
        <v>2418</v>
      </c>
      <c r="D1663" s="2" t="s">
        <v>356</v>
      </c>
      <c r="E1663" s="2" t="s">
        <v>2419</v>
      </c>
      <c r="F1663" s="96">
        <v>6</v>
      </c>
      <c r="G1663" s="1" t="s">
        <v>29</v>
      </c>
      <c r="H1663" s="8">
        <v>4080</v>
      </c>
      <c r="I1663" s="8">
        <f t="shared" si="111"/>
        <v>24480</v>
      </c>
      <c r="J1663" s="540">
        <v>3920</v>
      </c>
      <c r="K1663" s="521">
        <f t="shared" si="108"/>
        <v>160</v>
      </c>
      <c r="L1663" s="522">
        <f t="shared" ref="L1663:L1726" si="112">K1663*F1663</f>
        <v>960</v>
      </c>
      <c r="M1663" s="523">
        <f t="shared" si="109"/>
        <v>3.9215686274509803E-2</v>
      </c>
      <c r="N1663" s="30" t="s">
        <v>22</v>
      </c>
      <c r="O1663" s="2" t="s">
        <v>21</v>
      </c>
    </row>
    <row r="1664" spans="1:15">
      <c r="A1664" s="71">
        <v>2024</v>
      </c>
      <c r="B1664" s="16" t="s">
        <v>895</v>
      </c>
      <c r="C1664" s="71" t="s">
        <v>2420</v>
      </c>
      <c r="D1664" s="2" t="s">
        <v>200</v>
      </c>
      <c r="E1664" s="2" t="s">
        <v>2111</v>
      </c>
      <c r="F1664" s="96">
        <v>2</v>
      </c>
      <c r="G1664" s="1" t="s">
        <v>1979</v>
      </c>
      <c r="H1664" s="8">
        <v>9650</v>
      </c>
      <c r="I1664" s="8">
        <f t="shared" si="111"/>
        <v>19300</v>
      </c>
      <c r="J1664" s="540">
        <v>9600</v>
      </c>
      <c r="K1664" s="521">
        <f t="shared" si="108"/>
        <v>50</v>
      </c>
      <c r="L1664" s="522">
        <f t="shared" si="112"/>
        <v>100</v>
      </c>
      <c r="M1664" s="523">
        <f t="shared" si="109"/>
        <v>5.1813471502590676E-3</v>
      </c>
      <c r="N1664" s="30" t="s">
        <v>22</v>
      </c>
      <c r="O1664" s="2" t="s">
        <v>39</v>
      </c>
    </row>
    <row r="1665" spans="1:15">
      <c r="A1665" s="71">
        <v>2024</v>
      </c>
      <c r="B1665" s="16" t="s">
        <v>895</v>
      </c>
      <c r="C1665" s="71" t="s">
        <v>2421</v>
      </c>
      <c r="D1665" s="2" t="s">
        <v>617</v>
      </c>
      <c r="E1665" s="2" t="s">
        <v>1729</v>
      </c>
      <c r="F1665" s="96">
        <v>3000</v>
      </c>
      <c r="G1665" s="1" t="s">
        <v>231</v>
      </c>
      <c r="H1665" s="8">
        <v>31.5</v>
      </c>
      <c r="I1665" s="8">
        <f t="shared" si="111"/>
        <v>94500</v>
      </c>
      <c r="J1665" s="540">
        <v>30.5</v>
      </c>
      <c r="K1665" s="521">
        <f t="shared" si="108"/>
        <v>1</v>
      </c>
      <c r="L1665" s="522">
        <f t="shared" si="112"/>
        <v>3000</v>
      </c>
      <c r="M1665" s="523">
        <f t="shared" si="109"/>
        <v>3.1746031746031744E-2</v>
      </c>
      <c r="N1665" s="30" t="s">
        <v>22</v>
      </c>
      <c r="O1665" s="2" t="s">
        <v>39</v>
      </c>
    </row>
    <row r="1666" spans="1:15">
      <c r="A1666" s="71">
        <v>2024</v>
      </c>
      <c r="B1666" s="16" t="s">
        <v>895</v>
      </c>
      <c r="C1666" s="71" t="s">
        <v>2422</v>
      </c>
      <c r="D1666" s="2" t="s">
        <v>200</v>
      </c>
      <c r="E1666" s="2" t="s">
        <v>2111</v>
      </c>
      <c r="F1666" s="96">
        <v>4</v>
      </c>
      <c r="G1666" s="1" t="s">
        <v>63</v>
      </c>
      <c r="H1666" s="8">
        <v>9650</v>
      </c>
      <c r="I1666" s="8">
        <f t="shared" si="111"/>
        <v>38600</v>
      </c>
      <c r="J1666" s="539">
        <v>9600</v>
      </c>
      <c r="K1666" s="521">
        <f t="shared" si="108"/>
        <v>50</v>
      </c>
      <c r="L1666" s="522">
        <f t="shared" si="112"/>
        <v>200</v>
      </c>
      <c r="M1666" s="523">
        <f t="shared" si="109"/>
        <v>5.1813471502590676E-3</v>
      </c>
      <c r="N1666" s="30" t="s">
        <v>22</v>
      </c>
      <c r="O1666" s="2" t="s">
        <v>39</v>
      </c>
    </row>
    <row r="1667" spans="1:15">
      <c r="A1667" s="71">
        <v>2024</v>
      </c>
      <c r="B1667" s="16" t="s">
        <v>895</v>
      </c>
      <c r="C1667" s="71" t="s">
        <v>2423</v>
      </c>
      <c r="D1667" s="2" t="s">
        <v>200</v>
      </c>
      <c r="E1667" s="2" t="s">
        <v>2111</v>
      </c>
      <c r="F1667" s="96">
        <v>3</v>
      </c>
      <c r="G1667" s="1" t="s">
        <v>63</v>
      </c>
      <c r="H1667" s="8">
        <v>9650</v>
      </c>
      <c r="I1667" s="8">
        <f t="shared" si="111"/>
        <v>28950</v>
      </c>
      <c r="J1667" s="539">
        <v>9600</v>
      </c>
      <c r="K1667" s="521">
        <f t="shared" ref="K1667:K1730" si="113">H1667-J1667</f>
        <v>50</v>
      </c>
      <c r="L1667" s="522">
        <f t="shared" si="112"/>
        <v>150</v>
      </c>
      <c r="M1667" s="523">
        <f t="shared" ref="M1667:M1730" si="114">K1667/H1667</f>
        <v>5.1813471502590676E-3</v>
      </c>
      <c r="N1667" s="30" t="s">
        <v>22</v>
      </c>
      <c r="O1667" s="2" t="s">
        <v>39</v>
      </c>
    </row>
    <row r="1668" spans="1:15">
      <c r="A1668" s="71">
        <v>2024</v>
      </c>
      <c r="B1668" s="16" t="s">
        <v>895</v>
      </c>
      <c r="C1668" s="71" t="s">
        <v>2424</v>
      </c>
      <c r="D1668" s="2" t="s">
        <v>17</v>
      </c>
      <c r="E1668" s="2" t="s">
        <v>2425</v>
      </c>
      <c r="F1668" s="96">
        <v>90</v>
      </c>
      <c r="G1668" s="1" t="s">
        <v>1368</v>
      </c>
      <c r="H1668" s="8">
        <v>73</v>
      </c>
      <c r="I1668" s="8">
        <f t="shared" si="111"/>
        <v>6570</v>
      </c>
      <c r="J1668" s="539">
        <v>70</v>
      </c>
      <c r="K1668" s="521">
        <f t="shared" si="113"/>
        <v>3</v>
      </c>
      <c r="L1668" s="522">
        <f t="shared" si="112"/>
        <v>270</v>
      </c>
      <c r="M1668" s="523">
        <f t="shared" si="114"/>
        <v>4.1095890410958902E-2</v>
      </c>
      <c r="N1668" s="30" t="s">
        <v>22</v>
      </c>
      <c r="O1668" s="2" t="s">
        <v>39</v>
      </c>
    </row>
    <row r="1669" spans="1:15">
      <c r="A1669" s="71">
        <v>2024</v>
      </c>
      <c r="B1669" s="16" t="s">
        <v>895</v>
      </c>
      <c r="C1669" s="71" t="s">
        <v>2426</v>
      </c>
      <c r="D1669" s="2" t="s">
        <v>617</v>
      </c>
      <c r="E1669" s="2" t="s">
        <v>233</v>
      </c>
      <c r="F1669" s="96">
        <v>6000</v>
      </c>
      <c r="G1669" s="1" t="s">
        <v>231</v>
      </c>
      <c r="H1669" s="8">
        <v>31.5</v>
      </c>
      <c r="I1669" s="8">
        <f t="shared" si="111"/>
        <v>189000</v>
      </c>
      <c r="J1669" s="539">
        <v>30.5</v>
      </c>
      <c r="K1669" s="521">
        <f t="shared" si="113"/>
        <v>1</v>
      </c>
      <c r="L1669" s="522">
        <f t="shared" si="112"/>
        <v>6000</v>
      </c>
      <c r="M1669" s="523">
        <f t="shared" si="114"/>
        <v>3.1746031746031744E-2</v>
      </c>
      <c r="N1669" s="30" t="s">
        <v>22</v>
      </c>
      <c r="O1669" s="2" t="s">
        <v>39</v>
      </c>
    </row>
    <row r="1670" spans="1:15">
      <c r="A1670" s="71">
        <v>2024</v>
      </c>
      <c r="B1670" s="16" t="s">
        <v>895</v>
      </c>
      <c r="C1670" s="71" t="s">
        <v>2427</v>
      </c>
      <c r="D1670" s="2" t="s">
        <v>2250</v>
      </c>
      <c r="E1670" s="2" t="s">
        <v>2251</v>
      </c>
      <c r="F1670" s="96">
        <v>6</v>
      </c>
      <c r="G1670" s="1" t="s">
        <v>1983</v>
      </c>
      <c r="H1670" s="8">
        <v>27500</v>
      </c>
      <c r="I1670" s="8">
        <f t="shared" si="111"/>
        <v>165000</v>
      </c>
      <c r="J1670" s="540">
        <v>22000</v>
      </c>
      <c r="K1670" s="521">
        <f t="shared" si="113"/>
        <v>5500</v>
      </c>
      <c r="L1670" s="522">
        <f t="shared" si="112"/>
        <v>33000</v>
      </c>
      <c r="M1670" s="523">
        <f t="shared" si="114"/>
        <v>0.2</v>
      </c>
      <c r="N1670" s="30" t="s">
        <v>38</v>
      </c>
      <c r="O1670" s="2" t="s">
        <v>39</v>
      </c>
    </row>
    <row r="1671" spans="1:15">
      <c r="A1671" s="71">
        <v>2024</v>
      </c>
      <c r="B1671" s="16" t="s">
        <v>895</v>
      </c>
      <c r="C1671" s="71" t="s">
        <v>2428</v>
      </c>
      <c r="D1671" s="2" t="s">
        <v>200</v>
      </c>
      <c r="E1671" s="2" t="s">
        <v>2111</v>
      </c>
      <c r="F1671" s="96">
        <v>6</v>
      </c>
      <c r="G1671" s="1" t="s">
        <v>1979</v>
      </c>
      <c r="H1671" s="8">
        <v>9650</v>
      </c>
      <c r="I1671" s="8">
        <f t="shared" si="111"/>
        <v>57900</v>
      </c>
      <c r="J1671" s="540">
        <v>9600</v>
      </c>
      <c r="K1671" s="521">
        <f t="shared" si="113"/>
        <v>50</v>
      </c>
      <c r="L1671" s="522">
        <f t="shared" si="112"/>
        <v>300</v>
      </c>
      <c r="M1671" s="523">
        <f t="shared" si="114"/>
        <v>5.1813471502590676E-3</v>
      </c>
      <c r="N1671" s="30" t="s">
        <v>22</v>
      </c>
      <c r="O1671" s="2" t="s">
        <v>39</v>
      </c>
    </row>
    <row r="1672" spans="1:15">
      <c r="A1672" s="71">
        <v>2024</v>
      </c>
      <c r="B1672" s="16" t="s">
        <v>895</v>
      </c>
      <c r="C1672" s="71" t="s">
        <v>2429</v>
      </c>
      <c r="D1672" s="2" t="s">
        <v>200</v>
      </c>
      <c r="E1672" s="2" t="s">
        <v>2111</v>
      </c>
      <c r="F1672" s="96">
        <v>6</v>
      </c>
      <c r="G1672" s="1" t="s">
        <v>1979</v>
      </c>
      <c r="H1672" s="8">
        <v>9650</v>
      </c>
      <c r="I1672" s="8">
        <f t="shared" si="111"/>
        <v>57900</v>
      </c>
      <c r="J1672" s="540">
        <v>9600</v>
      </c>
      <c r="K1672" s="521">
        <f t="shared" si="113"/>
        <v>50</v>
      </c>
      <c r="L1672" s="522">
        <f t="shared" si="112"/>
        <v>300</v>
      </c>
      <c r="M1672" s="523">
        <f t="shared" si="114"/>
        <v>5.1813471502590676E-3</v>
      </c>
      <c r="N1672" s="30" t="s">
        <v>22</v>
      </c>
      <c r="O1672" s="2" t="s">
        <v>39</v>
      </c>
    </row>
    <row r="1673" spans="1:15">
      <c r="A1673" s="71">
        <v>2024</v>
      </c>
      <c r="B1673" s="16" t="s">
        <v>895</v>
      </c>
      <c r="C1673" s="71" t="s">
        <v>2429</v>
      </c>
      <c r="D1673" s="2" t="s">
        <v>200</v>
      </c>
      <c r="E1673" s="2" t="s">
        <v>2173</v>
      </c>
      <c r="F1673" s="96">
        <v>1</v>
      </c>
      <c r="G1673" s="1" t="s">
        <v>1979</v>
      </c>
      <c r="H1673" s="8">
        <v>9650</v>
      </c>
      <c r="I1673" s="8">
        <f t="shared" si="111"/>
        <v>9650</v>
      </c>
      <c r="J1673" s="540">
        <v>9600</v>
      </c>
      <c r="K1673" s="521">
        <f t="shared" si="113"/>
        <v>50</v>
      </c>
      <c r="L1673" s="522">
        <f t="shared" si="112"/>
        <v>50</v>
      </c>
      <c r="M1673" s="523">
        <f t="shared" si="114"/>
        <v>5.1813471502590676E-3</v>
      </c>
      <c r="N1673" s="30" t="s">
        <v>22</v>
      </c>
      <c r="O1673" s="2" t="s">
        <v>39</v>
      </c>
    </row>
    <row r="1674" spans="1:15">
      <c r="A1674" s="71">
        <v>2024</v>
      </c>
      <c r="B1674" s="16" t="s">
        <v>895</v>
      </c>
      <c r="C1674" s="71" t="s">
        <v>2430</v>
      </c>
      <c r="D1674" s="2" t="s">
        <v>599</v>
      </c>
      <c r="E1674" s="2" t="s">
        <v>1208</v>
      </c>
      <c r="F1674" s="96">
        <v>600</v>
      </c>
      <c r="G1674" s="1" t="s">
        <v>1983</v>
      </c>
      <c r="H1674" s="8">
        <v>65</v>
      </c>
      <c r="I1674" s="8">
        <f t="shared" si="111"/>
        <v>39000</v>
      </c>
      <c r="J1674" s="540">
        <v>61</v>
      </c>
      <c r="K1674" s="521">
        <f t="shared" si="113"/>
        <v>4</v>
      </c>
      <c r="L1674" s="522">
        <f t="shared" si="112"/>
        <v>2400</v>
      </c>
      <c r="M1674" s="523">
        <f t="shared" si="114"/>
        <v>6.1538461538461542E-2</v>
      </c>
      <c r="N1674" s="30" t="s">
        <v>38</v>
      </c>
      <c r="O1674" s="2" t="s">
        <v>39</v>
      </c>
    </row>
    <row r="1675" spans="1:15">
      <c r="A1675" s="71">
        <v>2024</v>
      </c>
      <c r="B1675" s="16" t="s">
        <v>895</v>
      </c>
      <c r="C1675" s="71" t="s">
        <v>2429</v>
      </c>
      <c r="D1675" s="2" t="s">
        <v>200</v>
      </c>
      <c r="E1675" s="2" t="s">
        <v>2431</v>
      </c>
      <c r="F1675" s="96">
        <v>3</v>
      </c>
      <c r="G1675" s="1" t="s">
        <v>1979</v>
      </c>
      <c r="H1675" s="8">
        <v>57500</v>
      </c>
      <c r="I1675" s="8">
        <f t="shared" si="111"/>
        <v>172500</v>
      </c>
      <c r="J1675" s="540">
        <v>56000</v>
      </c>
      <c r="K1675" s="521">
        <f t="shared" si="113"/>
        <v>1500</v>
      </c>
      <c r="L1675" s="522">
        <f t="shared" si="112"/>
        <v>4500</v>
      </c>
      <c r="M1675" s="523">
        <f t="shared" si="114"/>
        <v>2.6086956521739129E-2</v>
      </c>
      <c r="N1675" s="30" t="s">
        <v>38</v>
      </c>
      <c r="O1675" s="2" t="s">
        <v>39</v>
      </c>
    </row>
    <row r="1676" spans="1:15">
      <c r="A1676" s="71">
        <v>2024</v>
      </c>
      <c r="B1676" s="16" t="s">
        <v>895</v>
      </c>
      <c r="C1676" s="71" t="s">
        <v>2429</v>
      </c>
      <c r="D1676" s="2" t="s">
        <v>200</v>
      </c>
      <c r="E1676" s="2" t="s">
        <v>2432</v>
      </c>
      <c r="F1676" s="96">
        <v>1</v>
      </c>
      <c r="G1676" s="1" t="s">
        <v>1979</v>
      </c>
      <c r="H1676" s="8">
        <v>48500</v>
      </c>
      <c r="I1676" s="8">
        <f t="shared" si="111"/>
        <v>48500</v>
      </c>
      <c r="J1676" s="540">
        <v>47000</v>
      </c>
      <c r="K1676" s="521">
        <f t="shared" si="113"/>
        <v>1500</v>
      </c>
      <c r="L1676" s="522">
        <f t="shared" si="112"/>
        <v>1500</v>
      </c>
      <c r="M1676" s="523">
        <f t="shared" si="114"/>
        <v>3.0927835051546393E-2</v>
      </c>
      <c r="N1676" s="30" t="s">
        <v>38</v>
      </c>
      <c r="O1676" s="2" t="s">
        <v>39</v>
      </c>
    </row>
    <row r="1677" spans="1:15">
      <c r="A1677" s="71">
        <v>2024</v>
      </c>
      <c r="B1677" s="16" t="s">
        <v>895</v>
      </c>
      <c r="C1677" s="71" t="s">
        <v>2433</v>
      </c>
      <c r="D1677" s="2" t="s">
        <v>590</v>
      </c>
      <c r="E1677" s="2" t="s">
        <v>2111</v>
      </c>
      <c r="F1677" s="96">
        <v>2</v>
      </c>
      <c r="G1677" s="1" t="s">
        <v>1979</v>
      </c>
      <c r="H1677" s="8">
        <v>10000</v>
      </c>
      <c r="I1677" s="8">
        <f t="shared" si="111"/>
        <v>20000</v>
      </c>
      <c r="J1677" s="540">
        <v>9600</v>
      </c>
      <c r="K1677" s="521">
        <f t="shared" si="113"/>
        <v>400</v>
      </c>
      <c r="L1677" s="522">
        <f t="shared" si="112"/>
        <v>800</v>
      </c>
      <c r="M1677" s="523">
        <f t="shared" si="114"/>
        <v>0.04</v>
      </c>
      <c r="N1677" s="30" t="s">
        <v>22</v>
      </c>
      <c r="O1677" s="2" t="s">
        <v>39</v>
      </c>
    </row>
    <row r="1678" spans="1:15">
      <c r="A1678" s="71">
        <v>2024</v>
      </c>
      <c r="B1678" s="16" t="s">
        <v>895</v>
      </c>
      <c r="C1678" s="71" t="s">
        <v>2434</v>
      </c>
      <c r="D1678" s="2" t="s">
        <v>708</v>
      </c>
      <c r="E1678" s="2" t="s">
        <v>49</v>
      </c>
      <c r="F1678" s="96">
        <v>6000</v>
      </c>
      <c r="G1678" s="1" t="s">
        <v>37</v>
      </c>
      <c r="H1678" s="8">
        <v>394.73</v>
      </c>
      <c r="I1678" s="8">
        <f t="shared" si="111"/>
        <v>2368380</v>
      </c>
      <c r="J1678" s="540">
        <v>382</v>
      </c>
      <c r="K1678" s="521">
        <f t="shared" si="113"/>
        <v>12.730000000000018</v>
      </c>
      <c r="L1678" s="522">
        <f t="shared" si="112"/>
        <v>76380.000000000116</v>
      </c>
      <c r="M1678" s="523">
        <f t="shared" si="114"/>
        <v>3.2249892331467127E-2</v>
      </c>
      <c r="N1678" s="30" t="s">
        <v>38</v>
      </c>
      <c r="O1678" s="2" t="s">
        <v>105</v>
      </c>
    </row>
    <row r="1679" spans="1:15">
      <c r="A1679" s="71">
        <v>2024</v>
      </c>
      <c r="B1679" s="16" t="s">
        <v>895</v>
      </c>
      <c r="C1679" s="71" t="s">
        <v>2435</v>
      </c>
      <c r="D1679" s="2" t="s">
        <v>103</v>
      </c>
      <c r="E1679" s="2" t="s">
        <v>2436</v>
      </c>
      <c r="F1679" s="96">
        <v>1</v>
      </c>
      <c r="G1679" s="1" t="s">
        <v>285</v>
      </c>
      <c r="H1679" s="8">
        <v>35500</v>
      </c>
      <c r="I1679" s="8">
        <f t="shared" si="111"/>
        <v>35500</v>
      </c>
      <c r="J1679" s="540">
        <v>31000</v>
      </c>
      <c r="K1679" s="521">
        <f t="shared" si="113"/>
        <v>4500</v>
      </c>
      <c r="L1679" s="522">
        <f t="shared" si="112"/>
        <v>4500</v>
      </c>
      <c r="M1679" s="523">
        <f t="shared" si="114"/>
        <v>0.12676056338028169</v>
      </c>
      <c r="N1679" s="30" t="s">
        <v>22</v>
      </c>
      <c r="O1679" s="2" t="s">
        <v>105</v>
      </c>
    </row>
    <row r="1680" spans="1:15">
      <c r="A1680" s="71">
        <v>2024</v>
      </c>
      <c r="B1680" s="16" t="s">
        <v>895</v>
      </c>
      <c r="C1680" s="71" t="s">
        <v>2437</v>
      </c>
      <c r="D1680" s="2" t="s">
        <v>35</v>
      </c>
      <c r="E1680" s="2" t="s">
        <v>889</v>
      </c>
      <c r="F1680" s="96">
        <v>4401.7</v>
      </c>
      <c r="G1680" s="1" t="s">
        <v>37</v>
      </c>
      <c r="H1680" s="8">
        <v>412</v>
      </c>
      <c r="I1680" s="8">
        <f t="shared" si="111"/>
        <v>1813500.4</v>
      </c>
      <c r="J1680" s="540">
        <v>410</v>
      </c>
      <c r="K1680" s="521">
        <f t="shared" si="113"/>
        <v>2</v>
      </c>
      <c r="L1680" s="522">
        <f t="shared" si="112"/>
        <v>8803.4</v>
      </c>
      <c r="M1680" s="523">
        <f t="shared" si="114"/>
        <v>4.8543689320388345E-3</v>
      </c>
      <c r="N1680" s="30" t="s">
        <v>38</v>
      </c>
      <c r="O1680" s="2" t="s">
        <v>105</v>
      </c>
    </row>
    <row r="1681" spans="1:15">
      <c r="A1681" s="71">
        <v>2024</v>
      </c>
      <c r="B1681" s="16" t="s">
        <v>895</v>
      </c>
      <c r="C1681" s="427" t="s">
        <v>2438</v>
      </c>
      <c r="D1681" s="2" t="s">
        <v>174</v>
      </c>
      <c r="E1681" s="2" t="s">
        <v>2439</v>
      </c>
      <c r="F1681" s="96">
        <v>1398</v>
      </c>
      <c r="G1681" s="1" t="s">
        <v>19</v>
      </c>
      <c r="H1681" s="8">
        <v>360</v>
      </c>
      <c r="I1681" s="8">
        <f t="shared" si="111"/>
        <v>503280</v>
      </c>
      <c r="J1681" s="540">
        <v>175</v>
      </c>
      <c r="K1681" s="521">
        <f t="shared" si="113"/>
        <v>185</v>
      </c>
      <c r="L1681" s="522">
        <f t="shared" si="112"/>
        <v>258630</v>
      </c>
      <c r="M1681" s="523">
        <f t="shared" si="114"/>
        <v>0.51388888888888884</v>
      </c>
      <c r="N1681" s="30" t="s">
        <v>38</v>
      </c>
      <c r="O1681" s="2" t="s">
        <v>105</v>
      </c>
    </row>
    <row r="1682" spans="1:15">
      <c r="A1682" s="71">
        <v>2024</v>
      </c>
      <c r="B1682" s="16" t="s">
        <v>895</v>
      </c>
      <c r="C1682" s="71" t="s">
        <v>2440</v>
      </c>
      <c r="D1682" s="2" t="s">
        <v>27</v>
      </c>
      <c r="E1682" s="2" t="s">
        <v>2441</v>
      </c>
      <c r="F1682" s="96">
        <v>3</v>
      </c>
      <c r="G1682" s="1" t="s">
        <v>225</v>
      </c>
      <c r="H1682" s="8">
        <v>2660</v>
      </c>
      <c r="I1682" s="8">
        <f t="shared" si="111"/>
        <v>7980</v>
      </c>
      <c r="J1682" s="540">
        <v>2400</v>
      </c>
      <c r="K1682" s="521">
        <f t="shared" si="113"/>
        <v>260</v>
      </c>
      <c r="L1682" s="522">
        <f t="shared" si="112"/>
        <v>780</v>
      </c>
      <c r="M1682" s="523">
        <f t="shared" si="114"/>
        <v>9.7744360902255634E-2</v>
      </c>
      <c r="N1682" s="30" t="s">
        <v>22</v>
      </c>
      <c r="O1682" s="2" t="s">
        <v>105</v>
      </c>
    </row>
    <row r="1683" spans="1:15">
      <c r="A1683" s="71">
        <v>2024</v>
      </c>
      <c r="B1683" s="16" t="s">
        <v>895</v>
      </c>
      <c r="C1683" s="71" t="s">
        <v>2442</v>
      </c>
      <c r="D1683" s="2" t="s">
        <v>27</v>
      </c>
      <c r="E1683" s="2" t="s">
        <v>456</v>
      </c>
      <c r="F1683" s="96">
        <v>300</v>
      </c>
      <c r="G1683" s="1" t="s">
        <v>19</v>
      </c>
      <c r="H1683" s="8">
        <v>2.5499999999999998</v>
      </c>
      <c r="I1683" s="8">
        <f t="shared" si="111"/>
        <v>765</v>
      </c>
      <c r="J1683" s="540">
        <v>2.5</v>
      </c>
      <c r="K1683" s="521">
        <f t="shared" si="113"/>
        <v>4.9999999999999822E-2</v>
      </c>
      <c r="L1683" s="522">
        <f t="shared" si="112"/>
        <v>14.999999999999947</v>
      </c>
      <c r="M1683" s="523">
        <f t="shared" si="114"/>
        <v>1.9607843137254832E-2</v>
      </c>
      <c r="N1683" s="30" t="s">
        <v>22</v>
      </c>
      <c r="O1683" s="2" t="s">
        <v>105</v>
      </c>
    </row>
    <row r="1684" spans="1:15">
      <c r="A1684" s="71">
        <v>2024</v>
      </c>
      <c r="B1684" s="16" t="s">
        <v>895</v>
      </c>
      <c r="C1684" s="71" t="s">
        <v>2443</v>
      </c>
      <c r="D1684" s="2" t="s">
        <v>68</v>
      </c>
      <c r="E1684" s="2" t="s">
        <v>962</v>
      </c>
      <c r="F1684" s="96">
        <v>551.1</v>
      </c>
      <c r="G1684" s="1" t="s">
        <v>37</v>
      </c>
      <c r="H1684" s="8">
        <v>400</v>
      </c>
      <c r="I1684" s="8">
        <f t="shared" si="111"/>
        <v>220440</v>
      </c>
      <c r="J1684" s="540">
        <v>380</v>
      </c>
      <c r="K1684" s="521">
        <f t="shared" si="113"/>
        <v>20</v>
      </c>
      <c r="L1684" s="522">
        <f t="shared" si="112"/>
        <v>11022</v>
      </c>
      <c r="M1684" s="523">
        <f t="shared" si="114"/>
        <v>0.05</v>
      </c>
      <c r="N1684" s="30" t="s">
        <v>22</v>
      </c>
      <c r="O1684" s="2" t="s">
        <v>105</v>
      </c>
    </row>
    <row r="1685" spans="1:15">
      <c r="A1685" s="71">
        <v>2024</v>
      </c>
      <c r="B1685" s="16" t="s">
        <v>895</v>
      </c>
      <c r="C1685" s="71" t="s">
        <v>2444</v>
      </c>
      <c r="D1685" s="2" t="s">
        <v>35</v>
      </c>
      <c r="E1685" s="2" t="s">
        <v>35</v>
      </c>
      <c r="F1685" s="96">
        <v>3487.8</v>
      </c>
      <c r="G1685" s="1" t="s">
        <v>37</v>
      </c>
      <c r="H1685" s="8">
        <v>412</v>
      </c>
      <c r="I1685" s="8">
        <f t="shared" si="111"/>
        <v>1436973.6</v>
      </c>
      <c r="J1685" s="540">
        <v>410</v>
      </c>
      <c r="K1685" s="521">
        <f t="shared" si="113"/>
        <v>2</v>
      </c>
      <c r="L1685" s="522">
        <f t="shared" si="112"/>
        <v>6975.6</v>
      </c>
      <c r="M1685" s="523">
        <f t="shared" si="114"/>
        <v>4.8543689320388345E-3</v>
      </c>
      <c r="N1685" s="30" t="s">
        <v>38</v>
      </c>
      <c r="O1685" s="2" t="s">
        <v>105</v>
      </c>
    </row>
    <row r="1686" spans="1:15">
      <c r="A1686" s="71">
        <v>2024</v>
      </c>
      <c r="B1686" s="16" t="s">
        <v>895</v>
      </c>
      <c r="C1686" s="71" t="s">
        <v>2445</v>
      </c>
      <c r="D1686" s="2" t="s">
        <v>94</v>
      </c>
      <c r="E1686" s="2" t="s">
        <v>1038</v>
      </c>
      <c r="F1686" s="96">
        <v>1300</v>
      </c>
      <c r="G1686" s="1" t="s">
        <v>19</v>
      </c>
      <c r="H1686" s="8">
        <v>15.5</v>
      </c>
      <c r="I1686" s="8">
        <f t="shared" si="111"/>
        <v>20150</v>
      </c>
      <c r="J1686" s="540">
        <v>14.76</v>
      </c>
      <c r="K1686" s="521">
        <f t="shared" si="113"/>
        <v>0.74000000000000021</v>
      </c>
      <c r="L1686" s="522">
        <f t="shared" si="112"/>
        <v>962.00000000000023</v>
      </c>
      <c r="M1686" s="523">
        <f t="shared" si="114"/>
        <v>4.7741935483870984E-2</v>
      </c>
      <c r="N1686" s="30" t="s">
        <v>22</v>
      </c>
      <c r="O1686" s="2" t="s">
        <v>105</v>
      </c>
    </row>
    <row r="1687" spans="1:15">
      <c r="A1687" s="71">
        <v>2024</v>
      </c>
      <c r="B1687" s="16" t="s">
        <v>895</v>
      </c>
      <c r="C1687" s="71" t="s">
        <v>2445</v>
      </c>
      <c r="D1687" s="2" t="s">
        <v>94</v>
      </c>
      <c r="E1687" s="2" t="s">
        <v>613</v>
      </c>
      <c r="F1687" s="96">
        <v>500</v>
      </c>
      <c r="G1687" s="1" t="s">
        <v>19</v>
      </c>
      <c r="H1687" s="8">
        <v>25</v>
      </c>
      <c r="I1687" s="8">
        <f t="shared" si="111"/>
        <v>12500</v>
      </c>
      <c r="J1687" s="540">
        <v>24.6</v>
      </c>
      <c r="K1687" s="521">
        <f t="shared" si="113"/>
        <v>0.39999999999999858</v>
      </c>
      <c r="L1687" s="522">
        <f t="shared" si="112"/>
        <v>199.99999999999929</v>
      </c>
      <c r="M1687" s="523">
        <f t="shared" si="114"/>
        <v>1.5999999999999945E-2</v>
      </c>
      <c r="N1687" s="30" t="s">
        <v>22</v>
      </c>
      <c r="O1687" s="2" t="s">
        <v>105</v>
      </c>
    </row>
    <row r="1688" spans="1:15">
      <c r="A1688" s="71">
        <v>2024</v>
      </c>
      <c r="B1688" s="16" t="s">
        <v>895</v>
      </c>
      <c r="C1688" s="71" t="s">
        <v>2445</v>
      </c>
      <c r="D1688" s="2" t="s">
        <v>94</v>
      </c>
      <c r="E1688" s="2" t="s">
        <v>458</v>
      </c>
      <c r="F1688" s="96">
        <v>100</v>
      </c>
      <c r="G1688" s="1" t="s">
        <v>19</v>
      </c>
      <c r="H1688" s="8">
        <v>9.5</v>
      </c>
      <c r="I1688" s="8">
        <f t="shared" si="111"/>
        <v>950</v>
      </c>
      <c r="J1688" s="540">
        <v>9.35</v>
      </c>
      <c r="K1688" s="521">
        <f t="shared" si="113"/>
        <v>0.15000000000000036</v>
      </c>
      <c r="L1688" s="522">
        <f t="shared" si="112"/>
        <v>15.000000000000036</v>
      </c>
      <c r="M1688" s="523">
        <f t="shared" si="114"/>
        <v>1.5789473684210565E-2</v>
      </c>
      <c r="N1688" s="30" t="s">
        <v>22</v>
      </c>
      <c r="O1688" s="2" t="s">
        <v>105</v>
      </c>
    </row>
    <row r="1689" spans="1:15">
      <c r="A1689" s="71">
        <v>2024</v>
      </c>
      <c r="B1689" s="16" t="s">
        <v>895</v>
      </c>
      <c r="C1689" s="71" t="s">
        <v>2446</v>
      </c>
      <c r="D1689" s="2" t="s">
        <v>94</v>
      </c>
      <c r="E1689" s="2" t="s">
        <v>546</v>
      </c>
      <c r="F1689" s="96">
        <v>200</v>
      </c>
      <c r="G1689" s="1" t="s">
        <v>19</v>
      </c>
      <c r="H1689" s="8">
        <v>185</v>
      </c>
      <c r="I1689" s="8">
        <f t="shared" si="111"/>
        <v>37000</v>
      </c>
      <c r="J1689" s="540">
        <v>182.25</v>
      </c>
      <c r="K1689" s="521">
        <f t="shared" si="113"/>
        <v>2.75</v>
      </c>
      <c r="L1689" s="522">
        <f t="shared" si="112"/>
        <v>550</v>
      </c>
      <c r="M1689" s="523">
        <f t="shared" si="114"/>
        <v>1.4864864864864866E-2</v>
      </c>
      <c r="N1689" s="30" t="s">
        <v>22</v>
      </c>
      <c r="O1689" s="2" t="s">
        <v>105</v>
      </c>
    </row>
    <row r="1690" spans="1:15">
      <c r="A1690" s="71">
        <v>2024</v>
      </c>
      <c r="B1690" s="16" t="s">
        <v>895</v>
      </c>
      <c r="C1690" s="71" t="s">
        <v>2447</v>
      </c>
      <c r="D1690" s="2" t="s">
        <v>68</v>
      </c>
      <c r="E1690" s="2" t="s">
        <v>962</v>
      </c>
      <c r="F1690" s="96">
        <v>634.9</v>
      </c>
      <c r="G1690" s="1" t="s">
        <v>19</v>
      </c>
      <c r="H1690" s="8">
        <v>412</v>
      </c>
      <c r="I1690" s="8">
        <f t="shared" si="111"/>
        <v>261578.8</v>
      </c>
      <c r="J1690" s="540">
        <v>380</v>
      </c>
      <c r="K1690" s="521">
        <f t="shared" si="113"/>
        <v>32</v>
      </c>
      <c r="L1690" s="522">
        <f t="shared" si="112"/>
        <v>20316.8</v>
      </c>
      <c r="M1690" s="523">
        <f t="shared" si="114"/>
        <v>7.7669902912621352E-2</v>
      </c>
      <c r="N1690" s="30" t="s">
        <v>22</v>
      </c>
      <c r="O1690" s="2" t="s">
        <v>105</v>
      </c>
    </row>
    <row r="1691" spans="1:15">
      <c r="A1691" s="71">
        <v>2024</v>
      </c>
      <c r="B1691" s="16" t="s">
        <v>895</v>
      </c>
      <c r="C1691" s="71" t="s">
        <v>2448</v>
      </c>
      <c r="D1691" s="2" t="s">
        <v>270</v>
      </c>
      <c r="E1691" s="2" t="s">
        <v>1244</v>
      </c>
      <c r="F1691" s="96">
        <v>1</v>
      </c>
      <c r="G1691" s="1" t="s">
        <v>302</v>
      </c>
      <c r="H1691" s="8">
        <v>154112</v>
      </c>
      <c r="I1691" s="8">
        <f t="shared" si="111"/>
        <v>154112</v>
      </c>
      <c r="J1691" s="540">
        <v>151032</v>
      </c>
      <c r="K1691" s="521">
        <f t="shared" si="113"/>
        <v>3080</v>
      </c>
      <c r="L1691" s="522">
        <f t="shared" si="112"/>
        <v>3080</v>
      </c>
      <c r="M1691" s="523">
        <f t="shared" si="114"/>
        <v>1.9985465116279071E-2</v>
      </c>
      <c r="N1691" s="30" t="s">
        <v>38</v>
      </c>
      <c r="O1691" s="2" t="s">
        <v>105</v>
      </c>
    </row>
    <row r="1692" spans="1:15">
      <c r="A1692" s="71">
        <v>2024</v>
      </c>
      <c r="B1692" s="16" t="s">
        <v>895</v>
      </c>
      <c r="C1692" s="71" t="s">
        <v>2449</v>
      </c>
      <c r="D1692" s="2" t="s">
        <v>1252</v>
      </c>
      <c r="E1692" s="2" t="s">
        <v>1665</v>
      </c>
      <c r="F1692" s="96">
        <v>18970</v>
      </c>
      <c r="G1692" s="1" t="s">
        <v>37</v>
      </c>
      <c r="H1692" s="8">
        <v>28.9</v>
      </c>
      <c r="I1692" s="8">
        <f t="shared" si="111"/>
        <v>548233</v>
      </c>
      <c r="J1692" s="540">
        <v>27.2</v>
      </c>
      <c r="K1692" s="521">
        <f t="shared" si="113"/>
        <v>1.6999999999999993</v>
      </c>
      <c r="L1692" s="522">
        <f t="shared" si="112"/>
        <v>32248.999999999985</v>
      </c>
      <c r="M1692" s="523">
        <f t="shared" si="114"/>
        <v>5.8823529411764684E-2</v>
      </c>
      <c r="N1692" s="30" t="s">
        <v>38</v>
      </c>
      <c r="O1692" s="2" t="s">
        <v>105</v>
      </c>
    </row>
    <row r="1693" spans="1:15">
      <c r="A1693" s="71">
        <v>2024</v>
      </c>
      <c r="B1693" s="16" t="s">
        <v>895</v>
      </c>
      <c r="C1693" s="71" t="s">
        <v>2450</v>
      </c>
      <c r="D1693" s="2" t="s">
        <v>107</v>
      </c>
      <c r="E1693" s="2" t="s">
        <v>564</v>
      </c>
      <c r="F1693" s="96">
        <v>12</v>
      </c>
      <c r="G1693" s="1" t="s">
        <v>19</v>
      </c>
      <c r="H1693" s="8">
        <v>1100</v>
      </c>
      <c r="I1693" s="8">
        <f t="shared" si="111"/>
        <v>13200</v>
      </c>
      <c r="J1693" s="540">
        <v>980</v>
      </c>
      <c r="K1693" s="521">
        <f t="shared" si="113"/>
        <v>120</v>
      </c>
      <c r="L1693" s="522">
        <f t="shared" si="112"/>
        <v>1440</v>
      </c>
      <c r="M1693" s="523">
        <f t="shared" si="114"/>
        <v>0.10909090909090909</v>
      </c>
      <c r="N1693" s="30" t="s">
        <v>22</v>
      </c>
      <c r="O1693" s="2" t="s">
        <v>105</v>
      </c>
    </row>
    <row r="1694" spans="1:15">
      <c r="A1694" s="71">
        <v>2024</v>
      </c>
      <c r="B1694" s="16" t="s">
        <v>895</v>
      </c>
      <c r="C1694" s="71" t="s">
        <v>2451</v>
      </c>
      <c r="D1694" s="2" t="s">
        <v>1042</v>
      </c>
      <c r="E1694" s="2" t="s">
        <v>711</v>
      </c>
      <c r="F1694" s="96">
        <v>991</v>
      </c>
      <c r="G1694" s="1" t="s">
        <v>37</v>
      </c>
      <c r="H1694" s="8">
        <v>410</v>
      </c>
      <c r="I1694" s="8">
        <f t="shared" si="111"/>
        <v>406310</v>
      </c>
      <c r="J1694" s="540">
        <v>383</v>
      </c>
      <c r="K1694" s="521">
        <f t="shared" si="113"/>
        <v>27</v>
      </c>
      <c r="L1694" s="522">
        <f t="shared" si="112"/>
        <v>26757</v>
      </c>
      <c r="M1694" s="523">
        <f t="shared" si="114"/>
        <v>6.5853658536585369E-2</v>
      </c>
      <c r="N1694" s="30" t="s">
        <v>22</v>
      </c>
      <c r="O1694" s="2" t="s">
        <v>105</v>
      </c>
    </row>
    <row r="1695" spans="1:15">
      <c r="A1695" s="71">
        <v>2024</v>
      </c>
      <c r="B1695" s="16" t="s">
        <v>895</v>
      </c>
      <c r="C1695" s="71" t="s">
        <v>2452</v>
      </c>
      <c r="D1695" s="2" t="s">
        <v>2453</v>
      </c>
      <c r="E1695" s="2" t="s">
        <v>2454</v>
      </c>
      <c r="F1695" s="96">
        <v>1</v>
      </c>
      <c r="G1695" s="1" t="s">
        <v>19</v>
      </c>
      <c r="H1695" s="8">
        <v>49000</v>
      </c>
      <c r="I1695" s="8">
        <f t="shared" si="111"/>
        <v>49000</v>
      </c>
      <c r="J1695" s="540">
        <v>44100</v>
      </c>
      <c r="K1695" s="521">
        <f t="shared" si="113"/>
        <v>4900</v>
      </c>
      <c r="L1695" s="522">
        <f t="shared" si="112"/>
        <v>4900</v>
      </c>
      <c r="M1695" s="523">
        <f t="shared" si="114"/>
        <v>0.1</v>
      </c>
      <c r="N1695" s="30" t="s">
        <v>38</v>
      </c>
      <c r="O1695" s="2" t="s">
        <v>21</v>
      </c>
    </row>
    <row r="1696" spans="1:15">
      <c r="A1696" s="71">
        <v>2024</v>
      </c>
      <c r="B1696" s="16" t="s">
        <v>895</v>
      </c>
      <c r="C1696" s="71" t="s">
        <v>2452</v>
      </c>
      <c r="D1696" s="2" t="s">
        <v>2453</v>
      </c>
      <c r="E1696" s="2" t="s">
        <v>2455</v>
      </c>
      <c r="F1696" s="96">
        <v>1</v>
      </c>
      <c r="G1696" s="1" t="s">
        <v>285</v>
      </c>
      <c r="H1696" s="8">
        <v>4000</v>
      </c>
      <c r="I1696" s="8">
        <f t="shared" si="111"/>
        <v>4000</v>
      </c>
      <c r="J1696" s="540">
        <v>3600</v>
      </c>
      <c r="K1696" s="521">
        <f t="shared" si="113"/>
        <v>400</v>
      </c>
      <c r="L1696" s="522">
        <f t="shared" si="112"/>
        <v>400</v>
      </c>
      <c r="M1696" s="523">
        <f t="shared" si="114"/>
        <v>0.1</v>
      </c>
      <c r="N1696" s="30" t="s">
        <v>38</v>
      </c>
      <c r="O1696" s="2" t="s">
        <v>21</v>
      </c>
    </row>
    <row r="1697" spans="1:15">
      <c r="A1697" s="71">
        <v>2024</v>
      </c>
      <c r="B1697" s="16" t="s">
        <v>895</v>
      </c>
      <c r="C1697" s="71" t="s">
        <v>2456</v>
      </c>
      <c r="D1697" s="2" t="s">
        <v>1670</v>
      </c>
      <c r="E1697" s="15" t="s">
        <v>2207</v>
      </c>
      <c r="F1697" s="96">
        <v>2</v>
      </c>
      <c r="G1697" s="1" t="s">
        <v>19</v>
      </c>
      <c r="H1697" s="8">
        <v>1850</v>
      </c>
      <c r="I1697" s="8">
        <f t="shared" si="111"/>
        <v>3700</v>
      </c>
      <c r="J1697" s="540">
        <v>1800</v>
      </c>
      <c r="K1697" s="521">
        <f t="shared" si="113"/>
        <v>50</v>
      </c>
      <c r="L1697" s="522">
        <f t="shared" si="112"/>
        <v>100</v>
      </c>
      <c r="M1697" s="523">
        <f t="shared" si="114"/>
        <v>2.7027027027027029E-2</v>
      </c>
      <c r="N1697" s="30" t="s">
        <v>22</v>
      </c>
      <c r="O1697" s="2" t="s">
        <v>21</v>
      </c>
    </row>
    <row r="1698" spans="1:15">
      <c r="A1698" s="71">
        <v>2024</v>
      </c>
      <c r="B1698" s="16" t="s">
        <v>895</v>
      </c>
      <c r="C1698" s="427" t="s">
        <v>2456</v>
      </c>
      <c r="D1698" s="2" t="s">
        <v>1670</v>
      </c>
      <c r="E1698" s="2" t="s">
        <v>2208</v>
      </c>
      <c r="F1698" s="96">
        <v>2</v>
      </c>
      <c r="G1698" s="1" t="s">
        <v>19</v>
      </c>
      <c r="H1698" s="8">
        <v>1850</v>
      </c>
      <c r="I1698" s="8">
        <f t="shared" si="111"/>
        <v>3700</v>
      </c>
      <c r="J1698" s="540">
        <v>1500</v>
      </c>
      <c r="K1698" s="521">
        <f t="shared" si="113"/>
        <v>350</v>
      </c>
      <c r="L1698" s="522">
        <f t="shared" si="112"/>
        <v>700</v>
      </c>
      <c r="M1698" s="523">
        <f t="shared" si="114"/>
        <v>0.1891891891891892</v>
      </c>
      <c r="N1698" s="30" t="s">
        <v>22</v>
      </c>
      <c r="O1698" s="2" t="s">
        <v>21</v>
      </c>
    </row>
    <row r="1699" spans="1:15">
      <c r="A1699" s="71">
        <v>2024</v>
      </c>
      <c r="B1699" s="16" t="s">
        <v>895</v>
      </c>
      <c r="C1699" s="427" t="s">
        <v>2457</v>
      </c>
      <c r="D1699" s="2" t="s">
        <v>926</v>
      </c>
      <c r="E1699" s="2" t="s">
        <v>1532</v>
      </c>
      <c r="F1699" s="96">
        <v>150</v>
      </c>
      <c r="G1699" s="1" t="s">
        <v>19</v>
      </c>
      <c r="H1699" s="8">
        <v>85</v>
      </c>
      <c r="I1699" s="8">
        <f t="shared" si="111"/>
        <v>12750</v>
      </c>
      <c r="J1699" s="540">
        <v>75</v>
      </c>
      <c r="K1699" s="521">
        <f t="shared" si="113"/>
        <v>10</v>
      </c>
      <c r="L1699" s="522">
        <f t="shared" si="112"/>
        <v>1500</v>
      </c>
      <c r="M1699" s="523">
        <f t="shared" si="114"/>
        <v>0.11764705882352941</v>
      </c>
      <c r="N1699" s="30" t="s">
        <v>22</v>
      </c>
      <c r="O1699" s="2" t="s">
        <v>21</v>
      </c>
    </row>
    <row r="1700" spans="1:15">
      <c r="A1700" s="71">
        <v>2024</v>
      </c>
      <c r="B1700" s="16" t="s">
        <v>895</v>
      </c>
      <c r="C1700" s="71" t="s">
        <v>2458</v>
      </c>
      <c r="D1700" s="2" t="s">
        <v>96</v>
      </c>
      <c r="E1700" s="15" t="s">
        <v>99</v>
      </c>
      <c r="F1700" s="96">
        <v>50</v>
      </c>
      <c r="G1700" s="1" t="s">
        <v>19</v>
      </c>
      <c r="H1700" s="8">
        <v>805</v>
      </c>
      <c r="I1700" s="8">
        <f t="shared" si="111"/>
        <v>40250</v>
      </c>
      <c r="J1700" s="540">
        <v>432</v>
      </c>
      <c r="K1700" s="521">
        <f t="shared" si="113"/>
        <v>373</v>
      </c>
      <c r="L1700" s="522">
        <f t="shared" si="112"/>
        <v>18650</v>
      </c>
      <c r="M1700" s="523">
        <f t="shared" si="114"/>
        <v>0.46335403726708074</v>
      </c>
      <c r="N1700" s="30" t="s">
        <v>22</v>
      </c>
      <c r="O1700" s="2" t="s">
        <v>21</v>
      </c>
    </row>
    <row r="1701" spans="1:15">
      <c r="A1701" s="71">
        <v>2024</v>
      </c>
      <c r="B1701" s="16" t="s">
        <v>895</v>
      </c>
      <c r="C1701" s="71" t="s">
        <v>2459</v>
      </c>
      <c r="D1701" s="2" t="s">
        <v>1948</v>
      </c>
      <c r="E1701" s="2" t="s">
        <v>2460</v>
      </c>
      <c r="F1701" s="96">
        <v>1</v>
      </c>
      <c r="G1701" s="1" t="s">
        <v>19</v>
      </c>
      <c r="H1701" s="8">
        <v>4290</v>
      </c>
      <c r="I1701" s="8">
        <f t="shared" si="111"/>
        <v>4290</v>
      </c>
      <c r="J1701" s="540">
        <v>3780</v>
      </c>
      <c r="K1701" s="521">
        <f t="shared" si="113"/>
        <v>510</v>
      </c>
      <c r="L1701" s="522">
        <f t="shared" si="112"/>
        <v>510</v>
      </c>
      <c r="M1701" s="523">
        <f t="shared" si="114"/>
        <v>0.11888111888111888</v>
      </c>
      <c r="N1701" s="30" t="s">
        <v>22</v>
      </c>
      <c r="O1701" s="2" t="s">
        <v>21</v>
      </c>
    </row>
    <row r="1702" spans="1:15">
      <c r="A1702" s="71">
        <v>2024</v>
      </c>
      <c r="B1702" s="16" t="s">
        <v>895</v>
      </c>
      <c r="C1702" s="71" t="s">
        <v>2459</v>
      </c>
      <c r="D1702" s="2" t="s">
        <v>1948</v>
      </c>
      <c r="E1702" s="2" t="s">
        <v>2461</v>
      </c>
      <c r="F1702" s="96">
        <v>1</v>
      </c>
      <c r="G1702" s="1" t="s">
        <v>19</v>
      </c>
      <c r="H1702" s="8">
        <v>1690</v>
      </c>
      <c r="I1702" s="8">
        <f t="shared" si="111"/>
        <v>1690</v>
      </c>
      <c r="J1702" s="540">
        <v>1540</v>
      </c>
      <c r="K1702" s="521">
        <f t="shared" si="113"/>
        <v>150</v>
      </c>
      <c r="L1702" s="522">
        <f t="shared" si="112"/>
        <v>150</v>
      </c>
      <c r="M1702" s="523">
        <f t="shared" si="114"/>
        <v>8.8757396449704137E-2</v>
      </c>
      <c r="N1702" s="30" t="s">
        <v>22</v>
      </c>
      <c r="O1702" s="2" t="s">
        <v>21</v>
      </c>
    </row>
    <row r="1703" spans="1:15">
      <c r="A1703" s="71">
        <v>2024</v>
      </c>
      <c r="B1703" s="16" t="s">
        <v>895</v>
      </c>
      <c r="C1703" s="71" t="s">
        <v>2462</v>
      </c>
      <c r="D1703" s="2" t="s">
        <v>157</v>
      </c>
      <c r="E1703" s="15" t="s">
        <v>2463</v>
      </c>
      <c r="F1703" s="96">
        <v>1</v>
      </c>
      <c r="G1703" s="1" t="s">
        <v>19</v>
      </c>
      <c r="H1703" s="8">
        <v>10500</v>
      </c>
      <c r="I1703" s="8">
        <f t="shared" si="111"/>
        <v>10500</v>
      </c>
      <c r="J1703" s="540">
        <v>8400</v>
      </c>
      <c r="K1703" s="521">
        <f t="shared" si="113"/>
        <v>2100</v>
      </c>
      <c r="L1703" s="522">
        <f t="shared" si="112"/>
        <v>2100</v>
      </c>
      <c r="M1703" s="523">
        <f t="shared" si="114"/>
        <v>0.2</v>
      </c>
      <c r="N1703" s="30" t="s">
        <v>22</v>
      </c>
      <c r="O1703" s="2" t="s">
        <v>21</v>
      </c>
    </row>
    <row r="1704" spans="1:15">
      <c r="A1704" s="71">
        <v>2024</v>
      </c>
      <c r="B1704" s="16" t="s">
        <v>895</v>
      </c>
      <c r="C1704" s="71" t="s">
        <v>2464</v>
      </c>
      <c r="D1704" s="2" t="s">
        <v>398</v>
      </c>
      <c r="E1704" s="2" t="s">
        <v>2465</v>
      </c>
      <c r="F1704" s="96">
        <v>1</v>
      </c>
      <c r="G1704" s="1" t="s">
        <v>285</v>
      </c>
      <c r="H1704" s="8">
        <v>329500</v>
      </c>
      <c r="I1704" s="8">
        <f t="shared" si="111"/>
        <v>329500</v>
      </c>
      <c r="J1704" s="540">
        <v>320000</v>
      </c>
      <c r="K1704" s="521">
        <f t="shared" si="113"/>
        <v>9500</v>
      </c>
      <c r="L1704" s="522">
        <f t="shared" si="112"/>
        <v>9500</v>
      </c>
      <c r="M1704" s="523">
        <f t="shared" si="114"/>
        <v>2.8831562974203338E-2</v>
      </c>
      <c r="N1704" s="30" t="s">
        <v>38</v>
      </c>
      <c r="O1704" s="2" t="s">
        <v>21</v>
      </c>
    </row>
    <row r="1705" spans="1:15">
      <c r="A1705" s="71">
        <v>2024</v>
      </c>
      <c r="B1705" s="16" t="s">
        <v>895</v>
      </c>
      <c r="C1705" s="71" t="s">
        <v>2466</v>
      </c>
      <c r="D1705" s="2" t="s">
        <v>1948</v>
      </c>
      <c r="E1705" s="2" t="s">
        <v>2467</v>
      </c>
      <c r="F1705" s="96">
        <v>10</v>
      </c>
      <c r="G1705" s="1" t="s">
        <v>19</v>
      </c>
      <c r="H1705" s="8">
        <v>815</v>
      </c>
      <c r="I1705" s="8">
        <f t="shared" si="111"/>
        <v>8150</v>
      </c>
      <c r="J1705" s="540">
        <v>765</v>
      </c>
      <c r="K1705" s="521">
        <f t="shared" si="113"/>
        <v>50</v>
      </c>
      <c r="L1705" s="522">
        <f t="shared" si="112"/>
        <v>500</v>
      </c>
      <c r="M1705" s="523">
        <f t="shared" si="114"/>
        <v>6.1349693251533742E-2</v>
      </c>
      <c r="N1705" s="30" t="s">
        <v>22</v>
      </c>
      <c r="O1705" s="2" t="s">
        <v>21</v>
      </c>
    </row>
    <row r="1706" spans="1:15">
      <c r="A1706" s="71">
        <v>2024</v>
      </c>
      <c r="B1706" s="16" t="s">
        <v>895</v>
      </c>
      <c r="C1706" s="71" t="s">
        <v>2468</v>
      </c>
      <c r="D1706" s="2" t="s">
        <v>1101</v>
      </c>
      <c r="E1706" s="2" t="s">
        <v>1102</v>
      </c>
      <c r="F1706" s="96">
        <v>1460</v>
      </c>
      <c r="G1706" s="1" t="s">
        <v>19</v>
      </c>
      <c r="H1706" s="8">
        <v>16</v>
      </c>
      <c r="I1706" s="8">
        <f t="shared" si="111"/>
        <v>23360</v>
      </c>
      <c r="J1706" s="540">
        <v>15</v>
      </c>
      <c r="K1706" s="521">
        <f t="shared" si="113"/>
        <v>1</v>
      </c>
      <c r="L1706" s="522">
        <f t="shared" si="112"/>
        <v>1460</v>
      </c>
      <c r="M1706" s="523">
        <f t="shared" si="114"/>
        <v>6.25E-2</v>
      </c>
      <c r="N1706" s="30" t="s">
        <v>22</v>
      </c>
      <c r="O1706" s="2" t="s">
        <v>21</v>
      </c>
    </row>
    <row r="1707" spans="1:15">
      <c r="A1707" s="71">
        <v>2024</v>
      </c>
      <c r="B1707" s="16" t="s">
        <v>895</v>
      </c>
      <c r="C1707" s="71" t="s">
        <v>2469</v>
      </c>
      <c r="D1707" s="2" t="s">
        <v>2470</v>
      </c>
      <c r="E1707" s="15" t="s">
        <v>2471</v>
      </c>
      <c r="F1707" s="96">
        <v>5</v>
      </c>
      <c r="G1707" s="1" t="s">
        <v>19</v>
      </c>
      <c r="H1707" s="8">
        <v>920</v>
      </c>
      <c r="I1707" s="8">
        <f t="shared" si="111"/>
        <v>4600</v>
      </c>
      <c r="J1707" s="540">
        <v>820</v>
      </c>
      <c r="K1707" s="521">
        <f t="shared" si="113"/>
        <v>100</v>
      </c>
      <c r="L1707" s="522">
        <f t="shared" si="112"/>
        <v>500</v>
      </c>
      <c r="M1707" s="523">
        <f t="shared" si="114"/>
        <v>0.10869565217391304</v>
      </c>
      <c r="N1707" s="30" t="s">
        <v>22</v>
      </c>
      <c r="O1707" s="2" t="s">
        <v>21</v>
      </c>
    </row>
    <row r="1708" spans="1:15">
      <c r="A1708" s="71">
        <v>2024</v>
      </c>
      <c r="B1708" s="16" t="s">
        <v>895</v>
      </c>
      <c r="C1708" s="71" t="s">
        <v>2472</v>
      </c>
      <c r="D1708" s="2" t="s">
        <v>1470</v>
      </c>
      <c r="E1708" s="2" t="s">
        <v>2200</v>
      </c>
      <c r="F1708" s="96">
        <v>50</v>
      </c>
      <c r="G1708" s="1" t="s">
        <v>19</v>
      </c>
      <c r="H1708" s="8">
        <v>4700</v>
      </c>
      <c r="I1708" s="8">
        <f t="shared" si="111"/>
        <v>235000</v>
      </c>
      <c r="J1708" s="540">
        <v>4465</v>
      </c>
      <c r="K1708" s="521">
        <f t="shared" si="113"/>
        <v>235</v>
      </c>
      <c r="L1708" s="522">
        <f t="shared" si="112"/>
        <v>11750</v>
      </c>
      <c r="M1708" s="523">
        <f t="shared" si="114"/>
        <v>0.05</v>
      </c>
      <c r="N1708" s="30" t="s">
        <v>22</v>
      </c>
      <c r="O1708" s="2" t="s">
        <v>21</v>
      </c>
    </row>
    <row r="1709" spans="1:15">
      <c r="A1709" s="71">
        <v>2024</v>
      </c>
      <c r="B1709" s="16" t="s">
        <v>895</v>
      </c>
      <c r="C1709" s="71" t="s">
        <v>2473</v>
      </c>
      <c r="D1709" s="2" t="s">
        <v>430</v>
      </c>
      <c r="E1709" s="2" t="s">
        <v>1454</v>
      </c>
      <c r="F1709" s="96">
        <v>1000</v>
      </c>
      <c r="G1709" s="1" t="s">
        <v>19</v>
      </c>
      <c r="H1709" s="8">
        <v>2.5</v>
      </c>
      <c r="I1709" s="8">
        <f t="shared" ref="I1709:I1772" si="115">H1709*F1709</f>
        <v>2500</v>
      </c>
      <c r="J1709" s="540">
        <v>1.2</v>
      </c>
      <c r="K1709" s="521">
        <f t="shared" si="113"/>
        <v>1.3</v>
      </c>
      <c r="L1709" s="522">
        <f t="shared" si="112"/>
        <v>1300</v>
      </c>
      <c r="M1709" s="523">
        <f t="shared" si="114"/>
        <v>0.52</v>
      </c>
      <c r="N1709" s="30" t="s">
        <v>22</v>
      </c>
      <c r="O1709" s="2" t="s">
        <v>21</v>
      </c>
    </row>
    <row r="1710" spans="1:15">
      <c r="A1710" s="71">
        <v>2024</v>
      </c>
      <c r="B1710" s="16" t="s">
        <v>895</v>
      </c>
      <c r="C1710" s="71" t="s">
        <v>2473</v>
      </c>
      <c r="D1710" s="2" t="s">
        <v>430</v>
      </c>
      <c r="E1710" s="2" t="s">
        <v>1634</v>
      </c>
      <c r="F1710" s="96">
        <v>1000</v>
      </c>
      <c r="G1710" s="1" t="s">
        <v>19</v>
      </c>
      <c r="H1710" s="8">
        <v>4</v>
      </c>
      <c r="I1710" s="8">
        <f t="shared" si="115"/>
        <v>4000</v>
      </c>
      <c r="J1710" s="540">
        <v>3</v>
      </c>
      <c r="K1710" s="521">
        <f t="shared" si="113"/>
        <v>1</v>
      </c>
      <c r="L1710" s="522">
        <f t="shared" si="112"/>
        <v>1000</v>
      </c>
      <c r="M1710" s="523">
        <f t="shared" si="114"/>
        <v>0.25</v>
      </c>
      <c r="N1710" s="30" t="s">
        <v>22</v>
      </c>
      <c r="O1710" s="2" t="s">
        <v>21</v>
      </c>
    </row>
    <row r="1711" spans="1:15">
      <c r="A1711" s="71">
        <v>2024</v>
      </c>
      <c r="B1711" s="16" t="s">
        <v>895</v>
      </c>
      <c r="C1711" s="71" t="s">
        <v>2474</v>
      </c>
      <c r="D1711" s="2" t="s">
        <v>1948</v>
      </c>
      <c r="E1711" s="2" t="s">
        <v>25</v>
      </c>
      <c r="F1711" s="96">
        <v>160</v>
      </c>
      <c r="G1711" s="1" t="s">
        <v>19</v>
      </c>
      <c r="H1711" s="8">
        <v>38</v>
      </c>
      <c r="I1711" s="8">
        <f t="shared" si="115"/>
        <v>6080</v>
      </c>
      <c r="J1711" s="540">
        <v>34</v>
      </c>
      <c r="K1711" s="521">
        <f t="shared" si="113"/>
        <v>4</v>
      </c>
      <c r="L1711" s="522">
        <f t="shared" si="112"/>
        <v>640</v>
      </c>
      <c r="M1711" s="523">
        <f t="shared" si="114"/>
        <v>0.10526315789473684</v>
      </c>
      <c r="N1711" s="30" t="s">
        <v>22</v>
      </c>
      <c r="O1711" s="2" t="s">
        <v>21</v>
      </c>
    </row>
    <row r="1712" spans="1:15">
      <c r="A1712" s="71">
        <v>2024</v>
      </c>
      <c r="B1712" s="16" t="s">
        <v>895</v>
      </c>
      <c r="C1712" s="71" t="s">
        <v>2474</v>
      </c>
      <c r="D1712" s="2" t="s">
        <v>1948</v>
      </c>
      <c r="E1712" s="2" t="s">
        <v>1261</v>
      </c>
      <c r="F1712" s="96">
        <v>240</v>
      </c>
      <c r="G1712" s="1" t="s">
        <v>19</v>
      </c>
      <c r="H1712" s="8">
        <v>64</v>
      </c>
      <c r="I1712" s="8">
        <f t="shared" si="115"/>
        <v>15360</v>
      </c>
      <c r="J1712" s="540">
        <v>56</v>
      </c>
      <c r="K1712" s="521">
        <f t="shared" si="113"/>
        <v>8</v>
      </c>
      <c r="L1712" s="522">
        <f t="shared" si="112"/>
        <v>1920</v>
      </c>
      <c r="M1712" s="523">
        <f t="shared" si="114"/>
        <v>0.125</v>
      </c>
      <c r="N1712" s="30" t="s">
        <v>22</v>
      </c>
      <c r="O1712" s="2" t="s">
        <v>21</v>
      </c>
    </row>
    <row r="1713" spans="1:15">
      <c r="A1713" s="71">
        <v>2024</v>
      </c>
      <c r="B1713" s="16" t="s">
        <v>895</v>
      </c>
      <c r="C1713" s="71" t="s">
        <v>2475</v>
      </c>
      <c r="D1713" s="2" t="s">
        <v>1948</v>
      </c>
      <c r="E1713" s="2" t="s">
        <v>2476</v>
      </c>
      <c r="F1713" s="96">
        <v>1</v>
      </c>
      <c r="G1713" s="1" t="s">
        <v>19</v>
      </c>
      <c r="H1713" s="8">
        <v>12900</v>
      </c>
      <c r="I1713" s="8">
        <f t="shared" si="115"/>
        <v>12900</v>
      </c>
      <c r="J1713" s="540">
        <v>6330</v>
      </c>
      <c r="K1713" s="521">
        <f t="shared" si="113"/>
        <v>6570</v>
      </c>
      <c r="L1713" s="522">
        <f t="shared" si="112"/>
        <v>6570</v>
      </c>
      <c r="M1713" s="523">
        <f t="shared" si="114"/>
        <v>0.50930232558139532</v>
      </c>
      <c r="N1713" s="30" t="s">
        <v>22</v>
      </c>
      <c r="O1713" s="2" t="s">
        <v>21</v>
      </c>
    </row>
    <row r="1714" spans="1:15">
      <c r="A1714" s="71">
        <v>2024</v>
      </c>
      <c r="B1714" s="16" t="s">
        <v>895</v>
      </c>
      <c r="C1714" s="71" t="s">
        <v>2477</v>
      </c>
      <c r="D1714" s="2" t="s">
        <v>1948</v>
      </c>
      <c r="E1714" s="2" t="s">
        <v>2478</v>
      </c>
      <c r="F1714" s="96">
        <v>5</v>
      </c>
      <c r="G1714" s="1" t="s">
        <v>19</v>
      </c>
      <c r="H1714" s="8">
        <v>1350</v>
      </c>
      <c r="I1714" s="8">
        <f t="shared" si="115"/>
        <v>6750</v>
      </c>
      <c r="J1714" s="540">
        <v>1300</v>
      </c>
      <c r="K1714" s="521">
        <f t="shared" si="113"/>
        <v>50</v>
      </c>
      <c r="L1714" s="522">
        <f t="shared" si="112"/>
        <v>250</v>
      </c>
      <c r="M1714" s="523">
        <f t="shared" si="114"/>
        <v>3.7037037037037035E-2</v>
      </c>
      <c r="N1714" s="30" t="s">
        <v>22</v>
      </c>
      <c r="O1714" s="2" t="s">
        <v>21</v>
      </c>
    </row>
    <row r="1715" spans="1:15">
      <c r="A1715" s="71">
        <v>2024</v>
      </c>
      <c r="B1715" s="16" t="s">
        <v>895</v>
      </c>
      <c r="C1715" s="71" t="s">
        <v>2477</v>
      </c>
      <c r="D1715" s="2" t="s">
        <v>1948</v>
      </c>
      <c r="E1715" s="2" t="s">
        <v>2479</v>
      </c>
      <c r="F1715" s="96">
        <v>5</v>
      </c>
      <c r="G1715" s="1" t="s">
        <v>19</v>
      </c>
      <c r="H1715" s="8">
        <v>3850</v>
      </c>
      <c r="I1715" s="8">
        <f t="shared" si="115"/>
        <v>19250</v>
      </c>
      <c r="J1715" s="539">
        <v>3180</v>
      </c>
      <c r="K1715" s="521">
        <f t="shared" si="113"/>
        <v>670</v>
      </c>
      <c r="L1715" s="522">
        <f t="shared" si="112"/>
        <v>3350</v>
      </c>
      <c r="M1715" s="523">
        <f t="shared" si="114"/>
        <v>0.17402597402597403</v>
      </c>
      <c r="N1715" s="30" t="s">
        <v>22</v>
      </c>
      <c r="O1715" s="2" t="s">
        <v>21</v>
      </c>
    </row>
    <row r="1716" spans="1:15">
      <c r="A1716" s="71">
        <v>2024</v>
      </c>
      <c r="B1716" s="16" t="s">
        <v>895</v>
      </c>
      <c r="C1716" s="71" t="s">
        <v>2480</v>
      </c>
      <c r="D1716" s="2" t="s">
        <v>323</v>
      </c>
      <c r="E1716" s="2" t="s">
        <v>2481</v>
      </c>
      <c r="F1716" s="96">
        <v>8</v>
      </c>
      <c r="G1716" s="1" t="s">
        <v>2482</v>
      </c>
      <c r="H1716" s="8">
        <v>585</v>
      </c>
      <c r="I1716" s="8">
        <f t="shared" si="115"/>
        <v>4680</v>
      </c>
      <c r="J1716" s="539">
        <v>535</v>
      </c>
      <c r="K1716" s="521">
        <f t="shared" si="113"/>
        <v>50</v>
      </c>
      <c r="L1716" s="522">
        <f t="shared" si="112"/>
        <v>400</v>
      </c>
      <c r="M1716" s="523">
        <f t="shared" si="114"/>
        <v>8.5470085470085472E-2</v>
      </c>
      <c r="N1716" s="30" t="s">
        <v>22</v>
      </c>
      <c r="O1716" s="2" t="s">
        <v>21</v>
      </c>
    </row>
    <row r="1717" spans="1:15">
      <c r="A1717" s="71">
        <v>2024</v>
      </c>
      <c r="B1717" s="16" t="s">
        <v>895</v>
      </c>
      <c r="C1717" s="71" t="s">
        <v>2483</v>
      </c>
      <c r="D1717" s="2" t="s">
        <v>871</v>
      </c>
      <c r="E1717" s="2" t="s">
        <v>2484</v>
      </c>
      <c r="F1717" s="96">
        <v>4</v>
      </c>
      <c r="G1717" s="1" t="s">
        <v>19</v>
      </c>
      <c r="H1717" s="8">
        <v>1600</v>
      </c>
      <c r="I1717" s="8">
        <f t="shared" si="115"/>
        <v>6400</v>
      </c>
      <c r="J1717" s="539">
        <v>1280</v>
      </c>
      <c r="K1717" s="521">
        <f t="shared" si="113"/>
        <v>320</v>
      </c>
      <c r="L1717" s="522">
        <f t="shared" si="112"/>
        <v>1280</v>
      </c>
      <c r="M1717" s="523">
        <f t="shared" si="114"/>
        <v>0.2</v>
      </c>
      <c r="N1717" s="30" t="s">
        <v>22</v>
      </c>
      <c r="O1717" s="2" t="s">
        <v>21</v>
      </c>
    </row>
    <row r="1718" spans="1:15">
      <c r="A1718" s="71">
        <v>2024</v>
      </c>
      <c r="B1718" s="16" t="s">
        <v>895</v>
      </c>
      <c r="C1718" s="71" t="s">
        <v>2485</v>
      </c>
      <c r="D1718" s="2" t="s">
        <v>1948</v>
      </c>
      <c r="E1718" s="2" t="s">
        <v>1420</v>
      </c>
      <c r="F1718" s="96">
        <v>3000</v>
      </c>
      <c r="G1718" s="1" t="s">
        <v>19</v>
      </c>
      <c r="H1718" s="8">
        <v>1.5</v>
      </c>
      <c r="I1718" s="8">
        <f t="shared" si="115"/>
        <v>4500</v>
      </c>
      <c r="J1718" s="539">
        <v>1.31</v>
      </c>
      <c r="K1718" s="521">
        <f t="shared" si="113"/>
        <v>0.18999999999999995</v>
      </c>
      <c r="L1718" s="522">
        <f t="shared" si="112"/>
        <v>569.99999999999989</v>
      </c>
      <c r="M1718" s="523">
        <f t="shared" si="114"/>
        <v>0.12666666666666662</v>
      </c>
      <c r="N1718" s="30" t="s">
        <v>22</v>
      </c>
      <c r="O1718" s="2" t="s">
        <v>21</v>
      </c>
    </row>
    <row r="1719" spans="1:15">
      <c r="A1719" s="71">
        <v>2024</v>
      </c>
      <c r="B1719" s="16" t="s">
        <v>895</v>
      </c>
      <c r="C1719" s="71" t="s">
        <v>2485</v>
      </c>
      <c r="D1719" s="2" t="s">
        <v>1948</v>
      </c>
      <c r="E1719" s="2" t="s">
        <v>1419</v>
      </c>
      <c r="F1719" s="96">
        <v>1000</v>
      </c>
      <c r="G1719" s="1" t="s">
        <v>19</v>
      </c>
      <c r="H1719" s="8">
        <v>0.5</v>
      </c>
      <c r="I1719" s="8">
        <f t="shared" si="115"/>
        <v>500</v>
      </c>
      <c r="J1719" s="539">
        <v>0.17</v>
      </c>
      <c r="K1719" s="521">
        <f t="shared" si="113"/>
        <v>0.32999999999999996</v>
      </c>
      <c r="L1719" s="522">
        <f t="shared" si="112"/>
        <v>329.99999999999994</v>
      </c>
      <c r="M1719" s="523">
        <f t="shared" si="114"/>
        <v>0.65999999999999992</v>
      </c>
      <c r="N1719" s="30" t="s">
        <v>22</v>
      </c>
      <c r="O1719" s="2" t="s">
        <v>21</v>
      </c>
    </row>
    <row r="1720" spans="1:15">
      <c r="A1720" s="71">
        <v>2024</v>
      </c>
      <c r="B1720" s="16" t="s">
        <v>895</v>
      </c>
      <c r="C1720" s="71" t="s">
        <v>2485</v>
      </c>
      <c r="D1720" s="2" t="s">
        <v>1948</v>
      </c>
      <c r="E1720" s="2" t="s">
        <v>1421</v>
      </c>
      <c r="F1720" s="96">
        <v>1000</v>
      </c>
      <c r="G1720" s="1" t="s">
        <v>19</v>
      </c>
      <c r="H1720" s="8">
        <v>0.75</v>
      </c>
      <c r="I1720" s="8">
        <f t="shared" si="115"/>
        <v>750</v>
      </c>
      <c r="J1720" s="539">
        <v>0.47</v>
      </c>
      <c r="K1720" s="521">
        <f t="shared" si="113"/>
        <v>0.28000000000000003</v>
      </c>
      <c r="L1720" s="522">
        <f t="shared" si="112"/>
        <v>280</v>
      </c>
      <c r="M1720" s="523">
        <f t="shared" si="114"/>
        <v>0.37333333333333335</v>
      </c>
      <c r="N1720" s="30" t="s">
        <v>22</v>
      </c>
      <c r="O1720" s="2" t="s">
        <v>21</v>
      </c>
    </row>
    <row r="1721" spans="1:15">
      <c r="A1721" s="71">
        <v>2024</v>
      </c>
      <c r="B1721" s="16" t="s">
        <v>895</v>
      </c>
      <c r="C1721" s="71" t="s">
        <v>2486</v>
      </c>
      <c r="D1721" s="2" t="s">
        <v>96</v>
      </c>
      <c r="E1721" s="2" t="s">
        <v>419</v>
      </c>
      <c r="F1721" s="96">
        <v>15</v>
      </c>
      <c r="G1721" s="1" t="s">
        <v>19</v>
      </c>
      <c r="H1721" s="8">
        <v>9780</v>
      </c>
      <c r="I1721" s="8">
        <f t="shared" si="115"/>
        <v>146700</v>
      </c>
      <c r="J1721" s="539">
        <v>8400</v>
      </c>
      <c r="K1721" s="521">
        <f t="shared" si="113"/>
        <v>1380</v>
      </c>
      <c r="L1721" s="522">
        <f t="shared" si="112"/>
        <v>20700</v>
      </c>
      <c r="M1721" s="523">
        <f t="shared" si="114"/>
        <v>0.1411042944785276</v>
      </c>
      <c r="N1721" s="30" t="s">
        <v>22</v>
      </c>
      <c r="O1721" s="2" t="s">
        <v>21</v>
      </c>
    </row>
    <row r="1722" spans="1:15">
      <c r="A1722" s="71">
        <v>2024</v>
      </c>
      <c r="B1722" s="16" t="s">
        <v>895</v>
      </c>
      <c r="C1722" s="71" t="s">
        <v>2487</v>
      </c>
      <c r="D1722" s="2" t="s">
        <v>1948</v>
      </c>
      <c r="E1722" s="2" t="s">
        <v>2366</v>
      </c>
      <c r="F1722" s="96">
        <v>12</v>
      </c>
      <c r="G1722" s="1" t="s">
        <v>19</v>
      </c>
      <c r="H1722" s="8">
        <v>655</v>
      </c>
      <c r="I1722" s="8">
        <f t="shared" si="115"/>
        <v>7860</v>
      </c>
      <c r="J1722" s="539">
        <v>644</v>
      </c>
      <c r="K1722" s="521">
        <f t="shared" si="113"/>
        <v>11</v>
      </c>
      <c r="L1722" s="522">
        <f t="shared" si="112"/>
        <v>132</v>
      </c>
      <c r="M1722" s="523">
        <f t="shared" si="114"/>
        <v>1.6793893129770993E-2</v>
      </c>
      <c r="N1722" s="30" t="s">
        <v>22</v>
      </c>
      <c r="O1722" s="2" t="s">
        <v>21</v>
      </c>
    </row>
    <row r="1723" spans="1:15">
      <c r="A1723" s="71">
        <v>2024</v>
      </c>
      <c r="B1723" s="16" t="s">
        <v>895</v>
      </c>
      <c r="C1723" s="71" t="s">
        <v>2488</v>
      </c>
      <c r="D1723" s="2" t="s">
        <v>586</v>
      </c>
      <c r="E1723" s="2" t="s">
        <v>2489</v>
      </c>
      <c r="F1723" s="96">
        <v>1200</v>
      </c>
      <c r="G1723" s="1" t="s">
        <v>536</v>
      </c>
      <c r="H1723" s="8">
        <v>62</v>
      </c>
      <c r="I1723" s="8">
        <f t="shared" si="115"/>
        <v>74400</v>
      </c>
      <c r="J1723" s="539">
        <v>55</v>
      </c>
      <c r="K1723" s="521">
        <f t="shared" si="113"/>
        <v>7</v>
      </c>
      <c r="L1723" s="522">
        <f t="shared" si="112"/>
        <v>8400</v>
      </c>
      <c r="M1723" s="523">
        <f t="shared" si="114"/>
        <v>0.11290322580645161</v>
      </c>
      <c r="N1723" s="30" t="s">
        <v>22</v>
      </c>
      <c r="O1723" s="2" t="s">
        <v>21</v>
      </c>
    </row>
    <row r="1724" spans="1:15">
      <c r="A1724" s="71">
        <v>2024</v>
      </c>
      <c r="B1724" s="16" t="s">
        <v>895</v>
      </c>
      <c r="C1724" s="71" t="s">
        <v>2488</v>
      </c>
      <c r="D1724" s="2" t="s">
        <v>586</v>
      </c>
      <c r="E1724" s="2" t="s">
        <v>1790</v>
      </c>
      <c r="F1724" s="96">
        <v>450</v>
      </c>
      <c r="G1724" s="1" t="s">
        <v>536</v>
      </c>
      <c r="H1724" s="8">
        <v>72</v>
      </c>
      <c r="I1724" s="8">
        <f t="shared" si="115"/>
        <v>32400</v>
      </c>
      <c r="J1724" s="539">
        <v>69</v>
      </c>
      <c r="K1724" s="521">
        <f t="shared" si="113"/>
        <v>3</v>
      </c>
      <c r="L1724" s="522">
        <f t="shared" si="112"/>
        <v>1350</v>
      </c>
      <c r="M1724" s="523">
        <f t="shared" si="114"/>
        <v>4.1666666666666664E-2</v>
      </c>
      <c r="N1724" s="30" t="s">
        <v>22</v>
      </c>
      <c r="O1724" s="2" t="s">
        <v>21</v>
      </c>
    </row>
    <row r="1725" spans="1:15">
      <c r="A1725" s="71">
        <v>2024</v>
      </c>
      <c r="B1725" s="16" t="s">
        <v>895</v>
      </c>
      <c r="C1725" s="71" t="s">
        <v>2490</v>
      </c>
      <c r="D1725" s="2" t="s">
        <v>68</v>
      </c>
      <c r="E1725" s="2" t="s">
        <v>962</v>
      </c>
      <c r="F1725" s="96">
        <v>1135.8</v>
      </c>
      <c r="G1725" s="1" t="s">
        <v>37</v>
      </c>
      <c r="H1725" s="8">
        <v>409</v>
      </c>
      <c r="I1725" s="8">
        <f t="shared" si="115"/>
        <v>464542.19999999995</v>
      </c>
      <c r="J1725" s="539">
        <v>380</v>
      </c>
      <c r="K1725" s="521">
        <f t="shared" si="113"/>
        <v>29</v>
      </c>
      <c r="L1725" s="522">
        <f t="shared" si="112"/>
        <v>32938.199999999997</v>
      </c>
      <c r="M1725" s="523">
        <f t="shared" si="114"/>
        <v>7.090464547677261E-2</v>
      </c>
      <c r="N1725" s="30" t="s">
        <v>22</v>
      </c>
      <c r="O1725" s="2" t="s">
        <v>105</v>
      </c>
    </row>
    <row r="1726" spans="1:15">
      <c r="A1726" s="71">
        <v>2024</v>
      </c>
      <c r="B1726" s="16" t="s">
        <v>895</v>
      </c>
      <c r="C1726" s="71" t="s">
        <v>2491</v>
      </c>
      <c r="D1726" s="2" t="s">
        <v>1176</v>
      </c>
      <c r="E1726" s="2" t="s">
        <v>2492</v>
      </c>
      <c r="F1726" s="96">
        <v>15</v>
      </c>
      <c r="G1726" s="1" t="s">
        <v>2493</v>
      </c>
      <c r="H1726" s="8">
        <v>11500</v>
      </c>
      <c r="I1726" s="8">
        <f t="shared" si="115"/>
        <v>172500</v>
      </c>
      <c r="J1726" s="539">
        <v>11000</v>
      </c>
      <c r="K1726" s="521">
        <f t="shared" si="113"/>
        <v>500</v>
      </c>
      <c r="L1726" s="522">
        <f t="shared" si="112"/>
        <v>7500</v>
      </c>
      <c r="M1726" s="523">
        <f t="shared" si="114"/>
        <v>4.3478260869565216E-2</v>
      </c>
      <c r="N1726" s="30" t="s">
        <v>22</v>
      </c>
      <c r="O1726" s="2" t="s">
        <v>21</v>
      </c>
    </row>
    <row r="1727" spans="1:15">
      <c r="A1727" s="71">
        <v>2024</v>
      </c>
      <c r="B1727" s="16" t="s">
        <v>895</v>
      </c>
      <c r="C1727" s="71" t="s">
        <v>2494</v>
      </c>
      <c r="D1727" s="2" t="s">
        <v>1670</v>
      </c>
      <c r="E1727" s="2" t="s">
        <v>2277</v>
      </c>
      <c r="F1727" s="96">
        <v>4</v>
      </c>
      <c r="G1727" s="1" t="s">
        <v>19</v>
      </c>
      <c r="H1727" s="8">
        <v>5000</v>
      </c>
      <c r="I1727" s="8">
        <f t="shared" si="115"/>
        <v>20000</v>
      </c>
      <c r="J1727" s="539">
        <v>1725</v>
      </c>
      <c r="K1727" s="521">
        <f t="shared" si="113"/>
        <v>3275</v>
      </c>
      <c r="L1727" s="522">
        <f t="shared" ref="L1727:L1790" si="116">K1727*F1727</f>
        <v>13100</v>
      </c>
      <c r="M1727" s="523">
        <f t="shared" si="114"/>
        <v>0.65500000000000003</v>
      </c>
      <c r="N1727" s="30" t="s">
        <v>22</v>
      </c>
      <c r="O1727" s="2" t="s">
        <v>21</v>
      </c>
    </row>
    <row r="1728" spans="1:15">
      <c r="A1728" s="71">
        <v>2024</v>
      </c>
      <c r="B1728" s="16" t="s">
        <v>895</v>
      </c>
      <c r="C1728" s="71" t="s">
        <v>2494</v>
      </c>
      <c r="D1728" s="2" t="s">
        <v>1670</v>
      </c>
      <c r="E1728" s="2" t="s">
        <v>2276</v>
      </c>
      <c r="F1728" s="96">
        <v>4</v>
      </c>
      <c r="G1728" s="1" t="s">
        <v>19</v>
      </c>
      <c r="H1728" s="8">
        <v>6000</v>
      </c>
      <c r="I1728" s="8">
        <f t="shared" si="115"/>
        <v>24000</v>
      </c>
      <c r="J1728" s="539">
        <v>1925</v>
      </c>
      <c r="K1728" s="521">
        <f t="shared" si="113"/>
        <v>4075</v>
      </c>
      <c r="L1728" s="522">
        <f t="shared" si="116"/>
        <v>16300</v>
      </c>
      <c r="M1728" s="523">
        <f t="shared" si="114"/>
        <v>0.6791666666666667</v>
      </c>
      <c r="N1728" s="30" t="s">
        <v>22</v>
      </c>
      <c r="O1728" s="2" t="s">
        <v>21</v>
      </c>
    </row>
    <row r="1729" spans="1:15">
      <c r="A1729" s="71">
        <v>2024</v>
      </c>
      <c r="B1729" s="16" t="s">
        <v>895</v>
      </c>
      <c r="C1729" s="71" t="s">
        <v>2495</v>
      </c>
      <c r="D1729" s="2" t="s">
        <v>1560</v>
      </c>
      <c r="E1729" s="2" t="s">
        <v>2496</v>
      </c>
      <c r="F1729" s="96">
        <v>1</v>
      </c>
      <c r="G1729" s="1" t="s">
        <v>19</v>
      </c>
      <c r="H1729" s="8">
        <v>6000</v>
      </c>
      <c r="I1729" s="8">
        <f t="shared" si="115"/>
        <v>6000</v>
      </c>
      <c r="J1729" s="539">
        <v>5000</v>
      </c>
      <c r="K1729" s="521">
        <f t="shared" si="113"/>
        <v>1000</v>
      </c>
      <c r="L1729" s="522">
        <f t="shared" si="116"/>
        <v>1000</v>
      </c>
      <c r="M1729" s="523">
        <f t="shared" si="114"/>
        <v>0.16666666666666666</v>
      </c>
      <c r="N1729" s="30" t="s">
        <v>22</v>
      </c>
      <c r="O1729" s="2" t="s">
        <v>21</v>
      </c>
    </row>
    <row r="1730" spans="1:15">
      <c r="A1730" s="71">
        <v>2024</v>
      </c>
      <c r="B1730" s="16" t="s">
        <v>895</v>
      </c>
      <c r="C1730" s="71" t="s">
        <v>2497</v>
      </c>
      <c r="D1730" s="2" t="s">
        <v>323</v>
      </c>
      <c r="E1730" s="2" t="s">
        <v>2481</v>
      </c>
      <c r="F1730" s="96">
        <v>24</v>
      </c>
      <c r="G1730" s="1" t="s">
        <v>588</v>
      </c>
      <c r="H1730" s="8">
        <v>858</v>
      </c>
      <c r="I1730" s="8">
        <f t="shared" si="115"/>
        <v>20592</v>
      </c>
      <c r="J1730" s="539">
        <v>535</v>
      </c>
      <c r="K1730" s="521">
        <f t="shared" si="113"/>
        <v>323</v>
      </c>
      <c r="L1730" s="522">
        <f t="shared" si="116"/>
        <v>7752</v>
      </c>
      <c r="M1730" s="523">
        <f t="shared" si="114"/>
        <v>0.37645687645687648</v>
      </c>
      <c r="N1730" s="30" t="s">
        <v>22</v>
      </c>
      <c r="O1730" s="2" t="s">
        <v>21</v>
      </c>
    </row>
    <row r="1731" spans="1:15">
      <c r="A1731" s="71">
        <v>2024</v>
      </c>
      <c r="B1731" s="16" t="s">
        <v>895</v>
      </c>
      <c r="C1731" s="427" t="s">
        <v>2497</v>
      </c>
      <c r="D1731" s="2" t="s">
        <v>323</v>
      </c>
      <c r="E1731" s="2" t="s">
        <v>2498</v>
      </c>
      <c r="F1731" s="96">
        <v>8</v>
      </c>
      <c r="G1731" s="1" t="s">
        <v>588</v>
      </c>
      <c r="H1731" s="8">
        <v>590</v>
      </c>
      <c r="I1731" s="8">
        <f t="shared" si="115"/>
        <v>4720</v>
      </c>
      <c r="J1731" s="539">
        <v>560</v>
      </c>
      <c r="K1731" s="521">
        <f t="shared" ref="K1731:K1794" si="117">H1731-J1731</f>
        <v>30</v>
      </c>
      <c r="L1731" s="522">
        <f t="shared" si="116"/>
        <v>240</v>
      </c>
      <c r="M1731" s="523">
        <f t="shared" ref="M1731:M1794" si="118">K1731/H1731</f>
        <v>5.0847457627118647E-2</v>
      </c>
      <c r="N1731" s="30" t="s">
        <v>22</v>
      </c>
      <c r="O1731" s="2" t="s">
        <v>21</v>
      </c>
    </row>
    <row r="1732" spans="1:15">
      <c r="A1732" s="71">
        <v>2024</v>
      </c>
      <c r="B1732" s="16" t="s">
        <v>895</v>
      </c>
      <c r="C1732" s="427" t="s">
        <v>2499</v>
      </c>
      <c r="D1732" s="2" t="s">
        <v>522</v>
      </c>
      <c r="E1732" s="2" t="s">
        <v>2500</v>
      </c>
      <c r="F1732" s="96">
        <v>1</v>
      </c>
      <c r="G1732" s="1" t="s">
        <v>59</v>
      </c>
      <c r="H1732" s="8">
        <v>630000</v>
      </c>
      <c r="I1732" s="8">
        <f t="shared" si="115"/>
        <v>630000</v>
      </c>
      <c r="J1732" s="539">
        <v>627768.75</v>
      </c>
      <c r="K1732" s="521">
        <f t="shared" si="117"/>
        <v>2231.25</v>
      </c>
      <c r="L1732" s="522">
        <f t="shared" si="116"/>
        <v>2231.25</v>
      </c>
      <c r="M1732" s="523">
        <f t="shared" si="118"/>
        <v>3.5416666666666665E-3</v>
      </c>
      <c r="N1732" s="30" t="s">
        <v>30</v>
      </c>
      <c r="O1732" s="2" t="s">
        <v>21</v>
      </c>
    </row>
    <row r="1733" spans="1:15">
      <c r="A1733" s="71">
        <v>2024</v>
      </c>
      <c r="B1733" s="16" t="s">
        <v>895</v>
      </c>
      <c r="C1733" s="427" t="s">
        <v>2501</v>
      </c>
      <c r="D1733" s="2" t="s">
        <v>2167</v>
      </c>
      <c r="E1733" s="2" t="s">
        <v>2502</v>
      </c>
      <c r="F1733" s="96">
        <v>9000</v>
      </c>
      <c r="G1733" s="1" t="s">
        <v>337</v>
      </c>
      <c r="H1733" s="8">
        <v>174.35</v>
      </c>
      <c r="I1733" s="8">
        <f t="shared" si="115"/>
        <v>1569150</v>
      </c>
      <c r="J1733" s="539">
        <v>156.57</v>
      </c>
      <c r="K1733" s="521">
        <f t="shared" si="117"/>
        <v>17.78</v>
      </c>
      <c r="L1733" s="522">
        <f t="shared" si="116"/>
        <v>160020</v>
      </c>
      <c r="M1733" s="523">
        <f t="shared" si="118"/>
        <v>0.10197877831947233</v>
      </c>
      <c r="N1733" s="30" t="s">
        <v>38</v>
      </c>
      <c r="O1733" s="2" t="s">
        <v>39</v>
      </c>
    </row>
    <row r="1734" spans="1:15">
      <c r="A1734" s="71">
        <v>2024</v>
      </c>
      <c r="B1734" s="16" t="s">
        <v>998</v>
      </c>
      <c r="C1734" s="427" t="s">
        <v>2503</v>
      </c>
      <c r="D1734" s="2" t="s">
        <v>200</v>
      </c>
      <c r="E1734" s="2" t="s">
        <v>2125</v>
      </c>
      <c r="F1734" s="96">
        <v>1</v>
      </c>
      <c r="G1734" s="1" t="s">
        <v>1979</v>
      </c>
      <c r="H1734" s="8">
        <v>9650</v>
      </c>
      <c r="I1734" s="8">
        <f t="shared" si="115"/>
        <v>9650</v>
      </c>
      <c r="J1734" s="539">
        <v>9600</v>
      </c>
      <c r="K1734" s="521">
        <f t="shared" si="117"/>
        <v>50</v>
      </c>
      <c r="L1734" s="522">
        <f t="shared" si="116"/>
        <v>50</v>
      </c>
      <c r="M1734" s="523">
        <f t="shared" si="118"/>
        <v>5.1813471502590676E-3</v>
      </c>
      <c r="N1734" s="30" t="s">
        <v>22</v>
      </c>
      <c r="O1734" s="2" t="s">
        <v>39</v>
      </c>
    </row>
    <row r="1735" spans="1:15">
      <c r="A1735" s="71">
        <v>2024</v>
      </c>
      <c r="B1735" s="16" t="s">
        <v>998</v>
      </c>
      <c r="C1735" s="427" t="s">
        <v>2503</v>
      </c>
      <c r="D1735" s="2" t="s">
        <v>200</v>
      </c>
      <c r="E1735" s="2" t="s">
        <v>2173</v>
      </c>
      <c r="F1735" s="96">
        <v>1</v>
      </c>
      <c r="G1735" s="1" t="s">
        <v>1979</v>
      </c>
      <c r="H1735" s="8">
        <v>9650</v>
      </c>
      <c r="I1735" s="8">
        <f t="shared" si="115"/>
        <v>9650</v>
      </c>
      <c r="J1735" s="539">
        <v>9600</v>
      </c>
      <c r="K1735" s="521">
        <f t="shared" si="117"/>
        <v>50</v>
      </c>
      <c r="L1735" s="522">
        <f t="shared" si="116"/>
        <v>50</v>
      </c>
      <c r="M1735" s="523">
        <f t="shared" si="118"/>
        <v>5.1813471502590676E-3</v>
      </c>
      <c r="N1735" s="30" t="s">
        <v>22</v>
      </c>
      <c r="O1735" s="2" t="s">
        <v>39</v>
      </c>
    </row>
    <row r="1736" spans="1:15">
      <c r="A1736" s="71">
        <v>2024</v>
      </c>
      <c r="B1736" s="16" t="s">
        <v>998</v>
      </c>
      <c r="C1736" s="427" t="s">
        <v>2503</v>
      </c>
      <c r="D1736" s="2" t="s">
        <v>200</v>
      </c>
      <c r="E1736" s="2" t="s">
        <v>2504</v>
      </c>
      <c r="F1736" s="96">
        <v>1</v>
      </c>
      <c r="G1736" s="1" t="s">
        <v>1979</v>
      </c>
      <c r="H1736" s="8">
        <v>82500</v>
      </c>
      <c r="I1736" s="8">
        <f t="shared" si="115"/>
        <v>82500</v>
      </c>
      <c r="J1736" s="539">
        <v>80000</v>
      </c>
      <c r="K1736" s="521">
        <f t="shared" si="117"/>
        <v>2500</v>
      </c>
      <c r="L1736" s="522">
        <f t="shared" si="116"/>
        <v>2500</v>
      </c>
      <c r="M1736" s="523">
        <f t="shared" si="118"/>
        <v>3.0303030303030304E-2</v>
      </c>
      <c r="N1736" s="30" t="s">
        <v>38</v>
      </c>
      <c r="O1736" s="2" t="s">
        <v>39</v>
      </c>
    </row>
    <row r="1737" spans="1:15">
      <c r="A1737" s="71">
        <v>2024</v>
      </c>
      <c r="B1737" s="16" t="s">
        <v>998</v>
      </c>
      <c r="C1737" s="427" t="s">
        <v>2505</v>
      </c>
      <c r="D1737" s="2" t="s">
        <v>200</v>
      </c>
      <c r="E1737" s="2" t="s">
        <v>2125</v>
      </c>
      <c r="F1737" s="96">
        <v>6</v>
      </c>
      <c r="G1737" s="1" t="s">
        <v>1979</v>
      </c>
      <c r="H1737" s="8">
        <v>9650</v>
      </c>
      <c r="I1737" s="8">
        <f t="shared" si="115"/>
        <v>57900</v>
      </c>
      <c r="J1737" s="539">
        <v>9600</v>
      </c>
      <c r="K1737" s="521">
        <f t="shared" si="117"/>
        <v>50</v>
      </c>
      <c r="L1737" s="522">
        <f t="shared" si="116"/>
        <v>300</v>
      </c>
      <c r="M1737" s="523">
        <f t="shared" si="118"/>
        <v>5.1813471502590676E-3</v>
      </c>
      <c r="N1737" s="30" t="s">
        <v>22</v>
      </c>
      <c r="O1737" s="2" t="s">
        <v>39</v>
      </c>
    </row>
    <row r="1738" spans="1:15">
      <c r="A1738" s="71">
        <v>2024</v>
      </c>
      <c r="B1738" s="16" t="s">
        <v>998</v>
      </c>
      <c r="C1738" s="71" t="s">
        <v>2505</v>
      </c>
      <c r="D1738" s="2" t="s">
        <v>200</v>
      </c>
      <c r="E1738" s="2" t="s">
        <v>2506</v>
      </c>
      <c r="F1738" s="96">
        <v>4</v>
      </c>
      <c r="G1738" s="1" t="s">
        <v>1979</v>
      </c>
      <c r="H1738" s="8">
        <v>35500</v>
      </c>
      <c r="I1738" s="8">
        <f t="shared" si="115"/>
        <v>142000</v>
      </c>
      <c r="J1738" s="539">
        <v>34500</v>
      </c>
      <c r="K1738" s="521">
        <f t="shared" si="117"/>
        <v>1000</v>
      </c>
      <c r="L1738" s="522">
        <f t="shared" si="116"/>
        <v>4000</v>
      </c>
      <c r="M1738" s="523">
        <f t="shared" si="118"/>
        <v>2.8169014084507043E-2</v>
      </c>
      <c r="N1738" s="30" t="s">
        <v>38</v>
      </c>
      <c r="O1738" s="2" t="s">
        <v>39</v>
      </c>
    </row>
    <row r="1739" spans="1:15">
      <c r="A1739" s="71">
        <v>2024</v>
      </c>
      <c r="B1739" s="16" t="s">
        <v>998</v>
      </c>
      <c r="C1739" s="71" t="s">
        <v>2507</v>
      </c>
      <c r="D1739" s="2" t="s">
        <v>1430</v>
      </c>
      <c r="E1739" s="2" t="s">
        <v>859</v>
      </c>
      <c r="F1739" s="96">
        <v>4400</v>
      </c>
      <c r="G1739" s="1" t="s">
        <v>337</v>
      </c>
      <c r="H1739" s="8">
        <v>90</v>
      </c>
      <c r="I1739" s="8">
        <f t="shared" si="115"/>
        <v>396000</v>
      </c>
      <c r="J1739" s="539">
        <v>89.5</v>
      </c>
      <c r="K1739" s="521">
        <f t="shared" si="117"/>
        <v>0.5</v>
      </c>
      <c r="L1739" s="522">
        <f t="shared" si="116"/>
        <v>2200</v>
      </c>
      <c r="M1739" s="523">
        <f t="shared" si="118"/>
        <v>5.5555555555555558E-3</v>
      </c>
      <c r="N1739" s="30" t="s">
        <v>22</v>
      </c>
      <c r="O1739" s="2" t="s">
        <v>39</v>
      </c>
    </row>
    <row r="1740" spans="1:15">
      <c r="A1740" s="71">
        <v>2024</v>
      </c>
      <c r="B1740" s="16" t="s">
        <v>998</v>
      </c>
      <c r="C1740" s="71" t="s">
        <v>2508</v>
      </c>
      <c r="D1740" s="2" t="s">
        <v>1375</v>
      </c>
      <c r="E1740" s="2" t="s">
        <v>502</v>
      </c>
      <c r="F1740" s="96">
        <v>80000</v>
      </c>
      <c r="G1740" s="1" t="s">
        <v>231</v>
      </c>
      <c r="H1740" s="8">
        <v>59</v>
      </c>
      <c r="I1740" s="8">
        <f t="shared" si="115"/>
        <v>4720000</v>
      </c>
      <c r="J1740" s="539">
        <v>58.5</v>
      </c>
      <c r="K1740" s="521">
        <f t="shared" si="117"/>
        <v>0.5</v>
      </c>
      <c r="L1740" s="522">
        <f t="shared" si="116"/>
        <v>40000</v>
      </c>
      <c r="M1740" s="523">
        <f t="shared" si="118"/>
        <v>8.4745762711864406E-3</v>
      </c>
      <c r="N1740" s="30" t="s">
        <v>22</v>
      </c>
      <c r="O1740" s="2" t="s">
        <v>39</v>
      </c>
    </row>
    <row r="1741" spans="1:15">
      <c r="A1741" s="71">
        <v>2024</v>
      </c>
      <c r="B1741" s="16" t="s">
        <v>998</v>
      </c>
      <c r="C1741" s="71" t="s">
        <v>2508</v>
      </c>
      <c r="D1741" s="2" t="s">
        <v>1375</v>
      </c>
      <c r="E1741" s="2" t="s">
        <v>813</v>
      </c>
      <c r="F1741" s="96">
        <v>50000</v>
      </c>
      <c r="G1741" s="1" t="s">
        <v>231</v>
      </c>
      <c r="H1741" s="8">
        <v>58</v>
      </c>
      <c r="I1741" s="8">
        <f t="shared" si="115"/>
        <v>2900000</v>
      </c>
      <c r="J1741" s="539">
        <v>57.5</v>
      </c>
      <c r="K1741" s="521">
        <f t="shared" si="117"/>
        <v>0.5</v>
      </c>
      <c r="L1741" s="522">
        <f t="shared" si="116"/>
        <v>25000</v>
      </c>
      <c r="M1741" s="523">
        <f t="shared" si="118"/>
        <v>8.6206896551724137E-3</v>
      </c>
      <c r="N1741" s="30" t="s">
        <v>22</v>
      </c>
      <c r="O1741" s="2" t="s">
        <v>39</v>
      </c>
    </row>
    <row r="1742" spans="1:15">
      <c r="A1742" s="71">
        <v>2024</v>
      </c>
      <c r="B1742" s="16" t="s">
        <v>998</v>
      </c>
      <c r="C1742" s="71" t="s">
        <v>2509</v>
      </c>
      <c r="D1742" s="2" t="s">
        <v>2167</v>
      </c>
      <c r="E1742" s="2" t="s">
        <v>2502</v>
      </c>
      <c r="F1742" s="96">
        <v>6000</v>
      </c>
      <c r="G1742" s="1" t="s">
        <v>337</v>
      </c>
      <c r="H1742" s="8">
        <v>174.35</v>
      </c>
      <c r="I1742" s="8">
        <f t="shared" si="115"/>
        <v>1046100</v>
      </c>
      <c r="J1742" s="539">
        <v>156.57</v>
      </c>
      <c r="K1742" s="521">
        <f t="shared" si="117"/>
        <v>17.78</v>
      </c>
      <c r="L1742" s="522">
        <f t="shared" si="116"/>
        <v>106680</v>
      </c>
      <c r="M1742" s="523">
        <f t="shared" si="118"/>
        <v>0.10197877831947233</v>
      </c>
      <c r="N1742" s="30" t="s">
        <v>38</v>
      </c>
      <c r="O1742" s="2" t="s">
        <v>39</v>
      </c>
    </row>
    <row r="1743" spans="1:15">
      <c r="A1743" s="71">
        <v>2024</v>
      </c>
      <c r="B1743" s="16" t="s">
        <v>998</v>
      </c>
      <c r="C1743" s="71" t="s">
        <v>2510</v>
      </c>
      <c r="D1743" s="2" t="s">
        <v>35</v>
      </c>
      <c r="E1743" s="2" t="s">
        <v>889</v>
      </c>
      <c r="F1743" s="96">
        <v>2194</v>
      </c>
      <c r="G1743" s="1" t="s">
        <v>37</v>
      </c>
      <c r="H1743" s="8">
        <v>387</v>
      </c>
      <c r="I1743" s="8">
        <f t="shared" si="115"/>
        <v>849078</v>
      </c>
      <c r="J1743" s="539">
        <v>385</v>
      </c>
      <c r="K1743" s="521">
        <f t="shared" si="117"/>
        <v>2</v>
      </c>
      <c r="L1743" s="522">
        <f t="shared" si="116"/>
        <v>4388</v>
      </c>
      <c r="M1743" s="523">
        <f t="shared" si="118"/>
        <v>5.1679586563307496E-3</v>
      </c>
      <c r="N1743" s="30" t="s">
        <v>38</v>
      </c>
      <c r="O1743" s="2" t="s">
        <v>105</v>
      </c>
    </row>
    <row r="1744" spans="1:15">
      <c r="A1744" s="71">
        <v>2024</v>
      </c>
      <c r="B1744" s="16" t="s">
        <v>998</v>
      </c>
      <c r="C1744" s="71" t="s">
        <v>2511</v>
      </c>
      <c r="D1744" s="2" t="s">
        <v>94</v>
      </c>
      <c r="E1744" s="2" t="s">
        <v>1316</v>
      </c>
      <c r="F1744" s="96">
        <v>100</v>
      </c>
      <c r="G1744" s="1" t="s">
        <v>19</v>
      </c>
      <c r="H1744" s="8">
        <v>15.5</v>
      </c>
      <c r="I1744" s="8">
        <f t="shared" si="115"/>
        <v>1550</v>
      </c>
      <c r="J1744" s="539">
        <v>14.76</v>
      </c>
      <c r="K1744" s="521">
        <f t="shared" si="117"/>
        <v>0.74000000000000021</v>
      </c>
      <c r="L1744" s="522">
        <f t="shared" si="116"/>
        <v>74.000000000000028</v>
      </c>
      <c r="M1744" s="523">
        <f t="shared" si="118"/>
        <v>4.7741935483870984E-2</v>
      </c>
      <c r="N1744" s="30" t="s">
        <v>22</v>
      </c>
      <c r="O1744" s="2" t="s">
        <v>105</v>
      </c>
    </row>
    <row r="1745" spans="1:15">
      <c r="A1745" s="71">
        <v>2024</v>
      </c>
      <c r="B1745" s="16" t="s">
        <v>998</v>
      </c>
      <c r="C1745" s="71" t="s">
        <v>2512</v>
      </c>
      <c r="D1745" s="2" t="s">
        <v>1375</v>
      </c>
      <c r="E1745" s="2" t="s">
        <v>1575</v>
      </c>
      <c r="F1745" s="96">
        <v>1000</v>
      </c>
      <c r="G1745" s="1" t="s">
        <v>337</v>
      </c>
      <c r="H1745" s="8">
        <v>314</v>
      </c>
      <c r="I1745" s="8">
        <f t="shared" si="115"/>
        <v>314000</v>
      </c>
      <c r="J1745" s="539">
        <v>312</v>
      </c>
      <c r="K1745" s="521">
        <f t="shared" si="117"/>
        <v>2</v>
      </c>
      <c r="L1745" s="522">
        <f t="shared" si="116"/>
        <v>2000</v>
      </c>
      <c r="M1745" s="523">
        <f t="shared" si="118"/>
        <v>6.369426751592357E-3</v>
      </c>
      <c r="N1745" s="30" t="s">
        <v>38</v>
      </c>
      <c r="O1745" s="2" t="s">
        <v>105</v>
      </c>
    </row>
    <row r="1746" spans="1:15">
      <c r="A1746" s="71">
        <v>2024</v>
      </c>
      <c r="B1746" s="16" t="s">
        <v>998</v>
      </c>
      <c r="C1746" s="71" t="s">
        <v>2513</v>
      </c>
      <c r="D1746" s="2" t="s">
        <v>2342</v>
      </c>
      <c r="E1746" s="2" t="s">
        <v>2514</v>
      </c>
      <c r="F1746" s="96">
        <v>1</v>
      </c>
      <c r="G1746" s="1" t="s">
        <v>285</v>
      </c>
      <c r="H1746" s="8">
        <v>3500</v>
      </c>
      <c r="I1746" s="8">
        <f t="shared" si="115"/>
        <v>3500</v>
      </c>
      <c r="J1746" s="539">
        <v>0</v>
      </c>
      <c r="K1746" s="521">
        <f t="shared" si="117"/>
        <v>3500</v>
      </c>
      <c r="L1746" s="522">
        <f t="shared" si="116"/>
        <v>3500</v>
      </c>
      <c r="M1746" s="523">
        <f t="shared" si="118"/>
        <v>1</v>
      </c>
      <c r="N1746" s="30" t="s">
        <v>38</v>
      </c>
      <c r="O1746" s="2" t="s">
        <v>105</v>
      </c>
    </row>
    <row r="1747" spans="1:15">
      <c r="A1747" s="71">
        <v>2024</v>
      </c>
      <c r="B1747" s="16" t="s">
        <v>998</v>
      </c>
      <c r="C1747" s="71" t="s">
        <v>2515</v>
      </c>
      <c r="D1747" s="2" t="s">
        <v>192</v>
      </c>
      <c r="E1747" s="2" t="s">
        <v>503</v>
      </c>
      <c r="F1747" s="96">
        <v>25000</v>
      </c>
      <c r="G1747" s="1" t="s">
        <v>231</v>
      </c>
      <c r="H1747" s="8">
        <v>89.5</v>
      </c>
      <c r="I1747" s="8">
        <f t="shared" si="115"/>
        <v>2237500</v>
      </c>
      <c r="J1747" s="539">
        <v>86.5</v>
      </c>
      <c r="K1747" s="521">
        <f t="shared" si="117"/>
        <v>3</v>
      </c>
      <c r="L1747" s="522">
        <f t="shared" si="116"/>
        <v>75000</v>
      </c>
      <c r="M1747" s="523">
        <f t="shared" si="118"/>
        <v>3.3519553072625698E-2</v>
      </c>
      <c r="N1747" s="30" t="s">
        <v>22</v>
      </c>
      <c r="O1747" s="2" t="s">
        <v>39</v>
      </c>
    </row>
    <row r="1748" spans="1:15">
      <c r="A1748" s="71">
        <v>2024</v>
      </c>
      <c r="B1748" s="16" t="s">
        <v>998</v>
      </c>
      <c r="C1748" s="71" t="s">
        <v>2516</v>
      </c>
      <c r="D1748" s="2" t="s">
        <v>192</v>
      </c>
      <c r="E1748" s="2" t="s">
        <v>227</v>
      </c>
      <c r="F1748" s="96">
        <v>16</v>
      </c>
      <c r="G1748" s="1" t="s">
        <v>469</v>
      </c>
      <c r="H1748" s="8">
        <v>3365</v>
      </c>
      <c r="I1748" s="8">
        <f t="shared" si="115"/>
        <v>53840</v>
      </c>
      <c r="J1748" s="539">
        <v>3295</v>
      </c>
      <c r="K1748" s="521">
        <f t="shared" si="117"/>
        <v>70</v>
      </c>
      <c r="L1748" s="522">
        <f t="shared" si="116"/>
        <v>1120</v>
      </c>
      <c r="M1748" s="523">
        <f t="shared" si="118"/>
        <v>2.0802377414561663E-2</v>
      </c>
      <c r="N1748" s="30" t="s">
        <v>38</v>
      </c>
      <c r="O1748" s="2" t="s">
        <v>39</v>
      </c>
    </row>
    <row r="1749" spans="1:15">
      <c r="A1749" s="71">
        <v>2024</v>
      </c>
      <c r="B1749" s="16" t="s">
        <v>998</v>
      </c>
      <c r="C1749" s="71" t="s">
        <v>2516</v>
      </c>
      <c r="D1749" s="2" t="s">
        <v>192</v>
      </c>
      <c r="E1749" s="2" t="s">
        <v>227</v>
      </c>
      <c r="F1749" s="96">
        <v>96</v>
      </c>
      <c r="G1749" s="1" t="s">
        <v>469</v>
      </c>
      <c r="H1749" s="8">
        <v>3365</v>
      </c>
      <c r="I1749" s="8">
        <f t="shared" si="115"/>
        <v>323040</v>
      </c>
      <c r="J1749" s="539">
        <v>3295</v>
      </c>
      <c r="K1749" s="521">
        <f t="shared" si="117"/>
        <v>70</v>
      </c>
      <c r="L1749" s="522">
        <f t="shared" si="116"/>
        <v>6720</v>
      </c>
      <c r="M1749" s="523">
        <f t="shared" si="118"/>
        <v>2.0802377414561663E-2</v>
      </c>
      <c r="N1749" s="30" t="s">
        <v>38</v>
      </c>
      <c r="O1749" s="2" t="s">
        <v>39</v>
      </c>
    </row>
    <row r="1750" spans="1:15">
      <c r="A1750" s="71">
        <v>2024</v>
      </c>
      <c r="B1750" s="16" t="s">
        <v>998</v>
      </c>
      <c r="C1750" s="71" t="s">
        <v>2516</v>
      </c>
      <c r="D1750" s="2" t="s">
        <v>192</v>
      </c>
      <c r="E1750" s="2" t="s">
        <v>2324</v>
      </c>
      <c r="F1750" s="96">
        <v>168</v>
      </c>
      <c r="G1750" s="1" t="s">
        <v>469</v>
      </c>
      <c r="H1750" s="8">
        <v>7760</v>
      </c>
      <c r="I1750" s="8">
        <f t="shared" si="115"/>
        <v>1303680</v>
      </c>
      <c r="J1750" s="539">
        <v>7605</v>
      </c>
      <c r="K1750" s="521">
        <f t="shared" si="117"/>
        <v>155</v>
      </c>
      <c r="L1750" s="522">
        <f t="shared" si="116"/>
        <v>26040</v>
      </c>
      <c r="M1750" s="523">
        <f t="shared" si="118"/>
        <v>1.997422680412371E-2</v>
      </c>
      <c r="N1750" s="30" t="s">
        <v>38</v>
      </c>
      <c r="O1750" s="2" t="s">
        <v>39</v>
      </c>
    </row>
    <row r="1751" spans="1:15">
      <c r="A1751" s="71">
        <v>2024</v>
      </c>
      <c r="B1751" s="16" t="s">
        <v>998</v>
      </c>
      <c r="C1751" s="71" t="s">
        <v>2517</v>
      </c>
      <c r="D1751" s="2" t="s">
        <v>590</v>
      </c>
      <c r="E1751" s="2" t="s">
        <v>2111</v>
      </c>
      <c r="F1751" s="96">
        <v>1</v>
      </c>
      <c r="G1751" s="1" t="s">
        <v>63</v>
      </c>
      <c r="H1751" s="8">
        <v>10000</v>
      </c>
      <c r="I1751" s="8">
        <f t="shared" si="115"/>
        <v>10000</v>
      </c>
      <c r="J1751" s="539">
        <v>9600</v>
      </c>
      <c r="K1751" s="521">
        <f t="shared" si="117"/>
        <v>400</v>
      </c>
      <c r="L1751" s="522">
        <f t="shared" si="116"/>
        <v>400</v>
      </c>
      <c r="M1751" s="523">
        <f t="shared" si="118"/>
        <v>0.04</v>
      </c>
      <c r="N1751" s="30" t="s">
        <v>22</v>
      </c>
      <c r="O1751" s="32" t="s">
        <v>39</v>
      </c>
    </row>
    <row r="1752" spans="1:15">
      <c r="A1752" s="71">
        <v>2024</v>
      </c>
      <c r="B1752" s="16" t="s">
        <v>998</v>
      </c>
      <c r="C1752" s="71" t="s">
        <v>2518</v>
      </c>
      <c r="D1752" s="2" t="s">
        <v>200</v>
      </c>
      <c r="E1752" s="2" t="s">
        <v>2125</v>
      </c>
      <c r="F1752" s="96">
        <v>6</v>
      </c>
      <c r="G1752" s="1" t="s">
        <v>63</v>
      </c>
      <c r="H1752" s="8">
        <v>9650</v>
      </c>
      <c r="I1752" s="8">
        <f t="shared" si="115"/>
        <v>57900</v>
      </c>
      <c r="J1752" s="539">
        <v>9600</v>
      </c>
      <c r="K1752" s="521">
        <f t="shared" si="117"/>
        <v>50</v>
      </c>
      <c r="L1752" s="522">
        <f t="shared" si="116"/>
        <v>300</v>
      </c>
      <c r="M1752" s="523">
        <f t="shared" si="118"/>
        <v>5.1813471502590676E-3</v>
      </c>
      <c r="N1752" s="30" t="s">
        <v>22</v>
      </c>
      <c r="O1752" s="32" t="s">
        <v>39</v>
      </c>
    </row>
    <row r="1753" spans="1:15">
      <c r="A1753" s="71">
        <v>2024</v>
      </c>
      <c r="B1753" s="16" t="s">
        <v>998</v>
      </c>
      <c r="C1753" s="71" t="s">
        <v>2519</v>
      </c>
      <c r="D1753" s="2" t="s">
        <v>200</v>
      </c>
      <c r="E1753" s="2" t="s">
        <v>2125</v>
      </c>
      <c r="F1753" s="96">
        <v>4</v>
      </c>
      <c r="G1753" s="1" t="s">
        <v>63</v>
      </c>
      <c r="H1753" s="8">
        <v>9650</v>
      </c>
      <c r="I1753" s="8">
        <f t="shared" si="115"/>
        <v>38600</v>
      </c>
      <c r="J1753" s="539">
        <v>9600</v>
      </c>
      <c r="K1753" s="521">
        <f t="shared" si="117"/>
        <v>50</v>
      </c>
      <c r="L1753" s="522">
        <f t="shared" si="116"/>
        <v>200</v>
      </c>
      <c r="M1753" s="523">
        <f t="shared" si="118"/>
        <v>5.1813471502590676E-3</v>
      </c>
      <c r="N1753" s="30" t="s">
        <v>22</v>
      </c>
      <c r="O1753" s="32" t="s">
        <v>39</v>
      </c>
    </row>
    <row r="1754" spans="1:15">
      <c r="A1754" s="71">
        <v>2024</v>
      </c>
      <c r="B1754" s="16" t="s">
        <v>998</v>
      </c>
      <c r="C1754" s="71" t="s">
        <v>2520</v>
      </c>
      <c r="D1754" s="2" t="s">
        <v>192</v>
      </c>
      <c r="E1754" s="2" t="s">
        <v>976</v>
      </c>
      <c r="F1754" s="96">
        <v>6300</v>
      </c>
      <c r="G1754" s="1" t="s">
        <v>337</v>
      </c>
      <c r="H1754" s="8">
        <v>56.5</v>
      </c>
      <c r="I1754" s="8">
        <f t="shared" si="115"/>
        <v>355950</v>
      </c>
      <c r="J1754" s="539">
        <v>55.5</v>
      </c>
      <c r="K1754" s="521">
        <f t="shared" si="117"/>
        <v>1</v>
      </c>
      <c r="L1754" s="522">
        <f t="shared" si="116"/>
        <v>6300</v>
      </c>
      <c r="M1754" s="523">
        <f t="shared" si="118"/>
        <v>1.7699115044247787E-2</v>
      </c>
      <c r="N1754" s="30" t="s">
        <v>38</v>
      </c>
      <c r="O1754" s="32" t="s">
        <v>39</v>
      </c>
    </row>
    <row r="1755" spans="1:15">
      <c r="A1755" s="71">
        <v>2024</v>
      </c>
      <c r="B1755" s="16" t="s">
        <v>998</v>
      </c>
      <c r="C1755" s="71" t="s">
        <v>2521</v>
      </c>
      <c r="D1755" s="2" t="s">
        <v>926</v>
      </c>
      <c r="E1755" s="2" t="s">
        <v>2522</v>
      </c>
      <c r="F1755" s="96">
        <v>4</v>
      </c>
      <c r="G1755" s="1" t="s">
        <v>1979</v>
      </c>
      <c r="H1755" s="8">
        <v>8800</v>
      </c>
      <c r="I1755" s="8">
        <f t="shared" si="115"/>
        <v>35200</v>
      </c>
      <c r="J1755" s="539">
        <v>8700</v>
      </c>
      <c r="K1755" s="521">
        <f t="shared" si="117"/>
        <v>100</v>
      </c>
      <c r="L1755" s="522">
        <f t="shared" si="116"/>
        <v>400</v>
      </c>
      <c r="M1755" s="523">
        <f t="shared" si="118"/>
        <v>1.1363636363636364E-2</v>
      </c>
      <c r="N1755" s="30" t="s">
        <v>22</v>
      </c>
      <c r="O1755" s="32" t="s">
        <v>39</v>
      </c>
    </row>
    <row r="1756" spans="1:15">
      <c r="A1756" s="71">
        <v>2024</v>
      </c>
      <c r="B1756" s="16" t="s">
        <v>998</v>
      </c>
      <c r="C1756" s="71" t="s">
        <v>2521</v>
      </c>
      <c r="D1756" s="2" t="s">
        <v>926</v>
      </c>
      <c r="E1756" s="2" t="s">
        <v>2523</v>
      </c>
      <c r="F1756" s="96">
        <v>1</v>
      </c>
      <c r="G1756" s="1" t="s">
        <v>1979</v>
      </c>
      <c r="H1756" s="8">
        <v>11340</v>
      </c>
      <c r="I1756" s="8">
        <f t="shared" si="115"/>
        <v>11340</v>
      </c>
      <c r="J1756" s="539">
        <v>11240</v>
      </c>
      <c r="K1756" s="521">
        <f t="shared" si="117"/>
        <v>100</v>
      </c>
      <c r="L1756" s="522">
        <f t="shared" si="116"/>
        <v>100</v>
      </c>
      <c r="M1756" s="523">
        <f t="shared" si="118"/>
        <v>8.8183421516754845E-3</v>
      </c>
      <c r="N1756" s="30" t="s">
        <v>22</v>
      </c>
      <c r="O1756" s="32" t="s">
        <v>39</v>
      </c>
    </row>
    <row r="1757" spans="1:15">
      <c r="A1757" s="71">
        <v>2024</v>
      </c>
      <c r="B1757" s="16" t="s">
        <v>998</v>
      </c>
      <c r="C1757" s="71" t="s">
        <v>2521</v>
      </c>
      <c r="D1757" s="2" t="s">
        <v>926</v>
      </c>
      <c r="E1757" s="2" t="s">
        <v>2524</v>
      </c>
      <c r="F1757" s="96">
        <v>1</v>
      </c>
      <c r="G1757" s="1" t="s">
        <v>1979</v>
      </c>
      <c r="H1757" s="8">
        <v>6180</v>
      </c>
      <c r="I1757" s="8">
        <f t="shared" si="115"/>
        <v>6180</v>
      </c>
      <c r="J1757" s="539">
        <v>6080</v>
      </c>
      <c r="K1757" s="521">
        <f t="shared" si="117"/>
        <v>100</v>
      </c>
      <c r="L1757" s="522">
        <f t="shared" si="116"/>
        <v>100</v>
      </c>
      <c r="M1757" s="523">
        <f t="shared" si="118"/>
        <v>1.6181229773462782E-2</v>
      </c>
      <c r="N1757" s="30" t="s">
        <v>22</v>
      </c>
      <c r="O1757" s="32" t="s">
        <v>39</v>
      </c>
    </row>
    <row r="1758" spans="1:15">
      <c r="A1758" s="71">
        <v>2024</v>
      </c>
      <c r="B1758" s="16" t="s">
        <v>998</v>
      </c>
      <c r="C1758" s="71" t="s">
        <v>2525</v>
      </c>
      <c r="D1758" s="2" t="s">
        <v>2086</v>
      </c>
      <c r="E1758" s="2" t="s">
        <v>2526</v>
      </c>
      <c r="F1758" s="96">
        <v>1</v>
      </c>
      <c r="G1758" s="1" t="s">
        <v>1979</v>
      </c>
      <c r="H1758" s="8">
        <v>153938</v>
      </c>
      <c r="I1758" s="8">
        <f t="shared" si="115"/>
        <v>153938</v>
      </c>
      <c r="J1758" s="539">
        <v>150000</v>
      </c>
      <c r="K1758" s="521">
        <f t="shared" si="117"/>
        <v>3938</v>
      </c>
      <c r="L1758" s="522">
        <f t="shared" si="116"/>
        <v>3938</v>
      </c>
      <c r="M1758" s="523">
        <f t="shared" si="118"/>
        <v>2.5581727708557992E-2</v>
      </c>
      <c r="N1758" s="30" t="s">
        <v>38</v>
      </c>
      <c r="O1758" s="32" t="s">
        <v>39</v>
      </c>
    </row>
    <row r="1759" spans="1:15">
      <c r="A1759" s="71">
        <v>2024</v>
      </c>
      <c r="B1759" s="16" t="s">
        <v>998</v>
      </c>
      <c r="C1759" s="71" t="s">
        <v>2527</v>
      </c>
      <c r="D1759" s="2" t="s">
        <v>1042</v>
      </c>
      <c r="E1759" s="2" t="s">
        <v>2528</v>
      </c>
      <c r="F1759" s="96">
        <v>100</v>
      </c>
      <c r="G1759" s="1" t="s">
        <v>615</v>
      </c>
      <c r="H1759" s="8">
        <v>485</v>
      </c>
      <c r="I1759" s="8">
        <f t="shared" si="115"/>
        <v>48500</v>
      </c>
      <c r="J1759" s="539">
        <v>385</v>
      </c>
      <c r="K1759" s="521">
        <f t="shared" si="117"/>
        <v>100</v>
      </c>
      <c r="L1759" s="522">
        <f t="shared" si="116"/>
        <v>10000</v>
      </c>
      <c r="M1759" s="523">
        <f t="shared" si="118"/>
        <v>0.20618556701030927</v>
      </c>
      <c r="N1759" s="30" t="s">
        <v>22</v>
      </c>
      <c r="O1759" s="32" t="s">
        <v>105</v>
      </c>
    </row>
    <row r="1760" spans="1:15">
      <c r="A1760" s="71">
        <v>2024</v>
      </c>
      <c r="B1760" s="16" t="s">
        <v>998</v>
      </c>
      <c r="C1760" s="71" t="s">
        <v>2529</v>
      </c>
      <c r="D1760" s="2" t="s">
        <v>283</v>
      </c>
      <c r="E1760" s="2" t="s">
        <v>2530</v>
      </c>
      <c r="F1760" s="96">
        <v>1</v>
      </c>
      <c r="G1760" s="1" t="s">
        <v>285</v>
      </c>
      <c r="H1760" s="8">
        <v>45500</v>
      </c>
      <c r="I1760" s="8">
        <f t="shared" si="115"/>
        <v>45500</v>
      </c>
      <c r="J1760" s="539">
        <v>43000</v>
      </c>
      <c r="K1760" s="521">
        <f t="shared" si="117"/>
        <v>2500</v>
      </c>
      <c r="L1760" s="522">
        <f t="shared" si="116"/>
        <v>2500</v>
      </c>
      <c r="M1760" s="523">
        <f t="shared" si="118"/>
        <v>5.4945054945054944E-2</v>
      </c>
      <c r="N1760" s="30" t="s">
        <v>38</v>
      </c>
      <c r="O1760" s="32" t="s">
        <v>105</v>
      </c>
    </row>
    <row r="1761" spans="1:15">
      <c r="A1761" s="71">
        <v>2024</v>
      </c>
      <c r="B1761" s="16" t="s">
        <v>998</v>
      </c>
      <c r="C1761" s="71" t="s">
        <v>2531</v>
      </c>
      <c r="D1761" s="2" t="s">
        <v>1042</v>
      </c>
      <c r="E1761" s="2" t="s">
        <v>2528</v>
      </c>
      <c r="F1761" s="96">
        <v>200</v>
      </c>
      <c r="G1761" s="1" t="s">
        <v>615</v>
      </c>
      <c r="H1761" s="8">
        <v>485</v>
      </c>
      <c r="I1761" s="8">
        <f t="shared" si="115"/>
        <v>97000</v>
      </c>
      <c r="J1761" s="539">
        <v>385</v>
      </c>
      <c r="K1761" s="521">
        <f t="shared" si="117"/>
        <v>100</v>
      </c>
      <c r="L1761" s="522">
        <f t="shared" si="116"/>
        <v>20000</v>
      </c>
      <c r="M1761" s="523">
        <f t="shared" si="118"/>
        <v>0.20618556701030927</v>
      </c>
      <c r="N1761" s="30" t="s">
        <v>22</v>
      </c>
      <c r="O1761" s="32" t="s">
        <v>105</v>
      </c>
    </row>
    <row r="1762" spans="1:15">
      <c r="A1762" s="71">
        <v>2024</v>
      </c>
      <c r="B1762" s="16" t="s">
        <v>998</v>
      </c>
      <c r="C1762" s="71" t="s">
        <v>2532</v>
      </c>
      <c r="D1762" s="2" t="s">
        <v>35</v>
      </c>
      <c r="E1762" s="2" t="s">
        <v>2533</v>
      </c>
      <c r="F1762" s="96">
        <v>7414</v>
      </c>
      <c r="G1762" s="1" t="s">
        <v>37</v>
      </c>
      <c r="H1762" s="8">
        <v>387</v>
      </c>
      <c r="I1762" s="8">
        <f t="shared" si="115"/>
        <v>2869218</v>
      </c>
      <c r="J1762" s="539">
        <v>384</v>
      </c>
      <c r="K1762" s="521">
        <f t="shared" si="117"/>
        <v>3</v>
      </c>
      <c r="L1762" s="522">
        <f t="shared" si="116"/>
        <v>22242</v>
      </c>
      <c r="M1762" s="523">
        <f t="shared" si="118"/>
        <v>7.7519379844961239E-3</v>
      </c>
      <c r="N1762" s="30" t="s">
        <v>38</v>
      </c>
      <c r="O1762" s="32" t="s">
        <v>105</v>
      </c>
    </row>
    <row r="1763" spans="1:15">
      <c r="A1763" s="71">
        <v>2024</v>
      </c>
      <c r="B1763" s="16" t="s">
        <v>998</v>
      </c>
      <c r="C1763" s="71" t="s">
        <v>2532</v>
      </c>
      <c r="D1763" s="2" t="s">
        <v>35</v>
      </c>
      <c r="E1763" s="2" t="s">
        <v>2534</v>
      </c>
      <c r="F1763" s="96">
        <v>533</v>
      </c>
      <c r="G1763" s="1" t="s">
        <v>37</v>
      </c>
      <c r="H1763" s="8">
        <v>394</v>
      </c>
      <c r="I1763" s="8">
        <f t="shared" si="115"/>
        <v>210002</v>
      </c>
      <c r="J1763" s="539">
        <v>391</v>
      </c>
      <c r="K1763" s="521">
        <f t="shared" si="117"/>
        <v>3</v>
      </c>
      <c r="L1763" s="522">
        <f t="shared" si="116"/>
        <v>1599</v>
      </c>
      <c r="M1763" s="523">
        <f t="shared" si="118"/>
        <v>7.6142131979695434E-3</v>
      </c>
      <c r="N1763" s="30" t="s">
        <v>38</v>
      </c>
      <c r="O1763" s="32" t="s">
        <v>105</v>
      </c>
    </row>
    <row r="1764" spans="1:15">
      <c r="A1764" s="71">
        <v>2024</v>
      </c>
      <c r="B1764" s="16" t="s">
        <v>998</v>
      </c>
      <c r="C1764" s="71" t="s">
        <v>2535</v>
      </c>
      <c r="D1764" s="2" t="s">
        <v>107</v>
      </c>
      <c r="E1764" s="2" t="s">
        <v>2536</v>
      </c>
      <c r="F1764" s="96">
        <v>1</v>
      </c>
      <c r="G1764" s="1" t="s">
        <v>19</v>
      </c>
      <c r="H1764" s="8">
        <v>32980</v>
      </c>
      <c r="I1764" s="8">
        <f t="shared" si="115"/>
        <v>32980</v>
      </c>
      <c r="J1764" s="539">
        <v>31000</v>
      </c>
      <c r="K1764" s="521">
        <f t="shared" si="117"/>
        <v>1980</v>
      </c>
      <c r="L1764" s="522">
        <f t="shared" si="116"/>
        <v>1980</v>
      </c>
      <c r="M1764" s="523">
        <f t="shared" si="118"/>
        <v>6.0036385688295939E-2</v>
      </c>
      <c r="N1764" s="30" t="s">
        <v>22</v>
      </c>
      <c r="O1764" s="32" t="s">
        <v>105</v>
      </c>
    </row>
    <row r="1765" spans="1:15">
      <c r="A1765" s="71">
        <v>2024</v>
      </c>
      <c r="B1765" s="16" t="s">
        <v>998</v>
      </c>
      <c r="C1765" s="71" t="s">
        <v>2537</v>
      </c>
      <c r="D1765" s="2" t="s">
        <v>68</v>
      </c>
      <c r="E1765" s="2" t="s">
        <v>755</v>
      </c>
      <c r="F1765" s="96">
        <v>1738.1</v>
      </c>
      <c r="G1765" s="1" t="s">
        <v>37</v>
      </c>
      <c r="H1765" s="8">
        <v>385</v>
      </c>
      <c r="I1765" s="8">
        <f t="shared" si="115"/>
        <v>669168.5</v>
      </c>
      <c r="J1765" s="539">
        <v>373</v>
      </c>
      <c r="K1765" s="521">
        <f t="shared" si="117"/>
        <v>12</v>
      </c>
      <c r="L1765" s="522">
        <f t="shared" si="116"/>
        <v>20857.199999999997</v>
      </c>
      <c r="M1765" s="523">
        <f t="shared" si="118"/>
        <v>3.1168831168831169E-2</v>
      </c>
      <c r="N1765" s="30" t="s">
        <v>22</v>
      </c>
      <c r="O1765" s="32" t="s">
        <v>105</v>
      </c>
    </row>
    <row r="1766" spans="1:15">
      <c r="A1766" s="71">
        <v>2024</v>
      </c>
      <c r="B1766" s="16" t="s">
        <v>998</v>
      </c>
      <c r="C1766" s="71" t="s">
        <v>2538</v>
      </c>
      <c r="D1766" s="2" t="s">
        <v>2167</v>
      </c>
      <c r="E1766" s="2" t="s">
        <v>2502</v>
      </c>
      <c r="F1766" s="96">
        <v>4000</v>
      </c>
      <c r="G1766" s="1" t="s">
        <v>337</v>
      </c>
      <c r="H1766" s="8">
        <v>174.35</v>
      </c>
      <c r="I1766" s="8">
        <f t="shared" si="115"/>
        <v>697400</v>
      </c>
      <c r="J1766" s="539">
        <v>156.57</v>
      </c>
      <c r="K1766" s="521">
        <f t="shared" si="117"/>
        <v>17.78</v>
      </c>
      <c r="L1766" s="522">
        <f t="shared" si="116"/>
        <v>71120</v>
      </c>
      <c r="M1766" s="523">
        <f t="shared" si="118"/>
        <v>0.10197877831947233</v>
      </c>
      <c r="N1766" s="30" t="s">
        <v>38</v>
      </c>
      <c r="O1766" s="32" t="s">
        <v>39</v>
      </c>
    </row>
    <row r="1767" spans="1:15">
      <c r="A1767" s="71">
        <v>2024</v>
      </c>
      <c r="B1767" s="16" t="s">
        <v>998</v>
      </c>
      <c r="C1767" s="71" t="s">
        <v>2539</v>
      </c>
      <c r="D1767" s="2" t="s">
        <v>1042</v>
      </c>
      <c r="E1767" s="2" t="s">
        <v>711</v>
      </c>
      <c r="F1767" s="96">
        <v>1500</v>
      </c>
      <c r="G1767" s="1" t="s">
        <v>37</v>
      </c>
      <c r="H1767" s="8">
        <v>387</v>
      </c>
      <c r="I1767" s="8">
        <f t="shared" si="115"/>
        <v>580500</v>
      </c>
      <c r="J1767" s="539">
        <v>352</v>
      </c>
      <c r="K1767" s="521">
        <f t="shared" si="117"/>
        <v>35</v>
      </c>
      <c r="L1767" s="522">
        <f t="shared" si="116"/>
        <v>52500</v>
      </c>
      <c r="M1767" s="523">
        <f t="shared" si="118"/>
        <v>9.0439276485788117E-2</v>
      </c>
      <c r="N1767" s="30" t="s">
        <v>22</v>
      </c>
      <c r="O1767" s="32" t="s">
        <v>105</v>
      </c>
    </row>
    <row r="1768" spans="1:15">
      <c r="A1768" s="71">
        <v>2024</v>
      </c>
      <c r="B1768" s="16" t="s">
        <v>998</v>
      </c>
      <c r="C1768" s="71" t="s">
        <v>2540</v>
      </c>
      <c r="D1768" s="2" t="s">
        <v>329</v>
      </c>
      <c r="E1768" s="150" t="s">
        <v>380</v>
      </c>
      <c r="F1768" s="457">
        <v>10</v>
      </c>
      <c r="G1768" s="484" t="s">
        <v>2541</v>
      </c>
      <c r="H1768" s="151">
        <v>5180</v>
      </c>
      <c r="I1768" s="8">
        <f t="shared" si="115"/>
        <v>51800</v>
      </c>
      <c r="J1768" s="539">
        <v>4950</v>
      </c>
      <c r="K1768" s="521">
        <f t="shared" si="117"/>
        <v>230</v>
      </c>
      <c r="L1768" s="522">
        <f t="shared" si="116"/>
        <v>2300</v>
      </c>
      <c r="M1768" s="523">
        <f t="shared" si="118"/>
        <v>4.4401544401544403E-2</v>
      </c>
      <c r="N1768" s="30" t="s">
        <v>22</v>
      </c>
      <c r="O1768" s="2" t="s">
        <v>39</v>
      </c>
    </row>
    <row r="1769" spans="1:15">
      <c r="A1769" s="71">
        <v>2024</v>
      </c>
      <c r="B1769" s="16" t="s">
        <v>998</v>
      </c>
      <c r="C1769" s="71" t="s">
        <v>2540</v>
      </c>
      <c r="D1769" s="2" t="s">
        <v>329</v>
      </c>
      <c r="E1769" s="150" t="s">
        <v>2542</v>
      </c>
      <c r="F1769" s="391">
        <v>10</v>
      </c>
      <c r="G1769" s="484" t="s">
        <v>2541</v>
      </c>
      <c r="H1769" s="151">
        <v>6130</v>
      </c>
      <c r="I1769" s="8">
        <f t="shared" si="115"/>
        <v>61300</v>
      </c>
      <c r="J1769" s="539">
        <v>5750</v>
      </c>
      <c r="K1769" s="521">
        <f t="shared" si="117"/>
        <v>380</v>
      </c>
      <c r="L1769" s="522">
        <f t="shared" si="116"/>
        <v>3800</v>
      </c>
      <c r="M1769" s="523">
        <f t="shared" si="118"/>
        <v>6.1990212071778142E-2</v>
      </c>
      <c r="N1769" s="30" t="s">
        <v>22</v>
      </c>
      <c r="O1769" s="2" t="s">
        <v>39</v>
      </c>
    </row>
    <row r="1770" spans="1:15">
      <c r="A1770" s="71">
        <v>2024</v>
      </c>
      <c r="B1770" s="16" t="s">
        <v>998</v>
      </c>
      <c r="C1770" s="71" t="s">
        <v>2540</v>
      </c>
      <c r="D1770" s="2" t="s">
        <v>329</v>
      </c>
      <c r="E1770" s="150" t="s">
        <v>379</v>
      </c>
      <c r="F1770" s="391">
        <v>20</v>
      </c>
      <c r="G1770" s="484" t="s">
        <v>2541</v>
      </c>
      <c r="H1770" s="151">
        <v>4985</v>
      </c>
      <c r="I1770" s="8">
        <f t="shared" si="115"/>
        <v>99700</v>
      </c>
      <c r="J1770" s="539">
        <v>4780</v>
      </c>
      <c r="K1770" s="521">
        <f t="shared" si="117"/>
        <v>205</v>
      </c>
      <c r="L1770" s="522">
        <f t="shared" si="116"/>
        <v>4100</v>
      </c>
      <c r="M1770" s="523">
        <f t="shared" si="118"/>
        <v>4.1123370110330994E-2</v>
      </c>
      <c r="N1770" s="30" t="s">
        <v>22</v>
      </c>
      <c r="O1770" s="2" t="s">
        <v>39</v>
      </c>
    </row>
    <row r="1771" spans="1:15">
      <c r="A1771" s="71">
        <v>2024</v>
      </c>
      <c r="B1771" s="16" t="s">
        <v>998</v>
      </c>
      <c r="C1771" s="71" t="s">
        <v>2540</v>
      </c>
      <c r="D1771" s="2" t="s">
        <v>329</v>
      </c>
      <c r="E1771" s="150" t="s">
        <v>702</v>
      </c>
      <c r="F1771" s="391">
        <v>30</v>
      </c>
      <c r="G1771" s="484" t="s">
        <v>2541</v>
      </c>
      <c r="H1771" s="151">
        <v>3260</v>
      </c>
      <c r="I1771" s="8">
        <f t="shared" si="115"/>
        <v>97800</v>
      </c>
      <c r="J1771" s="539">
        <v>3155</v>
      </c>
      <c r="K1771" s="521">
        <f t="shared" si="117"/>
        <v>105</v>
      </c>
      <c r="L1771" s="522">
        <f t="shared" si="116"/>
        <v>3150</v>
      </c>
      <c r="M1771" s="523">
        <f t="shared" si="118"/>
        <v>3.2208588957055216E-2</v>
      </c>
      <c r="N1771" s="30" t="s">
        <v>22</v>
      </c>
      <c r="O1771" s="2" t="s">
        <v>39</v>
      </c>
    </row>
    <row r="1772" spans="1:15">
      <c r="A1772" s="71">
        <v>2024</v>
      </c>
      <c r="B1772" s="16" t="s">
        <v>998</v>
      </c>
      <c r="C1772" s="71" t="s">
        <v>2540</v>
      </c>
      <c r="D1772" s="2" t="s">
        <v>329</v>
      </c>
      <c r="E1772" s="150" t="s">
        <v>380</v>
      </c>
      <c r="F1772" s="391">
        <v>10</v>
      </c>
      <c r="G1772" s="484" t="s">
        <v>2541</v>
      </c>
      <c r="H1772" s="151">
        <v>5180</v>
      </c>
      <c r="I1772" s="8">
        <f t="shared" si="115"/>
        <v>51800</v>
      </c>
      <c r="J1772" s="539">
        <v>4950</v>
      </c>
      <c r="K1772" s="521">
        <f t="shared" si="117"/>
        <v>230</v>
      </c>
      <c r="L1772" s="522">
        <f t="shared" si="116"/>
        <v>2300</v>
      </c>
      <c r="M1772" s="523">
        <f t="shared" si="118"/>
        <v>4.4401544401544403E-2</v>
      </c>
      <c r="N1772" s="30" t="s">
        <v>22</v>
      </c>
      <c r="O1772" s="2" t="s">
        <v>39</v>
      </c>
    </row>
    <row r="1773" spans="1:15">
      <c r="A1773" s="71">
        <v>2024</v>
      </c>
      <c r="B1773" s="16" t="s">
        <v>998</v>
      </c>
      <c r="C1773" s="71" t="s">
        <v>2540</v>
      </c>
      <c r="D1773" s="2" t="s">
        <v>329</v>
      </c>
      <c r="E1773" s="150" t="s">
        <v>2543</v>
      </c>
      <c r="F1773" s="457">
        <v>20</v>
      </c>
      <c r="G1773" s="484" t="s">
        <v>2541</v>
      </c>
      <c r="H1773" s="151">
        <v>1080</v>
      </c>
      <c r="I1773" s="8">
        <f t="shared" ref="I1773:I1836" si="119">H1773*F1773</f>
        <v>21600</v>
      </c>
      <c r="J1773" s="539">
        <v>1035</v>
      </c>
      <c r="K1773" s="521">
        <f t="shared" si="117"/>
        <v>45</v>
      </c>
      <c r="L1773" s="522">
        <f t="shared" si="116"/>
        <v>900</v>
      </c>
      <c r="M1773" s="523">
        <f t="shared" si="118"/>
        <v>4.1666666666666664E-2</v>
      </c>
      <c r="N1773" s="30" t="s">
        <v>22</v>
      </c>
      <c r="O1773" s="2" t="s">
        <v>39</v>
      </c>
    </row>
    <row r="1774" spans="1:15">
      <c r="A1774" s="71">
        <v>2024</v>
      </c>
      <c r="B1774" s="16" t="s">
        <v>998</v>
      </c>
      <c r="C1774" s="71" t="s">
        <v>2544</v>
      </c>
      <c r="D1774" s="2" t="s">
        <v>590</v>
      </c>
      <c r="E1774" s="2" t="s">
        <v>2545</v>
      </c>
      <c r="F1774" s="96">
        <v>2</v>
      </c>
      <c r="G1774" s="1" t="s">
        <v>1979</v>
      </c>
      <c r="H1774" s="8">
        <v>54000</v>
      </c>
      <c r="I1774" s="8">
        <f t="shared" si="119"/>
        <v>108000</v>
      </c>
      <c r="J1774" s="539">
        <v>50000</v>
      </c>
      <c r="K1774" s="521">
        <f t="shared" si="117"/>
        <v>4000</v>
      </c>
      <c r="L1774" s="522">
        <f t="shared" si="116"/>
        <v>8000</v>
      </c>
      <c r="M1774" s="523">
        <f t="shared" si="118"/>
        <v>7.407407407407407E-2</v>
      </c>
      <c r="N1774" s="30" t="s">
        <v>22</v>
      </c>
      <c r="O1774" s="2" t="s">
        <v>39</v>
      </c>
    </row>
    <row r="1775" spans="1:15">
      <c r="A1775" s="71">
        <v>2024</v>
      </c>
      <c r="B1775" s="16" t="s">
        <v>998</v>
      </c>
      <c r="C1775" s="71" t="s">
        <v>2546</v>
      </c>
      <c r="D1775" s="2" t="s">
        <v>27</v>
      </c>
      <c r="E1775" s="32" t="s">
        <v>2547</v>
      </c>
      <c r="F1775" s="98">
        <v>3</v>
      </c>
      <c r="G1775" s="37" t="s">
        <v>19</v>
      </c>
      <c r="H1775" s="8">
        <v>2016</v>
      </c>
      <c r="I1775" s="8">
        <f t="shared" si="119"/>
        <v>6048</v>
      </c>
      <c r="J1775" s="539">
        <v>1950</v>
      </c>
      <c r="K1775" s="521">
        <f t="shared" si="117"/>
        <v>66</v>
      </c>
      <c r="L1775" s="522">
        <f t="shared" si="116"/>
        <v>198</v>
      </c>
      <c r="M1775" s="523">
        <f t="shared" si="118"/>
        <v>3.273809523809524E-2</v>
      </c>
      <c r="N1775" s="30" t="s">
        <v>22</v>
      </c>
      <c r="O1775" s="2" t="s">
        <v>105</v>
      </c>
    </row>
    <row r="1776" spans="1:15">
      <c r="A1776" s="71">
        <v>2024</v>
      </c>
      <c r="B1776" s="16" t="s">
        <v>998</v>
      </c>
      <c r="C1776" s="71" t="s">
        <v>2548</v>
      </c>
      <c r="D1776" s="35" t="s">
        <v>1042</v>
      </c>
      <c r="E1776" s="2" t="s">
        <v>2549</v>
      </c>
      <c r="F1776" s="99">
        <v>100</v>
      </c>
      <c r="G1776" s="42" t="s">
        <v>615</v>
      </c>
      <c r="H1776" s="36">
        <v>1169</v>
      </c>
      <c r="I1776" s="8">
        <f t="shared" si="119"/>
        <v>116900</v>
      </c>
      <c r="J1776" s="539">
        <v>1099</v>
      </c>
      <c r="K1776" s="521">
        <f t="shared" si="117"/>
        <v>70</v>
      </c>
      <c r="L1776" s="522">
        <f t="shared" si="116"/>
        <v>7000</v>
      </c>
      <c r="M1776" s="523">
        <f t="shared" si="118"/>
        <v>5.9880239520958084E-2</v>
      </c>
      <c r="N1776" s="30" t="s">
        <v>38</v>
      </c>
      <c r="O1776" s="2" t="s">
        <v>105</v>
      </c>
    </row>
    <row r="1777" spans="1:15">
      <c r="A1777" s="71">
        <v>2024</v>
      </c>
      <c r="B1777" s="16" t="s">
        <v>998</v>
      </c>
      <c r="C1777" s="71" t="s">
        <v>2550</v>
      </c>
      <c r="D1777" s="35" t="s">
        <v>283</v>
      </c>
      <c r="E1777" s="2" t="s">
        <v>2530</v>
      </c>
      <c r="F1777" s="99">
        <v>1</v>
      </c>
      <c r="G1777" s="42" t="s">
        <v>285</v>
      </c>
      <c r="H1777" s="36">
        <v>41000</v>
      </c>
      <c r="I1777" s="8">
        <f t="shared" si="119"/>
        <v>41000</v>
      </c>
      <c r="J1777" s="539">
        <v>39000</v>
      </c>
      <c r="K1777" s="521">
        <f t="shared" si="117"/>
        <v>2000</v>
      </c>
      <c r="L1777" s="522">
        <f t="shared" si="116"/>
        <v>2000</v>
      </c>
      <c r="M1777" s="523">
        <f t="shared" si="118"/>
        <v>4.878048780487805E-2</v>
      </c>
      <c r="N1777" s="30" t="s">
        <v>38</v>
      </c>
      <c r="O1777" s="2" t="s">
        <v>105</v>
      </c>
    </row>
    <row r="1778" spans="1:15">
      <c r="A1778" s="71">
        <v>2024</v>
      </c>
      <c r="B1778" s="16" t="s">
        <v>998</v>
      </c>
      <c r="C1778" s="71" t="s">
        <v>2551</v>
      </c>
      <c r="D1778" s="35" t="s">
        <v>2552</v>
      </c>
      <c r="E1778" s="2" t="s">
        <v>2553</v>
      </c>
      <c r="F1778" s="99">
        <v>1</v>
      </c>
      <c r="G1778" s="42" t="s">
        <v>285</v>
      </c>
      <c r="H1778" s="36">
        <v>70000</v>
      </c>
      <c r="I1778" s="8">
        <f t="shared" si="119"/>
        <v>70000</v>
      </c>
      <c r="J1778" s="539">
        <v>50000</v>
      </c>
      <c r="K1778" s="521">
        <f t="shared" si="117"/>
        <v>20000</v>
      </c>
      <c r="L1778" s="522">
        <f t="shared" si="116"/>
        <v>20000</v>
      </c>
      <c r="M1778" s="523">
        <f t="shared" si="118"/>
        <v>0.2857142857142857</v>
      </c>
      <c r="N1778" s="30" t="s">
        <v>22</v>
      </c>
      <c r="O1778" s="2" t="s">
        <v>21</v>
      </c>
    </row>
    <row r="1779" spans="1:15">
      <c r="A1779" s="71">
        <v>2024</v>
      </c>
      <c r="B1779" s="16" t="s">
        <v>998</v>
      </c>
      <c r="C1779" s="71" t="s">
        <v>2554</v>
      </c>
      <c r="D1779" s="35" t="s">
        <v>1948</v>
      </c>
      <c r="E1779" s="2" t="s">
        <v>1421</v>
      </c>
      <c r="F1779" s="99">
        <v>3000</v>
      </c>
      <c r="G1779" s="42" t="s">
        <v>19</v>
      </c>
      <c r="H1779" s="36">
        <v>0.75</v>
      </c>
      <c r="I1779" s="8">
        <f t="shared" si="119"/>
        <v>2250</v>
      </c>
      <c r="J1779" s="539">
        <v>0.45</v>
      </c>
      <c r="K1779" s="521">
        <f t="shared" si="117"/>
        <v>0.3</v>
      </c>
      <c r="L1779" s="522">
        <f t="shared" si="116"/>
        <v>900</v>
      </c>
      <c r="M1779" s="523">
        <f t="shared" si="118"/>
        <v>0.39999999999999997</v>
      </c>
      <c r="N1779" s="30" t="s">
        <v>22</v>
      </c>
      <c r="O1779" s="2" t="s">
        <v>21</v>
      </c>
    </row>
    <row r="1780" spans="1:15">
      <c r="A1780" s="71">
        <v>2024</v>
      </c>
      <c r="B1780" s="16" t="s">
        <v>998</v>
      </c>
      <c r="C1780" s="71" t="s">
        <v>2554</v>
      </c>
      <c r="D1780" s="35" t="s">
        <v>1948</v>
      </c>
      <c r="E1780" s="2" t="s">
        <v>2555</v>
      </c>
      <c r="F1780" s="99">
        <v>12</v>
      </c>
      <c r="G1780" s="42" t="s">
        <v>19</v>
      </c>
      <c r="H1780" s="36">
        <v>90</v>
      </c>
      <c r="I1780" s="8">
        <f t="shared" si="119"/>
        <v>1080</v>
      </c>
      <c r="J1780" s="539">
        <v>70</v>
      </c>
      <c r="K1780" s="521">
        <f t="shared" si="117"/>
        <v>20</v>
      </c>
      <c r="L1780" s="522">
        <f t="shared" si="116"/>
        <v>240</v>
      </c>
      <c r="M1780" s="523">
        <f t="shared" si="118"/>
        <v>0.22222222222222221</v>
      </c>
      <c r="N1780" s="30" t="s">
        <v>22</v>
      </c>
      <c r="O1780" s="2" t="s">
        <v>21</v>
      </c>
    </row>
    <row r="1781" spans="1:15">
      <c r="A1781" s="71">
        <v>2024</v>
      </c>
      <c r="B1781" s="16" t="s">
        <v>998</v>
      </c>
      <c r="C1781" s="71" t="s">
        <v>2556</v>
      </c>
      <c r="D1781" s="35" t="s">
        <v>946</v>
      </c>
      <c r="E1781" s="2" t="s">
        <v>2557</v>
      </c>
      <c r="F1781" s="99">
        <v>2000</v>
      </c>
      <c r="G1781" s="42" t="s">
        <v>615</v>
      </c>
      <c r="H1781" s="36">
        <v>22.5</v>
      </c>
      <c r="I1781" s="8">
        <f t="shared" si="119"/>
        <v>45000</v>
      </c>
      <c r="J1781" s="539">
        <v>21.375</v>
      </c>
      <c r="K1781" s="521">
        <f t="shared" si="117"/>
        <v>1.125</v>
      </c>
      <c r="L1781" s="522">
        <f t="shared" si="116"/>
        <v>2250</v>
      </c>
      <c r="M1781" s="523">
        <f t="shared" si="118"/>
        <v>0.05</v>
      </c>
      <c r="N1781" s="30" t="s">
        <v>38</v>
      </c>
      <c r="O1781" s="2" t="s">
        <v>21</v>
      </c>
    </row>
    <row r="1782" spans="1:15">
      <c r="A1782" s="71">
        <v>2024</v>
      </c>
      <c r="B1782" s="16" t="s">
        <v>998</v>
      </c>
      <c r="C1782" s="71" t="s">
        <v>2558</v>
      </c>
      <c r="D1782" s="35" t="s">
        <v>1896</v>
      </c>
      <c r="E1782" s="2" t="s">
        <v>1897</v>
      </c>
      <c r="F1782" s="99">
        <v>60</v>
      </c>
      <c r="G1782" s="42" t="s">
        <v>19</v>
      </c>
      <c r="H1782" s="36">
        <v>80</v>
      </c>
      <c r="I1782" s="8">
        <f t="shared" si="119"/>
        <v>4800</v>
      </c>
      <c r="J1782" s="539">
        <v>70</v>
      </c>
      <c r="K1782" s="521">
        <f t="shared" si="117"/>
        <v>10</v>
      </c>
      <c r="L1782" s="522">
        <f t="shared" si="116"/>
        <v>600</v>
      </c>
      <c r="M1782" s="523">
        <f t="shared" si="118"/>
        <v>0.125</v>
      </c>
      <c r="N1782" s="30" t="s">
        <v>38</v>
      </c>
      <c r="O1782" s="2" t="s">
        <v>21</v>
      </c>
    </row>
    <row r="1783" spans="1:15">
      <c r="A1783" s="71">
        <v>2024</v>
      </c>
      <c r="B1783" s="16" t="s">
        <v>998</v>
      </c>
      <c r="C1783" s="71" t="s">
        <v>2559</v>
      </c>
      <c r="D1783" s="35" t="s">
        <v>260</v>
      </c>
      <c r="E1783" s="2" t="s">
        <v>2560</v>
      </c>
      <c r="F1783" s="99">
        <v>2</v>
      </c>
      <c r="G1783" s="42" t="s">
        <v>19</v>
      </c>
      <c r="H1783" s="36">
        <v>200545</v>
      </c>
      <c r="I1783" s="8">
        <f t="shared" si="119"/>
        <v>401090</v>
      </c>
      <c r="J1783" s="539">
        <v>152400</v>
      </c>
      <c r="K1783" s="521">
        <f t="shared" si="117"/>
        <v>48145</v>
      </c>
      <c r="L1783" s="522">
        <f t="shared" si="116"/>
        <v>96290</v>
      </c>
      <c r="M1783" s="523">
        <f t="shared" si="118"/>
        <v>0.24007080705078659</v>
      </c>
      <c r="N1783" s="30" t="s">
        <v>22</v>
      </c>
      <c r="O1783" s="2" t="s">
        <v>21</v>
      </c>
    </row>
    <row r="1784" spans="1:15">
      <c r="A1784" s="71">
        <v>2024</v>
      </c>
      <c r="B1784" s="16" t="s">
        <v>998</v>
      </c>
      <c r="C1784" s="71" t="s">
        <v>2561</v>
      </c>
      <c r="D1784" s="35" t="s">
        <v>1566</v>
      </c>
      <c r="E1784" s="2" t="s">
        <v>2562</v>
      </c>
      <c r="F1784" s="99">
        <v>2</v>
      </c>
      <c r="G1784" s="42" t="s">
        <v>285</v>
      </c>
      <c r="H1784" s="36">
        <v>428900</v>
      </c>
      <c r="I1784" s="8">
        <f t="shared" si="119"/>
        <v>857800</v>
      </c>
      <c r="J1784" s="539">
        <v>321675</v>
      </c>
      <c r="K1784" s="521">
        <f t="shared" si="117"/>
        <v>107225</v>
      </c>
      <c r="L1784" s="522">
        <f t="shared" si="116"/>
        <v>214450</v>
      </c>
      <c r="M1784" s="523">
        <f t="shared" si="118"/>
        <v>0.25</v>
      </c>
      <c r="N1784" s="30" t="s">
        <v>38</v>
      </c>
      <c r="O1784" s="2" t="s">
        <v>21</v>
      </c>
    </row>
    <row r="1785" spans="1:15">
      <c r="A1785" s="71">
        <v>2024</v>
      </c>
      <c r="B1785" s="16" t="s">
        <v>998</v>
      </c>
      <c r="C1785" s="71" t="s">
        <v>2563</v>
      </c>
      <c r="D1785" s="35" t="s">
        <v>1670</v>
      </c>
      <c r="E1785" s="2" t="s">
        <v>2564</v>
      </c>
      <c r="F1785" s="99">
        <v>1</v>
      </c>
      <c r="G1785" s="42" t="s">
        <v>238</v>
      </c>
      <c r="H1785" s="36">
        <v>1850</v>
      </c>
      <c r="I1785" s="8">
        <f t="shared" si="119"/>
        <v>1850</v>
      </c>
      <c r="J1785" s="539">
        <v>1800</v>
      </c>
      <c r="K1785" s="521">
        <f t="shared" si="117"/>
        <v>50</v>
      </c>
      <c r="L1785" s="522">
        <f t="shared" si="116"/>
        <v>50</v>
      </c>
      <c r="M1785" s="523">
        <f t="shared" si="118"/>
        <v>2.7027027027027029E-2</v>
      </c>
      <c r="N1785" s="30" t="s">
        <v>22</v>
      </c>
      <c r="O1785" s="2" t="s">
        <v>21</v>
      </c>
    </row>
    <row r="1786" spans="1:15">
      <c r="A1786" s="71">
        <v>2024</v>
      </c>
      <c r="B1786" s="16" t="s">
        <v>998</v>
      </c>
      <c r="C1786" s="71" t="s">
        <v>2563</v>
      </c>
      <c r="D1786" s="35" t="s">
        <v>1670</v>
      </c>
      <c r="E1786" s="2" t="s">
        <v>2208</v>
      </c>
      <c r="F1786" s="99">
        <v>1</v>
      </c>
      <c r="G1786" s="42" t="s">
        <v>238</v>
      </c>
      <c r="H1786" s="36">
        <v>1850</v>
      </c>
      <c r="I1786" s="8">
        <f t="shared" si="119"/>
        <v>1850</v>
      </c>
      <c r="J1786" s="539">
        <v>1500</v>
      </c>
      <c r="K1786" s="521">
        <f t="shared" si="117"/>
        <v>350</v>
      </c>
      <c r="L1786" s="522">
        <f t="shared" si="116"/>
        <v>350</v>
      </c>
      <c r="M1786" s="523">
        <f t="shared" si="118"/>
        <v>0.1891891891891892</v>
      </c>
      <c r="N1786" s="30" t="s">
        <v>22</v>
      </c>
      <c r="O1786" s="2" t="s">
        <v>21</v>
      </c>
    </row>
    <row r="1787" spans="1:15">
      <c r="A1787" s="71">
        <v>2024</v>
      </c>
      <c r="B1787" s="16" t="s">
        <v>998</v>
      </c>
      <c r="C1787" s="71" t="s">
        <v>2563</v>
      </c>
      <c r="D1787" s="35" t="s">
        <v>1670</v>
      </c>
      <c r="E1787" s="2" t="s">
        <v>2565</v>
      </c>
      <c r="F1787" s="99">
        <v>1</v>
      </c>
      <c r="G1787" s="42" t="s">
        <v>238</v>
      </c>
      <c r="H1787" s="36">
        <v>70000</v>
      </c>
      <c r="I1787" s="8">
        <f t="shared" si="119"/>
        <v>70000</v>
      </c>
      <c r="J1787" s="539">
        <v>50000</v>
      </c>
      <c r="K1787" s="521">
        <f t="shared" si="117"/>
        <v>20000</v>
      </c>
      <c r="L1787" s="522">
        <f t="shared" si="116"/>
        <v>20000</v>
      </c>
      <c r="M1787" s="523">
        <f t="shared" si="118"/>
        <v>0.2857142857142857</v>
      </c>
      <c r="N1787" s="30" t="s">
        <v>22</v>
      </c>
      <c r="O1787" s="2" t="s">
        <v>21</v>
      </c>
    </row>
    <row r="1788" spans="1:15">
      <c r="A1788" s="71">
        <v>2024</v>
      </c>
      <c r="B1788" s="16" t="s">
        <v>998</v>
      </c>
      <c r="C1788" s="71" t="s">
        <v>2566</v>
      </c>
      <c r="D1788" s="35" t="s">
        <v>1670</v>
      </c>
      <c r="E1788" s="2" t="s">
        <v>2567</v>
      </c>
      <c r="F1788" s="99">
        <v>1</v>
      </c>
      <c r="G1788" s="42" t="s">
        <v>19</v>
      </c>
      <c r="H1788" s="36">
        <v>20000</v>
      </c>
      <c r="I1788" s="8">
        <f t="shared" si="119"/>
        <v>20000</v>
      </c>
      <c r="J1788" s="539">
        <v>19400</v>
      </c>
      <c r="K1788" s="521">
        <f t="shared" si="117"/>
        <v>600</v>
      </c>
      <c r="L1788" s="522">
        <f t="shared" si="116"/>
        <v>600</v>
      </c>
      <c r="M1788" s="523">
        <f t="shared" si="118"/>
        <v>0.03</v>
      </c>
      <c r="N1788" s="30" t="s">
        <v>22</v>
      </c>
      <c r="O1788" s="2" t="s">
        <v>21</v>
      </c>
    </row>
    <row r="1789" spans="1:15">
      <c r="A1789" s="71">
        <v>2024</v>
      </c>
      <c r="B1789" s="16" t="s">
        <v>998</v>
      </c>
      <c r="C1789" s="71" t="s">
        <v>2568</v>
      </c>
      <c r="D1789" s="35" t="s">
        <v>2294</v>
      </c>
      <c r="E1789" s="2" t="s">
        <v>2569</v>
      </c>
      <c r="F1789" s="99">
        <v>1</v>
      </c>
      <c r="G1789" s="42" t="s">
        <v>285</v>
      </c>
      <c r="H1789" s="36">
        <v>70620</v>
      </c>
      <c r="I1789" s="8">
        <f t="shared" si="119"/>
        <v>70620</v>
      </c>
      <c r="J1789" s="539">
        <v>68000</v>
      </c>
      <c r="K1789" s="521">
        <f t="shared" si="117"/>
        <v>2620</v>
      </c>
      <c r="L1789" s="522">
        <f t="shared" si="116"/>
        <v>2620</v>
      </c>
      <c r="M1789" s="523">
        <f t="shared" si="118"/>
        <v>3.7099971679410933E-2</v>
      </c>
      <c r="N1789" s="30" t="s">
        <v>22</v>
      </c>
      <c r="O1789" s="2" t="s">
        <v>21</v>
      </c>
    </row>
    <row r="1790" spans="1:15">
      <c r="A1790" s="71">
        <v>2024</v>
      </c>
      <c r="B1790" s="16" t="s">
        <v>998</v>
      </c>
      <c r="C1790" s="71" t="s">
        <v>2570</v>
      </c>
      <c r="D1790" s="35" t="s">
        <v>113</v>
      </c>
      <c r="E1790" s="2" t="s">
        <v>2571</v>
      </c>
      <c r="F1790" s="99">
        <v>2</v>
      </c>
      <c r="G1790" s="42" t="s">
        <v>19</v>
      </c>
      <c r="H1790" s="36">
        <v>7000</v>
      </c>
      <c r="I1790" s="8">
        <f t="shared" si="119"/>
        <v>14000</v>
      </c>
      <c r="J1790" s="539">
        <v>6500</v>
      </c>
      <c r="K1790" s="521">
        <f t="shared" si="117"/>
        <v>500</v>
      </c>
      <c r="L1790" s="522">
        <f t="shared" si="116"/>
        <v>1000</v>
      </c>
      <c r="M1790" s="523">
        <f t="shared" si="118"/>
        <v>7.1428571428571425E-2</v>
      </c>
      <c r="N1790" s="30" t="s">
        <v>20</v>
      </c>
      <c r="O1790" s="2" t="s">
        <v>21</v>
      </c>
    </row>
    <row r="1791" spans="1:15">
      <c r="A1791" s="71">
        <v>2024</v>
      </c>
      <c r="B1791" s="16" t="s">
        <v>998</v>
      </c>
      <c r="C1791" s="71" t="s">
        <v>2572</v>
      </c>
      <c r="D1791" s="35" t="s">
        <v>1931</v>
      </c>
      <c r="E1791" s="2" t="s">
        <v>2573</v>
      </c>
      <c r="F1791" s="99">
        <v>1</v>
      </c>
      <c r="G1791" s="42" t="s">
        <v>19</v>
      </c>
      <c r="H1791" s="36">
        <v>540000</v>
      </c>
      <c r="I1791" s="8">
        <f t="shared" si="119"/>
        <v>540000</v>
      </c>
      <c r="J1791" s="539">
        <v>531500</v>
      </c>
      <c r="K1791" s="521">
        <f t="shared" si="117"/>
        <v>8500</v>
      </c>
      <c r="L1791" s="522">
        <f t="shared" ref="L1791:L1854" si="120">K1791*F1791</f>
        <v>8500</v>
      </c>
      <c r="M1791" s="523">
        <f t="shared" si="118"/>
        <v>1.5740740740740739E-2</v>
      </c>
      <c r="N1791" s="30" t="s">
        <v>22</v>
      </c>
      <c r="O1791" s="2" t="s">
        <v>21</v>
      </c>
    </row>
    <row r="1792" spans="1:15">
      <c r="A1792" s="71">
        <v>2024</v>
      </c>
      <c r="B1792" s="16" t="s">
        <v>998</v>
      </c>
      <c r="C1792" s="71" t="s">
        <v>2572</v>
      </c>
      <c r="D1792" s="35" t="s">
        <v>1931</v>
      </c>
      <c r="E1792" s="2" t="s">
        <v>2574</v>
      </c>
      <c r="F1792" s="99">
        <v>1</v>
      </c>
      <c r="G1792" s="42" t="s">
        <v>19</v>
      </c>
      <c r="H1792" s="36">
        <v>661000</v>
      </c>
      <c r="I1792" s="8">
        <f t="shared" si="119"/>
        <v>661000</v>
      </c>
      <c r="J1792" s="539">
        <v>654500</v>
      </c>
      <c r="K1792" s="521">
        <f t="shared" si="117"/>
        <v>6500</v>
      </c>
      <c r="L1792" s="522">
        <f t="shared" si="120"/>
        <v>6500</v>
      </c>
      <c r="M1792" s="523">
        <f t="shared" si="118"/>
        <v>9.8335854765506815E-3</v>
      </c>
      <c r="N1792" s="30" t="s">
        <v>22</v>
      </c>
      <c r="O1792" s="2" t="s">
        <v>21</v>
      </c>
    </row>
    <row r="1793" spans="1:15">
      <c r="A1793" s="71">
        <v>2024</v>
      </c>
      <c r="B1793" s="16" t="s">
        <v>998</v>
      </c>
      <c r="C1793" s="71" t="s">
        <v>2575</v>
      </c>
      <c r="D1793" s="35" t="s">
        <v>394</v>
      </c>
      <c r="E1793" s="2" t="s">
        <v>2576</v>
      </c>
      <c r="F1793" s="99">
        <v>300</v>
      </c>
      <c r="G1793" s="42" t="s">
        <v>19</v>
      </c>
      <c r="H1793" s="36">
        <v>270</v>
      </c>
      <c r="I1793" s="8">
        <f t="shared" si="119"/>
        <v>81000</v>
      </c>
      <c r="J1793" s="539">
        <v>250</v>
      </c>
      <c r="K1793" s="521">
        <f t="shared" si="117"/>
        <v>20</v>
      </c>
      <c r="L1793" s="522">
        <f t="shared" si="120"/>
        <v>6000</v>
      </c>
      <c r="M1793" s="523">
        <f t="shared" si="118"/>
        <v>7.407407407407407E-2</v>
      </c>
      <c r="N1793" s="30" t="s">
        <v>22</v>
      </c>
      <c r="O1793" s="2" t="s">
        <v>21</v>
      </c>
    </row>
    <row r="1794" spans="1:15">
      <c r="A1794" s="71">
        <v>2024</v>
      </c>
      <c r="B1794" s="16" t="s">
        <v>998</v>
      </c>
      <c r="C1794" s="427" t="s">
        <v>2577</v>
      </c>
      <c r="D1794" s="35" t="s">
        <v>2411</v>
      </c>
      <c r="E1794" s="2" t="s">
        <v>2578</v>
      </c>
      <c r="F1794" s="99">
        <v>1</v>
      </c>
      <c r="G1794" s="42" t="s">
        <v>19</v>
      </c>
      <c r="H1794" s="36">
        <v>4200</v>
      </c>
      <c r="I1794" s="8">
        <f t="shared" si="119"/>
        <v>4200</v>
      </c>
      <c r="J1794" s="539">
        <v>3900</v>
      </c>
      <c r="K1794" s="521">
        <f t="shared" si="117"/>
        <v>300</v>
      </c>
      <c r="L1794" s="522">
        <f t="shared" si="120"/>
        <v>300</v>
      </c>
      <c r="M1794" s="523">
        <f t="shared" si="118"/>
        <v>7.1428571428571425E-2</v>
      </c>
      <c r="N1794" s="30" t="s">
        <v>22</v>
      </c>
      <c r="O1794" s="2" t="s">
        <v>21</v>
      </c>
    </row>
    <row r="1795" spans="1:15">
      <c r="A1795" s="71">
        <v>2024</v>
      </c>
      <c r="B1795" s="16" t="s">
        <v>998</v>
      </c>
      <c r="C1795" s="427" t="s">
        <v>2579</v>
      </c>
      <c r="D1795" s="35" t="s">
        <v>2580</v>
      </c>
      <c r="E1795" s="2" t="s">
        <v>2581</v>
      </c>
      <c r="F1795" s="99">
        <v>4</v>
      </c>
      <c r="G1795" s="42" t="s">
        <v>29</v>
      </c>
      <c r="H1795" s="36">
        <v>10000</v>
      </c>
      <c r="I1795" s="8">
        <f t="shared" si="119"/>
        <v>40000</v>
      </c>
      <c r="J1795" s="539">
        <v>8000</v>
      </c>
      <c r="K1795" s="521">
        <f t="shared" ref="K1795:K1858" si="121">H1795-J1795</f>
        <v>2000</v>
      </c>
      <c r="L1795" s="522">
        <f t="shared" si="120"/>
        <v>8000</v>
      </c>
      <c r="M1795" s="523">
        <f t="shared" ref="M1795:M1858" si="122">K1795/H1795</f>
        <v>0.2</v>
      </c>
      <c r="N1795" s="30" t="s">
        <v>22</v>
      </c>
      <c r="O1795" s="2" t="s">
        <v>21</v>
      </c>
    </row>
    <row r="1796" spans="1:15">
      <c r="A1796" s="71">
        <v>2024</v>
      </c>
      <c r="B1796" s="16" t="s">
        <v>998</v>
      </c>
      <c r="C1796" s="427" t="s">
        <v>2582</v>
      </c>
      <c r="D1796" s="35" t="s">
        <v>871</v>
      </c>
      <c r="E1796" s="2" t="s">
        <v>2583</v>
      </c>
      <c r="F1796" s="99">
        <v>9</v>
      </c>
      <c r="G1796" s="42" t="s">
        <v>19</v>
      </c>
      <c r="H1796" s="36">
        <v>5571.75</v>
      </c>
      <c r="I1796" s="8">
        <f t="shared" si="119"/>
        <v>50145.75</v>
      </c>
      <c r="J1796" s="539">
        <v>4912.5</v>
      </c>
      <c r="K1796" s="521">
        <f t="shared" si="121"/>
        <v>659.25</v>
      </c>
      <c r="L1796" s="522">
        <f t="shared" si="120"/>
        <v>5933.25</v>
      </c>
      <c r="M1796" s="523">
        <f t="shared" si="122"/>
        <v>0.11832009691748553</v>
      </c>
      <c r="N1796" s="30" t="s">
        <v>22</v>
      </c>
      <c r="O1796" s="2" t="s">
        <v>21</v>
      </c>
    </row>
    <row r="1797" spans="1:15">
      <c r="A1797" s="71">
        <v>2024</v>
      </c>
      <c r="B1797" s="16" t="s">
        <v>998</v>
      </c>
      <c r="C1797" s="71" t="s">
        <v>2584</v>
      </c>
      <c r="D1797" s="35" t="s">
        <v>2404</v>
      </c>
      <c r="E1797" s="68" t="s">
        <v>2585</v>
      </c>
      <c r="F1797" s="154">
        <v>6</v>
      </c>
      <c r="G1797" s="42" t="s">
        <v>19</v>
      </c>
      <c r="H1797" s="36">
        <v>24750</v>
      </c>
      <c r="I1797" s="8">
        <f t="shared" si="119"/>
        <v>148500</v>
      </c>
      <c r="J1797" s="539">
        <v>16590</v>
      </c>
      <c r="K1797" s="521">
        <f t="shared" si="121"/>
        <v>8160</v>
      </c>
      <c r="L1797" s="522">
        <f t="shared" si="120"/>
        <v>48960</v>
      </c>
      <c r="M1797" s="523">
        <f t="shared" si="122"/>
        <v>0.32969696969696971</v>
      </c>
      <c r="N1797" s="30" t="s">
        <v>22</v>
      </c>
      <c r="O1797" s="2" t="s">
        <v>21</v>
      </c>
    </row>
    <row r="1798" spans="1:15">
      <c r="A1798" s="71">
        <v>2024</v>
      </c>
      <c r="B1798" s="16" t="s">
        <v>998</v>
      </c>
      <c r="C1798" s="427" t="s">
        <v>2586</v>
      </c>
      <c r="D1798" s="35" t="s">
        <v>17</v>
      </c>
      <c r="E1798" s="68" t="s">
        <v>18</v>
      </c>
      <c r="F1798" s="154">
        <v>72</v>
      </c>
      <c r="G1798" s="42" t="s">
        <v>19</v>
      </c>
      <c r="H1798" s="36">
        <v>405</v>
      </c>
      <c r="I1798" s="8">
        <f t="shared" si="119"/>
        <v>29160</v>
      </c>
      <c r="J1798" s="539">
        <v>395</v>
      </c>
      <c r="K1798" s="521">
        <f t="shared" si="121"/>
        <v>10</v>
      </c>
      <c r="L1798" s="522">
        <f t="shared" si="120"/>
        <v>720</v>
      </c>
      <c r="M1798" s="523">
        <f t="shared" si="122"/>
        <v>2.4691358024691357E-2</v>
      </c>
      <c r="N1798" s="30" t="s">
        <v>22</v>
      </c>
      <c r="O1798" s="2" t="s">
        <v>21</v>
      </c>
    </row>
    <row r="1799" spans="1:15">
      <c r="A1799" s="71">
        <v>2024</v>
      </c>
      <c r="B1799" s="16" t="s">
        <v>998</v>
      </c>
      <c r="C1799" s="427" t="s">
        <v>2587</v>
      </c>
      <c r="D1799" s="35" t="s">
        <v>1948</v>
      </c>
      <c r="E1799" s="68" t="s">
        <v>1419</v>
      </c>
      <c r="F1799" s="154">
        <v>2000</v>
      </c>
      <c r="G1799" s="42" t="s">
        <v>19</v>
      </c>
      <c r="H1799" s="36">
        <v>0.5</v>
      </c>
      <c r="I1799" s="8">
        <f t="shared" si="119"/>
        <v>1000</v>
      </c>
      <c r="J1799" s="539">
        <v>0.17</v>
      </c>
      <c r="K1799" s="521">
        <f t="shared" si="121"/>
        <v>0.32999999999999996</v>
      </c>
      <c r="L1799" s="522">
        <f t="shared" si="120"/>
        <v>659.99999999999989</v>
      </c>
      <c r="M1799" s="523">
        <f t="shared" si="122"/>
        <v>0.65999999999999992</v>
      </c>
      <c r="N1799" s="30" t="s">
        <v>22</v>
      </c>
      <c r="O1799" s="2" t="s">
        <v>21</v>
      </c>
    </row>
    <row r="1800" spans="1:15">
      <c r="A1800" s="71">
        <v>2024</v>
      </c>
      <c r="B1800" s="16" t="s">
        <v>998</v>
      </c>
      <c r="C1800" s="71" t="s">
        <v>2588</v>
      </c>
      <c r="D1800" s="35" t="s">
        <v>926</v>
      </c>
      <c r="E1800" s="68" t="s">
        <v>2589</v>
      </c>
      <c r="F1800" s="154">
        <v>100</v>
      </c>
      <c r="G1800" s="42" t="s">
        <v>19</v>
      </c>
      <c r="H1800" s="36">
        <v>160</v>
      </c>
      <c r="I1800" s="8">
        <f t="shared" si="119"/>
        <v>16000</v>
      </c>
      <c r="J1800" s="539">
        <v>125</v>
      </c>
      <c r="K1800" s="521">
        <f t="shared" si="121"/>
        <v>35</v>
      </c>
      <c r="L1800" s="522">
        <f t="shared" si="120"/>
        <v>3500</v>
      </c>
      <c r="M1800" s="523">
        <f t="shared" si="122"/>
        <v>0.21875</v>
      </c>
      <c r="N1800" s="30" t="s">
        <v>22</v>
      </c>
      <c r="O1800" s="2" t="s">
        <v>21</v>
      </c>
    </row>
    <row r="1801" spans="1:15">
      <c r="A1801" s="71">
        <v>2024</v>
      </c>
      <c r="B1801" s="16" t="s">
        <v>998</v>
      </c>
      <c r="C1801" s="71" t="s">
        <v>2590</v>
      </c>
      <c r="D1801" s="2" t="s">
        <v>369</v>
      </c>
      <c r="E1801" s="68" t="s">
        <v>2591</v>
      </c>
      <c r="F1801" s="483">
        <v>1</v>
      </c>
      <c r="G1801" s="42" t="s">
        <v>19</v>
      </c>
      <c r="H1801" s="8">
        <v>65000</v>
      </c>
      <c r="I1801" s="8">
        <f t="shared" si="119"/>
        <v>65000</v>
      </c>
      <c r="J1801" s="539">
        <v>49000</v>
      </c>
      <c r="K1801" s="521">
        <f t="shared" si="121"/>
        <v>16000</v>
      </c>
      <c r="L1801" s="522">
        <f t="shared" si="120"/>
        <v>16000</v>
      </c>
      <c r="M1801" s="523">
        <f t="shared" si="122"/>
        <v>0.24615384615384617</v>
      </c>
      <c r="N1801" s="34" t="s">
        <v>22</v>
      </c>
      <c r="O1801" s="2" t="s">
        <v>21</v>
      </c>
    </row>
    <row r="1802" spans="1:15">
      <c r="A1802" s="71">
        <v>2024</v>
      </c>
      <c r="B1802" s="16" t="s">
        <v>998</v>
      </c>
      <c r="C1802" s="71" t="s">
        <v>2592</v>
      </c>
      <c r="D1802" s="2" t="s">
        <v>96</v>
      </c>
      <c r="E1802" s="68" t="s">
        <v>99</v>
      </c>
      <c r="F1802" s="466">
        <v>50</v>
      </c>
      <c r="G1802" s="42" t="s">
        <v>19</v>
      </c>
      <c r="H1802" s="8">
        <v>805</v>
      </c>
      <c r="I1802" s="8">
        <f t="shared" si="119"/>
        <v>40250</v>
      </c>
      <c r="J1802" s="539">
        <v>432</v>
      </c>
      <c r="K1802" s="521">
        <f t="shared" si="121"/>
        <v>373</v>
      </c>
      <c r="L1802" s="522">
        <f t="shared" si="120"/>
        <v>18650</v>
      </c>
      <c r="M1802" s="523">
        <f t="shared" si="122"/>
        <v>0.46335403726708074</v>
      </c>
      <c r="N1802" s="34" t="s">
        <v>22</v>
      </c>
      <c r="O1802" s="2" t="s">
        <v>21</v>
      </c>
    </row>
    <row r="1803" spans="1:15">
      <c r="A1803" s="71">
        <v>2024</v>
      </c>
      <c r="B1803" s="16" t="s">
        <v>998</v>
      </c>
      <c r="C1803" s="71" t="s">
        <v>2593</v>
      </c>
      <c r="D1803" s="2" t="s">
        <v>1470</v>
      </c>
      <c r="E1803" s="68" t="s">
        <v>2200</v>
      </c>
      <c r="F1803" s="466">
        <v>50</v>
      </c>
      <c r="G1803" s="1" t="s">
        <v>2594</v>
      </c>
      <c r="H1803" s="8">
        <v>4700</v>
      </c>
      <c r="I1803" s="8">
        <f t="shared" si="119"/>
        <v>235000</v>
      </c>
      <c r="J1803" s="539">
        <v>4465</v>
      </c>
      <c r="K1803" s="521">
        <f t="shared" si="121"/>
        <v>235</v>
      </c>
      <c r="L1803" s="522">
        <f t="shared" si="120"/>
        <v>11750</v>
      </c>
      <c r="M1803" s="523">
        <f t="shared" si="122"/>
        <v>0.05</v>
      </c>
      <c r="N1803" s="34" t="s">
        <v>22</v>
      </c>
      <c r="O1803" s="2" t="s">
        <v>21</v>
      </c>
    </row>
    <row r="1804" spans="1:15">
      <c r="A1804" s="71">
        <v>2024</v>
      </c>
      <c r="B1804" s="16" t="s">
        <v>998</v>
      </c>
      <c r="C1804" s="71" t="s">
        <v>2595</v>
      </c>
      <c r="D1804" s="35" t="s">
        <v>1948</v>
      </c>
      <c r="E1804" s="68" t="s">
        <v>1948</v>
      </c>
      <c r="F1804" s="154">
        <v>150</v>
      </c>
      <c r="G1804" s="42" t="s">
        <v>29</v>
      </c>
      <c r="H1804" s="36">
        <v>180</v>
      </c>
      <c r="I1804" s="8">
        <f t="shared" si="119"/>
        <v>27000</v>
      </c>
      <c r="J1804" s="539">
        <v>75</v>
      </c>
      <c r="K1804" s="521">
        <f t="shared" si="121"/>
        <v>105</v>
      </c>
      <c r="L1804" s="522">
        <f t="shared" si="120"/>
        <v>15750</v>
      </c>
      <c r="M1804" s="523">
        <f t="shared" si="122"/>
        <v>0.58333333333333337</v>
      </c>
      <c r="N1804" s="34" t="s">
        <v>22</v>
      </c>
      <c r="O1804" s="2" t="s">
        <v>21</v>
      </c>
    </row>
    <row r="1805" spans="1:15">
      <c r="A1805" s="71">
        <v>2024</v>
      </c>
      <c r="B1805" s="16" t="s">
        <v>998</v>
      </c>
      <c r="C1805" s="71" t="s">
        <v>2596</v>
      </c>
      <c r="D1805" s="2" t="s">
        <v>518</v>
      </c>
      <c r="E1805" s="2" t="s">
        <v>2597</v>
      </c>
      <c r="F1805" s="97">
        <v>1</v>
      </c>
      <c r="G1805" s="38" t="s">
        <v>19</v>
      </c>
      <c r="H1805" s="8">
        <v>27500</v>
      </c>
      <c r="I1805" s="8">
        <f t="shared" si="119"/>
        <v>27500</v>
      </c>
      <c r="J1805" s="539">
        <v>22000</v>
      </c>
      <c r="K1805" s="521">
        <f t="shared" si="121"/>
        <v>5500</v>
      </c>
      <c r="L1805" s="522">
        <f t="shared" si="120"/>
        <v>5500</v>
      </c>
      <c r="M1805" s="523">
        <f t="shared" si="122"/>
        <v>0.2</v>
      </c>
      <c r="N1805" s="34" t="s">
        <v>22</v>
      </c>
      <c r="O1805" s="2" t="s">
        <v>21</v>
      </c>
    </row>
    <row r="1806" spans="1:15">
      <c r="A1806" s="71">
        <v>2024</v>
      </c>
      <c r="B1806" s="16" t="s">
        <v>998</v>
      </c>
      <c r="C1806" s="71" t="s">
        <v>2596</v>
      </c>
      <c r="D1806" s="2" t="s">
        <v>518</v>
      </c>
      <c r="E1806" s="2" t="s">
        <v>2598</v>
      </c>
      <c r="F1806" s="96">
        <v>1</v>
      </c>
      <c r="G1806" s="1" t="s">
        <v>19</v>
      </c>
      <c r="H1806" s="8">
        <v>47500</v>
      </c>
      <c r="I1806" s="8">
        <f t="shared" si="119"/>
        <v>47500</v>
      </c>
      <c r="J1806" s="539">
        <v>38000</v>
      </c>
      <c r="K1806" s="521">
        <f t="shared" si="121"/>
        <v>9500</v>
      </c>
      <c r="L1806" s="522">
        <f t="shared" si="120"/>
        <v>9500</v>
      </c>
      <c r="M1806" s="523">
        <f t="shared" si="122"/>
        <v>0.2</v>
      </c>
      <c r="N1806" s="34" t="s">
        <v>22</v>
      </c>
      <c r="O1806" s="2" t="s">
        <v>21</v>
      </c>
    </row>
    <row r="1807" spans="1:15">
      <c r="A1807" s="71">
        <v>2024</v>
      </c>
      <c r="B1807" s="16" t="s">
        <v>998</v>
      </c>
      <c r="C1807" s="71" t="s">
        <v>2599</v>
      </c>
      <c r="D1807" s="2" t="s">
        <v>17</v>
      </c>
      <c r="E1807" s="68" t="s">
        <v>2600</v>
      </c>
      <c r="F1807" s="466">
        <v>1</v>
      </c>
      <c r="G1807" s="1" t="s">
        <v>19</v>
      </c>
      <c r="H1807" s="8">
        <v>21900</v>
      </c>
      <c r="I1807" s="8">
        <f t="shared" si="119"/>
        <v>21900</v>
      </c>
      <c r="J1807" s="539">
        <v>12000</v>
      </c>
      <c r="K1807" s="521">
        <f t="shared" si="121"/>
        <v>9900</v>
      </c>
      <c r="L1807" s="522">
        <f t="shared" si="120"/>
        <v>9900</v>
      </c>
      <c r="M1807" s="523">
        <f t="shared" si="122"/>
        <v>0.45205479452054792</v>
      </c>
      <c r="N1807" s="34" t="s">
        <v>22</v>
      </c>
      <c r="O1807" s="2" t="s">
        <v>21</v>
      </c>
    </row>
    <row r="1808" spans="1:15">
      <c r="A1808" s="71">
        <v>2024</v>
      </c>
      <c r="B1808" s="16" t="s">
        <v>998</v>
      </c>
      <c r="C1808" s="71" t="s">
        <v>2601</v>
      </c>
      <c r="D1808" s="2" t="s">
        <v>2602</v>
      </c>
      <c r="E1808" s="68" t="s">
        <v>2603</v>
      </c>
      <c r="F1808" s="466">
        <v>20</v>
      </c>
      <c r="G1808" s="1" t="s">
        <v>19</v>
      </c>
      <c r="H1808" s="8">
        <v>1155</v>
      </c>
      <c r="I1808" s="8">
        <f t="shared" si="119"/>
        <v>23100</v>
      </c>
      <c r="J1808" s="539">
        <v>680</v>
      </c>
      <c r="K1808" s="521">
        <f t="shared" si="121"/>
        <v>475</v>
      </c>
      <c r="L1808" s="522">
        <f t="shared" si="120"/>
        <v>9500</v>
      </c>
      <c r="M1808" s="523">
        <f t="shared" si="122"/>
        <v>0.41125541125541126</v>
      </c>
      <c r="N1808" s="30" t="s">
        <v>22</v>
      </c>
      <c r="O1808" s="2" t="s">
        <v>21</v>
      </c>
    </row>
    <row r="1809" spans="1:15">
      <c r="A1809" s="71">
        <v>2024</v>
      </c>
      <c r="B1809" s="16" t="s">
        <v>998</v>
      </c>
      <c r="C1809" s="71" t="s">
        <v>2604</v>
      </c>
      <c r="D1809" s="2" t="s">
        <v>17</v>
      </c>
      <c r="E1809" s="68" t="s">
        <v>2605</v>
      </c>
      <c r="F1809" s="466">
        <v>2</v>
      </c>
      <c r="G1809" s="1" t="s">
        <v>19</v>
      </c>
      <c r="H1809" s="8">
        <v>12500</v>
      </c>
      <c r="I1809" s="8">
        <f t="shared" si="119"/>
        <v>25000</v>
      </c>
      <c r="J1809" s="539">
        <v>9550</v>
      </c>
      <c r="K1809" s="521">
        <f t="shared" si="121"/>
        <v>2950</v>
      </c>
      <c r="L1809" s="522">
        <f t="shared" si="120"/>
        <v>5900</v>
      </c>
      <c r="M1809" s="523">
        <f t="shared" si="122"/>
        <v>0.23599999999999999</v>
      </c>
      <c r="N1809" s="34" t="s">
        <v>22</v>
      </c>
      <c r="O1809" s="2" t="s">
        <v>21</v>
      </c>
    </row>
    <row r="1810" spans="1:15">
      <c r="A1810" s="71">
        <v>2024</v>
      </c>
      <c r="B1810" s="16" t="s">
        <v>998</v>
      </c>
      <c r="C1810" s="71" t="s">
        <v>2606</v>
      </c>
      <c r="D1810" s="2" t="s">
        <v>946</v>
      </c>
      <c r="E1810" s="68" t="s">
        <v>1700</v>
      </c>
      <c r="F1810" s="466">
        <v>2000</v>
      </c>
      <c r="G1810" s="1" t="s">
        <v>19</v>
      </c>
      <c r="H1810" s="8">
        <v>22.5</v>
      </c>
      <c r="I1810" s="8">
        <f t="shared" si="119"/>
        <v>45000</v>
      </c>
      <c r="J1810" s="539">
        <v>21.375</v>
      </c>
      <c r="K1810" s="521">
        <f t="shared" si="121"/>
        <v>1.125</v>
      </c>
      <c r="L1810" s="522">
        <f t="shared" si="120"/>
        <v>2250</v>
      </c>
      <c r="M1810" s="523">
        <f t="shared" si="122"/>
        <v>0.05</v>
      </c>
      <c r="N1810" s="30" t="s">
        <v>38</v>
      </c>
      <c r="O1810" s="2" t="s">
        <v>21</v>
      </c>
    </row>
    <row r="1811" spans="1:15">
      <c r="A1811" s="71">
        <v>2024</v>
      </c>
      <c r="B1811" s="16" t="s">
        <v>998</v>
      </c>
      <c r="C1811" s="71" t="s">
        <v>2607</v>
      </c>
      <c r="D1811" s="2" t="s">
        <v>1470</v>
      </c>
      <c r="E1811" s="68" t="s">
        <v>2608</v>
      </c>
      <c r="F1811" s="466">
        <v>4</v>
      </c>
      <c r="G1811" s="1" t="s">
        <v>19</v>
      </c>
      <c r="H1811" s="8">
        <v>4700</v>
      </c>
      <c r="I1811" s="8">
        <f t="shared" si="119"/>
        <v>18800</v>
      </c>
      <c r="J1811" s="539">
        <v>4465</v>
      </c>
      <c r="K1811" s="521">
        <f t="shared" si="121"/>
        <v>235</v>
      </c>
      <c r="L1811" s="522">
        <f t="shared" si="120"/>
        <v>940</v>
      </c>
      <c r="M1811" s="523">
        <f t="shared" si="122"/>
        <v>0.05</v>
      </c>
      <c r="N1811" s="30" t="s">
        <v>22</v>
      </c>
      <c r="O1811" s="2" t="s">
        <v>21</v>
      </c>
    </row>
    <row r="1812" spans="1:15">
      <c r="A1812" s="71">
        <v>2024</v>
      </c>
      <c r="B1812" s="16" t="s">
        <v>998</v>
      </c>
      <c r="C1812" s="71" t="s">
        <v>2609</v>
      </c>
      <c r="D1812" s="2" t="s">
        <v>2610</v>
      </c>
      <c r="E1812" s="68" t="s">
        <v>2610</v>
      </c>
      <c r="F1812" s="466">
        <v>1</v>
      </c>
      <c r="G1812" s="1" t="s">
        <v>19</v>
      </c>
      <c r="H1812" s="8">
        <v>32615</v>
      </c>
      <c r="I1812" s="8">
        <f t="shared" si="119"/>
        <v>32615</v>
      </c>
      <c r="J1812" s="539">
        <v>30542.78</v>
      </c>
      <c r="K1812" s="521">
        <f t="shared" si="121"/>
        <v>2072.2200000000012</v>
      </c>
      <c r="L1812" s="522">
        <f t="shared" si="120"/>
        <v>2072.2200000000012</v>
      </c>
      <c r="M1812" s="523">
        <f t="shared" si="122"/>
        <v>6.3535796412693579E-2</v>
      </c>
      <c r="N1812" s="30" t="s">
        <v>22</v>
      </c>
      <c r="O1812" s="2" t="s">
        <v>21</v>
      </c>
    </row>
    <row r="1813" spans="1:15">
      <c r="A1813" s="71">
        <v>2024</v>
      </c>
      <c r="B1813" s="16" t="s">
        <v>998</v>
      </c>
      <c r="C1813" s="71" t="s">
        <v>2611</v>
      </c>
      <c r="D1813" s="2" t="s">
        <v>1738</v>
      </c>
      <c r="E1813" s="68" t="s">
        <v>2612</v>
      </c>
      <c r="F1813" s="466">
        <v>60</v>
      </c>
      <c r="G1813" s="1" t="s">
        <v>29</v>
      </c>
      <c r="H1813" s="8">
        <v>295</v>
      </c>
      <c r="I1813" s="8">
        <f t="shared" si="119"/>
        <v>17700</v>
      </c>
      <c r="J1813" s="539">
        <v>115</v>
      </c>
      <c r="K1813" s="521">
        <f t="shared" si="121"/>
        <v>180</v>
      </c>
      <c r="L1813" s="522">
        <f t="shared" si="120"/>
        <v>10800</v>
      </c>
      <c r="M1813" s="523">
        <f t="shared" si="122"/>
        <v>0.61016949152542377</v>
      </c>
      <c r="N1813" s="30" t="s">
        <v>22</v>
      </c>
      <c r="O1813" s="2" t="s">
        <v>21</v>
      </c>
    </row>
    <row r="1814" spans="1:15">
      <c r="A1814" s="71">
        <v>2024</v>
      </c>
      <c r="B1814" s="16" t="s">
        <v>998</v>
      </c>
      <c r="C1814" s="71" t="s">
        <v>2613</v>
      </c>
      <c r="D1814" s="2" t="s">
        <v>1101</v>
      </c>
      <c r="E1814" s="68" t="s">
        <v>2614</v>
      </c>
      <c r="F1814" s="466">
        <v>1060</v>
      </c>
      <c r="G1814" s="1" t="s">
        <v>19</v>
      </c>
      <c r="H1814" s="8">
        <v>16</v>
      </c>
      <c r="I1814" s="8">
        <f t="shared" si="119"/>
        <v>16960</v>
      </c>
      <c r="J1814" s="539">
        <v>15</v>
      </c>
      <c r="K1814" s="521">
        <f t="shared" si="121"/>
        <v>1</v>
      </c>
      <c r="L1814" s="522">
        <f t="shared" si="120"/>
        <v>1060</v>
      </c>
      <c r="M1814" s="523">
        <f t="shared" si="122"/>
        <v>6.25E-2</v>
      </c>
      <c r="N1814" s="30" t="s">
        <v>22</v>
      </c>
      <c r="O1814" s="2" t="s">
        <v>21</v>
      </c>
    </row>
    <row r="1815" spans="1:15">
      <c r="A1815" s="71">
        <v>2024</v>
      </c>
      <c r="B1815" s="16" t="s">
        <v>998</v>
      </c>
      <c r="C1815" s="71" t="s">
        <v>2615</v>
      </c>
      <c r="D1815" s="2" t="s">
        <v>398</v>
      </c>
      <c r="E1815" s="68" t="s">
        <v>2616</v>
      </c>
      <c r="F1815" s="466">
        <v>1</v>
      </c>
      <c r="G1815" s="1" t="s">
        <v>285</v>
      </c>
      <c r="H1815" s="8">
        <v>151900</v>
      </c>
      <c r="I1815" s="8">
        <f t="shared" si="119"/>
        <v>151900</v>
      </c>
      <c r="J1815" s="539">
        <v>140000</v>
      </c>
      <c r="K1815" s="521">
        <f t="shared" si="121"/>
        <v>11900</v>
      </c>
      <c r="L1815" s="522">
        <f t="shared" si="120"/>
        <v>11900</v>
      </c>
      <c r="M1815" s="523">
        <f t="shared" si="122"/>
        <v>7.8341013824884786E-2</v>
      </c>
      <c r="N1815" s="30" t="s">
        <v>22</v>
      </c>
      <c r="O1815" s="2" t="s">
        <v>21</v>
      </c>
    </row>
    <row r="1816" spans="1:15">
      <c r="A1816" s="71">
        <v>2024</v>
      </c>
      <c r="B1816" s="16" t="s">
        <v>998</v>
      </c>
      <c r="C1816" s="71" t="s">
        <v>2617</v>
      </c>
      <c r="D1816" s="2" t="s">
        <v>2204</v>
      </c>
      <c r="E1816" s="68" t="s">
        <v>2618</v>
      </c>
      <c r="F1816" s="466">
        <v>1</v>
      </c>
      <c r="G1816" s="1" t="s">
        <v>285</v>
      </c>
      <c r="H1816" s="8">
        <v>47400</v>
      </c>
      <c r="I1816" s="8">
        <f t="shared" si="119"/>
        <v>47400</v>
      </c>
      <c r="J1816" s="539">
        <v>45900</v>
      </c>
      <c r="K1816" s="521">
        <f t="shared" si="121"/>
        <v>1500</v>
      </c>
      <c r="L1816" s="522">
        <f t="shared" si="120"/>
        <v>1500</v>
      </c>
      <c r="M1816" s="523">
        <f t="shared" si="122"/>
        <v>3.1645569620253167E-2</v>
      </c>
      <c r="N1816" s="30" t="s">
        <v>22</v>
      </c>
      <c r="O1816" s="2" t="s">
        <v>21</v>
      </c>
    </row>
    <row r="1817" spans="1:15">
      <c r="A1817" s="71">
        <v>2024</v>
      </c>
      <c r="B1817" s="16" t="s">
        <v>998</v>
      </c>
      <c r="C1817" s="71" t="s">
        <v>2619</v>
      </c>
      <c r="D1817" s="2" t="s">
        <v>2620</v>
      </c>
      <c r="E1817" s="68" t="s">
        <v>2621</v>
      </c>
      <c r="F1817" s="466">
        <v>1</v>
      </c>
      <c r="G1817" s="1" t="s">
        <v>19</v>
      </c>
      <c r="H1817" s="8">
        <v>693633.19</v>
      </c>
      <c r="I1817" s="8">
        <f t="shared" si="119"/>
        <v>693633.19</v>
      </c>
      <c r="J1817" s="539">
        <v>637557.39</v>
      </c>
      <c r="K1817" s="521">
        <f t="shared" si="121"/>
        <v>56075.79999999993</v>
      </c>
      <c r="L1817" s="522">
        <f t="shared" si="120"/>
        <v>56075.79999999993</v>
      </c>
      <c r="M1817" s="523">
        <f t="shared" si="122"/>
        <v>8.0843594003914276E-2</v>
      </c>
      <c r="N1817" s="30" t="s">
        <v>38</v>
      </c>
      <c r="O1817" s="2" t="s">
        <v>21</v>
      </c>
    </row>
    <row r="1818" spans="1:15">
      <c r="A1818" s="71">
        <v>2024</v>
      </c>
      <c r="B1818" s="16" t="s">
        <v>998</v>
      </c>
      <c r="C1818" s="71" t="s">
        <v>2622</v>
      </c>
      <c r="D1818" s="2" t="s">
        <v>518</v>
      </c>
      <c r="E1818" s="68" t="s">
        <v>2623</v>
      </c>
      <c r="F1818" s="466">
        <v>10</v>
      </c>
      <c r="G1818" s="1" t="s">
        <v>19</v>
      </c>
      <c r="H1818" s="8">
        <v>4750</v>
      </c>
      <c r="I1818" s="8">
        <f t="shared" si="119"/>
        <v>47500</v>
      </c>
      <c r="J1818" s="539">
        <v>3800</v>
      </c>
      <c r="K1818" s="521">
        <f t="shared" si="121"/>
        <v>950</v>
      </c>
      <c r="L1818" s="522">
        <f t="shared" si="120"/>
        <v>9500</v>
      </c>
      <c r="M1818" s="523">
        <f t="shared" si="122"/>
        <v>0.2</v>
      </c>
      <c r="N1818" s="30" t="s">
        <v>22</v>
      </c>
      <c r="O1818" s="2" t="s">
        <v>21</v>
      </c>
    </row>
    <row r="1819" spans="1:15">
      <c r="A1819" s="71">
        <v>2024</v>
      </c>
      <c r="B1819" s="16" t="s">
        <v>998</v>
      </c>
      <c r="C1819" s="71" t="s">
        <v>2624</v>
      </c>
      <c r="D1819" s="2" t="s">
        <v>1631</v>
      </c>
      <c r="E1819" s="68" t="s">
        <v>2625</v>
      </c>
      <c r="F1819" s="466">
        <v>1</v>
      </c>
      <c r="G1819" s="1" t="s">
        <v>19</v>
      </c>
      <c r="H1819" s="8">
        <v>60265</v>
      </c>
      <c r="I1819" s="8">
        <f t="shared" si="119"/>
        <v>60265</v>
      </c>
      <c r="J1819" s="539">
        <v>59000</v>
      </c>
      <c r="K1819" s="521">
        <f t="shared" si="121"/>
        <v>1265</v>
      </c>
      <c r="L1819" s="522">
        <f t="shared" si="120"/>
        <v>1265</v>
      </c>
      <c r="M1819" s="523">
        <f t="shared" si="122"/>
        <v>2.099062474072845E-2</v>
      </c>
      <c r="N1819" s="30" t="s">
        <v>22</v>
      </c>
      <c r="O1819" s="2" t="s">
        <v>21</v>
      </c>
    </row>
    <row r="1820" spans="1:15">
      <c r="A1820" s="71">
        <v>2024</v>
      </c>
      <c r="B1820" s="16" t="s">
        <v>998</v>
      </c>
      <c r="C1820" s="71" t="s">
        <v>2626</v>
      </c>
      <c r="D1820" s="2" t="s">
        <v>1470</v>
      </c>
      <c r="E1820" s="68" t="s">
        <v>2627</v>
      </c>
      <c r="F1820" s="466">
        <v>4</v>
      </c>
      <c r="G1820" s="1" t="s">
        <v>2594</v>
      </c>
      <c r="H1820" s="8">
        <v>4700</v>
      </c>
      <c r="I1820" s="8">
        <f t="shared" si="119"/>
        <v>18800</v>
      </c>
      <c r="J1820" s="539">
        <v>4465</v>
      </c>
      <c r="K1820" s="521">
        <f t="shared" si="121"/>
        <v>235</v>
      </c>
      <c r="L1820" s="522">
        <f t="shared" si="120"/>
        <v>940</v>
      </c>
      <c r="M1820" s="523">
        <f t="shared" si="122"/>
        <v>0.05</v>
      </c>
      <c r="N1820" s="30" t="s">
        <v>22</v>
      </c>
      <c r="O1820" s="2" t="s">
        <v>21</v>
      </c>
    </row>
    <row r="1821" spans="1:15">
      <c r="A1821" s="71">
        <v>2024</v>
      </c>
      <c r="B1821" s="16" t="s">
        <v>998</v>
      </c>
      <c r="C1821" s="71" t="s">
        <v>2628</v>
      </c>
      <c r="D1821" s="2" t="s">
        <v>1670</v>
      </c>
      <c r="E1821" s="68" t="s">
        <v>2564</v>
      </c>
      <c r="F1821" s="466">
        <v>2</v>
      </c>
      <c r="G1821" s="1" t="s">
        <v>19</v>
      </c>
      <c r="H1821" s="8">
        <v>1850</v>
      </c>
      <c r="I1821" s="8">
        <f t="shared" si="119"/>
        <v>3700</v>
      </c>
      <c r="J1821" s="539">
        <v>1800</v>
      </c>
      <c r="K1821" s="521">
        <f t="shared" si="121"/>
        <v>50</v>
      </c>
      <c r="L1821" s="522">
        <f t="shared" si="120"/>
        <v>100</v>
      </c>
      <c r="M1821" s="523">
        <f t="shared" si="122"/>
        <v>2.7027027027027029E-2</v>
      </c>
      <c r="N1821" s="30" t="s">
        <v>22</v>
      </c>
      <c r="O1821" s="2" t="s">
        <v>21</v>
      </c>
    </row>
    <row r="1822" spans="1:15">
      <c r="A1822" s="71">
        <v>2024</v>
      </c>
      <c r="B1822" s="16" t="s">
        <v>998</v>
      </c>
      <c r="C1822" s="71" t="s">
        <v>2628</v>
      </c>
      <c r="D1822" s="2" t="s">
        <v>1670</v>
      </c>
      <c r="E1822" s="68" t="s">
        <v>2629</v>
      </c>
      <c r="F1822" s="466">
        <v>2</v>
      </c>
      <c r="G1822" s="1" t="s">
        <v>19</v>
      </c>
      <c r="H1822" s="8">
        <v>1850</v>
      </c>
      <c r="I1822" s="8">
        <f t="shared" si="119"/>
        <v>3700</v>
      </c>
      <c r="J1822" s="539">
        <v>1500</v>
      </c>
      <c r="K1822" s="521">
        <f t="shared" si="121"/>
        <v>350</v>
      </c>
      <c r="L1822" s="522">
        <f t="shared" si="120"/>
        <v>700</v>
      </c>
      <c r="M1822" s="523">
        <f t="shared" si="122"/>
        <v>0.1891891891891892</v>
      </c>
      <c r="N1822" s="30" t="s">
        <v>22</v>
      </c>
      <c r="O1822" s="2" t="s">
        <v>21</v>
      </c>
    </row>
    <row r="1823" spans="1:15">
      <c r="A1823" s="71">
        <v>2024</v>
      </c>
      <c r="B1823" s="16" t="s">
        <v>998</v>
      </c>
      <c r="C1823" s="71" t="s">
        <v>2630</v>
      </c>
      <c r="D1823" s="2" t="s">
        <v>1850</v>
      </c>
      <c r="E1823" s="68" t="s">
        <v>2631</v>
      </c>
      <c r="F1823" s="466">
        <v>4</v>
      </c>
      <c r="G1823" s="1" t="s">
        <v>19</v>
      </c>
      <c r="H1823" s="8">
        <v>800</v>
      </c>
      <c r="I1823" s="8">
        <f t="shared" si="119"/>
        <v>3200</v>
      </c>
      <c r="J1823" s="539">
        <v>600</v>
      </c>
      <c r="K1823" s="521">
        <f t="shared" si="121"/>
        <v>200</v>
      </c>
      <c r="L1823" s="522">
        <f t="shared" si="120"/>
        <v>800</v>
      </c>
      <c r="M1823" s="523">
        <f t="shared" si="122"/>
        <v>0.25</v>
      </c>
      <c r="N1823" s="30" t="s">
        <v>22</v>
      </c>
      <c r="O1823" s="2" t="s">
        <v>21</v>
      </c>
    </row>
    <row r="1824" spans="1:15">
      <c r="A1824" s="71">
        <v>2024</v>
      </c>
      <c r="B1824" s="16" t="s">
        <v>998</v>
      </c>
      <c r="C1824" s="71" t="s">
        <v>2632</v>
      </c>
      <c r="D1824" s="2" t="s">
        <v>926</v>
      </c>
      <c r="E1824" s="68" t="s">
        <v>123</v>
      </c>
      <c r="F1824" s="466">
        <v>150</v>
      </c>
      <c r="G1824" s="1" t="s">
        <v>19</v>
      </c>
      <c r="H1824" s="8">
        <v>100</v>
      </c>
      <c r="I1824" s="8">
        <f t="shared" si="119"/>
        <v>15000</v>
      </c>
      <c r="J1824" s="539">
        <v>95</v>
      </c>
      <c r="K1824" s="521">
        <f t="shared" si="121"/>
        <v>5</v>
      </c>
      <c r="L1824" s="522">
        <f t="shared" si="120"/>
        <v>750</v>
      </c>
      <c r="M1824" s="523">
        <f t="shared" si="122"/>
        <v>0.05</v>
      </c>
      <c r="N1824" s="30" t="s">
        <v>22</v>
      </c>
      <c r="O1824" s="2" t="s">
        <v>21</v>
      </c>
    </row>
    <row r="1825" spans="1:15">
      <c r="A1825" s="71">
        <v>2024</v>
      </c>
      <c r="B1825" s="16" t="s">
        <v>998</v>
      </c>
      <c r="C1825" s="71" t="s">
        <v>2632</v>
      </c>
      <c r="D1825" s="2" t="s">
        <v>926</v>
      </c>
      <c r="E1825" s="68" t="s">
        <v>1532</v>
      </c>
      <c r="F1825" s="466">
        <v>100</v>
      </c>
      <c r="G1825" s="1" t="s">
        <v>19</v>
      </c>
      <c r="H1825" s="8">
        <v>85</v>
      </c>
      <c r="I1825" s="8">
        <f t="shared" si="119"/>
        <v>8500</v>
      </c>
      <c r="J1825" s="539">
        <v>75</v>
      </c>
      <c r="K1825" s="521">
        <f t="shared" si="121"/>
        <v>10</v>
      </c>
      <c r="L1825" s="522">
        <f t="shared" si="120"/>
        <v>1000</v>
      </c>
      <c r="M1825" s="523">
        <f t="shared" si="122"/>
        <v>0.11764705882352941</v>
      </c>
      <c r="N1825" s="30" t="s">
        <v>22</v>
      </c>
      <c r="O1825" s="2" t="s">
        <v>21</v>
      </c>
    </row>
    <row r="1826" spans="1:15">
      <c r="A1826" s="71">
        <v>2024</v>
      </c>
      <c r="B1826" s="16" t="s">
        <v>998</v>
      </c>
      <c r="C1826" s="71" t="s">
        <v>2633</v>
      </c>
      <c r="D1826" s="2" t="s">
        <v>2210</v>
      </c>
      <c r="E1826" s="68" t="s">
        <v>2211</v>
      </c>
      <c r="F1826" s="466">
        <v>1500</v>
      </c>
      <c r="G1826" s="1" t="s">
        <v>19</v>
      </c>
      <c r="H1826" s="8">
        <v>14.92</v>
      </c>
      <c r="I1826" s="8">
        <f t="shared" si="119"/>
        <v>22380</v>
      </c>
      <c r="J1826" s="539">
        <v>13.8</v>
      </c>
      <c r="K1826" s="521">
        <f t="shared" si="121"/>
        <v>1.1199999999999992</v>
      </c>
      <c r="L1826" s="522">
        <f t="shared" si="120"/>
        <v>1679.9999999999989</v>
      </c>
      <c r="M1826" s="523">
        <f t="shared" si="122"/>
        <v>7.506702412868628E-2</v>
      </c>
      <c r="N1826" s="30" t="s">
        <v>20</v>
      </c>
      <c r="O1826" s="2" t="s">
        <v>21</v>
      </c>
    </row>
    <row r="1827" spans="1:15">
      <c r="A1827" s="71">
        <v>2024</v>
      </c>
      <c r="B1827" s="16" t="s">
        <v>1083</v>
      </c>
      <c r="C1827" s="71" t="s">
        <v>2634</v>
      </c>
      <c r="D1827" s="2" t="s">
        <v>200</v>
      </c>
      <c r="E1827" s="2" t="s">
        <v>2635</v>
      </c>
      <c r="F1827" s="96">
        <v>1</v>
      </c>
      <c r="G1827" s="1" t="s">
        <v>1983</v>
      </c>
      <c r="H1827" s="8">
        <v>55000</v>
      </c>
      <c r="I1827" s="8">
        <f t="shared" si="119"/>
        <v>55000</v>
      </c>
      <c r="J1827" s="539">
        <v>52000</v>
      </c>
      <c r="K1827" s="521">
        <f t="shared" si="121"/>
        <v>3000</v>
      </c>
      <c r="L1827" s="522">
        <f t="shared" si="120"/>
        <v>3000</v>
      </c>
      <c r="M1827" s="523">
        <f t="shared" si="122"/>
        <v>5.4545454545454543E-2</v>
      </c>
      <c r="N1827" s="30" t="s">
        <v>38</v>
      </c>
      <c r="O1827" s="2" t="s">
        <v>39</v>
      </c>
    </row>
    <row r="1828" spans="1:15">
      <c r="A1828" s="71">
        <v>2024</v>
      </c>
      <c r="B1828" s="16" t="s">
        <v>1083</v>
      </c>
      <c r="C1828" s="71" t="s">
        <v>2636</v>
      </c>
      <c r="D1828" s="2" t="s">
        <v>68</v>
      </c>
      <c r="E1828" s="2" t="s">
        <v>962</v>
      </c>
      <c r="F1828" s="96">
        <v>563.9</v>
      </c>
      <c r="G1828" s="1" t="s">
        <v>37</v>
      </c>
      <c r="H1828" s="8">
        <v>395</v>
      </c>
      <c r="I1828" s="8">
        <f t="shared" si="119"/>
        <v>222740.5</v>
      </c>
      <c r="J1828" s="539">
        <v>373</v>
      </c>
      <c r="K1828" s="521">
        <f t="shared" si="121"/>
        <v>22</v>
      </c>
      <c r="L1828" s="522">
        <f t="shared" si="120"/>
        <v>12405.8</v>
      </c>
      <c r="M1828" s="523">
        <f t="shared" si="122"/>
        <v>5.5696202531645568E-2</v>
      </c>
      <c r="N1828" s="30" t="s">
        <v>22</v>
      </c>
      <c r="O1828" s="2" t="s">
        <v>105</v>
      </c>
    </row>
    <row r="1829" spans="1:15">
      <c r="A1829" s="71">
        <v>2024</v>
      </c>
      <c r="B1829" s="16" t="s">
        <v>1083</v>
      </c>
      <c r="C1829" s="71" t="s">
        <v>2637</v>
      </c>
      <c r="D1829" s="2" t="s">
        <v>1252</v>
      </c>
      <c r="E1829" s="2" t="s">
        <v>1665</v>
      </c>
      <c r="F1829" s="96">
        <v>20120</v>
      </c>
      <c r="G1829" s="1" t="s">
        <v>37</v>
      </c>
      <c r="H1829" s="8">
        <v>32.56</v>
      </c>
      <c r="I1829" s="8">
        <f t="shared" si="119"/>
        <v>655107.20000000007</v>
      </c>
      <c r="J1829" s="539">
        <v>30.34</v>
      </c>
      <c r="K1829" s="521">
        <f t="shared" si="121"/>
        <v>2.2200000000000024</v>
      </c>
      <c r="L1829" s="522">
        <f t="shared" si="120"/>
        <v>44666.400000000045</v>
      </c>
      <c r="M1829" s="523">
        <f t="shared" si="122"/>
        <v>6.8181818181818246E-2</v>
      </c>
      <c r="N1829" s="30" t="s">
        <v>22</v>
      </c>
      <c r="O1829" s="2" t="s">
        <v>105</v>
      </c>
    </row>
    <row r="1830" spans="1:15">
      <c r="A1830" s="71">
        <v>2024</v>
      </c>
      <c r="B1830" s="16" t="s">
        <v>1083</v>
      </c>
      <c r="C1830" s="71" t="s">
        <v>2638</v>
      </c>
      <c r="D1830" s="2" t="s">
        <v>27</v>
      </c>
      <c r="E1830" s="32" t="s">
        <v>1147</v>
      </c>
      <c r="F1830" s="98">
        <v>20</v>
      </c>
      <c r="G1830" s="1" t="s">
        <v>615</v>
      </c>
      <c r="H1830" s="8">
        <v>156</v>
      </c>
      <c r="I1830" s="8">
        <f t="shared" si="119"/>
        <v>3120</v>
      </c>
      <c r="J1830" s="539">
        <v>155</v>
      </c>
      <c r="K1830" s="521">
        <f t="shared" si="121"/>
        <v>1</v>
      </c>
      <c r="L1830" s="522">
        <f t="shared" si="120"/>
        <v>20</v>
      </c>
      <c r="M1830" s="523">
        <f t="shared" si="122"/>
        <v>6.41025641025641E-3</v>
      </c>
      <c r="N1830" s="30" t="s">
        <v>22</v>
      </c>
      <c r="O1830" s="2" t="s">
        <v>105</v>
      </c>
    </row>
    <row r="1831" spans="1:15">
      <c r="A1831" s="71">
        <v>2024</v>
      </c>
      <c r="B1831" s="16" t="s">
        <v>1083</v>
      </c>
      <c r="C1831" s="71" t="s">
        <v>2639</v>
      </c>
      <c r="D1831" s="2" t="s">
        <v>121</v>
      </c>
      <c r="E1831" s="2" t="s">
        <v>2640</v>
      </c>
      <c r="F1831" s="96">
        <v>8</v>
      </c>
      <c r="G1831" s="1" t="s">
        <v>19</v>
      </c>
      <c r="H1831" s="8">
        <v>700</v>
      </c>
      <c r="I1831" s="8">
        <f t="shared" si="119"/>
        <v>5600</v>
      </c>
      <c r="J1831" s="539">
        <v>300</v>
      </c>
      <c r="K1831" s="521">
        <f t="shared" si="121"/>
        <v>400</v>
      </c>
      <c r="L1831" s="522">
        <f t="shared" si="120"/>
        <v>3200</v>
      </c>
      <c r="M1831" s="523">
        <f t="shared" si="122"/>
        <v>0.5714285714285714</v>
      </c>
      <c r="N1831" s="34" t="s">
        <v>22</v>
      </c>
      <c r="O1831" s="2" t="s">
        <v>21</v>
      </c>
    </row>
    <row r="1832" spans="1:15">
      <c r="A1832" s="71">
        <v>2024</v>
      </c>
      <c r="B1832" s="16" t="s">
        <v>1083</v>
      </c>
      <c r="C1832" s="71" t="s">
        <v>2641</v>
      </c>
      <c r="D1832" s="2" t="s">
        <v>1470</v>
      </c>
      <c r="E1832" s="2" t="s">
        <v>1471</v>
      </c>
      <c r="F1832" s="96">
        <v>200</v>
      </c>
      <c r="G1832" s="1" t="s">
        <v>98</v>
      </c>
      <c r="H1832" s="8">
        <v>3000</v>
      </c>
      <c r="I1832" s="8">
        <f t="shared" si="119"/>
        <v>600000</v>
      </c>
      <c r="J1832" s="539">
        <v>2850</v>
      </c>
      <c r="K1832" s="521">
        <f t="shared" si="121"/>
        <v>150</v>
      </c>
      <c r="L1832" s="522">
        <f t="shared" si="120"/>
        <v>30000</v>
      </c>
      <c r="M1832" s="523">
        <f t="shared" si="122"/>
        <v>0.05</v>
      </c>
      <c r="N1832" s="34" t="s">
        <v>22</v>
      </c>
      <c r="O1832" s="2" t="s">
        <v>21</v>
      </c>
    </row>
    <row r="1833" spans="1:15">
      <c r="A1833" s="71">
        <v>2024</v>
      </c>
      <c r="B1833" s="16" t="s">
        <v>1083</v>
      </c>
      <c r="C1833" s="71" t="s">
        <v>2642</v>
      </c>
      <c r="D1833" s="2" t="s">
        <v>27</v>
      </c>
      <c r="E1833" s="2" t="s">
        <v>28</v>
      </c>
      <c r="F1833" s="96">
        <v>6</v>
      </c>
      <c r="G1833" s="1" t="s">
        <v>29</v>
      </c>
      <c r="H1833" s="8">
        <v>1300</v>
      </c>
      <c r="I1833" s="8">
        <f t="shared" si="119"/>
        <v>7800</v>
      </c>
      <c r="J1833" s="539">
        <v>1100</v>
      </c>
      <c r="K1833" s="521">
        <f t="shared" si="121"/>
        <v>200</v>
      </c>
      <c r="L1833" s="522">
        <f t="shared" si="120"/>
        <v>1200</v>
      </c>
      <c r="M1833" s="523">
        <f t="shared" si="122"/>
        <v>0.15384615384615385</v>
      </c>
      <c r="N1833" s="34" t="s">
        <v>22</v>
      </c>
      <c r="O1833" s="2" t="s">
        <v>21</v>
      </c>
    </row>
    <row r="1834" spans="1:15">
      <c r="A1834" s="71">
        <v>2024</v>
      </c>
      <c r="B1834" s="16" t="s">
        <v>1083</v>
      </c>
      <c r="C1834" s="71" t="s">
        <v>2643</v>
      </c>
      <c r="D1834" s="2" t="s">
        <v>1409</v>
      </c>
      <c r="E1834" s="2" t="s">
        <v>2644</v>
      </c>
      <c r="F1834" s="96">
        <v>1</v>
      </c>
      <c r="G1834" s="1" t="s">
        <v>1368</v>
      </c>
      <c r="H1834" s="8">
        <v>7500</v>
      </c>
      <c r="I1834" s="8">
        <f t="shared" si="119"/>
        <v>7500</v>
      </c>
      <c r="J1834" s="539">
        <v>7125</v>
      </c>
      <c r="K1834" s="521">
        <f t="shared" si="121"/>
        <v>375</v>
      </c>
      <c r="L1834" s="522">
        <f t="shared" si="120"/>
        <v>375</v>
      </c>
      <c r="M1834" s="523">
        <f t="shared" si="122"/>
        <v>0.05</v>
      </c>
      <c r="N1834" s="34" t="s">
        <v>22</v>
      </c>
      <c r="O1834" s="2" t="s">
        <v>21</v>
      </c>
    </row>
    <row r="1835" spans="1:15">
      <c r="A1835" s="71">
        <v>2024</v>
      </c>
      <c r="B1835" s="16" t="s">
        <v>1083</v>
      </c>
      <c r="C1835" s="71" t="s">
        <v>2645</v>
      </c>
      <c r="D1835" s="2" t="s">
        <v>2294</v>
      </c>
      <c r="E1835" s="2" t="s">
        <v>2646</v>
      </c>
      <c r="F1835" s="96">
        <v>1</v>
      </c>
      <c r="G1835" s="1" t="s">
        <v>59</v>
      </c>
      <c r="H1835" s="8">
        <v>52000</v>
      </c>
      <c r="I1835" s="8">
        <f t="shared" si="119"/>
        <v>52000</v>
      </c>
      <c r="J1835" s="539">
        <v>49000</v>
      </c>
      <c r="K1835" s="521">
        <f t="shared" si="121"/>
        <v>3000</v>
      </c>
      <c r="L1835" s="522">
        <f t="shared" si="120"/>
        <v>3000</v>
      </c>
      <c r="M1835" s="523">
        <f t="shared" si="122"/>
        <v>5.7692307692307696E-2</v>
      </c>
      <c r="N1835" s="34" t="s">
        <v>22</v>
      </c>
      <c r="O1835" s="2" t="s">
        <v>21</v>
      </c>
    </row>
    <row r="1836" spans="1:15">
      <c r="A1836" s="71">
        <v>2024</v>
      </c>
      <c r="B1836" s="16" t="s">
        <v>1083</v>
      </c>
      <c r="C1836" s="71" t="s">
        <v>2647</v>
      </c>
      <c r="D1836" s="2" t="s">
        <v>110</v>
      </c>
      <c r="E1836" s="2" t="s">
        <v>2648</v>
      </c>
      <c r="F1836" s="96">
        <v>1</v>
      </c>
      <c r="G1836" s="1" t="s">
        <v>19</v>
      </c>
      <c r="H1836" s="8">
        <v>7200</v>
      </c>
      <c r="I1836" s="8">
        <f t="shared" si="119"/>
        <v>7200</v>
      </c>
      <c r="J1836" s="539">
        <v>6990</v>
      </c>
      <c r="K1836" s="521">
        <f t="shared" si="121"/>
        <v>210</v>
      </c>
      <c r="L1836" s="522">
        <f t="shared" si="120"/>
        <v>210</v>
      </c>
      <c r="M1836" s="523">
        <f t="shared" si="122"/>
        <v>2.9166666666666667E-2</v>
      </c>
      <c r="N1836" s="34" t="s">
        <v>22</v>
      </c>
      <c r="O1836" s="2" t="s">
        <v>21</v>
      </c>
    </row>
    <row r="1837" spans="1:15">
      <c r="A1837" s="71">
        <v>2024</v>
      </c>
      <c r="B1837" s="16" t="s">
        <v>1083</v>
      </c>
      <c r="C1837" s="71" t="s">
        <v>2649</v>
      </c>
      <c r="D1837" s="2" t="s">
        <v>356</v>
      </c>
      <c r="E1837" s="2" t="s">
        <v>2297</v>
      </c>
      <c r="F1837" s="96">
        <v>12</v>
      </c>
      <c r="G1837" s="1" t="s">
        <v>29</v>
      </c>
      <c r="H1837" s="8">
        <v>4080</v>
      </c>
      <c r="I1837" s="8">
        <f t="shared" ref="I1837:I1900" si="123">H1837*F1837</f>
        <v>48960</v>
      </c>
      <c r="J1837" s="539">
        <v>3850</v>
      </c>
      <c r="K1837" s="521">
        <f t="shared" si="121"/>
        <v>230</v>
      </c>
      <c r="L1837" s="522">
        <f t="shared" si="120"/>
        <v>2760</v>
      </c>
      <c r="M1837" s="523">
        <f t="shared" si="122"/>
        <v>5.6372549019607844E-2</v>
      </c>
      <c r="N1837" s="34" t="s">
        <v>20</v>
      </c>
      <c r="O1837" s="2" t="s">
        <v>21</v>
      </c>
    </row>
    <row r="1838" spans="1:15">
      <c r="A1838" s="71">
        <v>2024</v>
      </c>
      <c r="B1838" s="16" t="s">
        <v>1083</v>
      </c>
      <c r="C1838" s="71" t="s">
        <v>2650</v>
      </c>
      <c r="D1838" s="2" t="s">
        <v>1948</v>
      </c>
      <c r="E1838" s="2" t="s">
        <v>2651</v>
      </c>
      <c r="F1838" s="96">
        <v>20</v>
      </c>
      <c r="G1838" s="1" t="s">
        <v>19</v>
      </c>
      <c r="H1838" s="8">
        <v>1500</v>
      </c>
      <c r="I1838" s="8">
        <f t="shared" si="123"/>
        <v>30000</v>
      </c>
      <c r="J1838" s="539">
        <v>890</v>
      </c>
      <c r="K1838" s="521">
        <f t="shared" si="121"/>
        <v>610</v>
      </c>
      <c r="L1838" s="522">
        <f t="shared" si="120"/>
        <v>12200</v>
      </c>
      <c r="M1838" s="523">
        <f t="shared" si="122"/>
        <v>0.40666666666666668</v>
      </c>
      <c r="N1838" s="34" t="s">
        <v>22</v>
      </c>
      <c r="O1838" s="2" t="s">
        <v>21</v>
      </c>
    </row>
    <row r="1839" spans="1:15">
      <c r="A1839" s="71">
        <v>2024</v>
      </c>
      <c r="B1839" s="16" t="s">
        <v>1083</v>
      </c>
      <c r="C1839" s="71" t="s">
        <v>2652</v>
      </c>
      <c r="D1839" s="2" t="s">
        <v>1670</v>
      </c>
      <c r="E1839" s="2" t="s">
        <v>2653</v>
      </c>
      <c r="F1839" s="96">
        <v>18</v>
      </c>
      <c r="G1839" s="1" t="s">
        <v>19</v>
      </c>
      <c r="H1839" s="8">
        <v>3500</v>
      </c>
      <c r="I1839" s="8">
        <f t="shared" si="123"/>
        <v>63000</v>
      </c>
      <c r="J1839" s="539">
        <v>2500</v>
      </c>
      <c r="K1839" s="521">
        <f t="shared" si="121"/>
        <v>1000</v>
      </c>
      <c r="L1839" s="522">
        <f t="shared" si="120"/>
        <v>18000</v>
      </c>
      <c r="M1839" s="523">
        <f t="shared" si="122"/>
        <v>0.2857142857142857</v>
      </c>
      <c r="N1839" s="34" t="s">
        <v>22</v>
      </c>
      <c r="O1839" s="2" t="s">
        <v>21</v>
      </c>
    </row>
    <row r="1840" spans="1:15">
      <c r="A1840" s="71">
        <v>2024</v>
      </c>
      <c r="B1840" s="16" t="s">
        <v>1083</v>
      </c>
      <c r="C1840" s="71" t="s">
        <v>2652</v>
      </c>
      <c r="D1840" s="2" t="s">
        <v>1670</v>
      </c>
      <c r="E1840" s="2" t="s">
        <v>2207</v>
      </c>
      <c r="F1840" s="96">
        <v>1</v>
      </c>
      <c r="G1840" s="1" t="s">
        <v>19</v>
      </c>
      <c r="H1840" s="8">
        <v>1850</v>
      </c>
      <c r="I1840" s="8">
        <f t="shared" si="123"/>
        <v>1850</v>
      </c>
      <c r="J1840" s="539">
        <v>1800</v>
      </c>
      <c r="K1840" s="521">
        <f t="shared" si="121"/>
        <v>50</v>
      </c>
      <c r="L1840" s="522">
        <f t="shared" si="120"/>
        <v>50</v>
      </c>
      <c r="M1840" s="523">
        <f t="shared" si="122"/>
        <v>2.7027027027027029E-2</v>
      </c>
      <c r="N1840" s="34" t="s">
        <v>22</v>
      </c>
      <c r="O1840" s="2" t="s">
        <v>21</v>
      </c>
    </row>
    <row r="1841" spans="1:15">
      <c r="A1841" s="71">
        <v>2024</v>
      </c>
      <c r="B1841" s="16" t="s">
        <v>1083</v>
      </c>
      <c r="C1841" s="71" t="s">
        <v>2652</v>
      </c>
      <c r="D1841" s="2" t="s">
        <v>1670</v>
      </c>
      <c r="E1841" s="2" t="s">
        <v>2208</v>
      </c>
      <c r="F1841" s="96">
        <v>1</v>
      </c>
      <c r="G1841" s="1" t="s">
        <v>19</v>
      </c>
      <c r="H1841" s="8">
        <v>1850</v>
      </c>
      <c r="I1841" s="8">
        <f t="shared" si="123"/>
        <v>1850</v>
      </c>
      <c r="J1841" s="539">
        <v>1500</v>
      </c>
      <c r="K1841" s="521">
        <f t="shared" si="121"/>
        <v>350</v>
      </c>
      <c r="L1841" s="522">
        <f t="shared" si="120"/>
        <v>350</v>
      </c>
      <c r="M1841" s="523">
        <f t="shared" si="122"/>
        <v>0.1891891891891892</v>
      </c>
      <c r="N1841" s="34" t="s">
        <v>22</v>
      </c>
      <c r="O1841" s="2" t="s">
        <v>21</v>
      </c>
    </row>
    <row r="1842" spans="1:15">
      <c r="A1842" s="71">
        <v>2024</v>
      </c>
      <c r="B1842" s="16" t="s">
        <v>1083</v>
      </c>
      <c r="C1842" s="71" t="s">
        <v>2654</v>
      </c>
      <c r="D1842" s="2" t="s">
        <v>1204</v>
      </c>
      <c r="E1842" s="2" t="s">
        <v>2655</v>
      </c>
      <c r="F1842" s="462">
        <v>1</v>
      </c>
      <c r="G1842" s="1" t="s">
        <v>29</v>
      </c>
      <c r="H1842" s="8">
        <v>1600</v>
      </c>
      <c r="I1842" s="8">
        <f t="shared" si="123"/>
        <v>1600</v>
      </c>
      <c r="J1842" s="539">
        <v>1100</v>
      </c>
      <c r="K1842" s="521">
        <f t="shared" si="121"/>
        <v>500</v>
      </c>
      <c r="L1842" s="522">
        <f t="shared" si="120"/>
        <v>500</v>
      </c>
      <c r="M1842" s="523">
        <f t="shared" si="122"/>
        <v>0.3125</v>
      </c>
      <c r="N1842" s="34" t="s">
        <v>22</v>
      </c>
      <c r="O1842" s="2" t="s">
        <v>21</v>
      </c>
    </row>
    <row r="1843" spans="1:15">
      <c r="A1843" s="71">
        <v>2024</v>
      </c>
      <c r="B1843" s="16" t="s">
        <v>1083</v>
      </c>
      <c r="C1843" s="71" t="s">
        <v>2656</v>
      </c>
      <c r="D1843" s="2" t="s">
        <v>345</v>
      </c>
      <c r="E1843" s="33" t="s">
        <v>2657</v>
      </c>
      <c r="F1843" s="463">
        <v>1</v>
      </c>
      <c r="G1843" s="1" t="s">
        <v>59</v>
      </c>
      <c r="H1843" s="41">
        <v>1088000</v>
      </c>
      <c r="I1843" s="8">
        <f t="shared" si="123"/>
        <v>1088000</v>
      </c>
      <c r="J1843" s="543">
        <v>1060000</v>
      </c>
      <c r="K1843" s="521">
        <f t="shared" si="121"/>
        <v>28000</v>
      </c>
      <c r="L1843" s="522">
        <f t="shared" si="120"/>
        <v>28000</v>
      </c>
      <c r="M1843" s="523">
        <f t="shared" si="122"/>
        <v>2.5735294117647058E-2</v>
      </c>
      <c r="N1843" s="34" t="s">
        <v>38</v>
      </c>
      <c r="O1843" s="2" t="s">
        <v>21</v>
      </c>
    </row>
    <row r="1844" spans="1:15">
      <c r="A1844" s="71">
        <v>2024</v>
      </c>
      <c r="B1844" s="16" t="s">
        <v>1083</v>
      </c>
      <c r="C1844" s="71" t="s">
        <v>2658</v>
      </c>
      <c r="D1844" s="2" t="s">
        <v>1948</v>
      </c>
      <c r="E1844" s="33" t="s">
        <v>2659</v>
      </c>
      <c r="F1844" s="463">
        <v>1</v>
      </c>
      <c r="G1844" s="1" t="s">
        <v>238</v>
      </c>
      <c r="H1844" s="41">
        <v>3020</v>
      </c>
      <c r="I1844" s="8">
        <f t="shared" si="123"/>
        <v>3020</v>
      </c>
      <c r="J1844" s="543">
        <v>2100</v>
      </c>
      <c r="K1844" s="521">
        <f t="shared" si="121"/>
        <v>920</v>
      </c>
      <c r="L1844" s="522">
        <f t="shared" si="120"/>
        <v>920</v>
      </c>
      <c r="M1844" s="523">
        <f t="shared" si="122"/>
        <v>0.30463576158940397</v>
      </c>
      <c r="N1844" s="34" t="s">
        <v>22</v>
      </c>
      <c r="O1844" s="2" t="s">
        <v>21</v>
      </c>
    </row>
    <row r="1845" spans="1:15">
      <c r="A1845" s="71">
        <v>2024</v>
      </c>
      <c r="B1845" s="16" t="s">
        <v>1083</v>
      </c>
      <c r="C1845" s="71" t="s">
        <v>2660</v>
      </c>
      <c r="D1845" s="2" t="s">
        <v>113</v>
      </c>
      <c r="E1845" s="33" t="s">
        <v>2661</v>
      </c>
      <c r="F1845" s="463">
        <v>1</v>
      </c>
      <c r="G1845" s="1" t="s">
        <v>238</v>
      </c>
      <c r="H1845" s="41">
        <v>187500</v>
      </c>
      <c r="I1845" s="8">
        <f t="shared" si="123"/>
        <v>187500</v>
      </c>
      <c r="J1845" s="543">
        <v>140000</v>
      </c>
      <c r="K1845" s="521">
        <f t="shared" si="121"/>
        <v>47500</v>
      </c>
      <c r="L1845" s="522">
        <f t="shared" si="120"/>
        <v>47500</v>
      </c>
      <c r="M1845" s="523">
        <f t="shared" si="122"/>
        <v>0.25333333333333335</v>
      </c>
      <c r="N1845" s="34" t="s">
        <v>22</v>
      </c>
      <c r="O1845" s="2" t="s">
        <v>21</v>
      </c>
    </row>
    <row r="1846" spans="1:15">
      <c r="A1846" s="71">
        <v>2024</v>
      </c>
      <c r="B1846" s="16" t="s">
        <v>1083</v>
      </c>
      <c r="C1846" s="71" t="s">
        <v>2662</v>
      </c>
      <c r="D1846" s="2" t="s">
        <v>2663</v>
      </c>
      <c r="E1846" s="33" t="s">
        <v>2664</v>
      </c>
      <c r="F1846" s="463">
        <v>1</v>
      </c>
      <c r="G1846" s="1" t="s">
        <v>285</v>
      </c>
      <c r="H1846" s="41">
        <v>871230</v>
      </c>
      <c r="I1846" s="8">
        <f t="shared" si="123"/>
        <v>871230</v>
      </c>
      <c r="J1846" s="543">
        <v>860000</v>
      </c>
      <c r="K1846" s="521">
        <f t="shared" si="121"/>
        <v>11230</v>
      </c>
      <c r="L1846" s="522">
        <f t="shared" si="120"/>
        <v>11230</v>
      </c>
      <c r="M1846" s="523">
        <f t="shared" si="122"/>
        <v>1.2889822434948291E-2</v>
      </c>
      <c r="N1846" s="34" t="s">
        <v>38</v>
      </c>
      <c r="O1846" s="2" t="s">
        <v>105</v>
      </c>
    </row>
    <row r="1847" spans="1:15">
      <c r="A1847" s="71">
        <v>2024</v>
      </c>
      <c r="B1847" s="16" t="s">
        <v>1083</v>
      </c>
      <c r="C1847" s="71" t="s">
        <v>2665</v>
      </c>
      <c r="D1847" s="2" t="s">
        <v>1042</v>
      </c>
      <c r="E1847" s="451" t="s">
        <v>711</v>
      </c>
      <c r="F1847" s="463">
        <v>1254</v>
      </c>
      <c r="G1847" s="1" t="s">
        <v>37</v>
      </c>
      <c r="H1847" s="41">
        <v>387</v>
      </c>
      <c r="I1847" s="8">
        <f t="shared" si="123"/>
        <v>485298</v>
      </c>
      <c r="J1847" s="543">
        <v>350</v>
      </c>
      <c r="K1847" s="521">
        <f t="shared" si="121"/>
        <v>37</v>
      </c>
      <c r="L1847" s="522">
        <f t="shared" si="120"/>
        <v>46398</v>
      </c>
      <c r="M1847" s="523">
        <f t="shared" si="122"/>
        <v>9.5607235142118857E-2</v>
      </c>
      <c r="N1847" s="34" t="s">
        <v>22</v>
      </c>
      <c r="O1847" s="2" t="s">
        <v>105</v>
      </c>
    </row>
    <row r="1848" spans="1:15">
      <c r="A1848" s="71">
        <v>2024</v>
      </c>
      <c r="B1848" s="16" t="s">
        <v>1083</v>
      </c>
      <c r="C1848" s="71" t="s">
        <v>2666</v>
      </c>
      <c r="D1848" s="2" t="s">
        <v>94</v>
      </c>
      <c r="E1848" s="451" t="s">
        <v>1038</v>
      </c>
      <c r="F1848" s="479">
        <v>900</v>
      </c>
      <c r="G1848" s="9" t="s">
        <v>19</v>
      </c>
      <c r="H1848" s="509">
        <v>15.5</v>
      </c>
      <c r="I1848" s="8">
        <f t="shared" si="123"/>
        <v>13950</v>
      </c>
      <c r="J1848" s="543">
        <v>14.76</v>
      </c>
      <c r="K1848" s="521">
        <f t="shared" si="121"/>
        <v>0.74000000000000021</v>
      </c>
      <c r="L1848" s="522">
        <f t="shared" si="120"/>
        <v>666.00000000000023</v>
      </c>
      <c r="M1848" s="523">
        <f t="shared" si="122"/>
        <v>4.7741935483870984E-2</v>
      </c>
      <c r="N1848" s="34" t="s">
        <v>22</v>
      </c>
      <c r="O1848" s="2" t="s">
        <v>105</v>
      </c>
    </row>
    <row r="1849" spans="1:15">
      <c r="A1849" s="71">
        <v>2024</v>
      </c>
      <c r="B1849" s="16" t="s">
        <v>1083</v>
      </c>
      <c r="C1849" s="71" t="s">
        <v>2666</v>
      </c>
      <c r="D1849" s="2" t="s">
        <v>94</v>
      </c>
      <c r="E1849" s="2" t="s">
        <v>550</v>
      </c>
      <c r="F1849" s="481">
        <v>900</v>
      </c>
      <c r="G1849" s="9" t="s">
        <v>19</v>
      </c>
      <c r="H1849" s="498">
        <v>50</v>
      </c>
      <c r="I1849" s="8">
        <f t="shared" si="123"/>
        <v>45000</v>
      </c>
      <c r="J1849" s="539">
        <v>47.56</v>
      </c>
      <c r="K1849" s="521">
        <f t="shared" si="121"/>
        <v>2.4399999999999977</v>
      </c>
      <c r="L1849" s="522">
        <f t="shared" si="120"/>
        <v>2195.9999999999982</v>
      </c>
      <c r="M1849" s="523">
        <f t="shared" si="122"/>
        <v>4.8799999999999955E-2</v>
      </c>
      <c r="N1849" s="34" t="s">
        <v>22</v>
      </c>
      <c r="O1849" s="2" t="s">
        <v>105</v>
      </c>
    </row>
    <row r="1850" spans="1:15">
      <c r="A1850" s="71">
        <v>2024</v>
      </c>
      <c r="B1850" s="16" t="s">
        <v>1083</v>
      </c>
      <c r="C1850" s="71" t="s">
        <v>2666</v>
      </c>
      <c r="D1850" s="2" t="s">
        <v>94</v>
      </c>
      <c r="E1850" s="2" t="s">
        <v>546</v>
      </c>
      <c r="F1850" s="96">
        <v>200</v>
      </c>
      <c r="G1850" s="1" t="s">
        <v>19</v>
      </c>
      <c r="H1850" s="498">
        <v>185</v>
      </c>
      <c r="I1850" s="8">
        <f t="shared" si="123"/>
        <v>37000</v>
      </c>
      <c r="J1850" s="539">
        <v>182.25</v>
      </c>
      <c r="K1850" s="521">
        <f t="shared" si="121"/>
        <v>2.75</v>
      </c>
      <c r="L1850" s="522">
        <f t="shared" si="120"/>
        <v>550</v>
      </c>
      <c r="M1850" s="523">
        <f t="shared" si="122"/>
        <v>1.4864864864864866E-2</v>
      </c>
      <c r="N1850" s="34" t="s">
        <v>22</v>
      </c>
      <c r="O1850" s="2" t="s">
        <v>105</v>
      </c>
    </row>
    <row r="1851" spans="1:15">
      <c r="A1851" s="71">
        <v>2024</v>
      </c>
      <c r="B1851" s="16" t="s">
        <v>1083</v>
      </c>
      <c r="C1851" s="71" t="s">
        <v>2666</v>
      </c>
      <c r="D1851" s="2" t="s">
        <v>94</v>
      </c>
      <c r="E1851" s="2" t="s">
        <v>1504</v>
      </c>
      <c r="F1851" s="96">
        <v>100</v>
      </c>
      <c r="G1851" s="1" t="s">
        <v>19</v>
      </c>
      <c r="H1851" s="498">
        <v>2.6</v>
      </c>
      <c r="I1851" s="8">
        <f t="shared" si="123"/>
        <v>260</v>
      </c>
      <c r="J1851" s="539">
        <v>2.5499999999999998</v>
      </c>
      <c r="K1851" s="521">
        <f t="shared" si="121"/>
        <v>5.0000000000000266E-2</v>
      </c>
      <c r="L1851" s="522">
        <f t="shared" si="120"/>
        <v>5.0000000000000266</v>
      </c>
      <c r="M1851" s="523">
        <f t="shared" si="122"/>
        <v>1.9230769230769332E-2</v>
      </c>
      <c r="N1851" s="34" t="s">
        <v>22</v>
      </c>
      <c r="O1851" s="2" t="s">
        <v>105</v>
      </c>
    </row>
    <row r="1852" spans="1:15">
      <c r="A1852" s="71">
        <v>2024</v>
      </c>
      <c r="B1852" s="16" t="s">
        <v>1083</v>
      </c>
      <c r="C1852" s="71" t="s">
        <v>2667</v>
      </c>
      <c r="D1852" s="2" t="s">
        <v>1042</v>
      </c>
      <c r="E1852" s="2" t="s">
        <v>711</v>
      </c>
      <c r="F1852" s="96">
        <v>771</v>
      </c>
      <c r="G1852" s="1" t="s">
        <v>37</v>
      </c>
      <c r="H1852" s="498">
        <v>387</v>
      </c>
      <c r="I1852" s="8">
        <f t="shared" si="123"/>
        <v>298377</v>
      </c>
      <c r="J1852" s="539">
        <v>350</v>
      </c>
      <c r="K1852" s="521">
        <f t="shared" si="121"/>
        <v>37</v>
      </c>
      <c r="L1852" s="522">
        <f t="shared" si="120"/>
        <v>28527</v>
      </c>
      <c r="M1852" s="523">
        <f t="shared" si="122"/>
        <v>9.5607235142118857E-2</v>
      </c>
      <c r="N1852" s="34" t="s">
        <v>22</v>
      </c>
      <c r="O1852" s="2" t="s">
        <v>105</v>
      </c>
    </row>
    <row r="1853" spans="1:15">
      <c r="A1853" s="71">
        <v>2024</v>
      </c>
      <c r="B1853" s="16" t="s">
        <v>1083</v>
      </c>
      <c r="C1853" s="71" t="s">
        <v>2668</v>
      </c>
      <c r="D1853" s="2" t="s">
        <v>107</v>
      </c>
      <c r="E1853" s="2" t="s">
        <v>564</v>
      </c>
      <c r="F1853" s="96">
        <v>20</v>
      </c>
      <c r="G1853" s="1" t="s">
        <v>19</v>
      </c>
      <c r="H1853" s="498">
        <v>1200</v>
      </c>
      <c r="I1853" s="8">
        <f t="shared" si="123"/>
        <v>24000</v>
      </c>
      <c r="J1853" s="539">
        <v>980</v>
      </c>
      <c r="K1853" s="521">
        <f t="shared" si="121"/>
        <v>220</v>
      </c>
      <c r="L1853" s="522">
        <f t="shared" si="120"/>
        <v>4400</v>
      </c>
      <c r="M1853" s="523">
        <f t="shared" si="122"/>
        <v>0.18333333333333332</v>
      </c>
      <c r="N1853" s="34" t="s">
        <v>22</v>
      </c>
      <c r="O1853" s="2" t="s">
        <v>105</v>
      </c>
    </row>
    <row r="1854" spans="1:15">
      <c r="A1854" s="71">
        <v>2024</v>
      </c>
      <c r="B1854" s="16" t="s">
        <v>1083</v>
      </c>
      <c r="C1854" s="71" t="s">
        <v>2669</v>
      </c>
      <c r="D1854" s="2" t="s">
        <v>68</v>
      </c>
      <c r="E1854" s="2" t="s">
        <v>755</v>
      </c>
      <c r="F1854" s="96">
        <v>623.9</v>
      </c>
      <c r="G1854" s="1" t="s">
        <v>37</v>
      </c>
      <c r="H1854" s="498">
        <v>395</v>
      </c>
      <c r="I1854" s="8">
        <f t="shared" si="123"/>
        <v>246440.5</v>
      </c>
      <c r="J1854" s="539">
        <v>378</v>
      </c>
      <c r="K1854" s="521">
        <f t="shared" si="121"/>
        <v>17</v>
      </c>
      <c r="L1854" s="522">
        <f t="shared" si="120"/>
        <v>10606.3</v>
      </c>
      <c r="M1854" s="523">
        <f t="shared" si="122"/>
        <v>4.3037974683544304E-2</v>
      </c>
      <c r="N1854" s="34" t="s">
        <v>22</v>
      </c>
      <c r="O1854" s="2" t="s">
        <v>105</v>
      </c>
    </row>
    <row r="1855" spans="1:15">
      <c r="A1855" s="71">
        <v>2024</v>
      </c>
      <c r="B1855" s="16" t="s">
        <v>1083</v>
      </c>
      <c r="C1855" s="71" t="s">
        <v>2670</v>
      </c>
      <c r="D1855" s="2" t="s">
        <v>27</v>
      </c>
      <c r="E1855" s="2" t="s">
        <v>456</v>
      </c>
      <c r="F1855" s="96">
        <v>300</v>
      </c>
      <c r="G1855" s="1" t="s">
        <v>19</v>
      </c>
      <c r="H1855" s="8">
        <v>2.5499999999999998</v>
      </c>
      <c r="I1855" s="8">
        <f t="shared" si="123"/>
        <v>765</v>
      </c>
      <c r="J1855" s="539">
        <v>2.5</v>
      </c>
      <c r="K1855" s="521">
        <f t="shared" si="121"/>
        <v>4.9999999999999822E-2</v>
      </c>
      <c r="L1855" s="522">
        <f t="shared" ref="L1855:L1918" si="124">K1855*F1855</f>
        <v>14.999999999999947</v>
      </c>
      <c r="M1855" s="523">
        <f t="shared" si="122"/>
        <v>1.9607843137254832E-2</v>
      </c>
      <c r="N1855" s="34" t="s">
        <v>22</v>
      </c>
      <c r="O1855" s="2" t="s">
        <v>105</v>
      </c>
    </row>
    <row r="1856" spans="1:15">
      <c r="A1856" s="71">
        <v>2024</v>
      </c>
      <c r="B1856" s="16" t="s">
        <v>1083</v>
      </c>
      <c r="C1856" s="71" t="s">
        <v>2671</v>
      </c>
      <c r="D1856" s="2" t="s">
        <v>94</v>
      </c>
      <c r="E1856" s="2" t="s">
        <v>613</v>
      </c>
      <c r="F1856" s="96">
        <v>200</v>
      </c>
      <c r="G1856" s="1" t="s">
        <v>19</v>
      </c>
      <c r="H1856" s="8">
        <v>25</v>
      </c>
      <c r="I1856" s="8">
        <f t="shared" si="123"/>
        <v>5000</v>
      </c>
      <c r="J1856" s="539">
        <v>24.6</v>
      </c>
      <c r="K1856" s="521">
        <f t="shared" si="121"/>
        <v>0.39999999999999858</v>
      </c>
      <c r="L1856" s="522">
        <f t="shared" si="124"/>
        <v>79.999999999999716</v>
      </c>
      <c r="M1856" s="523">
        <f t="shared" si="122"/>
        <v>1.5999999999999945E-2</v>
      </c>
      <c r="N1856" s="34" t="s">
        <v>22</v>
      </c>
      <c r="O1856" s="2" t="s">
        <v>105</v>
      </c>
    </row>
    <row r="1857" spans="1:15">
      <c r="A1857" s="71">
        <v>2024</v>
      </c>
      <c r="B1857" s="16" t="s">
        <v>1083</v>
      </c>
      <c r="C1857" s="71" t="s">
        <v>2672</v>
      </c>
      <c r="D1857" s="2" t="s">
        <v>1042</v>
      </c>
      <c r="E1857" s="2" t="s">
        <v>711</v>
      </c>
      <c r="F1857" s="96">
        <v>666</v>
      </c>
      <c r="G1857" s="1" t="s">
        <v>37</v>
      </c>
      <c r="H1857" s="8">
        <v>387</v>
      </c>
      <c r="I1857" s="8">
        <f t="shared" si="123"/>
        <v>257742</v>
      </c>
      <c r="J1857" s="539">
        <v>350</v>
      </c>
      <c r="K1857" s="521">
        <f t="shared" si="121"/>
        <v>37</v>
      </c>
      <c r="L1857" s="522">
        <f t="shared" si="124"/>
        <v>24642</v>
      </c>
      <c r="M1857" s="523">
        <f t="shared" si="122"/>
        <v>9.5607235142118857E-2</v>
      </c>
      <c r="N1857" s="34" t="s">
        <v>22</v>
      </c>
      <c r="O1857" s="2" t="s">
        <v>105</v>
      </c>
    </row>
    <row r="1858" spans="1:15">
      <c r="A1858" s="71">
        <v>2024</v>
      </c>
      <c r="B1858" s="16" t="s">
        <v>1083</v>
      </c>
      <c r="C1858" s="71" t="s">
        <v>2673</v>
      </c>
      <c r="D1858" s="2" t="s">
        <v>270</v>
      </c>
      <c r="E1858" s="2" t="s">
        <v>2674</v>
      </c>
      <c r="F1858" s="96">
        <v>4</v>
      </c>
      <c r="G1858" s="1" t="s">
        <v>19</v>
      </c>
      <c r="H1858" s="8">
        <v>23006</v>
      </c>
      <c r="I1858" s="8">
        <f t="shared" si="123"/>
        <v>92024</v>
      </c>
      <c r="J1858" s="539">
        <v>22775</v>
      </c>
      <c r="K1858" s="521">
        <f t="shared" si="121"/>
        <v>231</v>
      </c>
      <c r="L1858" s="522">
        <f t="shared" si="124"/>
        <v>924</v>
      </c>
      <c r="M1858" s="523">
        <f t="shared" si="122"/>
        <v>1.0040858906372251E-2</v>
      </c>
      <c r="N1858" s="34" t="s">
        <v>38</v>
      </c>
      <c r="O1858" s="2" t="s">
        <v>105</v>
      </c>
    </row>
    <row r="1859" spans="1:15">
      <c r="A1859" s="71">
        <v>2024</v>
      </c>
      <c r="B1859" s="16" t="s">
        <v>1083</v>
      </c>
      <c r="C1859" s="71" t="s">
        <v>2673</v>
      </c>
      <c r="D1859" s="2" t="s">
        <v>270</v>
      </c>
      <c r="E1859" s="2" t="s">
        <v>2675</v>
      </c>
      <c r="F1859" s="96">
        <v>4</v>
      </c>
      <c r="G1859" s="1" t="s">
        <v>19</v>
      </c>
      <c r="H1859" s="8">
        <v>23667</v>
      </c>
      <c r="I1859" s="8">
        <f t="shared" si="123"/>
        <v>94668</v>
      </c>
      <c r="J1859" s="539">
        <v>23430</v>
      </c>
      <c r="K1859" s="521">
        <f t="shared" ref="K1859:K1922" si="125">H1859-J1859</f>
        <v>237</v>
      </c>
      <c r="L1859" s="522">
        <f t="shared" si="124"/>
        <v>948</v>
      </c>
      <c r="M1859" s="523">
        <f t="shared" ref="M1859:M1922" si="126">K1859/H1859</f>
        <v>1.0013943465584992E-2</v>
      </c>
      <c r="N1859" s="34" t="s">
        <v>38</v>
      </c>
      <c r="O1859" s="2" t="s">
        <v>105</v>
      </c>
    </row>
    <row r="1860" spans="1:15">
      <c r="A1860" s="71">
        <v>2024</v>
      </c>
      <c r="B1860" s="16" t="s">
        <v>1083</v>
      </c>
      <c r="C1860" s="71" t="s">
        <v>2676</v>
      </c>
      <c r="D1860" s="2" t="s">
        <v>94</v>
      </c>
      <c r="E1860" s="2" t="s">
        <v>2677</v>
      </c>
      <c r="F1860" s="96">
        <v>100</v>
      </c>
      <c r="G1860" s="1" t="s">
        <v>19</v>
      </c>
      <c r="H1860" s="8">
        <v>26.5</v>
      </c>
      <c r="I1860" s="8">
        <f t="shared" si="123"/>
        <v>2650</v>
      </c>
      <c r="J1860" s="539">
        <v>24.6</v>
      </c>
      <c r="K1860" s="521">
        <f t="shared" si="125"/>
        <v>1.8999999999999986</v>
      </c>
      <c r="L1860" s="522">
        <f t="shared" si="124"/>
        <v>189.99999999999986</v>
      </c>
      <c r="M1860" s="523">
        <f t="shared" si="126"/>
        <v>7.1698113207547112E-2</v>
      </c>
      <c r="N1860" s="34" t="s">
        <v>22</v>
      </c>
      <c r="O1860" s="2" t="s">
        <v>105</v>
      </c>
    </row>
    <row r="1861" spans="1:15">
      <c r="A1861" s="71">
        <v>2024</v>
      </c>
      <c r="B1861" s="16" t="s">
        <v>1083</v>
      </c>
      <c r="C1861" s="71" t="s">
        <v>2678</v>
      </c>
      <c r="D1861" s="2" t="s">
        <v>94</v>
      </c>
      <c r="E1861" s="2" t="s">
        <v>1147</v>
      </c>
      <c r="F1861" s="96">
        <v>10</v>
      </c>
      <c r="G1861" s="1" t="s">
        <v>615</v>
      </c>
      <c r="H1861" s="8">
        <v>155</v>
      </c>
      <c r="I1861" s="8">
        <f t="shared" si="123"/>
        <v>1550</v>
      </c>
      <c r="J1861" s="539">
        <v>152</v>
      </c>
      <c r="K1861" s="521">
        <f t="shared" si="125"/>
        <v>3</v>
      </c>
      <c r="L1861" s="522">
        <f t="shared" si="124"/>
        <v>30</v>
      </c>
      <c r="M1861" s="523">
        <f t="shared" si="126"/>
        <v>1.935483870967742E-2</v>
      </c>
      <c r="N1861" s="34" t="s">
        <v>22</v>
      </c>
      <c r="O1861" s="2" t="s">
        <v>105</v>
      </c>
    </row>
    <row r="1862" spans="1:15">
      <c r="A1862" s="71">
        <v>2024</v>
      </c>
      <c r="B1862" s="16" t="s">
        <v>1083</v>
      </c>
      <c r="C1862" s="71" t="s">
        <v>2679</v>
      </c>
      <c r="D1862" s="2" t="s">
        <v>270</v>
      </c>
      <c r="E1862" s="2" t="s">
        <v>2680</v>
      </c>
      <c r="F1862" s="96">
        <v>1</v>
      </c>
      <c r="G1862" s="1" t="s">
        <v>302</v>
      </c>
      <c r="H1862" s="8">
        <v>271132</v>
      </c>
      <c r="I1862" s="8">
        <f t="shared" si="123"/>
        <v>271132</v>
      </c>
      <c r="J1862" s="539">
        <v>265704</v>
      </c>
      <c r="K1862" s="521">
        <f t="shared" si="125"/>
        <v>5428</v>
      </c>
      <c r="L1862" s="522">
        <f t="shared" si="124"/>
        <v>5428</v>
      </c>
      <c r="M1862" s="523">
        <f t="shared" si="126"/>
        <v>2.0019768968620451E-2</v>
      </c>
      <c r="N1862" s="34" t="s">
        <v>38</v>
      </c>
      <c r="O1862" s="2" t="s">
        <v>105</v>
      </c>
    </row>
    <row r="1863" spans="1:15">
      <c r="A1863" s="71">
        <v>2024</v>
      </c>
      <c r="B1863" s="16" t="s">
        <v>1083</v>
      </c>
      <c r="C1863" s="71" t="s">
        <v>2681</v>
      </c>
      <c r="D1863" s="2" t="s">
        <v>94</v>
      </c>
      <c r="E1863" s="2" t="s">
        <v>550</v>
      </c>
      <c r="F1863" s="96">
        <v>300</v>
      </c>
      <c r="G1863" s="1" t="s">
        <v>19</v>
      </c>
      <c r="H1863" s="8">
        <v>50</v>
      </c>
      <c r="I1863" s="8">
        <f t="shared" si="123"/>
        <v>15000</v>
      </c>
      <c r="J1863" s="539">
        <v>47.56</v>
      </c>
      <c r="K1863" s="521">
        <f t="shared" si="125"/>
        <v>2.4399999999999977</v>
      </c>
      <c r="L1863" s="522">
        <f t="shared" si="124"/>
        <v>731.99999999999932</v>
      </c>
      <c r="M1863" s="523">
        <f t="shared" si="126"/>
        <v>4.8799999999999955E-2</v>
      </c>
      <c r="N1863" s="34" t="s">
        <v>22</v>
      </c>
      <c r="O1863" s="2" t="s">
        <v>105</v>
      </c>
    </row>
    <row r="1864" spans="1:15">
      <c r="A1864" s="71">
        <v>2024</v>
      </c>
      <c r="B1864" s="16" t="s">
        <v>1083</v>
      </c>
      <c r="C1864" s="71" t="s">
        <v>2682</v>
      </c>
      <c r="D1864" s="2" t="s">
        <v>270</v>
      </c>
      <c r="E1864" s="2" t="s">
        <v>2683</v>
      </c>
      <c r="F1864" s="96">
        <v>1</v>
      </c>
      <c r="G1864" s="1" t="s">
        <v>2684</v>
      </c>
      <c r="H1864" s="8">
        <v>66372</v>
      </c>
      <c r="I1864" s="8">
        <f t="shared" si="123"/>
        <v>66372</v>
      </c>
      <c r="J1864" s="539">
        <v>65048</v>
      </c>
      <c r="K1864" s="521">
        <f t="shared" si="125"/>
        <v>1324</v>
      </c>
      <c r="L1864" s="522">
        <f t="shared" si="124"/>
        <v>1324</v>
      </c>
      <c r="M1864" s="523">
        <f t="shared" si="126"/>
        <v>1.9948170915446272E-2</v>
      </c>
      <c r="N1864" s="34" t="s">
        <v>38</v>
      </c>
      <c r="O1864" s="2" t="s">
        <v>105</v>
      </c>
    </row>
    <row r="1865" spans="1:15">
      <c r="A1865" s="71">
        <v>2024</v>
      </c>
      <c r="B1865" s="16" t="s">
        <v>1083</v>
      </c>
      <c r="C1865" s="71" t="s">
        <v>2685</v>
      </c>
      <c r="D1865" s="2" t="s">
        <v>2342</v>
      </c>
      <c r="E1865" s="2" t="s">
        <v>2686</v>
      </c>
      <c r="F1865" s="96">
        <v>1</v>
      </c>
      <c r="G1865" s="1" t="s">
        <v>285</v>
      </c>
      <c r="H1865" s="8">
        <v>3500</v>
      </c>
      <c r="I1865" s="8">
        <f t="shared" si="123"/>
        <v>3500</v>
      </c>
      <c r="J1865" s="539">
        <v>0</v>
      </c>
      <c r="K1865" s="521">
        <f t="shared" si="125"/>
        <v>3500</v>
      </c>
      <c r="L1865" s="522">
        <f t="shared" si="124"/>
        <v>3500</v>
      </c>
      <c r="M1865" s="523">
        <f t="shared" si="126"/>
        <v>1</v>
      </c>
      <c r="N1865" s="34" t="s">
        <v>38</v>
      </c>
      <c r="O1865" s="2" t="s">
        <v>105</v>
      </c>
    </row>
    <row r="1866" spans="1:15">
      <c r="A1866" s="71">
        <v>2024</v>
      </c>
      <c r="B1866" s="16" t="s">
        <v>1083</v>
      </c>
      <c r="C1866" s="71" t="s">
        <v>2687</v>
      </c>
      <c r="D1866" s="2" t="s">
        <v>2688</v>
      </c>
      <c r="E1866" s="2" t="s">
        <v>2689</v>
      </c>
      <c r="F1866" s="96">
        <v>1</v>
      </c>
      <c r="G1866" s="1" t="s">
        <v>285</v>
      </c>
      <c r="H1866" s="8">
        <v>140000</v>
      </c>
      <c r="I1866" s="8">
        <f t="shared" si="123"/>
        <v>140000</v>
      </c>
      <c r="J1866" s="539">
        <v>133000</v>
      </c>
      <c r="K1866" s="521">
        <f t="shared" si="125"/>
        <v>7000</v>
      </c>
      <c r="L1866" s="522">
        <f t="shared" si="124"/>
        <v>7000</v>
      </c>
      <c r="M1866" s="523">
        <f t="shared" si="126"/>
        <v>0.05</v>
      </c>
      <c r="N1866" s="34" t="s">
        <v>38</v>
      </c>
      <c r="O1866" s="2" t="s">
        <v>105</v>
      </c>
    </row>
    <row r="1867" spans="1:15">
      <c r="A1867" s="71">
        <v>2024</v>
      </c>
      <c r="B1867" s="16" t="s">
        <v>1083</v>
      </c>
      <c r="C1867" s="71" t="s">
        <v>2690</v>
      </c>
      <c r="D1867" s="2" t="s">
        <v>1101</v>
      </c>
      <c r="E1867" s="2" t="s">
        <v>1102</v>
      </c>
      <c r="F1867" s="96">
        <v>1216</v>
      </c>
      <c r="G1867" s="1" t="s">
        <v>19</v>
      </c>
      <c r="H1867" s="8">
        <v>16</v>
      </c>
      <c r="I1867" s="8">
        <f t="shared" si="123"/>
        <v>19456</v>
      </c>
      <c r="J1867" s="539">
        <v>15</v>
      </c>
      <c r="K1867" s="521">
        <f t="shared" si="125"/>
        <v>1</v>
      </c>
      <c r="L1867" s="522">
        <f t="shared" si="124"/>
        <v>1216</v>
      </c>
      <c r="M1867" s="523">
        <f t="shared" si="126"/>
        <v>6.25E-2</v>
      </c>
      <c r="N1867" s="34" t="s">
        <v>38</v>
      </c>
      <c r="O1867" s="2" t="s">
        <v>21</v>
      </c>
    </row>
    <row r="1868" spans="1:15">
      <c r="A1868" s="71">
        <v>2024</v>
      </c>
      <c r="B1868" s="16" t="s">
        <v>1083</v>
      </c>
      <c r="C1868" s="71" t="s">
        <v>2691</v>
      </c>
      <c r="D1868" s="2" t="s">
        <v>1948</v>
      </c>
      <c r="E1868" s="2" t="s">
        <v>2692</v>
      </c>
      <c r="F1868" s="96">
        <v>2</v>
      </c>
      <c r="G1868" s="1" t="s">
        <v>29</v>
      </c>
      <c r="H1868" s="8">
        <v>570</v>
      </c>
      <c r="I1868" s="8">
        <f t="shared" si="123"/>
        <v>1140</v>
      </c>
      <c r="J1868" s="539">
        <v>450</v>
      </c>
      <c r="K1868" s="521">
        <f t="shared" si="125"/>
        <v>120</v>
      </c>
      <c r="L1868" s="522">
        <f t="shared" si="124"/>
        <v>240</v>
      </c>
      <c r="M1868" s="523">
        <f t="shared" si="126"/>
        <v>0.21052631578947367</v>
      </c>
      <c r="N1868" s="34" t="s">
        <v>22</v>
      </c>
      <c r="O1868" s="2" t="s">
        <v>21</v>
      </c>
    </row>
    <row r="1869" spans="1:15">
      <c r="A1869" s="71">
        <v>2024</v>
      </c>
      <c r="B1869" s="16" t="s">
        <v>1083</v>
      </c>
      <c r="C1869" s="71" t="s">
        <v>2693</v>
      </c>
      <c r="D1869" s="2" t="s">
        <v>121</v>
      </c>
      <c r="E1869" s="2" t="s">
        <v>2694</v>
      </c>
      <c r="F1869" s="96">
        <v>2</v>
      </c>
      <c r="G1869" s="1" t="s">
        <v>19</v>
      </c>
      <c r="H1869" s="8">
        <v>700</v>
      </c>
      <c r="I1869" s="8">
        <f t="shared" si="123"/>
        <v>1400</v>
      </c>
      <c r="J1869" s="539">
        <v>300</v>
      </c>
      <c r="K1869" s="521">
        <f t="shared" si="125"/>
        <v>400</v>
      </c>
      <c r="L1869" s="522">
        <f t="shared" si="124"/>
        <v>800</v>
      </c>
      <c r="M1869" s="523">
        <f t="shared" si="126"/>
        <v>0.5714285714285714</v>
      </c>
      <c r="N1869" s="34" t="s">
        <v>22</v>
      </c>
      <c r="O1869" s="2" t="s">
        <v>21</v>
      </c>
    </row>
    <row r="1870" spans="1:15">
      <c r="A1870" s="71">
        <v>2024</v>
      </c>
      <c r="B1870" s="16" t="s">
        <v>1083</v>
      </c>
      <c r="C1870" s="71" t="s">
        <v>2695</v>
      </c>
      <c r="D1870" s="2" t="s">
        <v>1948</v>
      </c>
      <c r="E1870" s="2" t="s">
        <v>1420</v>
      </c>
      <c r="F1870" s="96">
        <v>2000</v>
      </c>
      <c r="G1870" s="1" t="s">
        <v>19</v>
      </c>
      <c r="H1870" s="8">
        <v>1.5</v>
      </c>
      <c r="I1870" s="8">
        <f t="shared" si="123"/>
        <v>3000</v>
      </c>
      <c r="J1870" s="539">
        <v>1.31</v>
      </c>
      <c r="K1870" s="521">
        <f t="shared" si="125"/>
        <v>0.18999999999999995</v>
      </c>
      <c r="L1870" s="522">
        <f t="shared" si="124"/>
        <v>379.99999999999989</v>
      </c>
      <c r="M1870" s="523">
        <f t="shared" si="126"/>
        <v>0.12666666666666662</v>
      </c>
      <c r="N1870" s="34" t="s">
        <v>22</v>
      </c>
      <c r="O1870" s="2" t="s">
        <v>21</v>
      </c>
    </row>
    <row r="1871" spans="1:15">
      <c r="A1871" s="71">
        <v>2024</v>
      </c>
      <c r="B1871" s="16" t="s">
        <v>1083</v>
      </c>
      <c r="C1871" s="71" t="s">
        <v>2696</v>
      </c>
      <c r="D1871" s="2" t="s">
        <v>96</v>
      </c>
      <c r="E1871" s="2" t="s">
        <v>97</v>
      </c>
      <c r="F1871" s="96">
        <v>50</v>
      </c>
      <c r="G1871" s="1" t="s">
        <v>19</v>
      </c>
      <c r="H1871" s="8">
        <v>275</v>
      </c>
      <c r="I1871" s="8">
        <f t="shared" si="123"/>
        <v>13750</v>
      </c>
      <c r="J1871" s="539">
        <v>140</v>
      </c>
      <c r="K1871" s="521">
        <f t="shared" si="125"/>
        <v>135</v>
      </c>
      <c r="L1871" s="522">
        <f t="shared" si="124"/>
        <v>6750</v>
      </c>
      <c r="M1871" s="523">
        <f t="shared" si="126"/>
        <v>0.49090909090909091</v>
      </c>
      <c r="N1871" s="34" t="s">
        <v>22</v>
      </c>
      <c r="O1871" s="2" t="s">
        <v>21</v>
      </c>
    </row>
    <row r="1872" spans="1:15">
      <c r="A1872" s="71">
        <v>2024</v>
      </c>
      <c r="B1872" s="16" t="s">
        <v>1083</v>
      </c>
      <c r="C1872" s="71" t="s">
        <v>2696</v>
      </c>
      <c r="D1872" s="2" t="s">
        <v>96</v>
      </c>
      <c r="E1872" s="2" t="s">
        <v>99</v>
      </c>
      <c r="F1872" s="96">
        <v>30</v>
      </c>
      <c r="G1872" s="1" t="s">
        <v>19</v>
      </c>
      <c r="H1872" s="8">
        <v>805</v>
      </c>
      <c r="I1872" s="8">
        <f t="shared" si="123"/>
        <v>24150</v>
      </c>
      <c r="J1872" s="539">
        <v>432</v>
      </c>
      <c r="K1872" s="521">
        <f t="shared" si="125"/>
        <v>373</v>
      </c>
      <c r="L1872" s="522">
        <f t="shared" si="124"/>
        <v>11190</v>
      </c>
      <c r="M1872" s="523">
        <f t="shared" si="126"/>
        <v>0.46335403726708074</v>
      </c>
      <c r="N1872" s="34" t="s">
        <v>22</v>
      </c>
      <c r="O1872" s="2" t="s">
        <v>21</v>
      </c>
    </row>
    <row r="1873" spans="1:15">
      <c r="A1873" s="71">
        <v>2024</v>
      </c>
      <c r="B1873" s="16" t="s">
        <v>1083</v>
      </c>
      <c r="C1873" s="71" t="s">
        <v>2696</v>
      </c>
      <c r="D1873" s="2" t="s">
        <v>96</v>
      </c>
      <c r="E1873" s="2" t="s">
        <v>774</v>
      </c>
      <c r="F1873" s="96">
        <v>50</v>
      </c>
      <c r="G1873" s="1" t="s">
        <v>19</v>
      </c>
      <c r="H1873" s="8">
        <v>1425</v>
      </c>
      <c r="I1873" s="8">
        <f t="shared" si="123"/>
        <v>71250</v>
      </c>
      <c r="J1873" s="539">
        <v>1050</v>
      </c>
      <c r="K1873" s="521">
        <f t="shared" si="125"/>
        <v>375</v>
      </c>
      <c r="L1873" s="522">
        <f t="shared" si="124"/>
        <v>18750</v>
      </c>
      <c r="M1873" s="523">
        <f t="shared" si="126"/>
        <v>0.26315789473684209</v>
      </c>
      <c r="N1873" s="34" t="s">
        <v>22</v>
      </c>
      <c r="O1873" s="2" t="s">
        <v>21</v>
      </c>
    </row>
    <row r="1874" spans="1:15">
      <c r="A1874" s="71">
        <v>2024</v>
      </c>
      <c r="B1874" s="16" t="s">
        <v>1083</v>
      </c>
      <c r="C1874" s="71" t="s">
        <v>2696</v>
      </c>
      <c r="D1874" s="2" t="s">
        <v>96</v>
      </c>
      <c r="E1874" s="2" t="s">
        <v>419</v>
      </c>
      <c r="F1874" s="96">
        <v>30</v>
      </c>
      <c r="G1874" s="1" t="s">
        <v>19</v>
      </c>
      <c r="H1874" s="8">
        <v>9780</v>
      </c>
      <c r="I1874" s="8">
        <f t="shared" si="123"/>
        <v>293400</v>
      </c>
      <c r="J1874" s="539">
        <v>8400</v>
      </c>
      <c r="K1874" s="521">
        <f t="shared" si="125"/>
        <v>1380</v>
      </c>
      <c r="L1874" s="522">
        <f t="shared" si="124"/>
        <v>41400</v>
      </c>
      <c r="M1874" s="523">
        <f t="shared" si="126"/>
        <v>0.1411042944785276</v>
      </c>
      <c r="N1874" s="34" t="s">
        <v>22</v>
      </c>
      <c r="O1874" s="2" t="s">
        <v>21</v>
      </c>
    </row>
    <row r="1875" spans="1:15">
      <c r="A1875" s="71">
        <v>2024</v>
      </c>
      <c r="B1875" s="16" t="s">
        <v>1083</v>
      </c>
      <c r="C1875" s="71" t="s">
        <v>2697</v>
      </c>
      <c r="D1875" s="2" t="s">
        <v>946</v>
      </c>
      <c r="E1875" s="2" t="s">
        <v>1700</v>
      </c>
      <c r="F1875" s="96">
        <v>3000</v>
      </c>
      <c r="G1875" s="1" t="s">
        <v>615</v>
      </c>
      <c r="H1875" s="8">
        <v>22.5</v>
      </c>
      <c r="I1875" s="8">
        <f t="shared" si="123"/>
        <v>67500</v>
      </c>
      <c r="J1875" s="539">
        <v>20.925000000000001</v>
      </c>
      <c r="K1875" s="521">
        <f t="shared" si="125"/>
        <v>1.5749999999999993</v>
      </c>
      <c r="L1875" s="522">
        <f t="shared" si="124"/>
        <v>4724.9999999999982</v>
      </c>
      <c r="M1875" s="523">
        <f t="shared" si="126"/>
        <v>6.9999999999999965E-2</v>
      </c>
      <c r="N1875" s="34" t="s">
        <v>38</v>
      </c>
      <c r="O1875" s="2" t="s">
        <v>21</v>
      </c>
    </row>
    <row r="1876" spans="1:15">
      <c r="A1876" s="71">
        <v>2024</v>
      </c>
      <c r="B1876" s="16" t="s">
        <v>1083</v>
      </c>
      <c r="C1876" s="71" t="s">
        <v>2698</v>
      </c>
      <c r="D1876" s="2" t="s">
        <v>1896</v>
      </c>
      <c r="E1876" s="2" t="s">
        <v>1897</v>
      </c>
      <c r="F1876" s="96">
        <v>60</v>
      </c>
      <c r="G1876" s="1" t="s">
        <v>19</v>
      </c>
      <c r="H1876" s="8">
        <v>80</v>
      </c>
      <c r="I1876" s="8">
        <f t="shared" si="123"/>
        <v>4800</v>
      </c>
      <c r="J1876" s="539">
        <v>70</v>
      </c>
      <c r="K1876" s="521">
        <f t="shared" si="125"/>
        <v>10</v>
      </c>
      <c r="L1876" s="522">
        <f t="shared" si="124"/>
        <v>600</v>
      </c>
      <c r="M1876" s="523">
        <f t="shared" si="126"/>
        <v>0.125</v>
      </c>
      <c r="N1876" s="34" t="s">
        <v>22</v>
      </c>
      <c r="O1876" s="2" t="s">
        <v>21</v>
      </c>
    </row>
    <row r="1877" spans="1:15">
      <c r="A1877" s="71">
        <v>2024</v>
      </c>
      <c r="B1877" s="16" t="s">
        <v>1083</v>
      </c>
      <c r="C1877" s="71" t="s">
        <v>2699</v>
      </c>
      <c r="D1877" s="2" t="s">
        <v>323</v>
      </c>
      <c r="E1877" s="2" t="s">
        <v>737</v>
      </c>
      <c r="F1877" s="96">
        <v>30</v>
      </c>
      <c r="G1877" s="1" t="s">
        <v>29</v>
      </c>
      <c r="H1877" s="8">
        <v>2190</v>
      </c>
      <c r="I1877" s="8">
        <f t="shared" si="123"/>
        <v>65700</v>
      </c>
      <c r="J1877" s="539">
        <v>1890</v>
      </c>
      <c r="K1877" s="521">
        <f t="shared" si="125"/>
        <v>300</v>
      </c>
      <c r="L1877" s="522">
        <f t="shared" si="124"/>
        <v>9000</v>
      </c>
      <c r="M1877" s="523">
        <f t="shared" si="126"/>
        <v>0.13698630136986301</v>
      </c>
      <c r="N1877" s="34" t="s">
        <v>22</v>
      </c>
      <c r="O1877" s="2" t="s">
        <v>21</v>
      </c>
    </row>
    <row r="1878" spans="1:15">
      <c r="A1878" s="71">
        <v>2024</v>
      </c>
      <c r="B1878" s="16" t="s">
        <v>1083</v>
      </c>
      <c r="C1878" s="71" t="s">
        <v>2700</v>
      </c>
      <c r="D1878" s="2" t="s">
        <v>522</v>
      </c>
      <c r="E1878" s="2" t="s">
        <v>2701</v>
      </c>
      <c r="F1878" s="96">
        <v>1</v>
      </c>
      <c r="G1878" s="1" t="s">
        <v>285</v>
      </c>
      <c r="H1878" s="8">
        <v>261579.6</v>
      </c>
      <c r="I1878" s="8">
        <f t="shared" si="123"/>
        <v>261579.6</v>
      </c>
      <c r="J1878" s="539">
        <v>240000</v>
      </c>
      <c r="K1878" s="521">
        <f t="shared" si="125"/>
        <v>21579.600000000006</v>
      </c>
      <c r="L1878" s="522">
        <f t="shared" si="124"/>
        <v>21579.600000000006</v>
      </c>
      <c r="M1878" s="523">
        <f t="shared" si="126"/>
        <v>8.2497258960561162E-2</v>
      </c>
      <c r="N1878" s="34" t="s">
        <v>38</v>
      </c>
      <c r="O1878" s="2" t="s">
        <v>21</v>
      </c>
    </row>
    <row r="1879" spans="1:15">
      <c r="A1879" s="71">
        <v>2024</v>
      </c>
      <c r="B1879" s="16" t="s">
        <v>1083</v>
      </c>
      <c r="C1879" s="71" t="s">
        <v>2702</v>
      </c>
      <c r="D1879" s="2" t="s">
        <v>2703</v>
      </c>
      <c r="E1879" s="2" t="s">
        <v>2704</v>
      </c>
      <c r="F1879" s="96">
        <v>3</v>
      </c>
      <c r="G1879" s="1" t="s">
        <v>238</v>
      </c>
      <c r="H1879" s="8">
        <v>3850</v>
      </c>
      <c r="I1879" s="8">
        <f t="shared" si="123"/>
        <v>11550</v>
      </c>
      <c r="J1879" s="539">
        <v>2350</v>
      </c>
      <c r="K1879" s="521">
        <f t="shared" si="125"/>
        <v>1500</v>
      </c>
      <c r="L1879" s="522">
        <f t="shared" si="124"/>
        <v>4500</v>
      </c>
      <c r="M1879" s="523">
        <f t="shared" si="126"/>
        <v>0.38961038961038963</v>
      </c>
      <c r="N1879" s="34" t="s">
        <v>22</v>
      </c>
      <c r="O1879" s="2" t="s">
        <v>21</v>
      </c>
    </row>
    <row r="1880" spans="1:15">
      <c r="A1880" s="71">
        <v>2024</v>
      </c>
      <c r="B1880" s="16" t="s">
        <v>1083</v>
      </c>
      <c r="C1880" s="71" t="s">
        <v>2705</v>
      </c>
      <c r="D1880" s="2" t="s">
        <v>828</v>
      </c>
      <c r="E1880" s="2" t="s">
        <v>2706</v>
      </c>
      <c r="F1880" s="96">
        <v>3</v>
      </c>
      <c r="G1880" s="1" t="s">
        <v>238</v>
      </c>
      <c r="H1880" s="8">
        <v>9525</v>
      </c>
      <c r="I1880" s="8">
        <f t="shared" si="123"/>
        <v>28575</v>
      </c>
      <c r="J1880" s="539">
        <v>9000</v>
      </c>
      <c r="K1880" s="521">
        <f t="shared" si="125"/>
        <v>525</v>
      </c>
      <c r="L1880" s="522">
        <f t="shared" si="124"/>
        <v>1575</v>
      </c>
      <c r="M1880" s="523">
        <f t="shared" si="126"/>
        <v>5.5118110236220472E-2</v>
      </c>
      <c r="N1880" s="34" t="s">
        <v>22</v>
      </c>
      <c r="O1880" s="2" t="s">
        <v>21</v>
      </c>
    </row>
    <row r="1881" spans="1:15">
      <c r="A1881" s="71">
        <v>2024</v>
      </c>
      <c r="B1881" s="16" t="s">
        <v>1083</v>
      </c>
      <c r="C1881" s="71" t="s">
        <v>2707</v>
      </c>
      <c r="D1881" s="2" t="s">
        <v>192</v>
      </c>
      <c r="E1881" s="2" t="s">
        <v>2708</v>
      </c>
      <c r="F1881" s="96">
        <v>1</v>
      </c>
      <c r="G1881" s="1" t="s">
        <v>19</v>
      </c>
      <c r="H1881" s="8">
        <v>4000</v>
      </c>
      <c r="I1881" s="8">
        <f t="shared" si="123"/>
        <v>4000</v>
      </c>
      <c r="J1881" s="539">
        <v>1390</v>
      </c>
      <c r="K1881" s="521">
        <f t="shared" si="125"/>
        <v>2610</v>
      </c>
      <c r="L1881" s="522">
        <f t="shared" si="124"/>
        <v>2610</v>
      </c>
      <c r="M1881" s="523">
        <f t="shared" si="126"/>
        <v>0.65249999999999997</v>
      </c>
      <c r="N1881" s="34" t="s">
        <v>22</v>
      </c>
      <c r="O1881" s="2" t="s">
        <v>105</v>
      </c>
    </row>
    <row r="1882" spans="1:15">
      <c r="A1882" s="71">
        <v>2024</v>
      </c>
      <c r="B1882" s="16" t="s">
        <v>1083</v>
      </c>
      <c r="C1882" s="71" t="s">
        <v>2709</v>
      </c>
      <c r="D1882" s="2" t="s">
        <v>107</v>
      </c>
      <c r="E1882" s="2" t="s">
        <v>1652</v>
      </c>
      <c r="F1882" s="96">
        <v>9</v>
      </c>
      <c r="G1882" s="1" t="s">
        <v>19</v>
      </c>
      <c r="H1882" s="8">
        <v>1700</v>
      </c>
      <c r="I1882" s="8">
        <f t="shared" si="123"/>
        <v>15300</v>
      </c>
      <c r="J1882" s="539">
        <v>1470</v>
      </c>
      <c r="K1882" s="521">
        <f t="shared" si="125"/>
        <v>230</v>
      </c>
      <c r="L1882" s="522">
        <f t="shared" si="124"/>
        <v>2070</v>
      </c>
      <c r="M1882" s="523">
        <f t="shared" si="126"/>
        <v>0.13529411764705881</v>
      </c>
      <c r="N1882" s="34" t="s">
        <v>22</v>
      </c>
      <c r="O1882" s="2" t="s">
        <v>105</v>
      </c>
    </row>
    <row r="1883" spans="1:15">
      <c r="A1883" s="71">
        <v>2024</v>
      </c>
      <c r="B1883" s="16" t="s">
        <v>1083</v>
      </c>
      <c r="C1883" s="71" t="s">
        <v>2709</v>
      </c>
      <c r="D1883" s="2" t="s">
        <v>107</v>
      </c>
      <c r="E1883" s="2" t="s">
        <v>816</v>
      </c>
      <c r="F1883" s="96">
        <v>3</v>
      </c>
      <c r="G1883" s="1" t="s">
        <v>19</v>
      </c>
      <c r="H1883" s="8">
        <v>3000</v>
      </c>
      <c r="I1883" s="8">
        <f t="shared" si="123"/>
        <v>9000</v>
      </c>
      <c r="J1883" s="539">
        <v>2625</v>
      </c>
      <c r="K1883" s="521">
        <f t="shared" si="125"/>
        <v>375</v>
      </c>
      <c r="L1883" s="522">
        <f t="shared" si="124"/>
        <v>1125</v>
      </c>
      <c r="M1883" s="523">
        <f t="shared" si="126"/>
        <v>0.125</v>
      </c>
      <c r="N1883" s="34" t="s">
        <v>22</v>
      </c>
      <c r="O1883" s="2" t="s">
        <v>105</v>
      </c>
    </row>
    <row r="1884" spans="1:15">
      <c r="A1884" s="71">
        <v>2024</v>
      </c>
      <c r="B1884" s="16" t="s">
        <v>1083</v>
      </c>
      <c r="C1884" s="71" t="s">
        <v>2710</v>
      </c>
      <c r="D1884" s="2" t="s">
        <v>2711</v>
      </c>
      <c r="E1884" s="2" t="s">
        <v>2686</v>
      </c>
      <c r="F1884" s="96">
        <v>1</v>
      </c>
      <c r="G1884" s="1" t="s">
        <v>285</v>
      </c>
      <c r="H1884" s="8">
        <v>3500</v>
      </c>
      <c r="I1884" s="8">
        <f t="shared" si="123"/>
        <v>3500</v>
      </c>
      <c r="J1884" s="539">
        <v>0</v>
      </c>
      <c r="K1884" s="521">
        <f t="shared" si="125"/>
        <v>3500</v>
      </c>
      <c r="L1884" s="522">
        <f t="shared" si="124"/>
        <v>3500</v>
      </c>
      <c r="M1884" s="523">
        <f t="shared" si="126"/>
        <v>1</v>
      </c>
      <c r="N1884" s="34" t="s">
        <v>38</v>
      </c>
      <c r="O1884" s="2" t="s">
        <v>105</v>
      </c>
    </row>
    <row r="1885" spans="1:15">
      <c r="A1885" s="71">
        <v>2024</v>
      </c>
      <c r="B1885" s="16" t="s">
        <v>1083</v>
      </c>
      <c r="C1885" s="71" t="s">
        <v>2712</v>
      </c>
      <c r="D1885" s="2" t="s">
        <v>2711</v>
      </c>
      <c r="E1885" s="2" t="s">
        <v>2686</v>
      </c>
      <c r="F1885" s="96">
        <v>1</v>
      </c>
      <c r="G1885" s="1" t="s">
        <v>285</v>
      </c>
      <c r="H1885" s="8">
        <v>3500</v>
      </c>
      <c r="I1885" s="8">
        <f t="shared" si="123"/>
        <v>3500</v>
      </c>
      <c r="J1885" s="539">
        <v>0</v>
      </c>
      <c r="K1885" s="521">
        <f t="shared" si="125"/>
        <v>3500</v>
      </c>
      <c r="L1885" s="522">
        <f t="shared" si="124"/>
        <v>3500</v>
      </c>
      <c r="M1885" s="523">
        <f t="shared" si="126"/>
        <v>1</v>
      </c>
      <c r="N1885" s="34" t="s">
        <v>38</v>
      </c>
      <c r="O1885" s="2" t="s">
        <v>105</v>
      </c>
    </row>
    <row r="1886" spans="1:15">
      <c r="A1886" s="71">
        <v>2024</v>
      </c>
      <c r="B1886" s="16" t="s">
        <v>1083</v>
      </c>
      <c r="C1886" s="71" t="s">
        <v>2713</v>
      </c>
      <c r="D1886" s="2" t="s">
        <v>1658</v>
      </c>
      <c r="E1886" s="2" t="s">
        <v>2686</v>
      </c>
      <c r="F1886" s="96">
        <v>1</v>
      </c>
      <c r="G1886" s="1" t="s">
        <v>285</v>
      </c>
      <c r="H1886" s="8">
        <v>3500</v>
      </c>
      <c r="I1886" s="8">
        <f t="shared" si="123"/>
        <v>3500</v>
      </c>
      <c r="J1886" s="539">
        <v>0</v>
      </c>
      <c r="K1886" s="521">
        <f t="shared" si="125"/>
        <v>3500</v>
      </c>
      <c r="L1886" s="522">
        <f t="shared" si="124"/>
        <v>3500</v>
      </c>
      <c r="M1886" s="523">
        <f t="shared" si="126"/>
        <v>1</v>
      </c>
      <c r="N1886" s="34" t="s">
        <v>38</v>
      </c>
      <c r="O1886" s="2" t="s">
        <v>105</v>
      </c>
    </row>
    <row r="1887" spans="1:15">
      <c r="A1887" s="71">
        <v>2024</v>
      </c>
      <c r="B1887" s="16" t="s">
        <v>1083</v>
      </c>
      <c r="C1887" s="71" t="s">
        <v>2714</v>
      </c>
      <c r="D1887" s="2" t="s">
        <v>2167</v>
      </c>
      <c r="E1887" s="2" t="s">
        <v>2686</v>
      </c>
      <c r="F1887" s="96">
        <v>1</v>
      </c>
      <c r="G1887" s="1" t="s">
        <v>285</v>
      </c>
      <c r="H1887" s="8">
        <v>3500</v>
      </c>
      <c r="I1887" s="8">
        <f t="shared" si="123"/>
        <v>3500</v>
      </c>
      <c r="J1887" s="539">
        <v>0</v>
      </c>
      <c r="K1887" s="521">
        <f t="shared" si="125"/>
        <v>3500</v>
      </c>
      <c r="L1887" s="522">
        <f t="shared" si="124"/>
        <v>3500</v>
      </c>
      <c r="M1887" s="523">
        <f t="shared" si="126"/>
        <v>1</v>
      </c>
      <c r="N1887" s="34" t="s">
        <v>38</v>
      </c>
      <c r="O1887" s="2" t="s">
        <v>105</v>
      </c>
    </row>
    <row r="1888" spans="1:15">
      <c r="A1888" s="71">
        <v>2024</v>
      </c>
      <c r="B1888" s="16" t="s">
        <v>1083</v>
      </c>
      <c r="C1888" s="71" t="s">
        <v>2715</v>
      </c>
      <c r="D1888" s="2" t="s">
        <v>283</v>
      </c>
      <c r="E1888" s="2" t="s">
        <v>2716</v>
      </c>
      <c r="F1888" s="96">
        <v>1</v>
      </c>
      <c r="G1888" s="1" t="s">
        <v>285</v>
      </c>
      <c r="H1888" s="8">
        <v>36500</v>
      </c>
      <c r="I1888" s="8">
        <f t="shared" si="123"/>
        <v>36500</v>
      </c>
      <c r="J1888" s="539">
        <v>35500</v>
      </c>
      <c r="K1888" s="521">
        <f t="shared" si="125"/>
        <v>1000</v>
      </c>
      <c r="L1888" s="522">
        <f t="shared" si="124"/>
        <v>1000</v>
      </c>
      <c r="M1888" s="523">
        <f t="shared" si="126"/>
        <v>2.7397260273972601E-2</v>
      </c>
      <c r="N1888" s="34" t="s">
        <v>38</v>
      </c>
      <c r="O1888" s="2" t="s">
        <v>105</v>
      </c>
    </row>
    <row r="1889" spans="1:15">
      <c r="A1889" s="71">
        <v>2024</v>
      </c>
      <c r="B1889" s="16" t="s">
        <v>1083</v>
      </c>
      <c r="C1889" s="71" t="s">
        <v>2717</v>
      </c>
      <c r="D1889" s="2" t="s">
        <v>118</v>
      </c>
      <c r="E1889" s="2" t="s">
        <v>2718</v>
      </c>
      <c r="F1889" s="96">
        <v>2</v>
      </c>
      <c r="G1889" s="1" t="s">
        <v>238</v>
      </c>
      <c r="H1889" s="8">
        <v>6295</v>
      </c>
      <c r="I1889" s="8">
        <f t="shared" si="123"/>
        <v>12590</v>
      </c>
      <c r="J1889" s="539">
        <v>6240</v>
      </c>
      <c r="K1889" s="521">
        <f t="shared" si="125"/>
        <v>55</v>
      </c>
      <c r="L1889" s="522">
        <f t="shared" si="124"/>
        <v>110</v>
      </c>
      <c r="M1889" s="523">
        <f t="shared" si="126"/>
        <v>8.737092930897538E-3</v>
      </c>
      <c r="N1889" s="34" t="s">
        <v>22</v>
      </c>
      <c r="O1889" s="2" t="s">
        <v>21</v>
      </c>
    </row>
    <row r="1890" spans="1:15">
      <c r="A1890" s="71">
        <v>2024</v>
      </c>
      <c r="B1890" s="16" t="s">
        <v>1083</v>
      </c>
      <c r="C1890" s="71" t="s">
        <v>2719</v>
      </c>
      <c r="D1890" s="2" t="s">
        <v>1948</v>
      </c>
      <c r="E1890" s="2" t="s">
        <v>2720</v>
      </c>
      <c r="F1890" s="96">
        <v>12</v>
      </c>
      <c r="G1890" s="1" t="s">
        <v>19</v>
      </c>
      <c r="H1890" s="8">
        <v>190</v>
      </c>
      <c r="I1890" s="8">
        <f t="shared" si="123"/>
        <v>2280</v>
      </c>
      <c r="J1890" s="539">
        <v>130</v>
      </c>
      <c r="K1890" s="521">
        <f t="shared" si="125"/>
        <v>60</v>
      </c>
      <c r="L1890" s="522">
        <f t="shared" si="124"/>
        <v>720</v>
      </c>
      <c r="M1890" s="523">
        <f t="shared" si="126"/>
        <v>0.31578947368421051</v>
      </c>
      <c r="N1890" s="34" t="s">
        <v>22</v>
      </c>
      <c r="O1890" s="2" t="s">
        <v>21</v>
      </c>
    </row>
    <row r="1891" spans="1:15">
      <c r="A1891" s="71">
        <v>2024</v>
      </c>
      <c r="B1891" s="16" t="s">
        <v>1083</v>
      </c>
      <c r="C1891" s="71" t="s">
        <v>2721</v>
      </c>
      <c r="D1891" s="2" t="s">
        <v>1948</v>
      </c>
      <c r="E1891" s="2" t="s">
        <v>2722</v>
      </c>
      <c r="F1891" s="96">
        <v>4</v>
      </c>
      <c r="G1891" s="1" t="s">
        <v>588</v>
      </c>
      <c r="H1891" s="8">
        <v>600</v>
      </c>
      <c r="I1891" s="8">
        <f t="shared" si="123"/>
        <v>2400</v>
      </c>
      <c r="J1891" s="539">
        <v>435</v>
      </c>
      <c r="K1891" s="521">
        <f t="shared" si="125"/>
        <v>165</v>
      </c>
      <c r="L1891" s="522">
        <f t="shared" si="124"/>
        <v>660</v>
      </c>
      <c r="M1891" s="523">
        <f t="shared" si="126"/>
        <v>0.27500000000000002</v>
      </c>
      <c r="N1891" s="34" t="s">
        <v>22</v>
      </c>
      <c r="O1891" s="2" t="s">
        <v>21</v>
      </c>
    </row>
    <row r="1892" spans="1:15">
      <c r="A1892" s="71">
        <v>2024</v>
      </c>
      <c r="B1892" s="16" t="s">
        <v>1083</v>
      </c>
      <c r="C1892" s="61" t="s">
        <v>2723</v>
      </c>
      <c r="D1892" s="32" t="s">
        <v>1948</v>
      </c>
      <c r="E1892" s="43" t="s">
        <v>2724</v>
      </c>
      <c r="F1892" s="99">
        <v>300</v>
      </c>
      <c r="G1892" s="45" t="s">
        <v>19</v>
      </c>
      <c r="H1892" s="44">
        <v>28</v>
      </c>
      <c r="I1892" s="44">
        <f t="shared" si="123"/>
        <v>8400</v>
      </c>
      <c r="J1892" s="544">
        <v>20</v>
      </c>
      <c r="K1892" s="529">
        <f t="shared" si="125"/>
        <v>8</v>
      </c>
      <c r="L1892" s="545">
        <f t="shared" si="124"/>
        <v>2400</v>
      </c>
      <c r="M1892" s="523">
        <f t="shared" si="126"/>
        <v>0.2857142857142857</v>
      </c>
      <c r="N1892" s="30" t="s">
        <v>22</v>
      </c>
      <c r="O1892" s="2" t="s">
        <v>21</v>
      </c>
    </row>
    <row r="1893" spans="1:15">
      <c r="A1893" s="71">
        <v>2024</v>
      </c>
      <c r="B1893" s="16" t="s">
        <v>1083</v>
      </c>
      <c r="C1893" s="61" t="s">
        <v>2725</v>
      </c>
      <c r="D1893" s="32" t="s">
        <v>1670</v>
      </c>
      <c r="E1893" s="69" t="s">
        <v>2726</v>
      </c>
      <c r="F1893" s="99">
        <v>2</v>
      </c>
      <c r="G1893" s="418" t="s">
        <v>19</v>
      </c>
      <c r="H1893" s="44">
        <v>9300</v>
      </c>
      <c r="I1893" s="44">
        <f t="shared" si="123"/>
        <v>18600</v>
      </c>
      <c r="J1893" s="544">
        <v>9050</v>
      </c>
      <c r="K1893" s="529">
        <f t="shared" si="125"/>
        <v>250</v>
      </c>
      <c r="L1893" s="545">
        <f t="shared" si="124"/>
        <v>500</v>
      </c>
      <c r="M1893" s="523">
        <f t="shared" si="126"/>
        <v>2.6881720430107527E-2</v>
      </c>
      <c r="N1893" s="30" t="s">
        <v>22</v>
      </c>
      <c r="O1893" s="2" t="s">
        <v>21</v>
      </c>
    </row>
    <row r="1894" spans="1:15">
      <c r="A1894" s="71">
        <v>2024</v>
      </c>
      <c r="B1894" s="16" t="s">
        <v>1083</v>
      </c>
      <c r="C1894" s="61" t="s">
        <v>2725</v>
      </c>
      <c r="D1894" s="32" t="s">
        <v>1670</v>
      </c>
      <c r="E1894" s="33" t="s">
        <v>2727</v>
      </c>
      <c r="F1894" s="97">
        <v>2</v>
      </c>
      <c r="G1894" s="46" t="s">
        <v>19</v>
      </c>
      <c r="H1894" s="44">
        <v>14400</v>
      </c>
      <c r="I1894" s="44">
        <f t="shared" si="123"/>
        <v>28800</v>
      </c>
      <c r="J1894" s="544">
        <v>14000</v>
      </c>
      <c r="K1894" s="529">
        <f t="shared" si="125"/>
        <v>400</v>
      </c>
      <c r="L1894" s="545">
        <f t="shared" si="124"/>
        <v>800</v>
      </c>
      <c r="M1894" s="523">
        <f t="shared" si="126"/>
        <v>2.7777777777777776E-2</v>
      </c>
      <c r="N1894" s="30" t="s">
        <v>22</v>
      </c>
      <c r="O1894" s="2" t="s">
        <v>21</v>
      </c>
    </row>
    <row r="1895" spans="1:15">
      <c r="A1895" s="71">
        <v>2024</v>
      </c>
      <c r="B1895" s="16" t="s">
        <v>1083</v>
      </c>
      <c r="C1895" s="71" t="s">
        <v>2728</v>
      </c>
      <c r="D1895" s="2" t="s">
        <v>1042</v>
      </c>
      <c r="E1895" s="2" t="s">
        <v>711</v>
      </c>
      <c r="F1895" s="96">
        <v>460</v>
      </c>
      <c r="G1895" s="1" t="s">
        <v>37</v>
      </c>
      <c r="H1895" s="41">
        <v>387</v>
      </c>
      <c r="I1895" s="44">
        <f t="shared" si="123"/>
        <v>178020</v>
      </c>
      <c r="J1895" s="543">
        <v>350</v>
      </c>
      <c r="K1895" s="528">
        <f t="shared" si="125"/>
        <v>37</v>
      </c>
      <c r="L1895" s="522">
        <f t="shared" si="124"/>
        <v>17020</v>
      </c>
      <c r="M1895" s="523">
        <f t="shared" si="126"/>
        <v>9.5607235142118857E-2</v>
      </c>
      <c r="N1895" s="34" t="s">
        <v>22</v>
      </c>
      <c r="O1895" s="2" t="s">
        <v>105</v>
      </c>
    </row>
    <row r="1896" spans="1:15">
      <c r="A1896" s="71">
        <v>2024</v>
      </c>
      <c r="B1896" s="16" t="s">
        <v>1083</v>
      </c>
      <c r="C1896" s="71" t="s">
        <v>2729</v>
      </c>
      <c r="D1896" s="2" t="s">
        <v>200</v>
      </c>
      <c r="E1896" s="2" t="s">
        <v>2730</v>
      </c>
      <c r="F1896" s="96">
        <v>1</v>
      </c>
      <c r="G1896" s="1" t="s">
        <v>238</v>
      </c>
      <c r="H1896" s="41">
        <v>53500</v>
      </c>
      <c r="I1896" s="44">
        <f t="shared" si="123"/>
        <v>53500</v>
      </c>
      <c r="J1896" s="543">
        <v>51000</v>
      </c>
      <c r="K1896" s="528">
        <f t="shared" si="125"/>
        <v>2500</v>
      </c>
      <c r="L1896" s="522">
        <f t="shared" si="124"/>
        <v>2500</v>
      </c>
      <c r="M1896" s="523">
        <f t="shared" si="126"/>
        <v>4.6728971962616821E-2</v>
      </c>
      <c r="N1896" s="34" t="s">
        <v>38</v>
      </c>
      <c r="O1896" s="2" t="s">
        <v>39</v>
      </c>
    </row>
    <row r="1897" spans="1:15">
      <c r="A1897" s="71">
        <v>2024</v>
      </c>
      <c r="B1897" s="16" t="s">
        <v>1083</v>
      </c>
      <c r="C1897" s="71" t="s">
        <v>2731</v>
      </c>
      <c r="D1897" s="2" t="s">
        <v>200</v>
      </c>
      <c r="E1897" s="2" t="s">
        <v>2732</v>
      </c>
      <c r="F1897" s="96">
        <v>4</v>
      </c>
      <c r="G1897" s="1" t="s">
        <v>302</v>
      </c>
      <c r="H1897" s="41">
        <v>9650</v>
      </c>
      <c r="I1897" s="44">
        <f t="shared" si="123"/>
        <v>38600</v>
      </c>
      <c r="J1897" s="543">
        <v>9600</v>
      </c>
      <c r="K1897" s="528">
        <f t="shared" si="125"/>
        <v>50</v>
      </c>
      <c r="L1897" s="522">
        <f t="shared" si="124"/>
        <v>200</v>
      </c>
      <c r="M1897" s="523">
        <f t="shared" si="126"/>
        <v>5.1813471502590676E-3</v>
      </c>
      <c r="N1897" s="34" t="s">
        <v>22</v>
      </c>
      <c r="O1897" s="2" t="s">
        <v>39</v>
      </c>
    </row>
    <row r="1898" spans="1:15">
      <c r="A1898" s="71">
        <v>2024</v>
      </c>
      <c r="B1898" s="16" t="s">
        <v>1083</v>
      </c>
      <c r="C1898" s="71" t="s">
        <v>2733</v>
      </c>
      <c r="D1898" s="2" t="s">
        <v>200</v>
      </c>
      <c r="E1898" s="2" t="s">
        <v>2734</v>
      </c>
      <c r="F1898" s="96">
        <v>2</v>
      </c>
      <c r="G1898" s="1" t="s">
        <v>302</v>
      </c>
      <c r="H1898" s="41">
        <v>9650</v>
      </c>
      <c r="I1898" s="44">
        <f t="shared" si="123"/>
        <v>19300</v>
      </c>
      <c r="J1898" s="543">
        <v>9600</v>
      </c>
      <c r="K1898" s="528">
        <f t="shared" si="125"/>
        <v>50</v>
      </c>
      <c r="L1898" s="522">
        <f t="shared" si="124"/>
        <v>100</v>
      </c>
      <c r="M1898" s="523">
        <f t="shared" si="126"/>
        <v>5.1813471502590676E-3</v>
      </c>
      <c r="N1898" s="34" t="s">
        <v>22</v>
      </c>
      <c r="O1898" s="2" t="s">
        <v>39</v>
      </c>
    </row>
    <row r="1899" spans="1:15">
      <c r="A1899" s="71">
        <v>2024</v>
      </c>
      <c r="B1899" s="16" t="s">
        <v>1083</v>
      </c>
      <c r="C1899" s="71" t="s">
        <v>2733</v>
      </c>
      <c r="D1899" s="2" t="s">
        <v>200</v>
      </c>
      <c r="E1899" s="2" t="s">
        <v>2735</v>
      </c>
      <c r="F1899" s="96">
        <v>2</v>
      </c>
      <c r="G1899" s="1" t="s">
        <v>302</v>
      </c>
      <c r="H1899" s="41">
        <v>9650</v>
      </c>
      <c r="I1899" s="44">
        <f t="shared" si="123"/>
        <v>19300</v>
      </c>
      <c r="J1899" s="543">
        <v>9600</v>
      </c>
      <c r="K1899" s="528">
        <f t="shared" si="125"/>
        <v>50</v>
      </c>
      <c r="L1899" s="522">
        <f t="shared" si="124"/>
        <v>100</v>
      </c>
      <c r="M1899" s="523">
        <f t="shared" si="126"/>
        <v>5.1813471502590676E-3</v>
      </c>
      <c r="N1899" s="34" t="s">
        <v>22</v>
      </c>
      <c r="O1899" s="2" t="s">
        <v>39</v>
      </c>
    </row>
    <row r="1900" spans="1:15">
      <c r="A1900" s="71">
        <v>2024</v>
      </c>
      <c r="B1900" s="16" t="s">
        <v>1083</v>
      </c>
      <c r="C1900" s="71" t="s">
        <v>2736</v>
      </c>
      <c r="D1900" s="2" t="s">
        <v>200</v>
      </c>
      <c r="E1900" s="2" t="s">
        <v>2737</v>
      </c>
      <c r="F1900" s="96">
        <v>4</v>
      </c>
      <c r="G1900" s="1" t="s">
        <v>302</v>
      </c>
      <c r="H1900" s="41">
        <v>9650</v>
      </c>
      <c r="I1900" s="44">
        <f t="shared" si="123"/>
        <v>38600</v>
      </c>
      <c r="J1900" s="543">
        <v>9600</v>
      </c>
      <c r="K1900" s="528">
        <f t="shared" si="125"/>
        <v>50</v>
      </c>
      <c r="L1900" s="522">
        <f t="shared" si="124"/>
        <v>200</v>
      </c>
      <c r="M1900" s="523">
        <f t="shared" si="126"/>
        <v>5.1813471502590676E-3</v>
      </c>
      <c r="N1900" s="34" t="s">
        <v>22</v>
      </c>
      <c r="O1900" s="2" t="s">
        <v>39</v>
      </c>
    </row>
    <row r="1901" spans="1:15">
      <c r="A1901" s="71">
        <v>2024</v>
      </c>
      <c r="B1901" s="16" t="s">
        <v>1083</v>
      </c>
      <c r="C1901" s="71" t="s">
        <v>2738</v>
      </c>
      <c r="D1901" s="2" t="s">
        <v>200</v>
      </c>
      <c r="E1901" s="2" t="s">
        <v>2739</v>
      </c>
      <c r="F1901" s="96">
        <v>4</v>
      </c>
      <c r="G1901" s="1" t="s">
        <v>302</v>
      </c>
      <c r="H1901" s="41">
        <v>9650</v>
      </c>
      <c r="I1901" s="44">
        <f t="shared" ref="I1901:I1964" si="127">H1901*F1901</f>
        <v>38600</v>
      </c>
      <c r="J1901" s="543">
        <v>9600</v>
      </c>
      <c r="K1901" s="528">
        <f t="shared" si="125"/>
        <v>50</v>
      </c>
      <c r="L1901" s="522">
        <f t="shared" si="124"/>
        <v>200</v>
      </c>
      <c r="M1901" s="523">
        <f t="shared" si="126"/>
        <v>5.1813471502590676E-3</v>
      </c>
      <c r="N1901" s="34" t="s">
        <v>22</v>
      </c>
      <c r="O1901" s="2" t="s">
        <v>39</v>
      </c>
    </row>
    <row r="1902" spans="1:15">
      <c r="A1902" s="71">
        <v>2024</v>
      </c>
      <c r="B1902" s="16" t="s">
        <v>1083</v>
      </c>
      <c r="C1902" s="71" t="s">
        <v>2738</v>
      </c>
      <c r="D1902" s="2" t="s">
        <v>200</v>
      </c>
      <c r="E1902" s="2" t="s">
        <v>2740</v>
      </c>
      <c r="F1902" s="96">
        <v>2</v>
      </c>
      <c r="G1902" s="1" t="s">
        <v>302</v>
      </c>
      <c r="H1902" s="41">
        <v>9650</v>
      </c>
      <c r="I1902" s="44">
        <f t="shared" si="127"/>
        <v>19300</v>
      </c>
      <c r="J1902" s="543">
        <v>9600</v>
      </c>
      <c r="K1902" s="528">
        <f t="shared" si="125"/>
        <v>50</v>
      </c>
      <c r="L1902" s="522">
        <f t="shared" si="124"/>
        <v>100</v>
      </c>
      <c r="M1902" s="523">
        <f t="shared" si="126"/>
        <v>5.1813471502590676E-3</v>
      </c>
      <c r="N1902" s="34" t="s">
        <v>22</v>
      </c>
      <c r="O1902" s="2" t="s">
        <v>39</v>
      </c>
    </row>
    <row r="1903" spans="1:15">
      <c r="A1903" s="71">
        <v>2024</v>
      </c>
      <c r="B1903" s="16" t="s">
        <v>1083</v>
      </c>
      <c r="C1903" s="71" t="s">
        <v>2738</v>
      </c>
      <c r="D1903" s="2" t="s">
        <v>200</v>
      </c>
      <c r="E1903" s="2" t="s">
        <v>2741</v>
      </c>
      <c r="F1903" s="96">
        <v>1</v>
      </c>
      <c r="G1903" s="1" t="s">
        <v>302</v>
      </c>
      <c r="H1903" s="41">
        <v>9650</v>
      </c>
      <c r="I1903" s="44">
        <f t="shared" si="127"/>
        <v>9650</v>
      </c>
      <c r="J1903" s="543">
        <v>9600</v>
      </c>
      <c r="K1903" s="528">
        <f t="shared" si="125"/>
        <v>50</v>
      </c>
      <c r="L1903" s="522">
        <f t="shared" si="124"/>
        <v>50</v>
      </c>
      <c r="M1903" s="523">
        <f t="shared" si="126"/>
        <v>5.1813471502590676E-3</v>
      </c>
      <c r="N1903" s="34" t="s">
        <v>22</v>
      </c>
      <c r="O1903" s="2" t="s">
        <v>39</v>
      </c>
    </row>
    <row r="1904" spans="1:15">
      <c r="A1904" s="71">
        <v>2024</v>
      </c>
      <c r="B1904" s="16" t="s">
        <v>1083</v>
      </c>
      <c r="C1904" s="71" t="s">
        <v>2742</v>
      </c>
      <c r="D1904" s="2" t="s">
        <v>200</v>
      </c>
      <c r="E1904" s="2" t="s">
        <v>2743</v>
      </c>
      <c r="F1904" s="96">
        <v>2</v>
      </c>
      <c r="G1904" s="1" t="s">
        <v>302</v>
      </c>
      <c r="H1904" s="41">
        <v>9650</v>
      </c>
      <c r="I1904" s="44">
        <f t="shared" si="127"/>
        <v>19300</v>
      </c>
      <c r="J1904" s="543">
        <v>9600</v>
      </c>
      <c r="K1904" s="528">
        <f t="shared" si="125"/>
        <v>50</v>
      </c>
      <c r="L1904" s="522">
        <f t="shared" si="124"/>
        <v>100</v>
      </c>
      <c r="M1904" s="523">
        <f t="shared" si="126"/>
        <v>5.1813471502590676E-3</v>
      </c>
      <c r="N1904" s="34" t="s">
        <v>22</v>
      </c>
      <c r="O1904" s="2" t="s">
        <v>39</v>
      </c>
    </row>
    <row r="1905" spans="1:15">
      <c r="A1905" s="71">
        <v>2024</v>
      </c>
      <c r="B1905" s="16" t="s">
        <v>1083</v>
      </c>
      <c r="C1905" s="71" t="s">
        <v>2742</v>
      </c>
      <c r="D1905" s="2" t="s">
        <v>200</v>
      </c>
      <c r="E1905" s="2" t="s">
        <v>2111</v>
      </c>
      <c r="F1905" s="96">
        <v>1</v>
      </c>
      <c r="G1905" s="1" t="s">
        <v>302</v>
      </c>
      <c r="H1905" s="41">
        <v>9650</v>
      </c>
      <c r="I1905" s="44">
        <f t="shared" si="127"/>
        <v>9650</v>
      </c>
      <c r="J1905" s="543">
        <v>9600</v>
      </c>
      <c r="K1905" s="528">
        <f t="shared" si="125"/>
        <v>50</v>
      </c>
      <c r="L1905" s="522">
        <f t="shared" si="124"/>
        <v>50</v>
      </c>
      <c r="M1905" s="523">
        <f t="shared" si="126"/>
        <v>5.1813471502590676E-3</v>
      </c>
      <c r="N1905" s="34" t="s">
        <v>22</v>
      </c>
      <c r="O1905" s="2" t="s">
        <v>39</v>
      </c>
    </row>
    <row r="1906" spans="1:15">
      <c r="A1906" s="71">
        <v>2024</v>
      </c>
      <c r="B1906" s="16" t="s">
        <v>1083</v>
      </c>
      <c r="C1906" s="71" t="s">
        <v>2742</v>
      </c>
      <c r="D1906" s="2" t="s">
        <v>200</v>
      </c>
      <c r="E1906" s="2" t="s">
        <v>2744</v>
      </c>
      <c r="F1906" s="96">
        <v>1</v>
      </c>
      <c r="G1906" s="1" t="s">
        <v>302</v>
      </c>
      <c r="H1906" s="41">
        <v>9650</v>
      </c>
      <c r="I1906" s="44">
        <f t="shared" si="127"/>
        <v>9650</v>
      </c>
      <c r="J1906" s="543">
        <v>9600</v>
      </c>
      <c r="K1906" s="528">
        <f t="shared" si="125"/>
        <v>50</v>
      </c>
      <c r="L1906" s="522">
        <f t="shared" si="124"/>
        <v>50</v>
      </c>
      <c r="M1906" s="523">
        <f t="shared" si="126"/>
        <v>5.1813471502590676E-3</v>
      </c>
      <c r="N1906" s="34" t="s">
        <v>22</v>
      </c>
      <c r="O1906" s="2" t="s">
        <v>39</v>
      </c>
    </row>
    <row r="1907" spans="1:15">
      <c r="A1907" s="71">
        <v>2024</v>
      </c>
      <c r="B1907" s="16" t="s">
        <v>1083</v>
      </c>
      <c r="C1907" s="71" t="s">
        <v>2729</v>
      </c>
      <c r="D1907" s="2" t="s">
        <v>200</v>
      </c>
      <c r="E1907" s="2" t="s">
        <v>2745</v>
      </c>
      <c r="F1907" s="96">
        <v>1</v>
      </c>
      <c r="G1907" s="1" t="s">
        <v>302</v>
      </c>
      <c r="H1907" s="41">
        <v>9650</v>
      </c>
      <c r="I1907" s="44">
        <f t="shared" si="127"/>
        <v>9650</v>
      </c>
      <c r="J1907" s="543">
        <v>9600</v>
      </c>
      <c r="K1907" s="528">
        <f t="shared" si="125"/>
        <v>50</v>
      </c>
      <c r="L1907" s="522">
        <f t="shared" si="124"/>
        <v>50</v>
      </c>
      <c r="M1907" s="523">
        <f t="shared" si="126"/>
        <v>5.1813471502590676E-3</v>
      </c>
      <c r="N1907" s="34" t="s">
        <v>22</v>
      </c>
      <c r="O1907" s="2" t="s">
        <v>39</v>
      </c>
    </row>
    <row r="1908" spans="1:15">
      <c r="A1908" s="71">
        <v>2024</v>
      </c>
      <c r="B1908" s="16" t="s">
        <v>1083</v>
      </c>
      <c r="C1908" s="71" t="s">
        <v>2746</v>
      </c>
      <c r="D1908" s="2" t="s">
        <v>590</v>
      </c>
      <c r="E1908" s="2" t="s">
        <v>2747</v>
      </c>
      <c r="F1908" s="96">
        <v>2</v>
      </c>
      <c r="G1908" s="1" t="s">
        <v>302</v>
      </c>
      <c r="H1908" s="41">
        <v>10000</v>
      </c>
      <c r="I1908" s="44">
        <f t="shared" si="127"/>
        <v>20000</v>
      </c>
      <c r="J1908" s="543">
        <v>9600</v>
      </c>
      <c r="K1908" s="528">
        <f t="shared" si="125"/>
        <v>400</v>
      </c>
      <c r="L1908" s="522">
        <f t="shared" si="124"/>
        <v>800</v>
      </c>
      <c r="M1908" s="523">
        <f t="shared" si="126"/>
        <v>0.04</v>
      </c>
      <c r="N1908" s="34" t="s">
        <v>22</v>
      </c>
      <c r="O1908" s="2" t="s">
        <v>39</v>
      </c>
    </row>
    <row r="1909" spans="1:15">
      <c r="A1909" s="71">
        <v>2024</v>
      </c>
      <c r="B1909" s="16" t="s">
        <v>1083</v>
      </c>
      <c r="C1909" s="71" t="s">
        <v>2746</v>
      </c>
      <c r="D1909" s="2" t="s">
        <v>590</v>
      </c>
      <c r="E1909" s="2" t="s">
        <v>2737</v>
      </c>
      <c r="F1909" s="96">
        <v>2</v>
      </c>
      <c r="G1909" s="1" t="s">
        <v>302</v>
      </c>
      <c r="H1909" s="41">
        <v>10000</v>
      </c>
      <c r="I1909" s="44">
        <f t="shared" si="127"/>
        <v>20000</v>
      </c>
      <c r="J1909" s="543">
        <v>9600</v>
      </c>
      <c r="K1909" s="528">
        <f t="shared" si="125"/>
        <v>400</v>
      </c>
      <c r="L1909" s="522">
        <f t="shared" si="124"/>
        <v>800</v>
      </c>
      <c r="M1909" s="523">
        <f t="shared" si="126"/>
        <v>0.04</v>
      </c>
      <c r="N1909" s="30" t="s">
        <v>22</v>
      </c>
      <c r="O1909" s="2" t="s">
        <v>39</v>
      </c>
    </row>
    <row r="1910" spans="1:15">
      <c r="A1910" s="71">
        <v>2024</v>
      </c>
      <c r="B1910" s="16" t="s">
        <v>1083</v>
      </c>
      <c r="C1910" s="71" t="s">
        <v>2748</v>
      </c>
      <c r="D1910" s="2" t="s">
        <v>590</v>
      </c>
      <c r="E1910" s="2" t="s">
        <v>2749</v>
      </c>
      <c r="F1910" s="96">
        <v>1</v>
      </c>
      <c r="G1910" s="1" t="s">
        <v>302</v>
      </c>
      <c r="H1910" s="41">
        <v>10000</v>
      </c>
      <c r="I1910" s="44">
        <f t="shared" si="127"/>
        <v>10000</v>
      </c>
      <c r="J1910" s="543">
        <v>9600</v>
      </c>
      <c r="K1910" s="528">
        <f t="shared" si="125"/>
        <v>400</v>
      </c>
      <c r="L1910" s="522">
        <f t="shared" si="124"/>
        <v>400</v>
      </c>
      <c r="M1910" s="523">
        <f t="shared" si="126"/>
        <v>0.04</v>
      </c>
      <c r="N1910" s="30" t="s">
        <v>22</v>
      </c>
      <c r="O1910" s="2" t="s">
        <v>39</v>
      </c>
    </row>
    <row r="1911" spans="1:15">
      <c r="A1911" s="71">
        <v>2024</v>
      </c>
      <c r="B1911" s="16" t="s">
        <v>1083</v>
      </c>
      <c r="C1911" s="71" t="s">
        <v>2748</v>
      </c>
      <c r="D1911" s="2" t="s">
        <v>590</v>
      </c>
      <c r="E1911" s="2" t="s">
        <v>2750</v>
      </c>
      <c r="F1911" s="96">
        <v>1</v>
      </c>
      <c r="G1911" s="1" t="s">
        <v>302</v>
      </c>
      <c r="H1911" s="41">
        <v>10000</v>
      </c>
      <c r="I1911" s="44">
        <f t="shared" si="127"/>
        <v>10000</v>
      </c>
      <c r="J1911" s="543">
        <v>9600</v>
      </c>
      <c r="K1911" s="521">
        <f t="shared" si="125"/>
        <v>400</v>
      </c>
      <c r="L1911" s="522">
        <f t="shared" si="124"/>
        <v>400</v>
      </c>
      <c r="M1911" s="523">
        <f t="shared" si="126"/>
        <v>0.04</v>
      </c>
      <c r="N1911" s="30" t="s">
        <v>22</v>
      </c>
      <c r="O1911" s="2" t="s">
        <v>39</v>
      </c>
    </row>
    <row r="1912" spans="1:15">
      <c r="A1912" s="71">
        <v>2024</v>
      </c>
      <c r="B1912" s="16" t="s">
        <v>1083</v>
      </c>
      <c r="C1912" s="71" t="s">
        <v>2751</v>
      </c>
      <c r="D1912" s="2" t="s">
        <v>590</v>
      </c>
      <c r="E1912" s="2" t="s">
        <v>2752</v>
      </c>
      <c r="F1912" s="96">
        <v>2</v>
      </c>
      <c r="G1912" s="1" t="s">
        <v>302</v>
      </c>
      <c r="H1912" s="8">
        <v>10000</v>
      </c>
      <c r="I1912" s="44">
        <f t="shared" si="127"/>
        <v>20000</v>
      </c>
      <c r="J1912" s="539">
        <v>9600</v>
      </c>
      <c r="K1912" s="521">
        <f t="shared" si="125"/>
        <v>400</v>
      </c>
      <c r="L1912" s="522">
        <f t="shared" si="124"/>
        <v>800</v>
      </c>
      <c r="M1912" s="523">
        <f t="shared" si="126"/>
        <v>0.04</v>
      </c>
      <c r="N1912" s="34" t="s">
        <v>22</v>
      </c>
      <c r="O1912" s="2" t="s">
        <v>39</v>
      </c>
    </row>
    <row r="1913" spans="1:15">
      <c r="A1913" s="71">
        <v>2024</v>
      </c>
      <c r="B1913" s="16" t="s">
        <v>1083</v>
      </c>
      <c r="C1913" s="71" t="s">
        <v>2753</v>
      </c>
      <c r="D1913" s="2" t="s">
        <v>590</v>
      </c>
      <c r="E1913" s="2" t="s">
        <v>2754</v>
      </c>
      <c r="F1913" s="96">
        <v>1</v>
      </c>
      <c r="G1913" s="1" t="s">
        <v>302</v>
      </c>
      <c r="H1913" s="8">
        <v>10000</v>
      </c>
      <c r="I1913" s="44">
        <f t="shared" si="127"/>
        <v>10000</v>
      </c>
      <c r="J1913" s="539">
        <v>9600</v>
      </c>
      <c r="K1913" s="521">
        <f t="shared" si="125"/>
        <v>400</v>
      </c>
      <c r="L1913" s="522">
        <f t="shared" si="124"/>
        <v>400</v>
      </c>
      <c r="M1913" s="523">
        <f t="shared" si="126"/>
        <v>0.04</v>
      </c>
      <c r="N1913" s="34" t="s">
        <v>22</v>
      </c>
      <c r="O1913" s="2" t="s">
        <v>39</v>
      </c>
    </row>
    <row r="1914" spans="1:15">
      <c r="A1914" s="71">
        <v>2024</v>
      </c>
      <c r="B1914" s="16" t="s">
        <v>1083</v>
      </c>
      <c r="C1914" s="71" t="s">
        <v>2753</v>
      </c>
      <c r="D1914" s="2" t="s">
        <v>590</v>
      </c>
      <c r="E1914" s="2" t="s">
        <v>2755</v>
      </c>
      <c r="F1914" s="96">
        <v>3</v>
      </c>
      <c r="G1914" s="1" t="s">
        <v>302</v>
      </c>
      <c r="H1914" s="8">
        <v>10000</v>
      </c>
      <c r="I1914" s="44">
        <f t="shared" si="127"/>
        <v>30000</v>
      </c>
      <c r="J1914" s="539">
        <v>9600</v>
      </c>
      <c r="K1914" s="521">
        <f t="shared" si="125"/>
        <v>400</v>
      </c>
      <c r="L1914" s="522">
        <f t="shared" si="124"/>
        <v>1200</v>
      </c>
      <c r="M1914" s="523">
        <f t="shared" si="126"/>
        <v>0.04</v>
      </c>
      <c r="N1914" s="34" t="s">
        <v>22</v>
      </c>
      <c r="O1914" s="2" t="s">
        <v>39</v>
      </c>
    </row>
    <row r="1915" spans="1:15">
      <c r="A1915" s="71">
        <v>2024</v>
      </c>
      <c r="B1915" s="16" t="s">
        <v>1083</v>
      </c>
      <c r="C1915" s="71" t="s">
        <v>2756</v>
      </c>
      <c r="D1915" s="2" t="s">
        <v>590</v>
      </c>
      <c r="E1915" s="2" t="s">
        <v>2757</v>
      </c>
      <c r="F1915" s="96">
        <v>1</v>
      </c>
      <c r="G1915" s="1" t="s">
        <v>302</v>
      </c>
      <c r="H1915" s="8">
        <v>10000</v>
      </c>
      <c r="I1915" s="44">
        <f t="shared" si="127"/>
        <v>10000</v>
      </c>
      <c r="J1915" s="539">
        <v>9600</v>
      </c>
      <c r="K1915" s="521">
        <f t="shared" si="125"/>
        <v>400</v>
      </c>
      <c r="L1915" s="522">
        <f t="shared" si="124"/>
        <v>400</v>
      </c>
      <c r="M1915" s="523">
        <f t="shared" si="126"/>
        <v>0.04</v>
      </c>
      <c r="N1915" s="34" t="s">
        <v>22</v>
      </c>
      <c r="O1915" s="2" t="s">
        <v>39</v>
      </c>
    </row>
    <row r="1916" spans="1:15">
      <c r="A1916" s="71">
        <v>2024</v>
      </c>
      <c r="B1916" s="16" t="s">
        <v>1083</v>
      </c>
      <c r="C1916" s="71" t="s">
        <v>2758</v>
      </c>
      <c r="D1916" s="2" t="s">
        <v>617</v>
      </c>
      <c r="E1916" s="2" t="s">
        <v>233</v>
      </c>
      <c r="F1916" s="96">
        <v>6000</v>
      </c>
      <c r="G1916" s="1" t="s">
        <v>37</v>
      </c>
      <c r="H1916" s="8">
        <v>30.5</v>
      </c>
      <c r="I1916" s="44">
        <f t="shared" si="127"/>
        <v>183000</v>
      </c>
      <c r="J1916" s="539">
        <v>30</v>
      </c>
      <c r="K1916" s="521">
        <f t="shared" si="125"/>
        <v>0.5</v>
      </c>
      <c r="L1916" s="522">
        <f t="shared" si="124"/>
        <v>3000</v>
      </c>
      <c r="M1916" s="523">
        <f t="shared" si="126"/>
        <v>1.6393442622950821E-2</v>
      </c>
      <c r="N1916" s="34" t="s">
        <v>22</v>
      </c>
      <c r="O1916" s="2" t="s">
        <v>39</v>
      </c>
    </row>
    <row r="1917" spans="1:15">
      <c r="A1917" s="71">
        <v>2024</v>
      </c>
      <c r="B1917" s="16" t="s">
        <v>1083</v>
      </c>
      <c r="C1917" s="71" t="s">
        <v>2758</v>
      </c>
      <c r="D1917" s="2" t="s">
        <v>617</v>
      </c>
      <c r="E1917" s="2" t="s">
        <v>233</v>
      </c>
      <c r="F1917" s="96">
        <v>3000</v>
      </c>
      <c r="G1917" s="1" t="s">
        <v>37</v>
      </c>
      <c r="H1917" s="8">
        <v>30.5</v>
      </c>
      <c r="I1917" s="44">
        <f t="shared" si="127"/>
        <v>91500</v>
      </c>
      <c r="J1917" s="539">
        <v>30</v>
      </c>
      <c r="K1917" s="521">
        <f t="shared" si="125"/>
        <v>0.5</v>
      </c>
      <c r="L1917" s="522">
        <f t="shared" si="124"/>
        <v>1500</v>
      </c>
      <c r="M1917" s="523">
        <f t="shared" si="126"/>
        <v>1.6393442622950821E-2</v>
      </c>
      <c r="N1917" s="34" t="s">
        <v>22</v>
      </c>
      <c r="O1917" s="2" t="s">
        <v>39</v>
      </c>
    </row>
    <row r="1918" spans="1:15">
      <c r="A1918" s="71">
        <v>2024</v>
      </c>
      <c r="B1918" s="16" t="s">
        <v>1083</v>
      </c>
      <c r="C1918" s="71" t="s">
        <v>2758</v>
      </c>
      <c r="D1918" s="2" t="s">
        <v>617</v>
      </c>
      <c r="E1918" s="2" t="s">
        <v>996</v>
      </c>
      <c r="F1918" s="96">
        <v>3000</v>
      </c>
      <c r="G1918" s="1" t="s">
        <v>37</v>
      </c>
      <c r="H1918" s="8">
        <v>30.5</v>
      </c>
      <c r="I1918" s="44">
        <f t="shared" si="127"/>
        <v>91500</v>
      </c>
      <c r="J1918" s="539">
        <v>30</v>
      </c>
      <c r="K1918" s="521">
        <f t="shared" si="125"/>
        <v>0.5</v>
      </c>
      <c r="L1918" s="522">
        <f t="shared" si="124"/>
        <v>1500</v>
      </c>
      <c r="M1918" s="523">
        <f t="shared" si="126"/>
        <v>1.6393442622950821E-2</v>
      </c>
      <c r="N1918" s="34" t="s">
        <v>22</v>
      </c>
      <c r="O1918" s="2" t="s">
        <v>39</v>
      </c>
    </row>
    <row r="1919" spans="1:15">
      <c r="A1919" s="71">
        <v>2024</v>
      </c>
      <c r="B1919" s="16" t="s">
        <v>1083</v>
      </c>
      <c r="C1919" s="71" t="s">
        <v>2758</v>
      </c>
      <c r="D1919" s="2" t="s">
        <v>617</v>
      </c>
      <c r="E1919" s="2" t="s">
        <v>275</v>
      </c>
      <c r="F1919" s="96">
        <v>3000</v>
      </c>
      <c r="G1919" s="1" t="s">
        <v>37</v>
      </c>
      <c r="H1919" s="8">
        <v>30.5</v>
      </c>
      <c r="I1919" s="44">
        <f t="shared" si="127"/>
        <v>91500</v>
      </c>
      <c r="J1919" s="539">
        <v>30</v>
      </c>
      <c r="K1919" s="521">
        <f t="shared" si="125"/>
        <v>0.5</v>
      </c>
      <c r="L1919" s="522">
        <f t="shared" ref="L1919:L1982" si="128">K1919*F1919</f>
        <v>1500</v>
      </c>
      <c r="M1919" s="523">
        <f t="shared" si="126"/>
        <v>1.6393442622950821E-2</v>
      </c>
      <c r="N1919" s="34" t="s">
        <v>22</v>
      </c>
      <c r="O1919" s="2" t="s">
        <v>39</v>
      </c>
    </row>
    <row r="1920" spans="1:15">
      <c r="A1920" s="71">
        <v>2024</v>
      </c>
      <c r="B1920" s="16" t="s">
        <v>1083</v>
      </c>
      <c r="C1920" s="71" t="s">
        <v>2758</v>
      </c>
      <c r="D1920" s="2" t="s">
        <v>617</v>
      </c>
      <c r="E1920" s="2" t="s">
        <v>996</v>
      </c>
      <c r="F1920" s="96">
        <v>3000</v>
      </c>
      <c r="G1920" s="1" t="s">
        <v>37</v>
      </c>
      <c r="H1920" s="8">
        <v>30.5</v>
      </c>
      <c r="I1920" s="44">
        <f t="shared" si="127"/>
        <v>91500</v>
      </c>
      <c r="J1920" s="539">
        <v>30</v>
      </c>
      <c r="K1920" s="521">
        <f t="shared" si="125"/>
        <v>0.5</v>
      </c>
      <c r="L1920" s="522">
        <f t="shared" si="128"/>
        <v>1500</v>
      </c>
      <c r="M1920" s="523">
        <f t="shared" si="126"/>
        <v>1.6393442622950821E-2</v>
      </c>
      <c r="N1920" s="34" t="s">
        <v>22</v>
      </c>
      <c r="O1920" s="2" t="s">
        <v>39</v>
      </c>
    </row>
    <row r="1921" spans="1:15">
      <c r="A1921" s="71">
        <v>2024</v>
      </c>
      <c r="B1921" s="16" t="s">
        <v>1083</v>
      </c>
      <c r="C1921" s="71" t="s">
        <v>2758</v>
      </c>
      <c r="D1921" s="2" t="s">
        <v>617</v>
      </c>
      <c r="E1921" s="2" t="s">
        <v>275</v>
      </c>
      <c r="F1921" s="96">
        <v>3000</v>
      </c>
      <c r="G1921" s="1" t="s">
        <v>37</v>
      </c>
      <c r="H1921" s="8">
        <v>30.5</v>
      </c>
      <c r="I1921" s="44">
        <f t="shared" si="127"/>
        <v>91500</v>
      </c>
      <c r="J1921" s="539">
        <v>30</v>
      </c>
      <c r="K1921" s="521">
        <f t="shared" si="125"/>
        <v>0.5</v>
      </c>
      <c r="L1921" s="522">
        <f t="shared" si="128"/>
        <v>1500</v>
      </c>
      <c r="M1921" s="523">
        <f t="shared" si="126"/>
        <v>1.6393442622950821E-2</v>
      </c>
      <c r="N1921" s="34" t="s">
        <v>22</v>
      </c>
      <c r="O1921" s="2" t="s">
        <v>39</v>
      </c>
    </row>
    <row r="1922" spans="1:15">
      <c r="A1922" s="71">
        <v>2024</v>
      </c>
      <c r="B1922" s="16" t="s">
        <v>1083</v>
      </c>
      <c r="C1922" s="71" t="s">
        <v>2758</v>
      </c>
      <c r="D1922" s="2" t="s">
        <v>617</v>
      </c>
      <c r="E1922" s="2" t="s">
        <v>274</v>
      </c>
      <c r="F1922" s="96">
        <v>9000</v>
      </c>
      <c r="G1922" s="1" t="s">
        <v>37</v>
      </c>
      <c r="H1922" s="8">
        <v>30.5</v>
      </c>
      <c r="I1922" s="44">
        <f t="shared" si="127"/>
        <v>274500</v>
      </c>
      <c r="J1922" s="539">
        <v>30</v>
      </c>
      <c r="K1922" s="521">
        <f t="shared" si="125"/>
        <v>0.5</v>
      </c>
      <c r="L1922" s="522">
        <f t="shared" si="128"/>
        <v>4500</v>
      </c>
      <c r="M1922" s="523">
        <f t="shared" si="126"/>
        <v>1.6393442622950821E-2</v>
      </c>
      <c r="N1922" s="34" t="s">
        <v>22</v>
      </c>
      <c r="O1922" s="2" t="s">
        <v>39</v>
      </c>
    </row>
    <row r="1923" spans="1:15">
      <c r="A1923" s="71">
        <v>2024</v>
      </c>
      <c r="B1923" s="16" t="s">
        <v>1083</v>
      </c>
      <c r="C1923" s="71" t="s">
        <v>2759</v>
      </c>
      <c r="D1923" s="2" t="s">
        <v>617</v>
      </c>
      <c r="E1923" s="2" t="s">
        <v>233</v>
      </c>
      <c r="F1923" s="96">
        <v>3000</v>
      </c>
      <c r="G1923" s="1" t="s">
        <v>37</v>
      </c>
      <c r="H1923" s="8">
        <v>30.5</v>
      </c>
      <c r="I1923" s="44">
        <f t="shared" si="127"/>
        <v>91500</v>
      </c>
      <c r="J1923" s="539">
        <v>30</v>
      </c>
      <c r="K1923" s="521">
        <f t="shared" ref="K1923:K1986" si="129">H1923-J1923</f>
        <v>0.5</v>
      </c>
      <c r="L1923" s="522">
        <f t="shared" si="128"/>
        <v>1500</v>
      </c>
      <c r="M1923" s="523">
        <f t="shared" ref="M1923:M1986" si="130">K1923/H1923</f>
        <v>1.6393442622950821E-2</v>
      </c>
      <c r="N1923" s="34" t="s">
        <v>22</v>
      </c>
      <c r="O1923" s="2" t="s">
        <v>39</v>
      </c>
    </row>
    <row r="1924" spans="1:15">
      <c r="A1924" s="71">
        <v>2024</v>
      </c>
      <c r="B1924" s="16" t="s">
        <v>1083</v>
      </c>
      <c r="C1924" s="71" t="s">
        <v>2759</v>
      </c>
      <c r="D1924" s="2" t="s">
        <v>617</v>
      </c>
      <c r="E1924" s="2" t="s">
        <v>996</v>
      </c>
      <c r="F1924" s="96">
        <v>6000</v>
      </c>
      <c r="G1924" s="1" t="s">
        <v>37</v>
      </c>
      <c r="H1924" s="8">
        <v>30.5</v>
      </c>
      <c r="I1924" s="44">
        <f t="shared" si="127"/>
        <v>183000</v>
      </c>
      <c r="J1924" s="539">
        <v>30</v>
      </c>
      <c r="K1924" s="521">
        <f t="shared" si="129"/>
        <v>0.5</v>
      </c>
      <c r="L1924" s="522">
        <f t="shared" si="128"/>
        <v>3000</v>
      </c>
      <c r="M1924" s="523">
        <f t="shared" si="130"/>
        <v>1.6393442622950821E-2</v>
      </c>
      <c r="N1924" s="34" t="s">
        <v>22</v>
      </c>
      <c r="O1924" s="2" t="s">
        <v>39</v>
      </c>
    </row>
    <row r="1925" spans="1:15">
      <c r="A1925" s="71">
        <v>2024</v>
      </c>
      <c r="B1925" s="16" t="s">
        <v>1083</v>
      </c>
      <c r="C1925" s="71" t="s">
        <v>2759</v>
      </c>
      <c r="D1925" s="2" t="s">
        <v>617</v>
      </c>
      <c r="E1925" s="2" t="s">
        <v>274</v>
      </c>
      <c r="F1925" s="96">
        <v>3000</v>
      </c>
      <c r="G1925" s="1" t="s">
        <v>37</v>
      </c>
      <c r="H1925" s="8">
        <v>30.5</v>
      </c>
      <c r="I1925" s="44">
        <f t="shared" si="127"/>
        <v>91500</v>
      </c>
      <c r="J1925" s="539">
        <v>30</v>
      </c>
      <c r="K1925" s="521">
        <f t="shared" si="129"/>
        <v>0.5</v>
      </c>
      <c r="L1925" s="522">
        <f t="shared" si="128"/>
        <v>1500</v>
      </c>
      <c r="M1925" s="523">
        <f t="shared" si="130"/>
        <v>1.6393442622950821E-2</v>
      </c>
      <c r="N1925" s="34" t="s">
        <v>22</v>
      </c>
      <c r="O1925" s="2" t="s">
        <v>39</v>
      </c>
    </row>
    <row r="1926" spans="1:15">
      <c r="A1926" s="71">
        <v>2024</v>
      </c>
      <c r="B1926" s="16" t="s">
        <v>1083</v>
      </c>
      <c r="C1926" s="71" t="s">
        <v>2760</v>
      </c>
      <c r="D1926" s="2" t="s">
        <v>192</v>
      </c>
      <c r="E1926" s="2" t="s">
        <v>976</v>
      </c>
      <c r="F1926" s="96">
        <v>6300</v>
      </c>
      <c r="G1926" s="8" t="s">
        <v>337</v>
      </c>
      <c r="H1926" s="8">
        <v>56</v>
      </c>
      <c r="I1926" s="44">
        <f t="shared" si="127"/>
        <v>352800</v>
      </c>
      <c r="J1926" s="539">
        <v>55.5</v>
      </c>
      <c r="K1926" s="521">
        <f t="shared" si="129"/>
        <v>0.5</v>
      </c>
      <c r="L1926" s="522">
        <f t="shared" si="128"/>
        <v>3150</v>
      </c>
      <c r="M1926" s="523">
        <f t="shared" si="130"/>
        <v>8.9285714285714281E-3</v>
      </c>
      <c r="N1926" s="34" t="s">
        <v>38</v>
      </c>
      <c r="O1926" s="2" t="s">
        <v>39</v>
      </c>
    </row>
    <row r="1927" spans="1:15">
      <c r="A1927" s="71">
        <v>2024</v>
      </c>
      <c r="B1927" s="16" t="s">
        <v>1083</v>
      </c>
      <c r="C1927" s="71" t="s">
        <v>2761</v>
      </c>
      <c r="D1927" s="2" t="s">
        <v>335</v>
      </c>
      <c r="E1927" s="2" t="s">
        <v>336</v>
      </c>
      <c r="F1927" s="8">
        <v>140000</v>
      </c>
      <c r="G1927" s="8" t="s">
        <v>337</v>
      </c>
      <c r="H1927" s="8">
        <v>37</v>
      </c>
      <c r="I1927" s="44">
        <f t="shared" si="127"/>
        <v>5180000</v>
      </c>
      <c r="J1927" s="539">
        <v>36</v>
      </c>
      <c r="K1927" s="521">
        <f t="shared" si="129"/>
        <v>1</v>
      </c>
      <c r="L1927" s="522">
        <f t="shared" si="128"/>
        <v>140000</v>
      </c>
      <c r="M1927" s="523">
        <f t="shared" si="130"/>
        <v>2.7027027027027029E-2</v>
      </c>
      <c r="N1927" s="34" t="s">
        <v>22</v>
      </c>
      <c r="O1927" s="2" t="s">
        <v>39</v>
      </c>
    </row>
    <row r="1928" spans="1:15">
      <c r="A1928" s="71">
        <v>2024</v>
      </c>
      <c r="B1928" s="16" t="s">
        <v>1295</v>
      </c>
      <c r="C1928" s="71" t="s">
        <v>2762</v>
      </c>
      <c r="D1928" s="2" t="s">
        <v>2342</v>
      </c>
      <c r="E1928" s="2" t="s">
        <v>2763</v>
      </c>
      <c r="F1928" s="96">
        <v>1</v>
      </c>
      <c r="G1928" s="1" t="s">
        <v>285</v>
      </c>
      <c r="H1928" s="8">
        <v>24000</v>
      </c>
      <c r="I1928" s="44">
        <f t="shared" si="127"/>
        <v>24000</v>
      </c>
      <c r="J1928" s="539">
        <v>8012.76</v>
      </c>
      <c r="K1928" s="521">
        <f t="shared" si="129"/>
        <v>15987.24</v>
      </c>
      <c r="L1928" s="522">
        <f t="shared" si="128"/>
        <v>15987.24</v>
      </c>
      <c r="M1928" s="523">
        <f t="shared" si="130"/>
        <v>0.66613500000000003</v>
      </c>
      <c r="N1928" s="514" t="s">
        <v>22</v>
      </c>
      <c r="O1928" s="2" t="s">
        <v>105</v>
      </c>
    </row>
    <row r="1929" spans="1:15">
      <c r="A1929" s="71">
        <v>2024</v>
      </c>
      <c r="B1929" s="16" t="s">
        <v>1295</v>
      </c>
      <c r="C1929" s="71" t="s">
        <v>2764</v>
      </c>
      <c r="D1929" s="2" t="s">
        <v>68</v>
      </c>
      <c r="E1929" s="2" t="s">
        <v>755</v>
      </c>
      <c r="F1929" s="96">
        <v>1665.6</v>
      </c>
      <c r="G1929" s="1" t="s">
        <v>37</v>
      </c>
      <c r="H1929" s="8">
        <v>380</v>
      </c>
      <c r="I1929" s="44">
        <f t="shared" si="127"/>
        <v>632928</v>
      </c>
      <c r="J1929" s="539">
        <v>373</v>
      </c>
      <c r="K1929" s="521">
        <f t="shared" si="129"/>
        <v>7</v>
      </c>
      <c r="L1929" s="522">
        <f t="shared" si="128"/>
        <v>11659.199999999999</v>
      </c>
      <c r="M1929" s="523">
        <f t="shared" si="130"/>
        <v>1.8421052631578946E-2</v>
      </c>
      <c r="N1929" s="35" t="s">
        <v>22</v>
      </c>
      <c r="O1929" s="2" t="s">
        <v>105</v>
      </c>
    </row>
    <row r="1930" spans="1:15">
      <c r="A1930" s="71">
        <v>2024</v>
      </c>
      <c r="B1930" s="16" t="s">
        <v>1295</v>
      </c>
      <c r="C1930" s="71" t="s">
        <v>2765</v>
      </c>
      <c r="D1930" s="2" t="s">
        <v>94</v>
      </c>
      <c r="E1930" s="2" t="s">
        <v>613</v>
      </c>
      <c r="F1930" s="96">
        <v>200</v>
      </c>
      <c r="G1930" s="1" t="s">
        <v>19</v>
      </c>
      <c r="H1930" s="8">
        <v>25</v>
      </c>
      <c r="I1930" s="44">
        <f t="shared" si="127"/>
        <v>5000</v>
      </c>
      <c r="J1930" s="539">
        <v>24.6</v>
      </c>
      <c r="K1930" s="521">
        <f t="shared" si="129"/>
        <v>0.39999999999999858</v>
      </c>
      <c r="L1930" s="522">
        <f t="shared" si="128"/>
        <v>79.999999999999716</v>
      </c>
      <c r="M1930" s="523">
        <f t="shared" si="130"/>
        <v>1.5999999999999945E-2</v>
      </c>
      <c r="N1930" s="35" t="s">
        <v>22</v>
      </c>
      <c r="O1930" s="2" t="s">
        <v>105</v>
      </c>
    </row>
    <row r="1931" spans="1:15">
      <c r="A1931" s="71">
        <v>2024</v>
      </c>
      <c r="B1931" s="16" t="s">
        <v>1295</v>
      </c>
      <c r="C1931" s="71" t="s">
        <v>2765</v>
      </c>
      <c r="D1931" s="2" t="s">
        <v>94</v>
      </c>
      <c r="E1931" s="2" t="s">
        <v>550</v>
      </c>
      <c r="F1931" s="96">
        <v>200</v>
      </c>
      <c r="G1931" s="1" t="s">
        <v>19</v>
      </c>
      <c r="H1931" s="8">
        <v>50</v>
      </c>
      <c r="I1931" s="44">
        <f t="shared" si="127"/>
        <v>10000</v>
      </c>
      <c r="J1931" s="539">
        <v>47.56</v>
      </c>
      <c r="K1931" s="521">
        <f t="shared" si="129"/>
        <v>2.4399999999999977</v>
      </c>
      <c r="L1931" s="522">
        <f t="shared" si="128"/>
        <v>487.99999999999955</v>
      </c>
      <c r="M1931" s="523">
        <f t="shared" si="130"/>
        <v>4.8799999999999955E-2</v>
      </c>
      <c r="N1931" s="35" t="s">
        <v>22</v>
      </c>
      <c r="O1931" s="2" t="s">
        <v>105</v>
      </c>
    </row>
    <row r="1932" spans="1:15">
      <c r="A1932" s="71">
        <v>2024</v>
      </c>
      <c r="B1932" s="16" t="s">
        <v>1295</v>
      </c>
      <c r="C1932" s="71" t="s">
        <v>2766</v>
      </c>
      <c r="D1932" s="2" t="s">
        <v>94</v>
      </c>
      <c r="E1932" s="2" t="s">
        <v>1147</v>
      </c>
      <c r="F1932" s="96">
        <v>10</v>
      </c>
      <c r="G1932" s="1" t="s">
        <v>615</v>
      </c>
      <c r="H1932" s="8">
        <v>155</v>
      </c>
      <c r="I1932" s="44">
        <f t="shared" si="127"/>
        <v>1550</v>
      </c>
      <c r="J1932" s="539">
        <v>152</v>
      </c>
      <c r="K1932" s="521">
        <f t="shared" si="129"/>
        <v>3</v>
      </c>
      <c r="L1932" s="522">
        <f t="shared" si="128"/>
        <v>30</v>
      </c>
      <c r="M1932" s="523">
        <f t="shared" si="130"/>
        <v>1.935483870967742E-2</v>
      </c>
      <c r="N1932" s="2" t="s">
        <v>22</v>
      </c>
      <c r="O1932" s="2" t="s">
        <v>105</v>
      </c>
    </row>
    <row r="1933" spans="1:15">
      <c r="A1933" s="71">
        <v>2024</v>
      </c>
      <c r="B1933" s="16" t="s">
        <v>1295</v>
      </c>
      <c r="C1933" s="71" t="s">
        <v>2767</v>
      </c>
      <c r="D1933" s="2" t="s">
        <v>1042</v>
      </c>
      <c r="E1933" s="2" t="s">
        <v>1141</v>
      </c>
      <c r="F1933" s="96">
        <v>200</v>
      </c>
      <c r="G1933" s="1" t="s">
        <v>37</v>
      </c>
      <c r="H1933" s="8">
        <v>588</v>
      </c>
      <c r="I1933" s="44">
        <f t="shared" si="127"/>
        <v>117600</v>
      </c>
      <c r="J1933" s="539">
        <v>377</v>
      </c>
      <c r="K1933" s="521">
        <f t="shared" si="129"/>
        <v>211</v>
      </c>
      <c r="L1933" s="522">
        <f t="shared" si="128"/>
        <v>42200</v>
      </c>
      <c r="M1933" s="523">
        <f t="shared" si="130"/>
        <v>0.358843537414966</v>
      </c>
      <c r="N1933" s="2" t="s">
        <v>22</v>
      </c>
      <c r="O1933" s="2" t="s">
        <v>105</v>
      </c>
    </row>
    <row r="1934" spans="1:15">
      <c r="A1934" s="71">
        <v>2024</v>
      </c>
      <c r="B1934" s="16" t="s">
        <v>1295</v>
      </c>
      <c r="C1934" s="71" t="s">
        <v>2768</v>
      </c>
      <c r="D1934" s="2" t="s">
        <v>94</v>
      </c>
      <c r="E1934" s="2" t="s">
        <v>2769</v>
      </c>
      <c r="F1934" s="96">
        <v>2</v>
      </c>
      <c r="G1934" s="1" t="s">
        <v>29</v>
      </c>
      <c r="H1934" s="8">
        <v>1100</v>
      </c>
      <c r="I1934" s="44">
        <f t="shared" si="127"/>
        <v>2200</v>
      </c>
      <c r="J1934" s="539">
        <v>918</v>
      </c>
      <c r="K1934" s="521">
        <f t="shared" si="129"/>
        <v>182</v>
      </c>
      <c r="L1934" s="522">
        <f t="shared" si="128"/>
        <v>364</v>
      </c>
      <c r="M1934" s="523">
        <f t="shared" si="130"/>
        <v>0.16545454545454547</v>
      </c>
      <c r="N1934" s="35" t="s">
        <v>22</v>
      </c>
      <c r="O1934" s="2" t="s">
        <v>105</v>
      </c>
    </row>
    <row r="1935" spans="1:15">
      <c r="A1935" s="71">
        <v>2024</v>
      </c>
      <c r="B1935" s="16" t="s">
        <v>1295</v>
      </c>
      <c r="C1935" s="71" t="s">
        <v>2770</v>
      </c>
      <c r="D1935" s="2" t="s">
        <v>1658</v>
      </c>
      <c r="E1935" s="2" t="s">
        <v>1659</v>
      </c>
      <c r="F1935" s="96">
        <v>70</v>
      </c>
      <c r="G1935" s="1" t="s">
        <v>302</v>
      </c>
      <c r="H1935" s="8">
        <v>869.5</v>
      </c>
      <c r="I1935" s="44">
        <f t="shared" si="127"/>
        <v>60865</v>
      </c>
      <c r="J1935" s="539">
        <v>843.6</v>
      </c>
      <c r="K1935" s="521">
        <f t="shared" si="129"/>
        <v>25.899999999999977</v>
      </c>
      <c r="L1935" s="522">
        <f t="shared" si="128"/>
        <v>1812.9999999999984</v>
      </c>
      <c r="M1935" s="523">
        <f t="shared" si="130"/>
        <v>2.9787234042553165E-2</v>
      </c>
      <c r="N1935" s="2" t="s">
        <v>38</v>
      </c>
      <c r="O1935" s="2" t="s">
        <v>105</v>
      </c>
    </row>
    <row r="1936" spans="1:15">
      <c r="A1936" s="71">
        <v>2024</v>
      </c>
      <c r="B1936" s="16" t="s">
        <v>1295</v>
      </c>
      <c r="C1936" s="71" t="s">
        <v>2770</v>
      </c>
      <c r="D1936" s="2" t="s">
        <v>1658</v>
      </c>
      <c r="E1936" s="2" t="s">
        <v>2771</v>
      </c>
      <c r="F1936" s="96">
        <v>67</v>
      </c>
      <c r="G1936" s="1" t="s">
        <v>302</v>
      </c>
      <c r="H1936" s="8">
        <v>3330</v>
      </c>
      <c r="I1936" s="44">
        <f t="shared" si="127"/>
        <v>223110</v>
      </c>
      <c r="J1936" s="539">
        <v>3230.1</v>
      </c>
      <c r="K1936" s="521">
        <f t="shared" si="129"/>
        <v>99.900000000000091</v>
      </c>
      <c r="L1936" s="522">
        <f t="shared" si="128"/>
        <v>6693.3000000000065</v>
      </c>
      <c r="M1936" s="523">
        <f t="shared" si="130"/>
        <v>3.0000000000000027E-2</v>
      </c>
      <c r="N1936" s="2" t="s">
        <v>38</v>
      </c>
      <c r="O1936" s="2" t="s">
        <v>105</v>
      </c>
    </row>
    <row r="1937" spans="1:15">
      <c r="A1937" s="71">
        <v>2024</v>
      </c>
      <c r="B1937" s="16" t="s">
        <v>1295</v>
      </c>
      <c r="C1937" s="71" t="s">
        <v>2772</v>
      </c>
      <c r="D1937" s="2" t="s">
        <v>192</v>
      </c>
      <c r="E1937" s="420" t="s">
        <v>813</v>
      </c>
      <c r="F1937" s="421">
        <v>40000</v>
      </c>
      <c r="G1937" s="4" t="s">
        <v>37</v>
      </c>
      <c r="H1937" s="8">
        <v>58.5</v>
      </c>
      <c r="I1937" s="44">
        <f t="shared" si="127"/>
        <v>2340000</v>
      </c>
      <c r="J1937" s="539">
        <v>55.5</v>
      </c>
      <c r="K1937" s="521">
        <f t="shared" si="129"/>
        <v>3</v>
      </c>
      <c r="L1937" s="522">
        <f t="shared" si="128"/>
        <v>120000</v>
      </c>
      <c r="M1937" s="523">
        <f t="shared" si="130"/>
        <v>5.128205128205128E-2</v>
      </c>
      <c r="N1937" s="2" t="s">
        <v>22</v>
      </c>
      <c r="O1937" s="2" t="s">
        <v>39</v>
      </c>
    </row>
    <row r="1938" spans="1:15">
      <c r="A1938" s="71">
        <v>2024</v>
      </c>
      <c r="B1938" s="16" t="s">
        <v>1295</v>
      </c>
      <c r="C1938" s="71" t="s">
        <v>2772</v>
      </c>
      <c r="D1938" s="2" t="s">
        <v>192</v>
      </c>
      <c r="E1938" s="420" t="s">
        <v>813</v>
      </c>
      <c r="F1938" s="421">
        <v>25000</v>
      </c>
      <c r="G1938" s="4" t="s">
        <v>37</v>
      </c>
      <c r="H1938" s="8">
        <v>58.5</v>
      </c>
      <c r="I1938" s="44">
        <f t="shared" si="127"/>
        <v>1462500</v>
      </c>
      <c r="J1938" s="539">
        <v>55.5</v>
      </c>
      <c r="K1938" s="521">
        <f t="shared" si="129"/>
        <v>3</v>
      </c>
      <c r="L1938" s="522">
        <f t="shared" si="128"/>
        <v>75000</v>
      </c>
      <c r="M1938" s="523">
        <f t="shared" si="130"/>
        <v>5.128205128205128E-2</v>
      </c>
      <c r="N1938" s="2" t="s">
        <v>22</v>
      </c>
      <c r="O1938" s="2" t="s">
        <v>39</v>
      </c>
    </row>
    <row r="1939" spans="1:15">
      <c r="A1939" s="71">
        <v>2024</v>
      </c>
      <c r="B1939" s="16" t="s">
        <v>1295</v>
      </c>
      <c r="C1939" s="71" t="s">
        <v>2772</v>
      </c>
      <c r="D1939" s="2" t="s">
        <v>192</v>
      </c>
      <c r="E1939" s="420" t="s">
        <v>813</v>
      </c>
      <c r="F1939" s="421">
        <v>40000</v>
      </c>
      <c r="G1939" s="4" t="s">
        <v>37</v>
      </c>
      <c r="H1939" s="8">
        <v>58.5</v>
      </c>
      <c r="I1939" s="44">
        <f t="shared" si="127"/>
        <v>2340000</v>
      </c>
      <c r="J1939" s="539">
        <v>55.5</v>
      </c>
      <c r="K1939" s="521">
        <f t="shared" si="129"/>
        <v>3</v>
      </c>
      <c r="L1939" s="522">
        <f t="shared" si="128"/>
        <v>120000</v>
      </c>
      <c r="M1939" s="523">
        <f t="shared" si="130"/>
        <v>5.128205128205128E-2</v>
      </c>
      <c r="N1939" s="2" t="s">
        <v>22</v>
      </c>
      <c r="O1939" s="2" t="s">
        <v>39</v>
      </c>
    </row>
    <row r="1940" spans="1:15">
      <c r="A1940" s="71">
        <v>2024</v>
      </c>
      <c r="B1940" s="16" t="s">
        <v>1295</v>
      </c>
      <c r="C1940" s="71" t="s">
        <v>2772</v>
      </c>
      <c r="D1940" s="2" t="s">
        <v>192</v>
      </c>
      <c r="E1940" s="420" t="s">
        <v>813</v>
      </c>
      <c r="F1940" s="421">
        <v>40000</v>
      </c>
      <c r="G1940" s="4" t="s">
        <v>37</v>
      </c>
      <c r="H1940" s="8">
        <v>58.5</v>
      </c>
      <c r="I1940" s="44">
        <f t="shared" si="127"/>
        <v>2340000</v>
      </c>
      <c r="J1940" s="539">
        <v>55.5</v>
      </c>
      <c r="K1940" s="521">
        <f t="shared" si="129"/>
        <v>3</v>
      </c>
      <c r="L1940" s="522">
        <f t="shared" si="128"/>
        <v>120000</v>
      </c>
      <c r="M1940" s="523">
        <f t="shared" si="130"/>
        <v>5.128205128205128E-2</v>
      </c>
      <c r="N1940" s="2" t="s">
        <v>22</v>
      </c>
      <c r="O1940" s="2" t="s">
        <v>39</v>
      </c>
    </row>
    <row r="1941" spans="1:15">
      <c r="A1941" s="71">
        <v>2024</v>
      </c>
      <c r="B1941" s="16" t="s">
        <v>1295</v>
      </c>
      <c r="C1941" s="71" t="s">
        <v>2772</v>
      </c>
      <c r="D1941" s="2" t="s">
        <v>192</v>
      </c>
      <c r="E1941" s="420" t="s">
        <v>813</v>
      </c>
      <c r="F1941" s="421">
        <v>40000</v>
      </c>
      <c r="G1941" s="4" t="s">
        <v>37</v>
      </c>
      <c r="H1941" s="8">
        <v>58.5</v>
      </c>
      <c r="I1941" s="44">
        <f t="shared" si="127"/>
        <v>2340000</v>
      </c>
      <c r="J1941" s="539">
        <v>55.5</v>
      </c>
      <c r="K1941" s="521">
        <f t="shared" si="129"/>
        <v>3</v>
      </c>
      <c r="L1941" s="522">
        <f t="shared" si="128"/>
        <v>120000</v>
      </c>
      <c r="M1941" s="523">
        <f t="shared" si="130"/>
        <v>5.128205128205128E-2</v>
      </c>
      <c r="N1941" s="35" t="s">
        <v>22</v>
      </c>
      <c r="O1941" s="2" t="s">
        <v>39</v>
      </c>
    </row>
    <row r="1942" spans="1:15">
      <c r="A1942" s="71">
        <v>2024</v>
      </c>
      <c r="B1942" s="16" t="s">
        <v>1295</v>
      </c>
      <c r="C1942" s="71" t="s">
        <v>2772</v>
      </c>
      <c r="D1942" s="2" t="s">
        <v>192</v>
      </c>
      <c r="E1942" s="420" t="s">
        <v>813</v>
      </c>
      <c r="F1942" s="421">
        <v>40000</v>
      </c>
      <c r="G1942" s="4" t="s">
        <v>37</v>
      </c>
      <c r="H1942" s="8">
        <v>58.5</v>
      </c>
      <c r="I1942" s="44">
        <f t="shared" si="127"/>
        <v>2340000</v>
      </c>
      <c r="J1942" s="539">
        <v>55.5</v>
      </c>
      <c r="K1942" s="521">
        <f t="shared" si="129"/>
        <v>3</v>
      </c>
      <c r="L1942" s="522">
        <f t="shared" si="128"/>
        <v>120000</v>
      </c>
      <c r="M1942" s="523">
        <f t="shared" si="130"/>
        <v>5.128205128205128E-2</v>
      </c>
      <c r="N1942" s="35" t="s">
        <v>22</v>
      </c>
      <c r="O1942" s="2" t="s">
        <v>39</v>
      </c>
    </row>
    <row r="1943" spans="1:15">
      <c r="A1943" s="71">
        <v>2024</v>
      </c>
      <c r="B1943" s="16" t="s">
        <v>1295</v>
      </c>
      <c r="C1943" s="71" t="s">
        <v>2772</v>
      </c>
      <c r="D1943" s="2" t="s">
        <v>192</v>
      </c>
      <c r="E1943" s="420" t="s">
        <v>813</v>
      </c>
      <c r="F1943" s="421">
        <v>40000</v>
      </c>
      <c r="G1943" s="4" t="s">
        <v>37</v>
      </c>
      <c r="H1943" s="8">
        <v>58.5</v>
      </c>
      <c r="I1943" s="44">
        <f t="shared" si="127"/>
        <v>2340000</v>
      </c>
      <c r="J1943" s="539">
        <v>55.5</v>
      </c>
      <c r="K1943" s="521">
        <f t="shared" si="129"/>
        <v>3</v>
      </c>
      <c r="L1943" s="522">
        <f t="shared" si="128"/>
        <v>120000</v>
      </c>
      <c r="M1943" s="523">
        <f t="shared" si="130"/>
        <v>5.128205128205128E-2</v>
      </c>
      <c r="N1943" s="35" t="s">
        <v>22</v>
      </c>
      <c r="O1943" s="2" t="s">
        <v>39</v>
      </c>
    </row>
    <row r="1944" spans="1:15">
      <c r="A1944" s="71">
        <v>2024</v>
      </c>
      <c r="B1944" s="16" t="s">
        <v>1295</v>
      </c>
      <c r="C1944" s="71" t="s">
        <v>2772</v>
      </c>
      <c r="D1944" s="2" t="s">
        <v>192</v>
      </c>
      <c r="E1944" s="420" t="s">
        <v>813</v>
      </c>
      <c r="F1944" s="421">
        <v>40000</v>
      </c>
      <c r="G1944" s="4" t="s">
        <v>37</v>
      </c>
      <c r="H1944" s="8">
        <v>58.5</v>
      </c>
      <c r="I1944" s="44">
        <f t="shared" si="127"/>
        <v>2340000</v>
      </c>
      <c r="J1944" s="539">
        <v>55.5</v>
      </c>
      <c r="K1944" s="521">
        <f t="shared" si="129"/>
        <v>3</v>
      </c>
      <c r="L1944" s="522">
        <f t="shared" si="128"/>
        <v>120000</v>
      </c>
      <c r="M1944" s="523">
        <f t="shared" si="130"/>
        <v>5.128205128205128E-2</v>
      </c>
      <c r="N1944" s="35" t="s">
        <v>22</v>
      </c>
      <c r="O1944" s="2" t="s">
        <v>39</v>
      </c>
    </row>
    <row r="1945" spans="1:15">
      <c r="A1945" s="71">
        <v>2024</v>
      </c>
      <c r="B1945" s="16" t="s">
        <v>1295</v>
      </c>
      <c r="C1945" s="71" t="s">
        <v>2772</v>
      </c>
      <c r="D1945" s="2" t="s">
        <v>192</v>
      </c>
      <c r="E1945" s="420" t="s">
        <v>813</v>
      </c>
      <c r="F1945" s="421">
        <v>20000</v>
      </c>
      <c r="G1945" s="4" t="s">
        <v>37</v>
      </c>
      <c r="H1945" s="8">
        <v>58.5</v>
      </c>
      <c r="I1945" s="44">
        <f t="shared" si="127"/>
        <v>1170000</v>
      </c>
      <c r="J1945" s="539">
        <v>55.5</v>
      </c>
      <c r="K1945" s="521">
        <f t="shared" si="129"/>
        <v>3</v>
      </c>
      <c r="L1945" s="522">
        <f t="shared" si="128"/>
        <v>60000</v>
      </c>
      <c r="M1945" s="523">
        <f t="shared" si="130"/>
        <v>5.128205128205128E-2</v>
      </c>
      <c r="N1945" s="2" t="s">
        <v>22</v>
      </c>
      <c r="O1945" s="2" t="s">
        <v>39</v>
      </c>
    </row>
    <row r="1946" spans="1:15">
      <c r="A1946" s="71">
        <v>2024</v>
      </c>
      <c r="B1946" s="16" t="s">
        <v>1295</v>
      </c>
      <c r="C1946" s="71" t="s">
        <v>2773</v>
      </c>
      <c r="D1946" s="2" t="s">
        <v>192</v>
      </c>
      <c r="E1946" s="420" t="s">
        <v>502</v>
      </c>
      <c r="F1946" s="421">
        <v>40000</v>
      </c>
      <c r="G1946" s="4" t="s">
        <v>37</v>
      </c>
      <c r="H1946" s="8">
        <v>61.5</v>
      </c>
      <c r="I1946" s="44">
        <f t="shared" si="127"/>
        <v>2460000</v>
      </c>
      <c r="J1946" s="539">
        <v>58.5</v>
      </c>
      <c r="K1946" s="521">
        <f t="shared" si="129"/>
        <v>3</v>
      </c>
      <c r="L1946" s="522">
        <f t="shared" si="128"/>
        <v>120000</v>
      </c>
      <c r="M1946" s="523">
        <f t="shared" si="130"/>
        <v>4.878048780487805E-2</v>
      </c>
      <c r="N1946" s="35" t="s">
        <v>22</v>
      </c>
      <c r="O1946" s="2" t="s">
        <v>39</v>
      </c>
    </row>
    <row r="1947" spans="1:15">
      <c r="A1947" s="71">
        <v>2024</v>
      </c>
      <c r="B1947" s="16" t="s">
        <v>1295</v>
      </c>
      <c r="C1947" s="71" t="s">
        <v>2773</v>
      </c>
      <c r="D1947" s="2" t="s">
        <v>192</v>
      </c>
      <c r="E1947" s="420" t="s">
        <v>502</v>
      </c>
      <c r="F1947" s="421">
        <v>40000</v>
      </c>
      <c r="G1947" s="4" t="s">
        <v>37</v>
      </c>
      <c r="H1947" s="8">
        <v>61.5</v>
      </c>
      <c r="I1947" s="44">
        <f t="shared" si="127"/>
        <v>2460000</v>
      </c>
      <c r="J1947" s="539">
        <v>58.5</v>
      </c>
      <c r="K1947" s="521">
        <f t="shared" si="129"/>
        <v>3</v>
      </c>
      <c r="L1947" s="522">
        <f t="shared" si="128"/>
        <v>120000</v>
      </c>
      <c r="M1947" s="523">
        <f t="shared" si="130"/>
        <v>4.878048780487805E-2</v>
      </c>
      <c r="N1947" s="35" t="s">
        <v>22</v>
      </c>
      <c r="O1947" s="2" t="s">
        <v>39</v>
      </c>
    </row>
    <row r="1948" spans="1:15">
      <c r="A1948" s="71">
        <v>2024</v>
      </c>
      <c r="B1948" s="16" t="s">
        <v>1295</v>
      </c>
      <c r="C1948" s="71" t="s">
        <v>2773</v>
      </c>
      <c r="D1948" s="2" t="s">
        <v>192</v>
      </c>
      <c r="E1948" s="420" t="s">
        <v>502</v>
      </c>
      <c r="F1948" s="421">
        <v>40000</v>
      </c>
      <c r="G1948" s="4" t="s">
        <v>37</v>
      </c>
      <c r="H1948" s="8">
        <v>61.5</v>
      </c>
      <c r="I1948" s="44">
        <f t="shared" si="127"/>
        <v>2460000</v>
      </c>
      <c r="J1948" s="539">
        <v>58.5</v>
      </c>
      <c r="K1948" s="521">
        <f t="shared" si="129"/>
        <v>3</v>
      </c>
      <c r="L1948" s="522">
        <f t="shared" si="128"/>
        <v>120000</v>
      </c>
      <c r="M1948" s="523">
        <f t="shared" si="130"/>
        <v>4.878048780487805E-2</v>
      </c>
      <c r="N1948" s="2" t="s">
        <v>22</v>
      </c>
      <c r="O1948" s="2" t="s">
        <v>39</v>
      </c>
    </row>
    <row r="1949" spans="1:15">
      <c r="A1949" s="71">
        <v>2024</v>
      </c>
      <c r="B1949" s="16" t="s">
        <v>1295</v>
      </c>
      <c r="C1949" s="71" t="s">
        <v>2773</v>
      </c>
      <c r="D1949" s="2" t="s">
        <v>192</v>
      </c>
      <c r="E1949" s="420" t="s">
        <v>502</v>
      </c>
      <c r="F1949" s="421">
        <v>20000</v>
      </c>
      <c r="G1949" s="4" t="s">
        <v>37</v>
      </c>
      <c r="H1949" s="8">
        <v>61.5</v>
      </c>
      <c r="I1949" s="44">
        <f t="shared" si="127"/>
        <v>1230000</v>
      </c>
      <c r="J1949" s="539">
        <v>58.5</v>
      </c>
      <c r="K1949" s="521">
        <f t="shared" si="129"/>
        <v>3</v>
      </c>
      <c r="L1949" s="522">
        <f t="shared" si="128"/>
        <v>60000</v>
      </c>
      <c r="M1949" s="523">
        <f t="shared" si="130"/>
        <v>4.878048780487805E-2</v>
      </c>
      <c r="N1949" s="2" t="s">
        <v>22</v>
      </c>
      <c r="O1949" s="2" t="s">
        <v>39</v>
      </c>
    </row>
    <row r="1950" spans="1:15">
      <c r="A1950" s="71">
        <v>2024</v>
      </c>
      <c r="B1950" s="16" t="s">
        <v>1295</v>
      </c>
      <c r="C1950" s="71" t="s">
        <v>2774</v>
      </c>
      <c r="D1950" s="2" t="s">
        <v>430</v>
      </c>
      <c r="E1950" s="2" t="s">
        <v>55</v>
      </c>
      <c r="F1950" s="96">
        <v>500</v>
      </c>
      <c r="G1950" s="1" t="s">
        <v>19</v>
      </c>
      <c r="H1950" s="8">
        <v>4.5</v>
      </c>
      <c r="I1950" s="44">
        <f t="shared" si="127"/>
        <v>2250</v>
      </c>
      <c r="J1950" s="539">
        <v>2.5</v>
      </c>
      <c r="K1950" s="521">
        <f t="shared" si="129"/>
        <v>2</v>
      </c>
      <c r="L1950" s="522">
        <f t="shared" si="128"/>
        <v>1000</v>
      </c>
      <c r="M1950" s="523">
        <f t="shared" si="130"/>
        <v>0.44444444444444442</v>
      </c>
      <c r="N1950" s="28" t="s">
        <v>22</v>
      </c>
      <c r="O1950" s="2" t="s">
        <v>21</v>
      </c>
    </row>
    <row r="1951" spans="1:15">
      <c r="A1951" s="71">
        <v>2024</v>
      </c>
      <c r="B1951" s="16" t="s">
        <v>1295</v>
      </c>
      <c r="C1951" s="71" t="s">
        <v>2775</v>
      </c>
      <c r="D1951" s="2" t="s">
        <v>2776</v>
      </c>
      <c r="E1951" s="2" t="s">
        <v>2777</v>
      </c>
      <c r="F1951" s="96">
        <v>1</v>
      </c>
      <c r="G1951" s="1" t="s">
        <v>59</v>
      </c>
      <c r="H1951" s="8">
        <v>288800</v>
      </c>
      <c r="I1951" s="44">
        <f t="shared" si="127"/>
        <v>288800</v>
      </c>
      <c r="J1951" s="539">
        <v>285800</v>
      </c>
      <c r="K1951" s="521">
        <f t="shared" si="129"/>
        <v>3000</v>
      </c>
      <c r="L1951" s="522">
        <f t="shared" si="128"/>
        <v>3000</v>
      </c>
      <c r="M1951" s="523">
        <f t="shared" si="130"/>
        <v>1.038781163434903E-2</v>
      </c>
      <c r="N1951" s="28" t="s">
        <v>22</v>
      </c>
      <c r="O1951" s="2" t="s">
        <v>21</v>
      </c>
    </row>
    <row r="1952" spans="1:15">
      <c r="A1952" s="71">
        <v>2024</v>
      </c>
      <c r="B1952" s="16" t="s">
        <v>1295</v>
      </c>
      <c r="C1952" s="71" t="s">
        <v>2778</v>
      </c>
      <c r="D1952" s="2" t="s">
        <v>1560</v>
      </c>
      <c r="E1952" s="2" t="s">
        <v>2779</v>
      </c>
      <c r="F1952" s="96">
        <v>2</v>
      </c>
      <c r="G1952" s="1" t="s">
        <v>19</v>
      </c>
      <c r="H1952" s="8">
        <v>7250</v>
      </c>
      <c r="I1952" s="44">
        <f t="shared" si="127"/>
        <v>14500</v>
      </c>
      <c r="J1952" s="539">
        <v>2500</v>
      </c>
      <c r="K1952" s="521">
        <f t="shared" si="129"/>
        <v>4750</v>
      </c>
      <c r="L1952" s="522">
        <f t="shared" si="128"/>
        <v>9500</v>
      </c>
      <c r="M1952" s="523">
        <f t="shared" si="130"/>
        <v>0.65517241379310343</v>
      </c>
      <c r="N1952" s="28" t="s">
        <v>22</v>
      </c>
      <c r="O1952" s="2" t="s">
        <v>21</v>
      </c>
    </row>
    <row r="1953" spans="1:15">
      <c r="A1953" s="71">
        <v>2024</v>
      </c>
      <c r="B1953" s="16" t="s">
        <v>1295</v>
      </c>
      <c r="C1953" s="61" t="s">
        <v>2780</v>
      </c>
      <c r="D1953" s="32" t="s">
        <v>2703</v>
      </c>
      <c r="E1953" s="43" t="s">
        <v>2781</v>
      </c>
      <c r="F1953" s="100">
        <v>1</v>
      </c>
      <c r="G1953" s="45" t="s">
        <v>29</v>
      </c>
      <c r="H1953" s="49">
        <v>8500</v>
      </c>
      <c r="I1953" s="49">
        <f t="shared" si="127"/>
        <v>8500</v>
      </c>
      <c r="J1953" s="518">
        <v>5300</v>
      </c>
      <c r="K1953" s="532">
        <f t="shared" si="129"/>
        <v>3200</v>
      </c>
      <c r="L1953" s="545">
        <f t="shared" si="128"/>
        <v>3200</v>
      </c>
      <c r="M1953" s="523">
        <f t="shared" si="130"/>
        <v>0.37647058823529411</v>
      </c>
      <c r="N1953" s="28" t="s">
        <v>22</v>
      </c>
      <c r="O1953" s="2" t="s">
        <v>21</v>
      </c>
    </row>
    <row r="1954" spans="1:15">
      <c r="A1954" s="71">
        <v>2024</v>
      </c>
      <c r="B1954" s="16" t="s">
        <v>1295</v>
      </c>
      <c r="C1954" s="62" t="s">
        <v>2782</v>
      </c>
      <c r="D1954" s="47" t="s">
        <v>1927</v>
      </c>
      <c r="E1954" s="47" t="s">
        <v>2783</v>
      </c>
      <c r="F1954" s="99">
        <v>2</v>
      </c>
      <c r="G1954" s="42" t="s">
        <v>19</v>
      </c>
      <c r="H1954" s="44">
        <v>178000</v>
      </c>
      <c r="I1954" s="49">
        <f t="shared" si="127"/>
        <v>356000</v>
      </c>
      <c r="J1954" s="544">
        <v>177621.75</v>
      </c>
      <c r="K1954" s="529">
        <f t="shared" si="129"/>
        <v>378.25</v>
      </c>
      <c r="L1954" s="533">
        <f t="shared" si="128"/>
        <v>756.5</v>
      </c>
      <c r="M1954" s="531">
        <f t="shared" si="130"/>
        <v>2.1250000000000002E-3</v>
      </c>
      <c r="N1954" s="125" t="s">
        <v>30</v>
      </c>
      <c r="O1954" s="32" t="s">
        <v>21</v>
      </c>
    </row>
    <row r="1955" spans="1:15">
      <c r="A1955" s="71">
        <v>2024</v>
      </c>
      <c r="B1955" s="16" t="s">
        <v>1295</v>
      </c>
      <c r="C1955" s="62" t="s">
        <v>2784</v>
      </c>
      <c r="D1955" s="47" t="s">
        <v>586</v>
      </c>
      <c r="E1955" s="47" t="s">
        <v>1899</v>
      </c>
      <c r="F1955" s="99">
        <v>60</v>
      </c>
      <c r="G1955" s="42" t="s">
        <v>588</v>
      </c>
      <c r="H1955" s="44">
        <v>1080</v>
      </c>
      <c r="I1955" s="49">
        <f t="shared" si="127"/>
        <v>64800</v>
      </c>
      <c r="J1955" s="544">
        <v>1035</v>
      </c>
      <c r="K1955" s="529">
        <f t="shared" si="129"/>
        <v>45</v>
      </c>
      <c r="L1955" s="533">
        <f t="shared" si="128"/>
        <v>2700</v>
      </c>
      <c r="M1955" s="531">
        <f t="shared" si="130"/>
        <v>4.1666666666666664E-2</v>
      </c>
      <c r="N1955" s="84" t="s">
        <v>20</v>
      </c>
      <c r="O1955" s="47" t="s">
        <v>21</v>
      </c>
    </row>
    <row r="1956" spans="1:15">
      <c r="A1956" s="71">
        <v>2024</v>
      </c>
      <c r="B1956" s="16" t="s">
        <v>1295</v>
      </c>
      <c r="C1956" s="62" t="s">
        <v>2784</v>
      </c>
      <c r="D1956" s="47" t="s">
        <v>586</v>
      </c>
      <c r="E1956" s="47" t="s">
        <v>1898</v>
      </c>
      <c r="F1956" s="99">
        <v>180</v>
      </c>
      <c r="G1956" s="42" t="s">
        <v>588</v>
      </c>
      <c r="H1956" s="44">
        <v>945</v>
      </c>
      <c r="I1956" s="49">
        <f t="shared" si="127"/>
        <v>170100</v>
      </c>
      <c r="J1956" s="544">
        <v>855</v>
      </c>
      <c r="K1956" s="529">
        <f t="shared" si="129"/>
        <v>90</v>
      </c>
      <c r="L1956" s="533">
        <f t="shared" si="128"/>
        <v>16200</v>
      </c>
      <c r="M1956" s="531">
        <f t="shared" si="130"/>
        <v>9.5238095238095233E-2</v>
      </c>
      <c r="N1956" s="84" t="s">
        <v>20</v>
      </c>
      <c r="O1956" s="47" t="s">
        <v>21</v>
      </c>
    </row>
    <row r="1957" spans="1:15">
      <c r="A1957" s="71">
        <v>2024</v>
      </c>
      <c r="B1957" s="16" t="s">
        <v>1295</v>
      </c>
      <c r="C1957" s="62" t="s">
        <v>2784</v>
      </c>
      <c r="D1957" s="47" t="s">
        <v>586</v>
      </c>
      <c r="E1957" s="47" t="s">
        <v>2785</v>
      </c>
      <c r="F1957" s="99">
        <v>120</v>
      </c>
      <c r="G1957" s="42" t="s">
        <v>588</v>
      </c>
      <c r="H1957" s="44">
        <v>930</v>
      </c>
      <c r="I1957" s="49">
        <f t="shared" si="127"/>
        <v>111600</v>
      </c>
      <c r="J1957" s="544">
        <v>825</v>
      </c>
      <c r="K1957" s="529">
        <f t="shared" si="129"/>
        <v>105</v>
      </c>
      <c r="L1957" s="533">
        <f t="shared" si="128"/>
        <v>12600</v>
      </c>
      <c r="M1957" s="531">
        <f t="shared" si="130"/>
        <v>0.11290322580645161</v>
      </c>
      <c r="N1957" s="84" t="s">
        <v>20</v>
      </c>
      <c r="O1957" s="47" t="s">
        <v>21</v>
      </c>
    </row>
    <row r="1958" spans="1:15">
      <c r="A1958" s="71">
        <v>2024</v>
      </c>
      <c r="B1958" s="16" t="s">
        <v>1295</v>
      </c>
      <c r="C1958" s="62" t="s">
        <v>2786</v>
      </c>
      <c r="D1958" s="47" t="s">
        <v>586</v>
      </c>
      <c r="E1958" s="47" t="s">
        <v>853</v>
      </c>
      <c r="F1958" s="99">
        <v>1800</v>
      </c>
      <c r="G1958" s="42" t="s">
        <v>499</v>
      </c>
      <c r="H1958" s="44">
        <v>72</v>
      </c>
      <c r="I1958" s="49">
        <f t="shared" si="127"/>
        <v>129600</v>
      </c>
      <c r="J1958" s="544">
        <v>67</v>
      </c>
      <c r="K1958" s="529">
        <f t="shared" si="129"/>
        <v>5</v>
      </c>
      <c r="L1958" s="533">
        <f t="shared" si="128"/>
        <v>9000</v>
      </c>
      <c r="M1958" s="531">
        <f t="shared" si="130"/>
        <v>6.9444444444444448E-2</v>
      </c>
      <c r="N1958" s="84" t="s">
        <v>20</v>
      </c>
      <c r="O1958" s="47" t="s">
        <v>21</v>
      </c>
    </row>
    <row r="1959" spans="1:15">
      <c r="A1959" s="71">
        <v>2024</v>
      </c>
      <c r="B1959" s="16" t="s">
        <v>1295</v>
      </c>
      <c r="C1959" s="62" t="s">
        <v>2787</v>
      </c>
      <c r="D1959" s="47" t="s">
        <v>118</v>
      </c>
      <c r="E1959" s="47" t="s">
        <v>2788</v>
      </c>
      <c r="F1959" s="99">
        <v>1</v>
      </c>
      <c r="G1959" s="42" t="s">
        <v>19</v>
      </c>
      <c r="H1959" s="44">
        <v>1350</v>
      </c>
      <c r="I1959" s="49">
        <f t="shared" si="127"/>
        <v>1350</v>
      </c>
      <c r="J1959" s="544">
        <v>1225</v>
      </c>
      <c r="K1959" s="529">
        <f t="shared" si="129"/>
        <v>125</v>
      </c>
      <c r="L1959" s="533">
        <f t="shared" si="128"/>
        <v>125</v>
      </c>
      <c r="M1959" s="531">
        <f t="shared" si="130"/>
        <v>9.2592592592592587E-2</v>
      </c>
      <c r="N1959" s="84" t="s">
        <v>22</v>
      </c>
      <c r="O1959" s="47" t="s">
        <v>21</v>
      </c>
    </row>
    <row r="1960" spans="1:15">
      <c r="A1960" s="71">
        <v>2024</v>
      </c>
      <c r="B1960" s="16" t="s">
        <v>1295</v>
      </c>
      <c r="C1960" s="62" t="s">
        <v>2789</v>
      </c>
      <c r="D1960" s="47" t="s">
        <v>182</v>
      </c>
      <c r="E1960" s="47" t="s">
        <v>2790</v>
      </c>
      <c r="F1960" s="99">
        <v>1</v>
      </c>
      <c r="G1960" s="42" t="s">
        <v>19</v>
      </c>
      <c r="H1960" s="44">
        <v>12500</v>
      </c>
      <c r="I1960" s="49">
        <f t="shared" si="127"/>
        <v>12500</v>
      </c>
      <c r="J1960" s="544">
        <v>10600</v>
      </c>
      <c r="K1960" s="529">
        <f t="shared" si="129"/>
        <v>1900</v>
      </c>
      <c r="L1960" s="533">
        <f t="shared" si="128"/>
        <v>1900</v>
      </c>
      <c r="M1960" s="531">
        <f t="shared" si="130"/>
        <v>0.152</v>
      </c>
      <c r="N1960" s="84" t="s">
        <v>22</v>
      </c>
      <c r="O1960" s="47" t="s">
        <v>21</v>
      </c>
    </row>
    <row r="1961" spans="1:15">
      <c r="A1961" s="71">
        <v>2024</v>
      </c>
      <c r="B1961" s="16" t="s">
        <v>1295</v>
      </c>
      <c r="C1961" s="62" t="s">
        <v>2789</v>
      </c>
      <c r="D1961" s="47" t="s">
        <v>182</v>
      </c>
      <c r="E1961" s="47" t="s">
        <v>2791</v>
      </c>
      <c r="F1961" s="99">
        <v>1</v>
      </c>
      <c r="G1961" s="42" t="s">
        <v>59</v>
      </c>
      <c r="H1961" s="44">
        <v>800</v>
      </c>
      <c r="I1961" s="49">
        <f t="shared" si="127"/>
        <v>800</v>
      </c>
      <c r="J1961" s="544">
        <v>400</v>
      </c>
      <c r="K1961" s="529">
        <f t="shared" si="129"/>
        <v>400</v>
      </c>
      <c r="L1961" s="533">
        <f t="shared" si="128"/>
        <v>400</v>
      </c>
      <c r="M1961" s="531">
        <f t="shared" si="130"/>
        <v>0.5</v>
      </c>
      <c r="N1961" s="84" t="s">
        <v>22</v>
      </c>
      <c r="O1961" s="47" t="s">
        <v>21</v>
      </c>
    </row>
    <row r="1962" spans="1:15">
      <c r="A1962" s="71">
        <v>2024</v>
      </c>
      <c r="B1962" s="16" t="s">
        <v>1295</v>
      </c>
      <c r="C1962" s="62" t="s">
        <v>2792</v>
      </c>
      <c r="D1962" s="47" t="s">
        <v>118</v>
      </c>
      <c r="E1962" s="47" t="s">
        <v>2793</v>
      </c>
      <c r="F1962" s="99">
        <v>3</v>
      </c>
      <c r="G1962" s="42" t="s">
        <v>29</v>
      </c>
      <c r="H1962" s="44">
        <v>980</v>
      </c>
      <c r="I1962" s="49">
        <f t="shared" si="127"/>
        <v>2940</v>
      </c>
      <c r="J1962" s="544">
        <v>780</v>
      </c>
      <c r="K1962" s="529">
        <f t="shared" si="129"/>
        <v>200</v>
      </c>
      <c r="L1962" s="533">
        <f t="shared" si="128"/>
        <v>600</v>
      </c>
      <c r="M1962" s="531">
        <f t="shared" si="130"/>
        <v>0.20408163265306123</v>
      </c>
      <c r="N1962" s="84" t="s">
        <v>22</v>
      </c>
      <c r="O1962" s="47" t="s">
        <v>21</v>
      </c>
    </row>
    <row r="1963" spans="1:15">
      <c r="A1963" s="71">
        <v>2024</v>
      </c>
      <c r="B1963" s="16" t="s">
        <v>1295</v>
      </c>
      <c r="C1963" s="62" t="s">
        <v>2794</v>
      </c>
      <c r="D1963" s="47" t="s">
        <v>1948</v>
      </c>
      <c r="E1963" s="47" t="s">
        <v>2795</v>
      </c>
      <c r="F1963" s="99">
        <v>3</v>
      </c>
      <c r="G1963" s="42" t="s">
        <v>19</v>
      </c>
      <c r="H1963" s="44">
        <v>7685</v>
      </c>
      <c r="I1963" s="49">
        <f t="shared" si="127"/>
        <v>23055</v>
      </c>
      <c r="J1963" s="544">
        <v>7300</v>
      </c>
      <c r="K1963" s="529">
        <f t="shared" si="129"/>
        <v>385</v>
      </c>
      <c r="L1963" s="533">
        <f t="shared" si="128"/>
        <v>1155</v>
      </c>
      <c r="M1963" s="531">
        <f t="shared" si="130"/>
        <v>5.0097592713077427E-2</v>
      </c>
      <c r="N1963" s="84" t="s">
        <v>22</v>
      </c>
      <c r="O1963" s="47" t="s">
        <v>21</v>
      </c>
    </row>
    <row r="1964" spans="1:15">
      <c r="A1964" s="71">
        <v>2024</v>
      </c>
      <c r="B1964" s="16" t="s">
        <v>1295</v>
      </c>
      <c r="C1964" s="62" t="s">
        <v>2794</v>
      </c>
      <c r="D1964" s="47" t="s">
        <v>1948</v>
      </c>
      <c r="E1964" s="47" t="s">
        <v>2796</v>
      </c>
      <c r="F1964" s="99">
        <v>3</v>
      </c>
      <c r="G1964" s="42" t="s">
        <v>29</v>
      </c>
      <c r="H1964" s="44">
        <v>1250</v>
      </c>
      <c r="I1964" s="49">
        <f t="shared" si="127"/>
        <v>3750</v>
      </c>
      <c r="J1964" s="544">
        <v>980</v>
      </c>
      <c r="K1964" s="529">
        <f t="shared" si="129"/>
        <v>270</v>
      </c>
      <c r="L1964" s="533">
        <f t="shared" si="128"/>
        <v>810</v>
      </c>
      <c r="M1964" s="531">
        <f t="shared" si="130"/>
        <v>0.216</v>
      </c>
      <c r="N1964" s="84" t="s">
        <v>22</v>
      </c>
      <c r="O1964" s="47" t="s">
        <v>21</v>
      </c>
    </row>
    <row r="1965" spans="1:15">
      <c r="A1965" s="71">
        <v>2024</v>
      </c>
      <c r="B1965" s="16" t="s">
        <v>1295</v>
      </c>
      <c r="C1965" s="62" t="s">
        <v>2797</v>
      </c>
      <c r="D1965" s="47" t="s">
        <v>1670</v>
      </c>
      <c r="E1965" s="47" t="s">
        <v>2653</v>
      </c>
      <c r="F1965" s="99">
        <v>1</v>
      </c>
      <c r="G1965" s="42" t="s">
        <v>238</v>
      </c>
      <c r="H1965" s="44">
        <v>70000</v>
      </c>
      <c r="I1965" s="49">
        <f t="shared" ref="I1965:I2028" si="131">H1965*F1965</f>
        <v>70000</v>
      </c>
      <c r="J1965" s="544">
        <v>50000</v>
      </c>
      <c r="K1965" s="529">
        <f t="shared" si="129"/>
        <v>20000</v>
      </c>
      <c r="L1965" s="533">
        <f t="shared" si="128"/>
        <v>20000</v>
      </c>
      <c r="M1965" s="531">
        <f t="shared" si="130"/>
        <v>0.2857142857142857</v>
      </c>
      <c r="N1965" s="84" t="s">
        <v>22</v>
      </c>
      <c r="O1965" s="47" t="s">
        <v>21</v>
      </c>
    </row>
    <row r="1966" spans="1:15">
      <c r="A1966" s="71">
        <v>2024</v>
      </c>
      <c r="B1966" s="16" t="s">
        <v>1295</v>
      </c>
      <c r="C1966" s="62" t="s">
        <v>2798</v>
      </c>
      <c r="D1966" s="47" t="s">
        <v>110</v>
      </c>
      <c r="E1966" s="47" t="s">
        <v>2799</v>
      </c>
      <c r="F1966" s="99">
        <v>1</v>
      </c>
      <c r="G1966" s="42" t="s">
        <v>19</v>
      </c>
      <c r="H1966" s="44">
        <v>14500</v>
      </c>
      <c r="I1966" s="49">
        <f t="shared" si="131"/>
        <v>14500</v>
      </c>
      <c r="J1966" s="544">
        <v>13700</v>
      </c>
      <c r="K1966" s="529">
        <f t="shared" si="129"/>
        <v>800</v>
      </c>
      <c r="L1966" s="533">
        <f t="shared" si="128"/>
        <v>800</v>
      </c>
      <c r="M1966" s="531">
        <f t="shared" si="130"/>
        <v>5.5172413793103448E-2</v>
      </c>
      <c r="N1966" s="84" t="s">
        <v>22</v>
      </c>
      <c r="O1966" s="47" t="s">
        <v>21</v>
      </c>
    </row>
    <row r="1967" spans="1:15">
      <c r="A1967" s="71">
        <v>2024</v>
      </c>
      <c r="B1967" s="16" t="s">
        <v>1295</v>
      </c>
      <c r="C1967" s="62" t="s">
        <v>2798</v>
      </c>
      <c r="D1967" s="47" t="s">
        <v>110</v>
      </c>
      <c r="E1967" s="47" t="s">
        <v>2800</v>
      </c>
      <c r="F1967" s="99">
        <v>1</v>
      </c>
      <c r="G1967" s="42" t="s">
        <v>19</v>
      </c>
      <c r="H1967" s="44">
        <v>1290</v>
      </c>
      <c r="I1967" s="49">
        <f t="shared" si="131"/>
        <v>1290</v>
      </c>
      <c r="J1967" s="544">
        <v>1150</v>
      </c>
      <c r="K1967" s="529">
        <f t="shared" si="129"/>
        <v>140</v>
      </c>
      <c r="L1967" s="533">
        <f t="shared" si="128"/>
        <v>140</v>
      </c>
      <c r="M1967" s="531">
        <f t="shared" si="130"/>
        <v>0.10852713178294573</v>
      </c>
      <c r="N1967" s="84" t="s">
        <v>22</v>
      </c>
      <c r="O1967" s="47" t="s">
        <v>21</v>
      </c>
    </row>
    <row r="1968" spans="1:15">
      <c r="A1968" s="71">
        <v>2024</v>
      </c>
      <c r="B1968" s="16" t="s">
        <v>1295</v>
      </c>
      <c r="C1968" s="62" t="s">
        <v>2801</v>
      </c>
      <c r="D1968" s="47" t="s">
        <v>522</v>
      </c>
      <c r="E1968" s="47" t="s">
        <v>2802</v>
      </c>
      <c r="F1968" s="99">
        <v>1</v>
      </c>
      <c r="G1968" s="42" t="s">
        <v>59</v>
      </c>
      <c r="H1968" s="44">
        <v>147059</v>
      </c>
      <c r="I1968" s="49">
        <f t="shared" si="131"/>
        <v>147059</v>
      </c>
      <c r="J1968" s="544">
        <v>130000</v>
      </c>
      <c r="K1968" s="529">
        <f t="shared" si="129"/>
        <v>17059</v>
      </c>
      <c r="L1968" s="533">
        <f t="shared" si="128"/>
        <v>17059</v>
      </c>
      <c r="M1968" s="531">
        <f t="shared" si="130"/>
        <v>0.11600106079872705</v>
      </c>
      <c r="N1968" s="84" t="s">
        <v>38</v>
      </c>
      <c r="O1968" s="47" t="s">
        <v>21</v>
      </c>
    </row>
    <row r="1969" spans="1:15">
      <c r="A1969" s="71">
        <v>2024</v>
      </c>
      <c r="B1969" s="16" t="s">
        <v>1295</v>
      </c>
      <c r="C1969" s="62" t="s">
        <v>2801</v>
      </c>
      <c r="D1969" s="47" t="s">
        <v>522</v>
      </c>
      <c r="E1969" s="47" t="s">
        <v>2802</v>
      </c>
      <c r="F1969" s="99">
        <v>1</v>
      </c>
      <c r="G1969" s="42" t="s">
        <v>59</v>
      </c>
      <c r="H1969" s="44">
        <v>130000</v>
      </c>
      <c r="I1969" s="49">
        <f t="shared" si="131"/>
        <v>130000</v>
      </c>
      <c r="J1969" s="544">
        <v>129539.58333333333</v>
      </c>
      <c r="K1969" s="529">
        <f t="shared" si="129"/>
        <v>460.41666666667152</v>
      </c>
      <c r="L1969" s="533">
        <f t="shared" si="128"/>
        <v>460.41666666667152</v>
      </c>
      <c r="M1969" s="531">
        <f t="shared" si="130"/>
        <v>3.5416666666667038E-3</v>
      </c>
      <c r="N1969" s="84" t="s">
        <v>30</v>
      </c>
      <c r="O1969" s="47" t="s">
        <v>21</v>
      </c>
    </row>
    <row r="1970" spans="1:15">
      <c r="A1970" s="71">
        <v>2024</v>
      </c>
      <c r="B1970" s="16" t="s">
        <v>1295</v>
      </c>
      <c r="C1970" s="62" t="s">
        <v>2803</v>
      </c>
      <c r="D1970" s="47" t="s">
        <v>1042</v>
      </c>
      <c r="E1970" s="47" t="s">
        <v>889</v>
      </c>
      <c r="F1970" s="99">
        <v>1456</v>
      </c>
      <c r="G1970" s="42" t="s">
        <v>37</v>
      </c>
      <c r="H1970" s="44">
        <v>385</v>
      </c>
      <c r="I1970" s="49">
        <f t="shared" si="131"/>
        <v>560560</v>
      </c>
      <c r="J1970" s="544">
        <v>350</v>
      </c>
      <c r="K1970" s="529">
        <f t="shared" si="129"/>
        <v>35</v>
      </c>
      <c r="L1970" s="533">
        <f t="shared" si="128"/>
        <v>50960</v>
      </c>
      <c r="M1970" s="531">
        <f t="shared" si="130"/>
        <v>9.0909090909090912E-2</v>
      </c>
      <c r="N1970" s="84" t="s">
        <v>22</v>
      </c>
      <c r="O1970" s="47" t="s">
        <v>105</v>
      </c>
    </row>
    <row r="1971" spans="1:15">
      <c r="A1971" s="71">
        <v>2024</v>
      </c>
      <c r="B1971" s="16" t="s">
        <v>1295</v>
      </c>
      <c r="C1971" s="62" t="s">
        <v>2804</v>
      </c>
      <c r="D1971" s="47" t="s">
        <v>35</v>
      </c>
      <c r="E1971" s="47" t="s">
        <v>1139</v>
      </c>
      <c r="F1971" s="99">
        <v>3969</v>
      </c>
      <c r="G1971" s="42" t="s">
        <v>37</v>
      </c>
      <c r="H1971" s="44">
        <v>385</v>
      </c>
      <c r="I1971" s="49">
        <f t="shared" si="131"/>
        <v>1528065</v>
      </c>
      <c r="J1971" s="544">
        <v>383</v>
      </c>
      <c r="K1971" s="529">
        <f t="shared" si="129"/>
        <v>2</v>
      </c>
      <c r="L1971" s="533">
        <f t="shared" si="128"/>
        <v>7938</v>
      </c>
      <c r="M1971" s="531">
        <f t="shared" si="130"/>
        <v>5.1948051948051948E-3</v>
      </c>
      <c r="N1971" s="84" t="s">
        <v>38</v>
      </c>
      <c r="O1971" s="47" t="s">
        <v>105</v>
      </c>
    </row>
    <row r="1972" spans="1:15">
      <c r="A1972" s="71">
        <v>2024</v>
      </c>
      <c r="B1972" s="16" t="s">
        <v>1295</v>
      </c>
      <c r="C1972" s="62" t="s">
        <v>2804</v>
      </c>
      <c r="D1972" s="47" t="s">
        <v>35</v>
      </c>
      <c r="E1972" s="47" t="s">
        <v>2805</v>
      </c>
      <c r="F1972" s="99">
        <v>640</v>
      </c>
      <c r="G1972" s="42" t="s">
        <v>37</v>
      </c>
      <c r="H1972" s="44">
        <v>392</v>
      </c>
      <c r="I1972" s="49">
        <f t="shared" si="131"/>
        <v>250880</v>
      </c>
      <c r="J1972" s="544">
        <v>390</v>
      </c>
      <c r="K1972" s="529">
        <f t="shared" si="129"/>
        <v>2</v>
      </c>
      <c r="L1972" s="533">
        <f t="shared" si="128"/>
        <v>1280</v>
      </c>
      <c r="M1972" s="531">
        <f t="shared" si="130"/>
        <v>5.1020408163265302E-3</v>
      </c>
      <c r="N1972" s="84" t="s">
        <v>38</v>
      </c>
      <c r="O1972" s="47" t="s">
        <v>105</v>
      </c>
    </row>
    <row r="1973" spans="1:15">
      <c r="A1973" s="71">
        <v>2024</v>
      </c>
      <c r="B1973" s="16" t="s">
        <v>1295</v>
      </c>
      <c r="C1973" s="62" t="s">
        <v>2806</v>
      </c>
      <c r="D1973" s="47" t="s">
        <v>94</v>
      </c>
      <c r="E1973" s="47" t="s">
        <v>1038</v>
      </c>
      <c r="F1973" s="99">
        <v>200</v>
      </c>
      <c r="G1973" s="42" t="s">
        <v>19</v>
      </c>
      <c r="H1973" s="44">
        <v>15.5</v>
      </c>
      <c r="I1973" s="49">
        <f t="shared" si="131"/>
        <v>3100</v>
      </c>
      <c r="J1973" s="544">
        <v>14.76</v>
      </c>
      <c r="K1973" s="529">
        <f t="shared" si="129"/>
        <v>0.74000000000000021</v>
      </c>
      <c r="L1973" s="533">
        <f t="shared" si="128"/>
        <v>148.00000000000006</v>
      </c>
      <c r="M1973" s="531">
        <f t="shared" si="130"/>
        <v>4.7741935483870984E-2</v>
      </c>
      <c r="N1973" s="84" t="s">
        <v>22</v>
      </c>
      <c r="O1973" s="47" t="s">
        <v>105</v>
      </c>
    </row>
    <row r="1974" spans="1:15">
      <c r="A1974" s="71">
        <v>2024</v>
      </c>
      <c r="B1974" s="16" t="s">
        <v>1295</v>
      </c>
      <c r="C1974" s="62" t="s">
        <v>2807</v>
      </c>
      <c r="D1974" s="47" t="s">
        <v>304</v>
      </c>
      <c r="E1974" s="47" t="s">
        <v>2808</v>
      </c>
      <c r="F1974" s="99">
        <v>276</v>
      </c>
      <c r="G1974" s="42" t="s">
        <v>19</v>
      </c>
      <c r="H1974" s="44">
        <v>2800</v>
      </c>
      <c r="I1974" s="49">
        <f t="shared" si="131"/>
        <v>772800</v>
      </c>
      <c r="J1974" s="544">
        <v>2750</v>
      </c>
      <c r="K1974" s="529">
        <f t="shared" si="129"/>
        <v>50</v>
      </c>
      <c r="L1974" s="533">
        <f t="shared" si="128"/>
        <v>13800</v>
      </c>
      <c r="M1974" s="531">
        <f t="shared" si="130"/>
        <v>1.7857142857142856E-2</v>
      </c>
      <c r="N1974" s="84" t="s">
        <v>38</v>
      </c>
      <c r="O1974" s="47" t="s">
        <v>105</v>
      </c>
    </row>
    <row r="1975" spans="1:15">
      <c r="A1975" s="71">
        <v>2024</v>
      </c>
      <c r="B1975" s="16" t="s">
        <v>1295</v>
      </c>
      <c r="C1975" s="62" t="s">
        <v>2807</v>
      </c>
      <c r="D1975" s="47" t="s">
        <v>304</v>
      </c>
      <c r="E1975" s="47" t="s">
        <v>2809</v>
      </c>
      <c r="F1975" s="99">
        <v>20</v>
      </c>
      <c r="G1975" s="42" t="s">
        <v>19</v>
      </c>
      <c r="H1975" s="44">
        <v>10000</v>
      </c>
      <c r="I1975" s="49">
        <f t="shared" si="131"/>
        <v>200000</v>
      </c>
      <c r="J1975" s="544">
        <v>9500</v>
      </c>
      <c r="K1975" s="529">
        <f t="shared" si="129"/>
        <v>500</v>
      </c>
      <c r="L1975" s="533">
        <f t="shared" si="128"/>
        <v>10000</v>
      </c>
      <c r="M1975" s="531">
        <f t="shared" si="130"/>
        <v>0.05</v>
      </c>
      <c r="N1975" s="84" t="s">
        <v>38</v>
      </c>
      <c r="O1975" s="47" t="s">
        <v>105</v>
      </c>
    </row>
    <row r="1976" spans="1:15">
      <c r="A1976" s="71">
        <v>2024</v>
      </c>
      <c r="B1976" s="16" t="s">
        <v>1295</v>
      </c>
      <c r="C1976" s="62" t="s">
        <v>2810</v>
      </c>
      <c r="D1976" s="47" t="s">
        <v>78</v>
      </c>
      <c r="E1976" s="47" t="s">
        <v>2811</v>
      </c>
      <c r="F1976" s="99">
        <v>1</v>
      </c>
      <c r="G1976" s="42" t="s">
        <v>19</v>
      </c>
      <c r="H1976" s="44">
        <v>450</v>
      </c>
      <c r="I1976" s="49">
        <f t="shared" si="131"/>
        <v>450</v>
      </c>
      <c r="J1976" s="544">
        <v>350</v>
      </c>
      <c r="K1976" s="529">
        <f t="shared" si="129"/>
        <v>100</v>
      </c>
      <c r="L1976" s="533">
        <f t="shared" si="128"/>
        <v>100</v>
      </c>
      <c r="M1976" s="531">
        <f t="shared" si="130"/>
        <v>0.22222222222222221</v>
      </c>
      <c r="N1976" s="84" t="s">
        <v>38</v>
      </c>
      <c r="O1976" s="47" t="s">
        <v>105</v>
      </c>
    </row>
    <row r="1977" spans="1:15">
      <c r="A1977" s="71">
        <v>2024</v>
      </c>
      <c r="B1977" s="16" t="s">
        <v>1295</v>
      </c>
      <c r="C1977" s="62" t="s">
        <v>2812</v>
      </c>
      <c r="D1977" s="47" t="s">
        <v>926</v>
      </c>
      <c r="E1977" s="47" t="s">
        <v>2813</v>
      </c>
      <c r="F1977" s="99">
        <v>2</v>
      </c>
      <c r="G1977" s="42" t="s">
        <v>302</v>
      </c>
      <c r="H1977" s="44">
        <v>4310</v>
      </c>
      <c r="I1977" s="49">
        <f t="shared" si="131"/>
        <v>8620</v>
      </c>
      <c r="J1977" s="544">
        <v>1500</v>
      </c>
      <c r="K1977" s="529">
        <f t="shared" si="129"/>
        <v>2810</v>
      </c>
      <c r="L1977" s="533">
        <f t="shared" si="128"/>
        <v>5620</v>
      </c>
      <c r="M1977" s="531">
        <f t="shared" si="130"/>
        <v>0.65197215777262185</v>
      </c>
      <c r="N1977" s="84" t="s">
        <v>22</v>
      </c>
      <c r="O1977" s="47" t="s">
        <v>105</v>
      </c>
    </row>
    <row r="1978" spans="1:15">
      <c r="A1978" s="71">
        <v>2024</v>
      </c>
      <c r="B1978" s="16" t="s">
        <v>1295</v>
      </c>
      <c r="C1978" s="62" t="s">
        <v>2814</v>
      </c>
      <c r="D1978" s="47" t="s">
        <v>121</v>
      </c>
      <c r="E1978" s="47" t="s">
        <v>2815</v>
      </c>
      <c r="F1978" s="99">
        <v>1</v>
      </c>
      <c r="G1978" s="42" t="s">
        <v>302</v>
      </c>
      <c r="H1978" s="44">
        <v>7650</v>
      </c>
      <c r="I1978" s="49">
        <f t="shared" si="131"/>
        <v>7650</v>
      </c>
      <c r="J1978" s="544">
        <v>5800</v>
      </c>
      <c r="K1978" s="529">
        <f t="shared" si="129"/>
        <v>1850</v>
      </c>
      <c r="L1978" s="533">
        <f t="shared" si="128"/>
        <v>1850</v>
      </c>
      <c r="M1978" s="531">
        <f t="shared" si="130"/>
        <v>0.24183006535947713</v>
      </c>
      <c r="N1978" s="84" t="s">
        <v>22</v>
      </c>
      <c r="O1978" s="47" t="s">
        <v>105</v>
      </c>
    </row>
    <row r="1979" spans="1:15">
      <c r="A1979" s="71">
        <v>2024</v>
      </c>
      <c r="B1979" s="16" t="s">
        <v>1295</v>
      </c>
      <c r="C1979" s="62" t="s">
        <v>2814</v>
      </c>
      <c r="D1979" s="47" t="s">
        <v>121</v>
      </c>
      <c r="E1979" s="47" t="s">
        <v>2816</v>
      </c>
      <c r="F1979" s="99">
        <v>6</v>
      </c>
      <c r="G1979" s="42" t="s">
        <v>302</v>
      </c>
      <c r="H1979" s="44">
        <v>8200</v>
      </c>
      <c r="I1979" s="49">
        <f t="shared" si="131"/>
        <v>49200</v>
      </c>
      <c r="J1979" s="544">
        <v>6500</v>
      </c>
      <c r="K1979" s="529">
        <f t="shared" si="129"/>
        <v>1700</v>
      </c>
      <c r="L1979" s="533">
        <f t="shared" si="128"/>
        <v>10200</v>
      </c>
      <c r="M1979" s="531">
        <f t="shared" si="130"/>
        <v>0.2073170731707317</v>
      </c>
      <c r="N1979" s="84" t="s">
        <v>22</v>
      </c>
      <c r="O1979" s="47" t="s">
        <v>105</v>
      </c>
    </row>
    <row r="1980" spans="1:15">
      <c r="A1980" s="71">
        <v>2024</v>
      </c>
      <c r="B1980" s="16" t="s">
        <v>1295</v>
      </c>
      <c r="C1980" s="62" t="s">
        <v>2817</v>
      </c>
      <c r="D1980" s="47" t="s">
        <v>2294</v>
      </c>
      <c r="E1980" s="47" t="s">
        <v>2818</v>
      </c>
      <c r="F1980" s="99">
        <v>1</v>
      </c>
      <c r="G1980" s="42" t="s">
        <v>59</v>
      </c>
      <c r="H1980" s="44">
        <v>121495</v>
      </c>
      <c r="I1980" s="49">
        <f t="shared" si="131"/>
        <v>121495</v>
      </c>
      <c r="J1980" s="544">
        <v>115000</v>
      </c>
      <c r="K1980" s="529">
        <f t="shared" si="129"/>
        <v>6495</v>
      </c>
      <c r="L1980" s="533">
        <f t="shared" si="128"/>
        <v>6495</v>
      </c>
      <c r="M1980" s="531">
        <f t="shared" si="130"/>
        <v>5.3458990081896376E-2</v>
      </c>
      <c r="N1980" s="84" t="s">
        <v>22</v>
      </c>
      <c r="O1980" s="47" t="s">
        <v>21</v>
      </c>
    </row>
    <row r="1981" spans="1:15">
      <c r="A1981" s="71">
        <v>2024</v>
      </c>
      <c r="B1981" s="16" t="s">
        <v>1295</v>
      </c>
      <c r="C1981" s="62" t="s">
        <v>2819</v>
      </c>
      <c r="D1981" s="47" t="s">
        <v>1176</v>
      </c>
      <c r="E1981" s="47" t="s">
        <v>2492</v>
      </c>
      <c r="F1981" s="99">
        <v>2</v>
      </c>
      <c r="G1981" s="42" t="s">
        <v>59</v>
      </c>
      <c r="H1981" s="44">
        <v>11500</v>
      </c>
      <c r="I1981" s="49">
        <f t="shared" si="131"/>
        <v>23000</v>
      </c>
      <c r="J1981" s="544">
        <v>11000</v>
      </c>
      <c r="K1981" s="529">
        <f t="shared" si="129"/>
        <v>500</v>
      </c>
      <c r="L1981" s="533">
        <f t="shared" si="128"/>
        <v>1000</v>
      </c>
      <c r="M1981" s="531">
        <f t="shared" si="130"/>
        <v>4.3478260869565216E-2</v>
      </c>
      <c r="N1981" s="84" t="s">
        <v>22</v>
      </c>
      <c r="O1981" s="47" t="s">
        <v>21</v>
      </c>
    </row>
    <row r="1982" spans="1:15">
      <c r="A1982" s="71">
        <v>2024</v>
      </c>
      <c r="B1982" s="16" t="s">
        <v>1295</v>
      </c>
      <c r="C1982" s="62" t="s">
        <v>2820</v>
      </c>
      <c r="D1982" s="47" t="s">
        <v>1470</v>
      </c>
      <c r="E1982" s="47" t="s">
        <v>2200</v>
      </c>
      <c r="F1982" s="99">
        <v>6</v>
      </c>
      <c r="G1982" s="42" t="s">
        <v>19</v>
      </c>
      <c r="H1982" s="44">
        <v>4700</v>
      </c>
      <c r="I1982" s="49">
        <f t="shared" si="131"/>
        <v>28200</v>
      </c>
      <c r="J1982" s="544">
        <v>4465</v>
      </c>
      <c r="K1982" s="529">
        <f t="shared" si="129"/>
        <v>235</v>
      </c>
      <c r="L1982" s="533">
        <f t="shared" si="128"/>
        <v>1410</v>
      </c>
      <c r="M1982" s="531">
        <f t="shared" si="130"/>
        <v>0.05</v>
      </c>
      <c r="N1982" s="84" t="s">
        <v>22</v>
      </c>
      <c r="O1982" s="47" t="s">
        <v>21</v>
      </c>
    </row>
    <row r="1983" spans="1:15">
      <c r="A1983" s="71">
        <v>2024</v>
      </c>
      <c r="B1983" s="16" t="s">
        <v>1295</v>
      </c>
      <c r="C1983" s="62" t="s">
        <v>2821</v>
      </c>
      <c r="D1983" s="47" t="s">
        <v>1948</v>
      </c>
      <c r="E1983" s="47" t="s">
        <v>2822</v>
      </c>
      <c r="F1983" s="99">
        <v>3</v>
      </c>
      <c r="G1983" s="42" t="s">
        <v>19</v>
      </c>
      <c r="H1983" s="44">
        <v>1250</v>
      </c>
      <c r="I1983" s="49">
        <f t="shared" si="131"/>
        <v>3750</v>
      </c>
      <c r="J1983" s="544">
        <v>1000</v>
      </c>
      <c r="K1983" s="529">
        <f t="shared" si="129"/>
        <v>250</v>
      </c>
      <c r="L1983" s="533">
        <f t="shared" ref="L1983:L2046" si="132">K1983*F1983</f>
        <v>750</v>
      </c>
      <c r="M1983" s="531">
        <f t="shared" si="130"/>
        <v>0.2</v>
      </c>
      <c r="N1983" s="84" t="s">
        <v>22</v>
      </c>
      <c r="O1983" s="47" t="s">
        <v>21</v>
      </c>
    </row>
    <row r="1984" spans="1:15">
      <c r="A1984" s="71">
        <v>2024</v>
      </c>
      <c r="B1984" s="16" t="s">
        <v>1295</v>
      </c>
      <c r="C1984" s="62" t="s">
        <v>2823</v>
      </c>
      <c r="D1984" s="47" t="s">
        <v>1948</v>
      </c>
      <c r="E1984" s="47" t="s">
        <v>2824</v>
      </c>
      <c r="F1984" s="99">
        <v>21</v>
      </c>
      <c r="G1984" s="42" t="s">
        <v>19</v>
      </c>
      <c r="H1984" s="44">
        <v>720</v>
      </c>
      <c r="I1984" s="49">
        <f t="shared" si="131"/>
        <v>15120</v>
      </c>
      <c r="J1984" s="544">
        <v>630</v>
      </c>
      <c r="K1984" s="529">
        <f t="shared" si="129"/>
        <v>90</v>
      </c>
      <c r="L1984" s="533">
        <f t="shared" si="132"/>
        <v>1890</v>
      </c>
      <c r="M1984" s="531">
        <f t="shared" si="130"/>
        <v>0.125</v>
      </c>
      <c r="N1984" s="84" t="s">
        <v>22</v>
      </c>
      <c r="O1984" s="47" t="s">
        <v>21</v>
      </c>
    </row>
    <row r="1985" spans="1:15">
      <c r="A1985" s="71">
        <v>2024</v>
      </c>
      <c r="B1985" s="16" t="s">
        <v>1295</v>
      </c>
      <c r="C1985" s="62" t="s">
        <v>2825</v>
      </c>
      <c r="D1985" s="47" t="s">
        <v>27</v>
      </c>
      <c r="E1985" s="47" t="s">
        <v>2826</v>
      </c>
      <c r="F1985" s="99">
        <v>4</v>
      </c>
      <c r="G1985" s="42" t="s">
        <v>19</v>
      </c>
      <c r="H1985" s="44">
        <v>12200</v>
      </c>
      <c r="I1985" s="49">
        <f t="shared" si="131"/>
        <v>48800</v>
      </c>
      <c r="J1985" s="544">
        <v>11800</v>
      </c>
      <c r="K1985" s="529">
        <f t="shared" si="129"/>
        <v>400</v>
      </c>
      <c r="L1985" s="533">
        <f t="shared" si="132"/>
        <v>1600</v>
      </c>
      <c r="M1985" s="531">
        <f t="shared" si="130"/>
        <v>3.2786885245901641E-2</v>
      </c>
      <c r="N1985" s="84" t="s">
        <v>22</v>
      </c>
      <c r="O1985" s="47" t="s">
        <v>21</v>
      </c>
    </row>
    <row r="1986" spans="1:15">
      <c r="A1986" s="71">
        <v>2024</v>
      </c>
      <c r="B1986" s="16" t="s">
        <v>1295</v>
      </c>
      <c r="C1986" s="62" t="s">
        <v>2827</v>
      </c>
      <c r="D1986" s="47" t="s">
        <v>430</v>
      </c>
      <c r="E1986" s="47" t="s">
        <v>2828</v>
      </c>
      <c r="F1986" s="99">
        <v>1000</v>
      </c>
      <c r="G1986" s="42" t="s">
        <v>19</v>
      </c>
      <c r="H1986" s="44">
        <v>3.5</v>
      </c>
      <c r="I1986" s="49">
        <f t="shared" si="131"/>
        <v>3500</v>
      </c>
      <c r="J1986" s="544">
        <v>1.2</v>
      </c>
      <c r="K1986" s="529">
        <f t="shared" si="129"/>
        <v>2.2999999999999998</v>
      </c>
      <c r="L1986" s="533">
        <f t="shared" si="132"/>
        <v>2300</v>
      </c>
      <c r="M1986" s="531">
        <f t="shared" si="130"/>
        <v>0.65714285714285714</v>
      </c>
      <c r="N1986" s="84" t="s">
        <v>22</v>
      </c>
      <c r="O1986" s="47" t="s">
        <v>21</v>
      </c>
    </row>
    <row r="1987" spans="1:15">
      <c r="A1987" s="71">
        <v>2024</v>
      </c>
      <c r="B1987" s="16" t="s">
        <v>1295</v>
      </c>
      <c r="C1987" s="62" t="s">
        <v>2829</v>
      </c>
      <c r="D1987" s="47" t="s">
        <v>94</v>
      </c>
      <c r="E1987" s="47" t="s">
        <v>28</v>
      </c>
      <c r="F1987" s="99">
        <v>6</v>
      </c>
      <c r="G1987" s="42" t="s">
        <v>29</v>
      </c>
      <c r="H1987" s="44">
        <v>1600</v>
      </c>
      <c r="I1987" s="49">
        <f t="shared" si="131"/>
        <v>9600</v>
      </c>
      <c r="J1987" s="544">
        <v>1320</v>
      </c>
      <c r="K1987" s="529">
        <f t="shared" ref="K1987:K2050" si="133">H1987-J1987</f>
        <v>280</v>
      </c>
      <c r="L1987" s="533">
        <f t="shared" si="132"/>
        <v>1680</v>
      </c>
      <c r="M1987" s="531">
        <f t="shared" ref="M1987:M2050" si="134">K1987/H1987</f>
        <v>0.17499999999999999</v>
      </c>
      <c r="N1987" s="84" t="s">
        <v>22</v>
      </c>
      <c r="O1987" s="47" t="s">
        <v>21</v>
      </c>
    </row>
    <row r="1988" spans="1:15">
      <c r="A1988" s="71">
        <v>2024</v>
      </c>
      <c r="B1988" s="16" t="s">
        <v>1295</v>
      </c>
      <c r="C1988" s="62" t="s">
        <v>2830</v>
      </c>
      <c r="D1988" s="47" t="s">
        <v>1948</v>
      </c>
      <c r="E1988" s="47" t="s">
        <v>1419</v>
      </c>
      <c r="F1988" s="99">
        <v>2000</v>
      </c>
      <c r="G1988" s="42" t="s">
        <v>19</v>
      </c>
      <c r="H1988" s="44">
        <v>0.5</v>
      </c>
      <c r="I1988" s="49">
        <f t="shared" si="131"/>
        <v>1000</v>
      </c>
      <c r="J1988" s="544">
        <v>0.17</v>
      </c>
      <c r="K1988" s="529">
        <f t="shared" si="133"/>
        <v>0.32999999999999996</v>
      </c>
      <c r="L1988" s="533">
        <f t="shared" si="132"/>
        <v>659.99999999999989</v>
      </c>
      <c r="M1988" s="531">
        <f t="shared" si="134"/>
        <v>0.65999999999999992</v>
      </c>
      <c r="N1988" s="84" t="s">
        <v>22</v>
      </c>
      <c r="O1988" s="47" t="s">
        <v>21</v>
      </c>
    </row>
    <row r="1989" spans="1:15">
      <c r="A1989" s="71">
        <v>2024</v>
      </c>
      <c r="B1989" s="16" t="s">
        <v>1295</v>
      </c>
      <c r="C1989" s="62" t="s">
        <v>2830</v>
      </c>
      <c r="D1989" s="47" t="s">
        <v>1948</v>
      </c>
      <c r="E1989" s="47" t="s">
        <v>1420</v>
      </c>
      <c r="F1989" s="99">
        <v>2000</v>
      </c>
      <c r="G1989" s="42" t="s">
        <v>19</v>
      </c>
      <c r="H1989" s="44">
        <v>1.5</v>
      </c>
      <c r="I1989" s="49">
        <f t="shared" si="131"/>
        <v>3000</v>
      </c>
      <c r="J1989" s="544">
        <v>1.3</v>
      </c>
      <c r="K1989" s="529">
        <f t="shared" si="133"/>
        <v>0.19999999999999996</v>
      </c>
      <c r="L1989" s="533">
        <f t="shared" si="132"/>
        <v>399.99999999999989</v>
      </c>
      <c r="M1989" s="531">
        <f t="shared" si="134"/>
        <v>0.1333333333333333</v>
      </c>
      <c r="N1989" s="84" t="s">
        <v>22</v>
      </c>
      <c r="O1989" s="47" t="s">
        <v>21</v>
      </c>
    </row>
    <row r="1990" spans="1:15">
      <c r="A1990" s="71">
        <v>2024</v>
      </c>
      <c r="B1990" s="16" t="s">
        <v>1295</v>
      </c>
      <c r="C1990" s="62" t="s">
        <v>2830</v>
      </c>
      <c r="D1990" s="47" t="s">
        <v>1948</v>
      </c>
      <c r="E1990" s="47" t="s">
        <v>1421</v>
      </c>
      <c r="F1990" s="99">
        <v>2000</v>
      </c>
      <c r="G1990" s="42" t="s">
        <v>19</v>
      </c>
      <c r="H1990" s="44">
        <v>0.7</v>
      </c>
      <c r="I1990" s="49">
        <f t="shared" si="131"/>
        <v>1400</v>
      </c>
      <c r="J1990" s="544">
        <v>0.47</v>
      </c>
      <c r="K1990" s="529">
        <f t="shared" si="133"/>
        <v>0.22999999999999998</v>
      </c>
      <c r="L1990" s="533">
        <f t="shared" si="132"/>
        <v>459.99999999999994</v>
      </c>
      <c r="M1990" s="531">
        <f t="shared" si="134"/>
        <v>0.32857142857142857</v>
      </c>
      <c r="N1990" s="84" t="s">
        <v>22</v>
      </c>
      <c r="O1990" s="47" t="s">
        <v>21</v>
      </c>
    </row>
    <row r="1991" spans="1:15">
      <c r="A1991" s="71">
        <v>2024</v>
      </c>
      <c r="B1991" s="16" t="s">
        <v>1295</v>
      </c>
      <c r="C1991" s="62" t="s">
        <v>2831</v>
      </c>
      <c r="D1991" s="47" t="s">
        <v>96</v>
      </c>
      <c r="E1991" s="47" t="s">
        <v>2000</v>
      </c>
      <c r="F1991" s="99">
        <v>60</v>
      </c>
      <c r="G1991" s="42" t="s">
        <v>19</v>
      </c>
      <c r="H1991" s="44">
        <v>275</v>
      </c>
      <c r="I1991" s="49">
        <f t="shared" si="131"/>
        <v>16500</v>
      </c>
      <c r="J1991" s="544">
        <v>140</v>
      </c>
      <c r="K1991" s="529">
        <f t="shared" si="133"/>
        <v>135</v>
      </c>
      <c r="L1991" s="533">
        <f t="shared" si="132"/>
        <v>8100</v>
      </c>
      <c r="M1991" s="531">
        <f t="shared" si="134"/>
        <v>0.49090909090909091</v>
      </c>
      <c r="N1991" s="84" t="s">
        <v>22</v>
      </c>
      <c r="O1991" s="47" t="s">
        <v>21</v>
      </c>
    </row>
    <row r="1992" spans="1:15">
      <c r="A1992" s="71">
        <v>2024</v>
      </c>
      <c r="B1992" s="16" t="s">
        <v>1295</v>
      </c>
      <c r="C1992" s="62" t="s">
        <v>2831</v>
      </c>
      <c r="D1992" s="47" t="s">
        <v>96</v>
      </c>
      <c r="E1992" s="47" t="s">
        <v>2832</v>
      </c>
      <c r="F1992" s="99">
        <v>70</v>
      </c>
      <c r="G1992" s="42" t="s">
        <v>19</v>
      </c>
      <c r="H1992" s="44">
        <v>805</v>
      </c>
      <c r="I1992" s="49">
        <f t="shared" si="131"/>
        <v>56350</v>
      </c>
      <c r="J1992" s="544">
        <v>432</v>
      </c>
      <c r="K1992" s="529">
        <f t="shared" si="133"/>
        <v>373</v>
      </c>
      <c r="L1992" s="533">
        <f t="shared" si="132"/>
        <v>26110</v>
      </c>
      <c r="M1992" s="531">
        <f t="shared" si="134"/>
        <v>0.46335403726708074</v>
      </c>
      <c r="N1992" s="84" t="s">
        <v>22</v>
      </c>
      <c r="O1992" s="47" t="s">
        <v>21</v>
      </c>
    </row>
    <row r="1993" spans="1:15">
      <c r="A1993" s="71">
        <v>2024</v>
      </c>
      <c r="B1993" s="16" t="s">
        <v>1295</v>
      </c>
      <c r="C1993" s="62" t="s">
        <v>2833</v>
      </c>
      <c r="D1993" s="47" t="s">
        <v>2834</v>
      </c>
      <c r="E1993" s="47" t="s">
        <v>2835</v>
      </c>
      <c r="F1993" s="99">
        <v>12</v>
      </c>
      <c r="G1993" s="42" t="s">
        <v>238</v>
      </c>
      <c r="H1993" s="44">
        <v>5550</v>
      </c>
      <c r="I1993" s="49">
        <f t="shared" si="131"/>
        <v>66600</v>
      </c>
      <c r="J1993" s="544">
        <v>4500</v>
      </c>
      <c r="K1993" s="529">
        <f t="shared" si="133"/>
        <v>1050</v>
      </c>
      <c r="L1993" s="533">
        <f t="shared" si="132"/>
        <v>12600</v>
      </c>
      <c r="M1993" s="531">
        <f t="shared" si="134"/>
        <v>0.1891891891891892</v>
      </c>
      <c r="N1993" s="84" t="s">
        <v>38</v>
      </c>
      <c r="O1993" s="47" t="s">
        <v>21</v>
      </c>
    </row>
    <row r="1994" spans="1:15">
      <c r="A1994" s="71">
        <v>2024</v>
      </c>
      <c r="B1994" s="16" t="s">
        <v>1295</v>
      </c>
      <c r="C1994" s="62" t="s">
        <v>2836</v>
      </c>
      <c r="D1994" s="47" t="s">
        <v>192</v>
      </c>
      <c r="E1994" s="47" t="s">
        <v>2837</v>
      </c>
      <c r="F1994" s="99">
        <v>4</v>
      </c>
      <c r="G1994" s="42" t="s">
        <v>19</v>
      </c>
      <c r="H1994" s="44">
        <v>17650</v>
      </c>
      <c r="I1994" s="49">
        <f t="shared" si="131"/>
        <v>70600</v>
      </c>
      <c r="J1994" s="544">
        <v>14850</v>
      </c>
      <c r="K1994" s="529">
        <f t="shared" si="133"/>
        <v>2800</v>
      </c>
      <c r="L1994" s="533">
        <f t="shared" si="132"/>
        <v>11200</v>
      </c>
      <c r="M1994" s="531">
        <f t="shared" si="134"/>
        <v>0.15864022662889518</v>
      </c>
      <c r="N1994" s="84" t="s">
        <v>38</v>
      </c>
      <c r="O1994" s="47" t="s">
        <v>105</v>
      </c>
    </row>
    <row r="1995" spans="1:15">
      <c r="A1995" s="71">
        <v>2024</v>
      </c>
      <c r="B1995" s="16" t="s">
        <v>1295</v>
      </c>
      <c r="C1995" s="62" t="s">
        <v>2836</v>
      </c>
      <c r="D1995" s="47" t="s">
        <v>192</v>
      </c>
      <c r="E1995" s="47" t="s">
        <v>2837</v>
      </c>
      <c r="F1995" s="99">
        <v>132</v>
      </c>
      <c r="G1995" s="42" t="s">
        <v>19</v>
      </c>
      <c r="H1995" s="44">
        <v>14850</v>
      </c>
      <c r="I1995" s="49">
        <f t="shared" si="131"/>
        <v>1960200</v>
      </c>
      <c r="J1995" s="544">
        <v>9235</v>
      </c>
      <c r="K1995" s="529">
        <f t="shared" si="133"/>
        <v>5615</v>
      </c>
      <c r="L1995" s="533">
        <f t="shared" si="132"/>
        <v>741180</v>
      </c>
      <c r="M1995" s="531">
        <f t="shared" si="134"/>
        <v>0.37811447811447813</v>
      </c>
      <c r="N1995" s="84" t="s">
        <v>38</v>
      </c>
      <c r="O1995" s="47" t="s">
        <v>105</v>
      </c>
    </row>
    <row r="1996" spans="1:15">
      <c r="A1996" s="71">
        <v>2024</v>
      </c>
      <c r="B1996" s="16" t="s">
        <v>1295</v>
      </c>
      <c r="C1996" s="62" t="s">
        <v>2838</v>
      </c>
      <c r="D1996" s="47" t="s">
        <v>1042</v>
      </c>
      <c r="E1996" s="47" t="s">
        <v>631</v>
      </c>
      <c r="F1996" s="99">
        <v>57</v>
      </c>
      <c r="G1996" s="42" t="s">
        <v>37</v>
      </c>
      <c r="H1996" s="44">
        <v>350</v>
      </c>
      <c r="I1996" s="49">
        <f t="shared" si="131"/>
        <v>19950</v>
      </c>
      <c r="J1996" s="544">
        <v>349</v>
      </c>
      <c r="K1996" s="529">
        <f t="shared" si="133"/>
        <v>1</v>
      </c>
      <c r="L1996" s="533">
        <f t="shared" si="132"/>
        <v>57</v>
      </c>
      <c r="M1996" s="531">
        <f t="shared" si="134"/>
        <v>2.8571428571428571E-3</v>
      </c>
      <c r="N1996" s="84" t="s">
        <v>38</v>
      </c>
      <c r="O1996" s="47" t="s">
        <v>105</v>
      </c>
    </row>
    <row r="1997" spans="1:15">
      <c r="A1997" s="71">
        <v>2024</v>
      </c>
      <c r="B1997" s="16" t="s">
        <v>1295</v>
      </c>
      <c r="C1997" s="62" t="s">
        <v>2839</v>
      </c>
      <c r="D1997" s="47" t="s">
        <v>2840</v>
      </c>
      <c r="E1997" s="47" t="s">
        <v>2841</v>
      </c>
      <c r="F1997" s="99">
        <v>1600</v>
      </c>
      <c r="G1997" s="42" t="s">
        <v>19</v>
      </c>
      <c r="H1997" s="44">
        <v>2265</v>
      </c>
      <c r="I1997" s="49">
        <f t="shared" si="131"/>
        <v>3624000</v>
      </c>
      <c r="J1997" s="544">
        <v>2215</v>
      </c>
      <c r="K1997" s="529">
        <f t="shared" si="133"/>
        <v>50</v>
      </c>
      <c r="L1997" s="533">
        <f t="shared" si="132"/>
        <v>80000</v>
      </c>
      <c r="M1997" s="531">
        <f t="shared" si="134"/>
        <v>2.2075055187637971E-2</v>
      </c>
      <c r="N1997" s="84" t="s">
        <v>38</v>
      </c>
      <c r="O1997" s="47" t="s">
        <v>105</v>
      </c>
    </row>
    <row r="1998" spans="1:15">
      <c r="A1998" s="71">
        <v>2024</v>
      </c>
      <c r="B1998" s="16" t="s">
        <v>1295</v>
      </c>
      <c r="C1998" s="62" t="s">
        <v>2842</v>
      </c>
      <c r="D1998" s="47" t="s">
        <v>35</v>
      </c>
      <c r="E1998" s="47" t="s">
        <v>217</v>
      </c>
      <c r="F1998" s="99">
        <v>422</v>
      </c>
      <c r="G1998" s="42" t="s">
        <v>37</v>
      </c>
      <c r="H1998" s="44">
        <v>385</v>
      </c>
      <c r="I1998" s="49">
        <f t="shared" si="131"/>
        <v>162470</v>
      </c>
      <c r="J1998" s="544">
        <v>383</v>
      </c>
      <c r="K1998" s="529">
        <f t="shared" si="133"/>
        <v>2</v>
      </c>
      <c r="L1998" s="533">
        <f t="shared" si="132"/>
        <v>844</v>
      </c>
      <c r="M1998" s="531">
        <f t="shared" si="134"/>
        <v>5.1948051948051948E-3</v>
      </c>
      <c r="N1998" s="84" t="s">
        <v>38</v>
      </c>
      <c r="O1998" s="47" t="s">
        <v>105</v>
      </c>
    </row>
    <row r="1999" spans="1:15">
      <c r="A1999" s="71">
        <v>2024</v>
      </c>
      <c r="B1999" s="16" t="s">
        <v>1295</v>
      </c>
      <c r="C1999" s="62" t="s">
        <v>2843</v>
      </c>
      <c r="D1999" s="47" t="s">
        <v>200</v>
      </c>
      <c r="E1999" s="47" t="s">
        <v>2335</v>
      </c>
      <c r="F1999" s="99">
        <v>1</v>
      </c>
      <c r="G1999" s="42" t="s">
        <v>19</v>
      </c>
      <c r="H1999" s="44">
        <v>42000</v>
      </c>
      <c r="I1999" s="49">
        <f t="shared" si="131"/>
        <v>42000</v>
      </c>
      <c r="J1999" s="544">
        <v>39000</v>
      </c>
      <c r="K1999" s="529">
        <f t="shared" si="133"/>
        <v>3000</v>
      </c>
      <c r="L1999" s="533">
        <f t="shared" si="132"/>
        <v>3000</v>
      </c>
      <c r="M1999" s="531">
        <f t="shared" si="134"/>
        <v>7.1428571428571425E-2</v>
      </c>
      <c r="N1999" s="84" t="s">
        <v>38</v>
      </c>
      <c r="O1999" s="47" t="s">
        <v>39</v>
      </c>
    </row>
    <row r="2000" spans="1:15">
      <c r="A2000" s="71">
        <v>2024</v>
      </c>
      <c r="B2000" s="16" t="s">
        <v>1295</v>
      </c>
      <c r="C2000" s="390" t="s">
        <v>2844</v>
      </c>
      <c r="D2000" s="390" t="s">
        <v>192</v>
      </c>
      <c r="E2000" s="439" t="s">
        <v>1188</v>
      </c>
      <c r="F2000" s="467">
        <v>450</v>
      </c>
      <c r="G2000" s="488" t="s">
        <v>19</v>
      </c>
      <c r="H2000" s="500">
        <v>26.5</v>
      </c>
      <c r="I2000" s="49">
        <f t="shared" si="131"/>
        <v>11925</v>
      </c>
      <c r="J2000" s="544">
        <v>26</v>
      </c>
      <c r="K2000" s="529">
        <f t="shared" si="133"/>
        <v>0.5</v>
      </c>
      <c r="L2000" s="533">
        <f t="shared" si="132"/>
        <v>225</v>
      </c>
      <c r="M2000" s="531">
        <f t="shared" si="134"/>
        <v>1.8867924528301886E-2</v>
      </c>
      <c r="N2000" s="84" t="s">
        <v>22</v>
      </c>
      <c r="O2000" s="47" t="s">
        <v>39</v>
      </c>
    </row>
    <row r="2001" spans="1:15">
      <c r="A2001" s="71">
        <v>2024</v>
      </c>
      <c r="B2001" s="16" t="s">
        <v>1295</v>
      </c>
      <c r="C2001" s="390" t="s">
        <v>2844</v>
      </c>
      <c r="D2001" s="390" t="s">
        <v>192</v>
      </c>
      <c r="E2001" s="439" t="s">
        <v>1189</v>
      </c>
      <c r="F2001" s="467">
        <v>450</v>
      </c>
      <c r="G2001" s="488" t="s">
        <v>19</v>
      </c>
      <c r="H2001" s="500">
        <v>26.5</v>
      </c>
      <c r="I2001" s="49">
        <f t="shared" si="131"/>
        <v>11925</v>
      </c>
      <c r="J2001" s="544">
        <v>26</v>
      </c>
      <c r="K2001" s="529">
        <f t="shared" si="133"/>
        <v>0.5</v>
      </c>
      <c r="L2001" s="533">
        <f t="shared" si="132"/>
        <v>225</v>
      </c>
      <c r="M2001" s="531">
        <f t="shared" si="134"/>
        <v>1.8867924528301886E-2</v>
      </c>
      <c r="N2001" s="84" t="s">
        <v>22</v>
      </c>
      <c r="O2001" s="47" t="s">
        <v>39</v>
      </c>
    </row>
    <row r="2002" spans="1:15">
      <c r="A2002" s="71">
        <v>2024</v>
      </c>
      <c r="B2002" s="16" t="s">
        <v>1295</v>
      </c>
      <c r="C2002" s="390" t="s">
        <v>2844</v>
      </c>
      <c r="D2002" s="390" t="s">
        <v>192</v>
      </c>
      <c r="E2002" s="439" t="s">
        <v>2845</v>
      </c>
      <c r="F2002" s="467">
        <v>420</v>
      </c>
      <c r="G2002" s="488" t="s">
        <v>19</v>
      </c>
      <c r="H2002" s="500">
        <v>145</v>
      </c>
      <c r="I2002" s="49">
        <f t="shared" si="131"/>
        <v>60900</v>
      </c>
      <c r="J2002" s="544">
        <v>143</v>
      </c>
      <c r="K2002" s="529">
        <f t="shared" si="133"/>
        <v>2</v>
      </c>
      <c r="L2002" s="533">
        <f t="shared" si="132"/>
        <v>840</v>
      </c>
      <c r="M2002" s="531">
        <f t="shared" si="134"/>
        <v>1.3793103448275862E-2</v>
      </c>
      <c r="N2002" s="84" t="s">
        <v>22</v>
      </c>
      <c r="O2002" s="47" t="s">
        <v>39</v>
      </c>
    </row>
    <row r="2003" spans="1:15">
      <c r="A2003" s="71">
        <v>2024</v>
      </c>
      <c r="B2003" s="16" t="s">
        <v>1295</v>
      </c>
      <c r="C2003" s="390" t="s">
        <v>2844</v>
      </c>
      <c r="D2003" s="390" t="s">
        <v>192</v>
      </c>
      <c r="E2003" s="439" t="s">
        <v>2846</v>
      </c>
      <c r="F2003" s="467">
        <v>420</v>
      </c>
      <c r="G2003" s="488" t="s">
        <v>19</v>
      </c>
      <c r="H2003" s="500">
        <v>145</v>
      </c>
      <c r="I2003" s="49">
        <f t="shared" si="131"/>
        <v>60900</v>
      </c>
      <c r="J2003" s="544">
        <v>143</v>
      </c>
      <c r="K2003" s="529">
        <f t="shared" si="133"/>
        <v>2</v>
      </c>
      <c r="L2003" s="533">
        <f t="shared" si="132"/>
        <v>840</v>
      </c>
      <c r="M2003" s="531">
        <f t="shared" si="134"/>
        <v>1.3793103448275862E-2</v>
      </c>
      <c r="N2003" s="84" t="s">
        <v>22</v>
      </c>
      <c r="O2003" s="47" t="s">
        <v>39</v>
      </c>
    </row>
    <row r="2004" spans="1:15">
      <c r="A2004" s="71">
        <v>2024</v>
      </c>
      <c r="B2004" s="16" t="s">
        <v>1295</v>
      </c>
      <c r="C2004" s="439" t="s">
        <v>2847</v>
      </c>
      <c r="D2004" s="390" t="s">
        <v>1119</v>
      </c>
      <c r="E2004" s="439" t="s">
        <v>2848</v>
      </c>
      <c r="F2004" s="467">
        <v>5728</v>
      </c>
      <c r="G2004" s="488" t="s">
        <v>19</v>
      </c>
      <c r="H2004" s="44">
        <v>65</v>
      </c>
      <c r="I2004" s="49">
        <f t="shared" si="131"/>
        <v>372320</v>
      </c>
      <c r="J2004" s="544">
        <v>60</v>
      </c>
      <c r="K2004" s="529">
        <f t="shared" si="133"/>
        <v>5</v>
      </c>
      <c r="L2004" s="533">
        <f t="shared" si="132"/>
        <v>28640</v>
      </c>
      <c r="M2004" s="531">
        <f t="shared" si="134"/>
        <v>7.6923076923076927E-2</v>
      </c>
      <c r="N2004" s="84" t="s">
        <v>38</v>
      </c>
      <c r="O2004" s="47" t="s">
        <v>39</v>
      </c>
    </row>
    <row r="2005" spans="1:15">
      <c r="A2005" s="71">
        <v>2024</v>
      </c>
      <c r="B2005" s="16" t="s">
        <v>1295</v>
      </c>
      <c r="C2005" s="390" t="s">
        <v>2849</v>
      </c>
      <c r="D2005" s="390" t="s">
        <v>501</v>
      </c>
      <c r="E2005" s="439" t="s">
        <v>503</v>
      </c>
      <c r="F2005" s="467">
        <v>25000</v>
      </c>
      <c r="G2005" s="488" t="s">
        <v>37</v>
      </c>
      <c r="H2005" s="44">
        <v>78.8</v>
      </c>
      <c r="I2005" s="49">
        <f t="shared" si="131"/>
        <v>1970000</v>
      </c>
      <c r="J2005" s="544">
        <v>78</v>
      </c>
      <c r="K2005" s="529">
        <f t="shared" si="133"/>
        <v>0.79999999999999716</v>
      </c>
      <c r="L2005" s="533">
        <f t="shared" si="132"/>
        <v>19999.999999999927</v>
      </c>
      <c r="M2005" s="531">
        <f t="shared" si="134"/>
        <v>1.0152284263959355E-2</v>
      </c>
      <c r="N2005" s="84" t="s">
        <v>22</v>
      </c>
      <c r="O2005" s="47" t="s">
        <v>39</v>
      </c>
    </row>
    <row r="2006" spans="1:15">
      <c r="A2006" s="71">
        <v>2024</v>
      </c>
      <c r="B2006" s="16" t="s">
        <v>1295</v>
      </c>
      <c r="C2006" s="390" t="s">
        <v>2850</v>
      </c>
      <c r="D2006" s="390" t="s">
        <v>270</v>
      </c>
      <c r="E2006" s="439" t="s">
        <v>755</v>
      </c>
      <c r="F2006" s="153">
        <v>657.56</v>
      </c>
      <c r="G2006" s="488" t="s">
        <v>37</v>
      </c>
      <c r="H2006" s="44">
        <v>390</v>
      </c>
      <c r="I2006" s="49">
        <f t="shared" si="131"/>
        <v>256448.39999999997</v>
      </c>
      <c r="J2006" s="544">
        <v>365</v>
      </c>
      <c r="K2006" s="529">
        <f t="shared" si="133"/>
        <v>25</v>
      </c>
      <c r="L2006" s="533">
        <f t="shared" si="132"/>
        <v>16439</v>
      </c>
      <c r="M2006" s="531">
        <f t="shared" si="134"/>
        <v>6.4102564102564097E-2</v>
      </c>
      <c r="N2006" s="84" t="s">
        <v>22</v>
      </c>
      <c r="O2006" s="47" t="s">
        <v>105</v>
      </c>
    </row>
    <row r="2007" spans="1:15">
      <c r="A2007" s="71">
        <v>2024</v>
      </c>
      <c r="B2007" s="16" t="s">
        <v>1295</v>
      </c>
      <c r="C2007" s="390" t="s">
        <v>2851</v>
      </c>
      <c r="D2007" s="390" t="s">
        <v>35</v>
      </c>
      <c r="E2007" s="439" t="s">
        <v>889</v>
      </c>
      <c r="F2007" s="467">
        <v>1222</v>
      </c>
      <c r="G2007" s="488" t="s">
        <v>37</v>
      </c>
      <c r="H2007" s="44">
        <v>385</v>
      </c>
      <c r="I2007" s="49">
        <f t="shared" si="131"/>
        <v>470470</v>
      </c>
      <c r="J2007" s="544">
        <v>383</v>
      </c>
      <c r="K2007" s="529">
        <f t="shared" si="133"/>
        <v>2</v>
      </c>
      <c r="L2007" s="533">
        <f t="shared" si="132"/>
        <v>2444</v>
      </c>
      <c r="M2007" s="531">
        <f t="shared" si="134"/>
        <v>5.1948051948051948E-3</v>
      </c>
      <c r="N2007" s="84" t="s">
        <v>38</v>
      </c>
      <c r="O2007" s="47" t="s">
        <v>105</v>
      </c>
    </row>
    <row r="2008" spans="1:15">
      <c r="A2008" s="71">
        <v>2024</v>
      </c>
      <c r="B2008" s="16" t="s">
        <v>1295</v>
      </c>
      <c r="C2008" s="390" t="s">
        <v>2852</v>
      </c>
      <c r="D2008" s="390" t="s">
        <v>1042</v>
      </c>
      <c r="E2008" s="439" t="s">
        <v>889</v>
      </c>
      <c r="F2008" s="467">
        <v>2755</v>
      </c>
      <c r="G2008" s="488" t="s">
        <v>37</v>
      </c>
      <c r="H2008" s="44">
        <v>350</v>
      </c>
      <c r="I2008" s="49">
        <f t="shared" si="131"/>
        <v>964250</v>
      </c>
      <c r="J2008" s="544">
        <v>349</v>
      </c>
      <c r="K2008" s="529">
        <f t="shared" si="133"/>
        <v>1</v>
      </c>
      <c r="L2008" s="533">
        <f t="shared" si="132"/>
        <v>2755</v>
      </c>
      <c r="M2008" s="531">
        <f t="shared" si="134"/>
        <v>2.8571428571428571E-3</v>
      </c>
      <c r="N2008" s="84" t="s">
        <v>38</v>
      </c>
      <c r="O2008" s="47" t="s">
        <v>105</v>
      </c>
    </row>
    <row r="2009" spans="1:15">
      <c r="A2009" s="71">
        <v>2024</v>
      </c>
      <c r="B2009" s="16" t="s">
        <v>1295</v>
      </c>
      <c r="C2009" s="390" t="s">
        <v>2853</v>
      </c>
      <c r="D2009" s="390" t="s">
        <v>35</v>
      </c>
      <c r="E2009" s="439" t="s">
        <v>889</v>
      </c>
      <c r="F2009" s="467">
        <v>590</v>
      </c>
      <c r="G2009" s="488" t="s">
        <v>37</v>
      </c>
      <c r="H2009" s="44">
        <v>385</v>
      </c>
      <c r="I2009" s="49">
        <f t="shared" si="131"/>
        <v>227150</v>
      </c>
      <c r="J2009" s="544">
        <v>383</v>
      </c>
      <c r="K2009" s="529">
        <f t="shared" si="133"/>
        <v>2</v>
      </c>
      <c r="L2009" s="533">
        <f t="shared" si="132"/>
        <v>1180</v>
      </c>
      <c r="M2009" s="531">
        <f t="shared" si="134"/>
        <v>5.1948051948051948E-3</v>
      </c>
      <c r="N2009" s="84" t="s">
        <v>38</v>
      </c>
      <c r="O2009" s="47" t="s">
        <v>105</v>
      </c>
    </row>
    <row r="2010" spans="1:15">
      <c r="A2010" s="71">
        <v>2024</v>
      </c>
      <c r="B2010" s="16" t="s">
        <v>1295</v>
      </c>
      <c r="C2010" s="390" t="s">
        <v>2854</v>
      </c>
      <c r="D2010" s="390" t="s">
        <v>107</v>
      </c>
      <c r="E2010" s="439" t="s">
        <v>564</v>
      </c>
      <c r="F2010" s="467">
        <v>12</v>
      </c>
      <c r="G2010" s="488" t="s">
        <v>19</v>
      </c>
      <c r="H2010" s="44">
        <v>1200</v>
      </c>
      <c r="I2010" s="49">
        <f t="shared" si="131"/>
        <v>14400</v>
      </c>
      <c r="J2010" s="544">
        <v>980</v>
      </c>
      <c r="K2010" s="529">
        <f t="shared" si="133"/>
        <v>220</v>
      </c>
      <c r="L2010" s="533">
        <f t="shared" si="132"/>
        <v>2640</v>
      </c>
      <c r="M2010" s="531">
        <f t="shared" si="134"/>
        <v>0.18333333333333332</v>
      </c>
      <c r="N2010" s="84" t="s">
        <v>22</v>
      </c>
      <c r="O2010" s="47" t="s">
        <v>105</v>
      </c>
    </row>
    <row r="2011" spans="1:15">
      <c r="A2011" s="71">
        <v>2024</v>
      </c>
      <c r="B2011" s="16" t="s">
        <v>1295</v>
      </c>
      <c r="C2011" s="390" t="s">
        <v>2855</v>
      </c>
      <c r="D2011" s="390" t="s">
        <v>94</v>
      </c>
      <c r="E2011" s="439" t="s">
        <v>613</v>
      </c>
      <c r="F2011" s="467">
        <v>200</v>
      </c>
      <c r="G2011" s="488" t="s">
        <v>19</v>
      </c>
      <c r="H2011" s="44">
        <v>25</v>
      </c>
      <c r="I2011" s="49">
        <f t="shared" si="131"/>
        <v>5000</v>
      </c>
      <c r="J2011" s="544">
        <v>24.6</v>
      </c>
      <c r="K2011" s="529">
        <f t="shared" si="133"/>
        <v>0.39999999999999858</v>
      </c>
      <c r="L2011" s="533">
        <f t="shared" si="132"/>
        <v>79.999999999999716</v>
      </c>
      <c r="M2011" s="531">
        <f t="shared" si="134"/>
        <v>1.5999999999999945E-2</v>
      </c>
      <c r="N2011" s="84" t="s">
        <v>22</v>
      </c>
      <c r="O2011" s="47" t="s">
        <v>105</v>
      </c>
    </row>
    <row r="2012" spans="1:15">
      <c r="A2012" s="71">
        <v>2024</v>
      </c>
      <c r="B2012" s="16" t="s">
        <v>1295</v>
      </c>
      <c r="C2012" s="390" t="s">
        <v>2855</v>
      </c>
      <c r="D2012" s="390" t="s">
        <v>94</v>
      </c>
      <c r="E2012" s="439" t="s">
        <v>550</v>
      </c>
      <c r="F2012" s="467">
        <v>200</v>
      </c>
      <c r="G2012" s="488" t="s">
        <v>19</v>
      </c>
      <c r="H2012" s="44">
        <v>50</v>
      </c>
      <c r="I2012" s="49">
        <f t="shared" si="131"/>
        <v>10000</v>
      </c>
      <c r="J2012" s="544">
        <v>47.56</v>
      </c>
      <c r="K2012" s="529">
        <f t="shared" si="133"/>
        <v>2.4399999999999977</v>
      </c>
      <c r="L2012" s="533">
        <f t="shared" si="132"/>
        <v>487.99999999999955</v>
      </c>
      <c r="M2012" s="531">
        <f t="shared" si="134"/>
        <v>4.8799999999999955E-2</v>
      </c>
      <c r="N2012" s="84" t="s">
        <v>22</v>
      </c>
      <c r="O2012" s="47" t="s">
        <v>105</v>
      </c>
    </row>
    <row r="2013" spans="1:15">
      <c r="A2013" s="71">
        <v>2024</v>
      </c>
      <c r="B2013" s="16" t="s">
        <v>1295</v>
      </c>
      <c r="C2013" s="390" t="s">
        <v>2856</v>
      </c>
      <c r="D2013" s="390" t="s">
        <v>94</v>
      </c>
      <c r="E2013" s="439" t="s">
        <v>546</v>
      </c>
      <c r="F2013" s="467">
        <v>100</v>
      </c>
      <c r="G2013" s="488" t="s">
        <v>19</v>
      </c>
      <c r="H2013" s="44">
        <v>185</v>
      </c>
      <c r="I2013" s="49">
        <f t="shared" si="131"/>
        <v>18500</v>
      </c>
      <c r="J2013" s="544">
        <v>182.25</v>
      </c>
      <c r="K2013" s="529">
        <f t="shared" si="133"/>
        <v>2.75</v>
      </c>
      <c r="L2013" s="533">
        <f t="shared" si="132"/>
        <v>275</v>
      </c>
      <c r="M2013" s="531">
        <f t="shared" si="134"/>
        <v>1.4864864864864866E-2</v>
      </c>
      <c r="N2013" s="84" t="s">
        <v>22</v>
      </c>
      <c r="O2013" s="47" t="s">
        <v>105</v>
      </c>
    </row>
    <row r="2014" spans="1:15">
      <c r="A2014" s="71">
        <v>2024</v>
      </c>
      <c r="B2014" s="16" t="s">
        <v>1295</v>
      </c>
      <c r="C2014" s="390" t="s">
        <v>2856</v>
      </c>
      <c r="D2014" s="390" t="s">
        <v>94</v>
      </c>
      <c r="E2014" s="439" t="s">
        <v>458</v>
      </c>
      <c r="F2014" s="467">
        <v>200</v>
      </c>
      <c r="G2014" s="488" t="s">
        <v>19</v>
      </c>
      <c r="H2014" s="44">
        <v>9.5</v>
      </c>
      <c r="I2014" s="49">
        <f t="shared" si="131"/>
        <v>1900</v>
      </c>
      <c r="J2014" s="544">
        <v>9.35</v>
      </c>
      <c r="K2014" s="529">
        <f t="shared" si="133"/>
        <v>0.15000000000000036</v>
      </c>
      <c r="L2014" s="533">
        <f t="shared" si="132"/>
        <v>30.000000000000071</v>
      </c>
      <c r="M2014" s="531">
        <f t="shared" si="134"/>
        <v>1.5789473684210565E-2</v>
      </c>
      <c r="N2014" s="84" t="s">
        <v>22</v>
      </c>
      <c r="O2014" s="47" t="s">
        <v>105</v>
      </c>
    </row>
    <row r="2015" spans="1:15">
      <c r="A2015" s="71">
        <v>2024</v>
      </c>
      <c r="B2015" s="16" t="s">
        <v>1295</v>
      </c>
      <c r="C2015" s="390" t="s">
        <v>2856</v>
      </c>
      <c r="D2015" s="390" t="s">
        <v>94</v>
      </c>
      <c r="E2015" s="439" t="s">
        <v>2857</v>
      </c>
      <c r="F2015" s="467">
        <v>10</v>
      </c>
      <c r="G2015" s="488" t="s">
        <v>19</v>
      </c>
      <c r="H2015" s="44">
        <v>50</v>
      </c>
      <c r="I2015" s="49">
        <f t="shared" si="131"/>
        <v>500</v>
      </c>
      <c r="J2015" s="544">
        <v>47.56</v>
      </c>
      <c r="K2015" s="529">
        <f t="shared" si="133"/>
        <v>2.4399999999999977</v>
      </c>
      <c r="L2015" s="533">
        <f t="shared" si="132"/>
        <v>24.399999999999977</v>
      </c>
      <c r="M2015" s="531">
        <f t="shared" si="134"/>
        <v>4.8799999999999955E-2</v>
      </c>
      <c r="N2015" s="84" t="s">
        <v>22</v>
      </c>
      <c r="O2015" s="47" t="s">
        <v>105</v>
      </c>
    </row>
    <row r="2016" spans="1:15">
      <c r="A2016" s="71">
        <v>2024</v>
      </c>
      <c r="B2016" s="16" t="s">
        <v>1295</v>
      </c>
      <c r="C2016" s="390" t="s">
        <v>2856</v>
      </c>
      <c r="D2016" s="390" t="s">
        <v>94</v>
      </c>
      <c r="E2016" s="439" t="s">
        <v>2858</v>
      </c>
      <c r="F2016" s="467">
        <v>20</v>
      </c>
      <c r="G2016" s="488" t="s">
        <v>19</v>
      </c>
      <c r="H2016" s="44">
        <v>92</v>
      </c>
      <c r="I2016" s="49">
        <f t="shared" si="131"/>
        <v>1840</v>
      </c>
      <c r="J2016" s="544">
        <v>86.4</v>
      </c>
      <c r="K2016" s="529">
        <f t="shared" si="133"/>
        <v>5.5999999999999943</v>
      </c>
      <c r="L2016" s="533">
        <f t="shared" si="132"/>
        <v>111.99999999999989</v>
      </c>
      <c r="M2016" s="531">
        <f t="shared" si="134"/>
        <v>6.0869565217391244E-2</v>
      </c>
      <c r="N2016" s="84" t="s">
        <v>22</v>
      </c>
      <c r="O2016" s="47" t="s">
        <v>105</v>
      </c>
    </row>
    <row r="2017" spans="1:15">
      <c r="A2017" s="71">
        <v>2024</v>
      </c>
      <c r="B2017" s="16" t="s">
        <v>1295</v>
      </c>
      <c r="C2017" s="390" t="s">
        <v>2856</v>
      </c>
      <c r="D2017" s="390" t="s">
        <v>94</v>
      </c>
      <c r="E2017" s="439" t="s">
        <v>2859</v>
      </c>
      <c r="F2017" s="467">
        <v>20</v>
      </c>
      <c r="G2017" s="488" t="s">
        <v>19</v>
      </c>
      <c r="H2017" s="44">
        <v>70</v>
      </c>
      <c r="I2017" s="49">
        <f t="shared" si="131"/>
        <v>1400</v>
      </c>
      <c r="J2017" s="544">
        <v>65.75</v>
      </c>
      <c r="K2017" s="529">
        <f t="shared" si="133"/>
        <v>4.25</v>
      </c>
      <c r="L2017" s="533">
        <f t="shared" si="132"/>
        <v>85</v>
      </c>
      <c r="M2017" s="531">
        <f t="shared" si="134"/>
        <v>6.0714285714285714E-2</v>
      </c>
      <c r="N2017" s="84" t="s">
        <v>22</v>
      </c>
      <c r="O2017" s="47" t="s">
        <v>105</v>
      </c>
    </row>
    <row r="2018" spans="1:15">
      <c r="A2018" s="71">
        <v>2024</v>
      </c>
      <c r="B2018" s="16" t="s">
        <v>1295</v>
      </c>
      <c r="C2018" s="390" t="s">
        <v>2860</v>
      </c>
      <c r="D2018" s="390" t="s">
        <v>926</v>
      </c>
      <c r="E2018" s="439" t="s">
        <v>2861</v>
      </c>
      <c r="F2018" s="467">
        <v>1</v>
      </c>
      <c r="G2018" s="488" t="s">
        <v>302</v>
      </c>
      <c r="H2018" s="44">
        <v>3430</v>
      </c>
      <c r="I2018" s="49">
        <f t="shared" si="131"/>
        <v>3430</v>
      </c>
      <c r="J2018" s="544">
        <v>3100</v>
      </c>
      <c r="K2018" s="529">
        <f t="shared" si="133"/>
        <v>330</v>
      </c>
      <c r="L2018" s="533">
        <f t="shared" si="132"/>
        <v>330</v>
      </c>
      <c r="M2018" s="531">
        <f t="shared" si="134"/>
        <v>9.6209912536443148E-2</v>
      </c>
      <c r="N2018" s="84" t="s">
        <v>22</v>
      </c>
      <c r="O2018" s="47" t="s">
        <v>39</v>
      </c>
    </row>
    <row r="2019" spans="1:15">
      <c r="A2019" s="71">
        <v>2024</v>
      </c>
      <c r="B2019" s="16" t="s">
        <v>1295</v>
      </c>
      <c r="C2019" s="390" t="s">
        <v>2862</v>
      </c>
      <c r="D2019" s="390" t="s">
        <v>68</v>
      </c>
      <c r="E2019" s="439" t="s">
        <v>72</v>
      </c>
      <c r="F2019" s="482">
        <v>108.4</v>
      </c>
      <c r="G2019" s="488" t="s">
        <v>37</v>
      </c>
      <c r="H2019" s="44">
        <v>363</v>
      </c>
      <c r="I2019" s="49">
        <f t="shared" si="131"/>
        <v>39349.200000000004</v>
      </c>
      <c r="J2019" s="544">
        <v>360</v>
      </c>
      <c r="K2019" s="529">
        <f t="shared" si="133"/>
        <v>3</v>
      </c>
      <c r="L2019" s="533">
        <f t="shared" si="132"/>
        <v>325.20000000000005</v>
      </c>
      <c r="M2019" s="531">
        <f t="shared" si="134"/>
        <v>8.2644628099173556E-3</v>
      </c>
      <c r="N2019" s="84" t="s">
        <v>22</v>
      </c>
      <c r="O2019" s="47" t="s">
        <v>39</v>
      </c>
    </row>
    <row r="2020" spans="1:15">
      <c r="A2020" s="71">
        <v>2024</v>
      </c>
      <c r="B2020" s="16" t="s">
        <v>1295</v>
      </c>
      <c r="C2020" s="390" t="s">
        <v>2862</v>
      </c>
      <c r="D2020" s="390" t="s">
        <v>68</v>
      </c>
      <c r="E2020" s="439" t="s">
        <v>271</v>
      </c>
      <c r="F2020" s="467">
        <v>8255</v>
      </c>
      <c r="G2020" s="488" t="s">
        <v>37</v>
      </c>
      <c r="H2020" s="44">
        <v>363</v>
      </c>
      <c r="I2020" s="49">
        <f t="shared" si="131"/>
        <v>2996565</v>
      </c>
      <c r="J2020" s="544">
        <v>360</v>
      </c>
      <c r="K2020" s="529">
        <f t="shared" si="133"/>
        <v>3</v>
      </c>
      <c r="L2020" s="533">
        <f t="shared" si="132"/>
        <v>24765</v>
      </c>
      <c r="M2020" s="531">
        <f t="shared" si="134"/>
        <v>8.2644628099173556E-3</v>
      </c>
      <c r="N2020" s="84" t="s">
        <v>22</v>
      </c>
      <c r="O2020" s="47" t="s">
        <v>39</v>
      </c>
    </row>
    <row r="2021" spans="1:15">
      <c r="A2021" s="71">
        <v>2024</v>
      </c>
      <c r="B2021" s="16" t="s">
        <v>1295</v>
      </c>
      <c r="C2021" s="390" t="s">
        <v>2862</v>
      </c>
      <c r="D2021" s="390" t="s">
        <v>68</v>
      </c>
      <c r="E2021" s="439" t="s">
        <v>73</v>
      </c>
      <c r="F2021" s="482">
        <v>303.10000000000002</v>
      </c>
      <c r="G2021" s="488" t="s">
        <v>37</v>
      </c>
      <c r="H2021" s="44">
        <v>363</v>
      </c>
      <c r="I2021" s="49">
        <f t="shared" si="131"/>
        <v>110025.3</v>
      </c>
      <c r="J2021" s="544">
        <v>360</v>
      </c>
      <c r="K2021" s="529">
        <f t="shared" si="133"/>
        <v>3</v>
      </c>
      <c r="L2021" s="533">
        <f t="shared" si="132"/>
        <v>909.30000000000007</v>
      </c>
      <c r="M2021" s="531">
        <f t="shared" si="134"/>
        <v>8.2644628099173556E-3</v>
      </c>
      <c r="N2021" s="84" t="s">
        <v>22</v>
      </c>
      <c r="O2021" s="47" t="s">
        <v>39</v>
      </c>
    </row>
    <row r="2022" spans="1:15">
      <c r="A2022" s="71">
        <v>2024</v>
      </c>
      <c r="B2022" s="16" t="s">
        <v>1295</v>
      </c>
      <c r="C2022" s="390" t="s">
        <v>2863</v>
      </c>
      <c r="D2022" s="390" t="s">
        <v>68</v>
      </c>
      <c r="E2022" s="439" t="s">
        <v>755</v>
      </c>
      <c r="F2022" s="153">
        <v>634.1</v>
      </c>
      <c r="G2022" s="488" t="s">
        <v>37</v>
      </c>
      <c r="H2022" s="44">
        <v>365</v>
      </c>
      <c r="I2022" s="49">
        <f t="shared" si="131"/>
        <v>231446.5</v>
      </c>
      <c r="J2022" s="544">
        <v>363</v>
      </c>
      <c r="K2022" s="529">
        <f t="shared" si="133"/>
        <v>2</v>
      </c>
      <c r="L2022" s="533">
        <f t="shared" si="132"/>
        <v>1268.2</v>
      </c>
      <c r="M2022" s="531">
        <f t="shared" si="134"/>
        <v>5.4794520547945206E-3</v>
      </c>
      <c r="N2022" s="84" t="s">
        <v>22</v>
      </c>
      <c r="O2022" s="47" t="s">
        <v>105</v>
      </c>
    </row>
    <row r="2023" spans="1:15">
      <c r="A2023" s="71">
        <v>2024</v>
      </c>
      <c r="B2023" s="16" t="s">
        <v>1295</v>
      </c>
      <c r="C2023" s="390" t="s">
        <v>2864</v>
      </c>
      <c r="D2023" s="390" t="s">
        <v>94</v>
      </c>
      <c r="E2023" s="439" t="s">
        <v>2055</v>
      </c>
      <c r="F2023" s="467">
        <v>100</v>
      </c>
      <c r="G2023" s="488" t="s">
        <v>615</v>
      </c>
      <c r="H2023" s="44">
        <v>45</v>
      </c>
      <c r="I2023" s="49">
        <f t="shared" si="131"/>
        <v>4500</v>
      </c>
      <c r="J2023" s="544">
        <v>25</v>
      </c>
      <c r="K2023" s="529">
        <f t="shared" si="133"/>
        <v>20</v>
      </c>
      <c r="L2023" s="533">
        <f t="shared" si="132"/>
        <v>2000</v>
      </c>
      <c r="M2023" s="531">
        <f t="shared" si="134"/>
        <v>0.44444444444444442</v>
      </c>
      <c r="N2023" s="84" t="s">
        <v>22</v>
      </c>
      <c r="O2023" s="47" t="s">
        <v>105</v>
      </c>
    </row>
    <row r="2024" spans="1:15">
      <c r="A2024" s="71">
        <v>2024</v>
      </c>
      <c r="B2024" s="16" t="s">
        <v>1295</v>
      </c>
      <c r="C2024" s="390" t="s">
        <v>2865</v>
      </c>
      <c r="D2024" s="390" t="s">
        <v>192</v>
      </c>
      <c r="E2024" s="439" t="s">
        <v>2866</v>
      </c>
      <c r="F2024" s="467">
        <v>70</v>
      </c>
      <c r="G2024" s="488" t="s">
        <v>19</v>
      </c>
      <c r="H2024" s="44">
        <v>2580</v>
      </c>
      <c r="I2024" s="49">
        <f t="shared" si="131"/>
        <v>180600</v>
      </c>
      <c r="J2024" s="544">
        <v>2480</v>
      </c>
      <c r="K2024" s="529">
        <f t="shared" si="133"/>
        <v>100</v>
      </c>
      <c r="L2024" s="533">
        <f t="shared" si="132"/>
        <v>7000</v>
      </c>
      <c r="M2024" s="531">
        <f t="shared" si="134"/>
        <v>3.875968992248062E-2</v>
      </c>
      <c r="N2024" s="84" t="s">
        <v>38</v>
      </c>
      <c r="O2024" s="47" t="s">
        <v>105</v>
      </c>
    </row>
    <row r="2025" spans="1:15">
      <c r="A2025" s="71">
        <v>2024</v>
      </c>
      <c r="B2025" s="16" t="s">
        <v>1295</v>
      </c>
      <c r="C2025" s="390" t="s">
        <v>2867</v>
      </c>
      <c r="D2025" s="390" t="s">
        <v>68</v>
      </c>
      <c r="E2025" s="439" t="s">
        <v>755</v>
      </c>
      <c r="F2025" s="467">
        <v>769</v>
      </c>
      <c r="G2025" s="488" t="s">
        <v>37</v>
      </c>
      <c r="H2025" s="44">
        <v>380</v>
      </c>
      <c r="I2025" s="49">
        <f t="shared" si="131"/>
        <v>292220</v>
      </c>
      <c r="J2025" s="544">
        <v>363</v>
      </c>
      <c r="K2025" s="529">
        <f t="shared" si="133"/>
        <v>17</v>
      </c>
      <c r="L2025" s="533">
        <f t="shared" si="132"/>
        <v>13073</v>
      </c>
      <c r="M2025" s="531">
        <f t="shared" si="134"/>
        <v>4.4736842105263158E-2</v>
      </c>
      <c r="N2025" s="84" t="s">
        <v>22</v>
      </c>
      <c r="O2025" s="47" t="s">
        <v>105</v>
      </c>
    </row>
    <row r="2026" spans="1:15">
      <c r="A2026" s="71">
        <v>2024</v>
      </c>
      <c r="B2026" s="16" t="s">
        <v>1295</v>
      </c>
      <c r="C2026" s="390" t="s">
        <v>2868</v>
      </c>
      <c r="D2026" s="390" t="s">
        <v>35</v>
      </c>
      <c r="E2026" s="439" t="s">
        <v>557</v>
      </c>
      <c r="F2026" s="467">
        <v>800</v>
      </c>
      <c r="G2026" s="488" t="s">
        <v>37</v>
      </c>
      <c r="H2026" s="44">
        <v>385</v>
      </c>
      <c r="I2026" s="49">
        <f t="shared" si="131"/>
        <v>308000</v>
      </c>
      <c r="J2026" s="544">
        <v>380</v>
      </c>
      <c r="K2026" s="529">
        <f t="shared" si="133"/>
        <v>5</v>
      </c>
      <c r="L2026" s="533">
        <f t="shared" si="132"/>
        <v>4000</v>
      </c>
      <c r="M2026" s="531">
        <f t="shared" si="134"/>
        <v>1.2987012987012988E-2</v>
      </c>
      <c r="N2026" s="84" t="s">
        <v>38</v>
      </c>
      <c r="O2026" s="47" t="s">
        <v>105</v>
      </c>
    </row>
    <row r="2027" spans="1:15">
      <c r="A2027" s="71">
        <v>2024</v>
      </c>
      <c r="B2027" s="16" t="s">
        <v>1295</v>
      </c>
      <c r="C2027" s="62" t="s">
        <v>2869</v>
      </c>
      <c r="D2027" s="47" t="s">
        <v>35</v>
      </c>
      <c r="E2027" s="47" t="s">
        <v>472</v>
      </c>
      <c r="F2027" s="99">
        <v>1308</v>
      </c>
      <c r="G2027" s="42" t="s">
        <v>37</v>
      </c>
      <c r="H2027" s="44">
        <v>385</v>
      </c>
      <c r="I2027" s="49">
        <f t="shared" si="131"/>
        <v>503580</v>
      </c>
      <c r="J2027" s="544">
        <v>380</v>
      </c>
      <c r="K2027" s="529">
        <f t="shared" si="133"/>
        <v>5</v>
      </c>
      <c r="L2027" s="533">
        <f t="shared" si="132"/>
        <v>6540</v>
      </c>
      <c r="M2027" s="531">
        <f t="shared" si="134"/>
        <v>1.2987012987012988E-2</v>
      </c>
      <c r="N2027" s="84" t="s">
        <v>38</v>
      </c>
      <c r="O2027" s="47" t="s">
        <v>105</v>
      </c>
    </row>
    <row r="2028" spans="1:15">
      <c r="A2028" s="71">
        <v>2024</v>
      </c>
      <c r="B2028" s="16" t="s">
        <v>1295</v>
      </c>
      <c r="C2028" s="62" t="s">
        <v>2870</v>
      </c>
      <c r="D2028" s="47" t="s">
        <v>329</v>
      </c>
      <c r="E2028" s="47" t="s">
        <v>380</v>
      </c>
      <c r="F2028" s="99">
        <v>10</v>
      </c>
      <c r="G2028" s="42" t="s">
        <v>2541</v>
      </c>
      <c r="H2028" s="44">
        <v>5085</v>
      </c>
      <c r="I2028" s="49">
        <f t="shared" si="131"/>
        <v>50850</v>
      </c>
      <c r="J2028" s="544">
        <v>4950</v>
      </c>
      <c r="K2028" s="529">
        <f t="shared" si="133"/>
        <v>135</v>
      </c>
      <c r="L2028" s="533">
        <f t="shared" si="132"/>
        <v>1350</v>
      </c>
      <c r="M2028" s="531">
        <f t="shared" si="134"/>
        <v>2.6548672566371681E-2</v>
      </c>
      <c r="N2028" s="84" t="s">
        <v>22</v>
      </c>
      <c r="O2028" s="47" t="s">
        <v>39</v>
      </c>
    </row>
    <row r="2029" spans="1:15">
      <c r="A2029" s="71">
        <v>2024</v>
      </c>
      <c r="B2029" s="16" t="s">
        <v>1295</v>
      </c>
      <c r="C2029" s="62" t="s">
        <v>2870</v>
      </c>
      <c r="D2029" s="47" t="s">
        <v>329</v>
      </c>
      <c r="E2029" s="47" t="s">
        <v>379</v>
      </c>
      <c r="F2029" s="99">
        <v>20</v>
      </c>
      <c r="G2029" s="42" t="s">
        <v>2541</v>
      </c>
      <c r="H2029" s="44">
        <v>4875</v>
      </c>
      <c r="I2029" s="49">
        <f t="shared" ref="I2029:I2092" si="135">H2029*F2029</f>
        <v>97500</v>
      </c>
      <c r="J2029" s="544">
        <v>4740</v>
      </c>
      <c r="K2029" s="529">
        <f t="shared" si="133"/>
        <v>135</v>
      </c>
      <c r="L2029" s="533">
        <f t="shared" si="132"/>
        <v>2700</v>
      </c>
      <c r="M2029" s="531">
        <f t="shared" si="134"/>
        <v>2.7692307692307693E-2</v>
      </c>
      <c r="N2029" s="84" t="s">
        <v>22</v>
      </c>
      <c r="O2029" s="47" t="s">
        <v>39</v>
      </c>
    </row>
    <row r="2030" spans="1:15">
      <c r="A2030" s="71">
        <v>2024</v>
      </c>
      <c r="B2030" s="16" t="s">
        <v>1295</v>
      </c>
      <c r="C2030" s="62" t="s">
        <v>2870</v>
      </c>
      <c r="D2030" s="47" t="s">
        <v>329</v>
      </c>
      <c r="E2030" s="47" t="s">
        <v>2871</v>
      </c>
      <c r="F2030" s="99">
        <v>10</v>
      </c>
      <c r="G2030" s="42" t="s">
        <v>2541</v>
      </c>
      <c r="H2030" s="44">
        <v>7620</v>
      </c>
      <c r="I2030" s="49">
        <f t="shared" si="135"/>
        <v>76200</v>
      </c>
      <c r="J2030" s="544">
        <v>7405</v>
      </c>
      <c r="K2030" s="529">
        <f t="shared" si="133"/>
        <v>215</v>
      </c>
      <c r="L2030" s="533">
        <f t="shared" si="132"/>
        <v>2150</v>
      </c>
      <c r="M2030" s="531">
        <f t="shared" si="134"/>
        <v>2.8215223097112861E-2</v>
      </c>
      <c r="N2030" s="84" t="s">
        <v>22</v>
      </c>
      <c r="O2030" s="47" t="s">
        <v>39</v>
      </c>
    </row>
    <row r="2031" spans="1:15">
      <c r="A2031" s="71">
        <v>2024</v>
      </c>
      <c r="B2031" s="16" t="s">
        <v>1295</v>
      </c>
      <c r="C2031" s="62" t="s">
        <v>2870</v>
      </c>
      <c r="D2031" s="47" t="s">
        <v>329</v>
      </c>
      <c r="E2031" s="47" t="s">
        <v>702</v>
      </c>
      <c r="F2031" s="99">
        <v>20</v>
      </c>
      <c r="G2031" s="42" t="s">
        <v>2541</v>
      </c>
      <c r="H2031" s="44">
        <v>3250</v>
      </c>
      <c r="I2031" s="49">
        <f t="shared" si="135"/>
        <v>65000</v>
      </c>
      <c r="J2031" s="544">
        <v>3160</v>
      </c>
      <c r="K2031" s="529">
        <f t="shared" si="133"/>
        <v>90</v>
      </c>
      <c r="L2031" s="533">
        <f t="shared" si="132"/>
        <v>1800</v>
      </c>
      <c r="M2031" s="531">
        <f t="shared" si="134"/>
        <v>2.7692307692307693E-2</v>
      </c>
      <c r="N2031" s="84" t="s">
        <v>22</v>
      </c>
      <c r="O2031" s="47" t="s">
        <v>39</v>
      </c>
    </row>
    <row r="2032" spans="1:15">
      <c r="A2032" s="71">
        <v>2024</v>
      </c>
      <c r="B2032" s="16" t="s">
        <v>1295</v>
      </c>
      <c r="C2032" s="62" t="s">
        <v>2870</v>
      </c>
      <c r="D2032" s="47" t="s">
        <v>329</v>
      </c>
      <c r="E2032" s="47" t="s">
        <v>2543</v>
      </c>
      <c r="F2032" s="99">
        <v>10</v>
      </c>
      <c r="G2032" s="42" t="s">
        <v>2541</v>
      </c>
      <c r="H2032" s="44">
        <v>1150</v>
      </c>
      <c r="I2032" s="49">
        <f t="shared" si="135"/>
        <v>11500</v>
      </c>
      <c r="J2032" s="544">
        <v>1060</v>
      </c>
      <c r="K2032" s="529">
        <f t="shared" si="133"/>
        <v>90</v>
      </c>
      <c r="L2032" s="533">
        <f t="shared" si="132"/>
        <v>900</v>
      </c>
      <c r="M2032" s="531">
        <f t="shared" si="134"/>
        <v>7.8260869565217397E-2</v>
      </c>
      <c r="N2032" s="84" t="s">
        <v>22</v>
      </c>
      <c r="O2032" s="47" t="s">
        <v>39</v>
      </c>
    </row>
    <row r="2033" spans="1:15">
      <c r="A2033" s="71">
        <v>2024</v>
      </c>
      <c r="B2033" s="16" t="s">
        <v>1295</v>
      </c>
      <c r="C2033" s="62" t="s">
        <v>2870</v>
      </c>
      <c r="D2033" s="47" t="s">
        <v>329</v>
      </c>
      <c r="E2033" s="47" t="s">
        <v>2872</v>
      </c>
      <c r="F2033" s="99">
        <v>5</v>
      </c>
      <c r="G2033" s="42" t="s">
        <v>1368</v>
      </c>
      <c r="H2033" s="44">
        <v>1830</v>
      </c>
      <c r="I2033" s="49">
        <f t="shared" si="135"/>
        <v>9150</v>
      </c>
      <c r="J2033" s="544">
        <v>1620</v>
      </c>
      <c r="K2033" s="529">
        <f t="shared" si="133"/>
        <v>210</v>
      </c>
      <c r="L2033" s="533">
        <f t="shared" si="132"/>
        <v>1050</v>
      </c>
      <c r="M2033" s="531">
        <f t="shared" si="134"/>
        <v>0.11475409836065574</v>
      </c>
      <c r="N2033" s="84" t="s">
        <v>22</v>
      </c>
      <c r="O2033" s="47" t="s">
        <v>39</v>
      </c>
    </row>
    <row r="2034" spans="1:15">
      <c r="A2034" s="71">
        <v>2024</v>
      </c>
      <c r="B2034" s="16" t="s">
        <v>1295</v>
      </c>
      <c r="C2034" s="62" t="s">
        <v>2870</v>
      </c>
      <c r="D2034" s="47" t="s">
        <v>329</v>
      </c>
      <c r="E2034" s="47" t="s">
        <v>2873</v>
      </c>
      <c r="F2034" s="99">
        <v>1</v>
      </c>
      <c r="G2034" s="42" t="s">
        <v>2541</v>
      </c>
      <c r="H2034" s="44">
        <v>10550</v>
      </c>
      <c r="I2034" s="49">
        <f t="shared" si="135"/>
        <v>10550</v>
      </c>
      <c r="J2034" s="544">
        <v>9899</v>
      </c>
      <c r="K2034" s="529">
        <f t="shared" si="133"/>
        <v>651</v>
      </c>
      <c r="L2034" s="533">
        <f t="shared" si="132"/>
        <v>651</v>
      </c>
      <c r="M2034" s="531">
        <f t="shared" si="134"/>
        <v>6.1706161137440756E-2</v>
      </c>
      <c r="N2034" s="84" t="s">
        <v>22</v>
      </c>
      <c r="O2034" s="47" t="s">
        <v>39</v>
      </c>
    </row>
    <row r="2035" spans="1:15">
      <c r="A2035" s="71">
        <v>2024</v>
      </c>
      <c r="B2035" s="16" t="s">
        <v>1295</v>
      </c>
      <c r="C2035" s="62" t="s">
        <v>2870</v>
      </c>
      <c r="D2035" s="47" t="s">
        <v>329</v>
      </c>
      <c r="E2035" s="47" t="s">
        <v>2874</v>
      </c>
      <c r="F2035" s="99">
        <v>1</v>
      </c>
      <c r="G2035" s="42" t="s">
        <v>2541</v>
      </c>
      <c r="H2035" s="44">
        <v>16350</v>
      </c>
      <c r="I2035" s="49">
        <f t="shared" si="135"/>
        <v>16350</v>
      </c>
      <c r="J2035" s="544">
        <v>15680</v>
      </c>
      <c r="K2035" s="529">
        <f t="shared" si="133"/>
        <v>670</v>
      </c>
      <c r="L2035" s="533">
        <f t="shared" si="132"/>
        <v>670</v>
      </c>
      <c r="M2035" s="531">
        <f t="shared" si="134"/>
        <v>4.0978593272171251E-2</v>
      </c>
      <c r="N2035" s="84" t="s">
        <v>22</v>
      </c>
      <c r="O2035" s="47" t="s">
        <v>39</v>
      </c>
    </row>
    <row r="2036" spans="1:15">
      <c r="A2036" s="71">
        <v>2024</v>
      </c>
      <c r="B2036" s="16" t="s">
        <v>1295</v>
      </c>
      <c r="C2036" s="62" t="s">
        <v>2875</v>
      </c>
      <c r="D2036" s="47" t="s">
        <v>94</v>
      </c>
      <c r="E2036" s="47" t="s">
        <v>1147</v>
      </c>
      <c r="F2036" s="99">
        <v>10</v>
      </c>
      <c r="G2036" s="42" t="s">
        <v>615</v>
      </c>
      <c r="H2036" s="44">
        <v>155</v>
      </c>
      <c r="I2036" s="49">
        <f t="shared" si="135"/>
        <v>1550</v>
      </c>
      <c r="J2036" s="544">
        <v>152</v>
      </c>
      <c r="K2036" s="529">
        <f t="shared" si="133"/>
        <v>3</v>
      </c>
      <c r="L2036" s="533">
        <f t="shared" si="132"/>
        <v>30</v>
      </c>
      <c r="M2036" s="531">
        <f t="shared" si="134"/>
        <v>1.935483870967742E-2</v>
      </c>
      <c r="N2036" s="84" t="s">
        <v>22</v>
      </c>
      <c r="O2036" s="47" t="s">
        <v>105</v>
      </c>
    </row>
    <row r="2037" spans="1:15">
      <c r="A2037" s="71">
        <v>2024</v>
      </c>
      <c r="B2037" s="16" t="s">
        <v>1295</v>
      </c>
      <c r="C2037" s="62" t="s">
        <v>2875</v>
      </c>
      <c r="D2037" s="47" t="s">
        <v>94</v>
      </c>
      <c r="E2037" s="47" t="s">
        <v>1145</v>
      </c>
      <c r="F2037" s="99">
        <v>100</v>
      </c>
      <c r="G2037" s="42" t="s">
        <v>615</v>
      </c>
      <c r="H2037" s="44">
        <v>78</v>
      </c>
      <c r="I2037" s="49">
        <f t="shared" si="135"/>
        <v>7800</v>
      </c>
      <c r="J2037" s="544">
        <v>76.67</v>
      </c>
      <c r="K2037" s="529">
        <f t="shared" si="133"/>
        <v>1.3299999999999983</v>
      </c>
      <c r="L2037" s="533">
        <f t="shared" si="132"/>
        <v>132.99999999999983</v>
      </c>
      <c r="M2037" s="531">
        <f t="shared" si="134"/>
        <v>1.7051282051282028E-2</v>
      </c>
      <c r="N2037" s="84" t="s">
        <v>22</v>
      </c>
      <c r="O2037" s="47" t="s">
        <v>105</v>
      </c>
    </row>
    <row r="2038" spans="1:15">
      <c r="A2038" s="71">
        <v>2024</v>
      </c>
      <c r="B2038" s="16" t="s">
        <v>1295</v>
      </c>
      <c r="C2038" s="62" t="s">
        <v>2876</v>
      </c>
      <c r="D2038" s="47" t="s">
        <v>283</v>
      </c>
      <c r="E2038" s="47" t="s">
        <v>2877</v>
      </c>
      <c r="F2038" s="99">
        <v>2</v>
      </c>
      <c r="G2038" s="42" t="s">
        <v>285</v>
      </c>
      <c r="H2038" s="44">
        <v>44000</v>
      </c>
      <c r="I2038" s="49">
        <f t="shared" si="135"/>
        <v>88000</v>
      </c>
      <c r="J2038" s="544">
        <v>43500</v>
      </c>
      <c r="K2038" s="529">
        <f t="shared" si="133"/>
        <v>500</v>
      </c>
      <c r="L2038" s="533">
        <f t="shared" si="132"/>
        <v>1000</v>
      </c>
      <c r="M2038" s="531">
        <f t="shared" si="134"/>
        <v>1.1363636363636364E-2</v>
      </c>
      <c r="N2038" s="84" t="s">
        <v>38</v>
      </c>
      <c r="O2038" s="47" t="s">
        <v>105</v>
      </c>
    </row>
    <row r="2039" spans="1:15">
      <c r="A2039" s="71">
        <v>2024</v>
      </c>
      <c r="B2039" s="16" t="s">
        <v>1295</v>
      </c>
      <c r="C2039" s="61" t="s">
        <v>2878</v>
      </c>
      <c r="D2039" s="32" t="s">
        <v>522</v>
      </c>
      <c r="E2039" s="43" t="s">
        <v>2879</v>
      </c>
      <c r="F2039" s="100">
        <v>1</v>
      </c>
      <c r="G2039" s="45" t="s">
        <v>59</v>
      </c>
      <c r="H2039" s="49">
        <v>3707765</v>
      </c>
      <c r="I2039" s="49">
        <f t="shared" si="135"/>
        <v>3707765</v>
      </c>
      <c r="J2039" s="518">
        <v>3600000</v>
      </c>
      <c r="K2039" s="532">
        <f t="shared" si="133"/>
        <v>107765</v>
      </c>
      <c r="L2039" s="545">
        <f t="shared" si="132"/>
        <v>107765</v>
      </c>
      <c r="M2039" s="523">
        <f t="shared" si="134"/>
        <v>2.9064679126104269E-2</v>
      </c>
      <c r="N2039" s="28" t="s">
        <v>38</v>
      </c>
      <c r="O2039" s="2" t="s">
        <v>21</v>
      </c>
    </row>
    <row r="2040" spans="1:15">
      <c r="A2040" s="71">
        <v>2024</v>
      </c>
      <c r="B2040" s="16" t="s">
        <v>1295</v>
      </c>
      <c r="C2040" s="62" t="s">
        <v>2878</v>
      </c>
      <c r="D2040" s="47" t="s">
        <v>522</v>
      </c>
      <c r="E2040" s="47" t="s">
        <v>2879</v>
      </c>
      <c r="F2040" s="99">
        <v>1</v>
      </c>
      <c r="G2040" s="42" t="s">
        <v>59</v>
      </c>
      <c r="H2040" s="44">
        <v>2595435.5</v>
      </c>
      <c r="I2040" s="49">
        <f t="shared" si="135"/>
        <v>2595435.5</v>
      </c>
      <c r="J2040" s="544">
        <v>2586243.3326041666</v>
      </c>
      <c r="K2040" s="529">
        <f t="shared" si="133"/>
        <v>9192.167395833414</v>
      </c>
      <c r="L2040" s="533">
        <f t="shared" si="132"/>
        <v>9192.167395833414</v>
      </c>
      <c r="M2040" s="531">
        <f t="shared" si="134"/>
        <v>3.5416666666666977E-3</v>
      </c>
      <c r="N2040" s="28" t="s">
        <v>30</v>
      </c>
      <c r="O2040" s="2" t="s">
        <v>21</v>
      </c>
    </row>
    <row r="2041" spans="1:15">
      <c r="A2041" s="71">
        <v>2024</v>
      </c>
      <c r="B2041" s="16" t="s">
        <v>1295</v>
      </c>
      <c r="C2041" s="62" t="s">
        <v>2880</v>
      </c>
      <c r="D2041" s="47" t="s">
        <v>1948</v>
      </c>
      <c r="E2041" s="55" t="s">
        <v>2881</v>
      </c>
      <c r="F2041" s="100">
        <v>1</v>
      </c>
      <c r="G2041" s="42" t="s">
        <v>19</v>
      </c>
      <c r="H2041" s="49">
        <v>2650</v>
      </c>
      <c r="I2041" s="49">
        <f t="shared" si="135"/>
        <v>2650</v>
      </c>
      <c r="J2041" s="518">
        <v>1440</v>
      </c>
      <c r="K2041" s="532">
        <f t="shared" si="133"/>
        <v>1210</v>
      </c>
      <c r="L2041" s="533">
        <f t="shared" si="132"/>
        <v>1210</v>
      </c>
      <c r="M2041" s="531">
        <f t="shared" si="134"/>
        <v>0.45660377358490567</v>
      </c>
      <c r="N2041" s="28" t="s">
        <v>22</v>
      </c>
      <c r="O2041" s="2" t="s">
        <v>21</v>
      </c>
    </row>
    <row r="2042" spans="1:15">
      <c r="A2042" s="71">
        <v>2024</v>
      </c>
      <c r="B2042" s="16" t="s">
        <v>1295</v>
      </c>
      <c r="C2042" s="62" t="s">
        <v>2880</v>
      </c>
      <c r="D2042" s="47" t="s">
        <v>1948</v>
      </c>
      <c r="E2042" s="47" t="s">
        <v>2882</v>
      </c>
      <c r="F2042" s="99">
        <v>1</v>
      </c>
      <c r="G2042" s="42" t="s">
        <v>19</v>
      </c>
      <c r="H2042" s="44">
        <v>2705</v>
      </c>
      <c r="I2042" s="49">
        <f t="shared" si="135"/>
        <v>2705</v>
      </c>
      <c r="J2042" s="544">
        <v>2290</v>
      </c>
      <c r="K2042" s="532">
        <f t="shared" si="133"/>
        <v>415</v>
      </c>
      <c r="L2042" s="533">
        <f t="shared" si="132"/>
        <v>415</v>
      </c>
      <c r="M2042" s="531">
        <f t="shared" si="134"/>
        <v>0.15341959334565619</v>
      </c>
      <c r="N2042" s="28" t="s">
        <v>22</v>
      </c>
      <c r="O2042" s="2" t="s">
        <v>21</v>
      </c>
    </row>
    <row r="2043" spans="1:15">
      <c r="A2043" s="71">
        <v>2024</v>
      </c>
      <c r="B2043" s="16" t="s">
        <v>1295</v>
      </c>
      <c r="C2043" s="62" t="s">
        <v>2883</v>
      </c>
      <c r="D2043" s="47" t="s">
        <v>2703</v>
      </c>
      <c r="E2043" s="47" t="s">
        <v>2884</v>
      </c>
      <c r="F2043" s="99">
        <v>5</v>
      </c>
      <c r="G2043" s="42" t="s">
        <v>19</v>
      </c>
      <c r="H2043" s="44">
        <v>320</v>
      </c>
      <c r="I2043" s="49">
        <f t="shared" si="135"/>
        <v>1600</v>
      </c>
      <c r="J2043" s="544">
        <v>250</v>
      </c>
      <c r="K2043" s="532">
        <f t="shared" si="133"/>
        <v>70</v>
      </c>
      <c r="L2043" s="533">
        <f t="shared" si="132"/>
        <v>350</v>
      </c>
      <c r="M2043" s="531">
        <f t="shared" si="134"/>
        <v>0.21875</v>
      </c>
      <c r="N2043" s="28" t="s">
        <v>22</v>
      </c>
      <c r="O2043" s="2" t="s">
        <v>21</v>
      </c>
    </row>
    <row r="2044" spans="1:15">
      <c r="A2044" s="71">
        <v>2024</v>
      </c>
      <c r="B2044" s="16" t="s">
        <v>1295</v>
      </c>
      <c r="C2044" s="62" t="s">
        <v>2883</v>
      </c>
      <c r="D2044" s="47" t="s">
        <v>2703</v>
      </c>
      <c r="E2044" s="55" t="s">
        <v>2885</v>
      </c>
      <c r="F2044" s="100">
        <v>5</v>
      </c>
      <c r="G2044" s="42" t="s">
        <v>19</v>
      </c>
      <c r="H2044" s="49">
        <v>320</v>
      </c>
      <c r="I2044" s="49">
        <f t="shared" si="135"/>
        <v>1600</v>
      </c>
      <c r="J2044" s="518">
        <v>250</v>
      </c>
      <c r="K2044" s="532">
        <f t="shared" si="133"/>
        <v>70</v>
      </c>
      <c r="L2044" s="533">
        <f t="shared" si="132"/>
        <v>350</v>
      </c>
      <c r="M2044" s="531">
        <f t="shared" si="134"/>
        <v>0.21875</v>
      </c>
      <c r="N2044" s="28" t="s">
        <v>22</v>
      </c>
      <c r="O2044" s="2" t="s">
        <v>21</v>
      </c>
    </row>
    <row r="2045" spans="1:15">
      <c r="A2045" s="71">
        <v>2024</v>
      </c>
      <c r="B2045" s="16" t="s">
        <v>1295</v>
      </c>
      <c r="C2045" s="62" t="s">
        <v>2886</v>
      </c>
      <c r="D2045" s="47" t="s">
        <v>1161</v>
      </c>
      <c r="E2045" s="47" t="s">
        <v>2887</v>
      </c>
      <c r="F2045" s="99">
        <v>300</v>
      </c>
      <c r="G2045" s="42" t="s">
        <v>19</v>
      </c>
      <c r="H2045" s="44">
        <v>200</v>
      </c>
      <c r="I2045" s="49">
        <f t="shared" si="135"/>
        <v>60000</v>
      </c>
      <c r="J2045" s="544">
        <v>170</v>
      </c>
      <c r="K2045" s="532">
        <f t="shared" si="133"/>
        <v>30</v>
      </c>
      <c r="L2045" s="533">
        <f t="shared" si="132"/>
        <v>9000</v>
      </c>
      <c r="M2045" s="531">
        <f t="shared" si="134"/>
        <v>0.15</v>
      </c>
      <c r="N2045" s="28" t="s">
        <v>22</v>
      </c>
      <c r="O2045" s="2" t="s">
        <v>21</v>
      </c>
    </row>
    <row r="2046" spans="1:15">
      <c r="A2046" s="71">
        <v>2024</v>
      </c>
      <c r="B2046" s="16" t="s">
        <v>1295</v>
      </c>
      <c r="C2046" s="63" t="s">
        <v>2888</v>
      </c>
      <c r="D2046" s="56" t="s">
        <v>17</v>
      </c>
      <c r="E2046" s="56" t="s">
        <v>2889</v>
      </c>
      <c r="F2046" s="101">
        <v>10</v>
      </c>
      <c r="G2046" s="59" t="s">
        <v>19</v>
      </c>
      <c r="H2046" s="60">
        <v>399</v>
      </c>
      <c r="I2046" s="49">
        <f t="shared" si="135"/>
        <v>3990</v>
      </c>
      <c r="J2046" s="551">
        <v>375</v>
      </c>
      <c r="K2046" s="532">
        <f t="shared" si="133"/>
        <v>24</v>
      </c>
      <c r="L2046" s="533">
        <f t="shared" si="132"/>
        <v>240</v>
      </c>
      <c r="M2046" s="531">
        <f t="shared" si="134"/>
        <v>6.0150375939849621E-2</v>
      </c>
      <c r="N2046" s="28" t="s">
        <v>22</v>
      </c>
      <c r="O2046" s="2" t="s">
        <v>21</v>
      </c>
    </row>
    <row r="2047" spans="1:15">
      <c r="A2047" s="71">
        <v>2024</v>
      </c>
      <c r="B2047" s="16" t="s">
        <v>1295</v>
      </c>
      <c r="C2047" s="63" t="s">
        <v>2890</v>
      </c>
      <c r="D2047" s="56" t="s">
        <v>1948</v>
      </c>
      <c r="E2047" s="56" t="s">
        <v>1062</v>
      </c>
      <c r="F2047" s="101">
        <v>24</v>
      </c>
      <c r="G2047" s="59" t="s">
        <v>19</v>
      </c>
      <c r="H2047" s="60">
        <v>69</v>
      </c>
      <c r="I2047" s="49">
        <f t="shared" si="135"/>
        <v>1656</v>
      </c>
      <c r="J2047" s="551">
        <v>57</v>
      </c>
      <c r="K2047" s="532">
        <f t="shared" si="133"/>
        <v>12</v>
      </c>
      <c r="L2047" s="533">
        <f t="shared" ref="L2047:L2110" si="136">K2047*F2047</f>
        <v>288</v>
      </c>
      <c r="M2047" s="531">
        <f t="shared" si="134"/>
        <v>0.17391304347826086</v>
      </c>
      <c r="N2047" s="28" t="s">
        <v>22</v>
      </c>
      <c r="O2047" s="2" t="s">
        <v>21</v>
      </c>
    </row>
    <row r="2048" spans="1:15">
      <c r="A2048" s="71">
        <v>2024</v>
      </c>
      <c r="B2048" s="16" t="s">
        <v>1295</v>
      </c>
      <c r="C2048" s="63" t="s">
        <v>2891</v>
      </c>
      <c r="D2048" s="56" t="s">
        <v>430</v>
      </c>
      <c r="E2048" s="56" t="s">
        <v>2892</v>
      </c>
      <c r="F2048" s="101">
        <v>1200</v>
      </c>
      <c r="G2048" s="59" t="s">
        <v>19</v>
      </c>
      <c r="H2048" s="60">
        <v>2.5</v>
      </c>
      <c r="I2048" s="49">
        <f t="shared" si="135"/>
        <v>3000</v>
      </c>
      <c r="J2048" s="551">
        <v>1.25</v>
      </c>
      <c r="K2048" s="532">
        <f t="shared" si="133"/>
        <v>1.25</v>
      </c>
      <c r="L2048" s="533">
        <f t="shared" si="136"/>
        <v>1500</v>
      </c>
      <c r="M2048" s="531">
        <f t="shared" si="134"/>
        <v>0.5</v>
      </c>
      <c r="N2048" s="28" t="s">
        <v>22</v>
      </c>
      <c r="O2048" s="2" t="s">
        <v>21</v>
      </c>
    </row>
    <row r="2049" spans="1:15">
      <c r="A2049" s="71">
        <v>2024</v>
      </c>
      <c r="B2049" s="16" t="s">
        <v>1295</v>
      </c>
      <c r="C2049" s="63" t="s">
        <v>2893</v>
      </c>
      <c r="D2049" s="56" t="s">
        <v>118</v>
      </c>
      <c r="E2049" s="56" t="s">
        <v>2894</v>
      </c>
      <c r="F2049" s="101">
        <v>1</v>
      </c>
      <c r="G2049" s="59" t="s">
        <v>238</v>
      </c>
      <c r="H2049" s="60">
        <v>3790</v>
      </c>
      <c r="I2049" s="49">
        <f t="shared" si="135"/>
        <v>3790</v>
      </c>
      <c r="J2049" s="551">
        <v>3200</v>
      </c>
      <c r="K2049" s="532">
        <f t="shared" si="133"/>
        <v>590</v>
      </c>
      <c r="L2049" s="533">
        <f t="shared" si="136"/>
        <v>590</v>
      </c>
      <c r="M2049" s="531">
        <f t="shared" si="134"/>
        <v>0.15567282321899736</v>
      </c>
      <c r="N2049" s="28" t="s">
        <v>22</v>
      </c>
      <c r="O2049" s="2" t="s">
        <v>21</v>
      </c>
    </row>
    <row r="2050" spans="1:15">
      <c r="A2050" s="71">
        <v>2024</v>
      </c>
      <c r="B2050" s="16" t="s">
        <v>1295</v>
      </c>
      <c r="C2050" s="63" t="s">
        <v>2895</v>
      </c>
      <c r="D2050" s="56" t="s">
        <v>1948</v>
      </c>
      <c r="E2050" s="56" t="s">
        <v>2896</v>
      </c>
      <c r="F2050" s="101">
        <v>48</v>
      </c>
      <c r="G2050" s="59" t="s">
        <v>19</v>
      </c>
      <c r="H2050" s="60">
        <v>69</v>
      </c>
      <c r="I2050" s="49">
        <f t="shared" si="135"/>
        <v>3312</v>
      </c>
      <c r="J2050" s="551">
        <v>57</v>
      </c>
      <c r="K2050" s="532">
        <f t="shared" si="133"/>
        <v>12</v>
      </c>
      <c r="L2050" s="533">
        <f t="shared" si="136"/>
        <v>576</v>
      </c>
      <c r="M2050" s="531">
        <f t="shared" si="134"/>
        <v>0.17391304347826086</v>
      </c>
      <c r="N2050" s="28" t="s">
        <v>22</v>
      </c>
      <c r="O2050" s="2" t="s">
        <v>21</v>
      </c>
    </row>
    <row r="2051" spans="1:15">
      <c r="A2051" s="71">
        <v>2024</v>
      </c>
      <c r="B2051" s="16" t="s">
        <v>1295</v>
      </c>
      <c r="C2051" s="63" t="s">
        <v>2897</v>
      </c>
      <c r="D2051" s="56" t="s">
        <v>2898</v>
      </c>
      <c r="E2051" s="56" t="s">
        <v>2899</v>
      </c>
      <c r="F2051" s="101">
        <v>40</v>
      </c>
      <c r="G2051" s="59" t="s">
        <v>19</v>
      </c>
      <c r="H2051" s="60">
        <v>720</v>
      </c>
      <c r="I2051" s="49">
        <f t="shared" si="135"/>
        <v>28800</v>
      </c>
      <c r="J2051" s="551">
        <v>683.7</v>
      </c>
      <c r="K2051" s="532">
        <f t="shared" ref="K2051:K2114" si="137">H2051-J2051</f>
        <v>36.299999999999955</v>
      </c>
      <c r="L2051" s="533">
        <f t="shared" si="136"/>
        <v>1451.9999999999982</v>
      </c>
      <c r="M2051" s="531">
        <f t="shared" ref="M2051:M2114" si="138">K2051/H2051</f>
        <v>5.0416666666666603E-2</v>
      </c>
      <c r="N2051" s="28" t="s">
        <v>22</v>
      </c>
      <c r="O2051" s="2" t="s">
        <v>21</v>
      </c>
    </row>
    <row r="2052" spans="1:15">
      <c r="A2052" s="71">
        <v>2024</v>
      </c>
      <c r="B2052" s="16" t="s">
        <v>1295</v>
      </c>
      <c r="C2052" s="63" t="s">
        <v>2900</v>
      </c>
      <c r="D2052" s="56" t="s">
        <v>110</v>
      </c>
      <c r="E2052" s="414" t="s">
        <v>2901</v>
      </c>
      <c r="F2052" s="101">
        <v>3</v>
      </c>
      <c r="G2052" s="59" t="s">
        <v>19</v>
      </c>
      <c r="H2052" s="60">
        <v>22990</v>
      </c>
      <c r="I2052" s="49">
        <f t="shared" si="135"/>
        <v>68970</v>
      </c>
      <c r="J2052" s="551">
        <v>22300</v>
      </c>
      <c r="K2052" s="532">
        <f t="shared" si="137"/>
        <v>690</v>
      </c>
      <c r="L2052" s="533">
        <f t="shared" si="136"/>
        <v>2070</v>
      </c>
      <c r="M2052" s="531">
        <f t="shared" si="138"/>
        <v>3.0013049151805131E-2</v>
      </c>
      <c r="N2052" s="28" t="s">
        <v>22</v>
      </c>
      <c r="O2052" s="2" t="s">
        <v>21</v>
      </c>
    </row>
    <row r="2053" spans="1:15">
      <c r="A2053" s="71">
        <v>2024</v>
      </c>
      <c r="B2053" s="16" t="s">
        <v>1295</v>
      </c>
      <c r="C2053" s="63" t="s">
        <v>2900</v>
      </c>
      <c r="D2053" s="56" t="s">
        <v>110</v>
      </c>
      <c r="E2053" s="414" t="s">
        <v>2902</v>
      </c>
      <c r="F2053" s="101">
        <v>1</v>
      </c>
      <c r="G2053" s="59" t="s">
        <v>19</v>
      </c>
      <c r="H2053" s="60">
        <v>17990</v>
      </c>
      <c r="I2053" s="49">
        <f t="shared" si="135"/>
        <v>17990</v>
      </c>
      <c r="J2053" s="551">
        <v>17400</v>
      </c>
      <c r="K2053" s="532">
        <f t="shared" si="137"/>
        <v>590</v>
      </c>
      <c r="L2053" s="533">
        <f t="shared" si="136"/>
        <v>590</v>
      </c>
      <c r="M2053" s="531">
        <f t="shared" si="138"/>
        <v>3.2795997776542525E-2</v>
      </c>
      <c r="N2053" s="28" t="s">
        <v>22</v>
      </c>
      <c r="O2053" s="2" t="s">
        <v>21</v>
      </c>
    </row>
    <row r="2054" spans="1:15">
      <c r="A2054" s="71">
        <v>2024</v>
      </c>
      <c r="B2054" s="16" t="s">
        <v>1295</v>
      </c>
      <c r="C2054" s="63" t="s">
        <v>2900</v>
      </c>
      <c r="D2054" s="56" t="s">
        <v>110</v>
      </c>
      <c r="E2054" s="56" t="s">
        <v>2903</v>
      </c>
      <c r="F2054" s="101">
        <v>1</v>
      </c>
      <c r="G2054" s="59" t="s">
        <v>19</v>
      </c>
      <c r="H2054" s="60">
        <v>7300</v>
      </c>
      <c r="I2054" s="49">
        <f t="shared" si="135"/>
        <v>7300</v>
      </c>
      <c r="J2054" s="551">
        <v>7200</v>
      </c>
      <c r="K2054" s="532">
        <f t="shared" si="137"/>
        <v>100</v>
      </c>
      <c r="L2054" s="533">
        <f t="shared" si="136"/>
        <v>100</v>
      </c>
      <c r="M2054" s="531">
        <f t="shared" si="138"/>
        <v>1.3698630136986301E-2</v>
      </c>
      <c r="N2054" s="28" t="s">
        <v>22</v>
      </c>
      <c r="O2054" s="2" t="s">
        <v>21</v>
      </c>
    </row>
    <row r="2055" spans="1:15">
      <c r="A2055" s="71">
        <v>2024</v>
      </c>
      <c r="B2055" s="16" t="s">
        <v>1295</v>
      </c>
      <c r="C2055" s="63" t="s">
        <v>2904</v>
      </c>
      <c r="D2055" s="56" t="s">
        <v>1101</v>
      </c>
      <c r="E2055" s="56" t="s">
        <v>1102</v>
      </c>
      <c r="F2055" s="101">
        <v>780</v>
      </c>
      <c r="G2055" s="59" t="s">
        <v>19</v>
      </c>
      <c r="H2055" s="60">
        <v>16</v>
      </c>
      <c r="I2055" s="49">
        <f t="shared" si="135"/>
        <v>12480</v>
      </c>
      <c r="J2055" s="551">
        <v>15</v>
      </c>
      <c r="K2055" s="532">
        <f t="shared" si="137"/>
        <v>1</v>
      </c>
      <c r="L2055" s="533">
        <f t="shared" si="136"/>
        <v>780</v>
      </c>
      <c r="M2055" s="531">
        <f t="shared" si="138"/>
        <v>6.25E-2</v>
      </c>
      <c r="N2055" s="28" t="s">
        <v>20</v>
      </c>
      <c r="O2055" s="2" t="s">
        <v>21</v>
      </c>
    </row>
    <row r="2056" spans="1:15">
      <c r="A2056" s="71">
        <v>2024</v>
      </c>
      <c r="B2056" s="16" t="s">
        <v>1295</v>
      </c>
      <c r="C2056" s="63" t="s">
        <v>2905</v>
      </c>
      <c r="D2056" s="56" t="s">
        <v>345</v>
      </c>
      <c r="E2056" s="56" t="s">
        <v>2906</v>
      </c>
      <c r="F2056" s="101">
        <v>1</v>
      </c>
      <c r="G2056" s="59" t="s">
        <v>238</v>
      </c>
      <c r="H2056" s="60">
        <v>103500</v>
      </c>
      <c r="I2056" s="49">
        <f t="shared" si="135"/>
        <v>103500</v>
      </c>
      <c r="J2056" s="551">
        <v>100000</v>
      </c>
      <c r="K2056" s="532">
        <f t="shared" si="137"/>
        <v>3500</v>
      </c>
      <c r="L2056" s="533">
        <f t="shared" si="136"/>
        <v>3500</v>
      </c>
      <c r="M2056" s="531">
        <f t="shared" si="138"/>
        <v>3.3816425120772944E-2</v>
      </c>
      <c r="N2056" s="28" t="s">
        <v>38</v>
      </c>
      <c r="O2056" s="2" t="s">
        <v>21</v>
      </c>
    </row>
    <row r="2057" spans="1:15">
      <c r="A2057" s="71">
        <v>2024</v>
      </c>
      <c r="B2057" s="16" t="s">
        <v>1295</v>
      </c>
      <c r="C2057" s="63" t="s">
        <v>2907</v>
      </c>
      <c r="D2057" s="56" t="s">
        <v>2908</v>
      </c>
      <c r="E2057" s="56" t="s">
        <v>2909</v>
      </c>
      <c r="F2057" s="101">
        <v>32</v>
      </c>
      <c r="G2057" s="59" t="s">
        <v>19</v>
      </c>
      <c r="H2057" s="60">
        <v>790</v>
      </c>
      <c r="I2057" s="49">
        <f t="shared" si="135"/>
        <v>25280</v>
      </c>
      <c r="J2057" s="551">
        <v>700</v>
      </c>
      <c r="K2057" s="532">
        <f t="shared" si="137"/>
        <v>90</v>
      </c>
      <c r="L2057" s="533">
        <f t="shared" si="136"/>
        <v>2880</v>
      </c>
      <c r="M2057" s="531">
        <f t="shared" si="138"/>
        <v>0.11392405063291139</v>
      </c>
      <c r="N2057" s="28" t="s">
        <v>22</v>
      </c>
      <c r="O2057" s="2" t="s">
        <v>21</v>
      </c>
    </row>
    <row r="2058" spans="1:15">
      <c r="A2058" s="71">
        <v>2024</v>
      </c>
      <c r="B2058" s="16" t="s">
        <v>1295</v>
      </c>
      <c r="C2058" s="63" t="s">
        <v>2910</v>
      </c>
      <c r="D2058" s="56" t="s">
        <v>926</v>
      </c>
      <c r="E2058" s="56" t="s">
        <v>2911</v>
      </c>
      <c r="F2058" s="101">
        <v>400</v>
      </c>
      <c r="G2058" s="59" t="s">
        <v>19</v>
      </c>
      <c r="H2058" s="60">
        <v>45</v>
      </c>
      <c r="I2058" s="49">
        <f t="shared" si="135"/>
        <v>18000</v>
      </c>
      <c r="J2058" s="551">
        <v>25</v>
      </c>
      <c r="K2058" s="532">
        <f t="shared" si="137"/>
        <v>20</v>
      </c>
      <c r="L2058" s="533">
        <f t="shared" si="136"/>
        <v>8000</v>
      </c>
      <c r="M2058" s="531">
        <f t="shared" si="138"/>
        <v>0.44444444444444442</v>
      </c>
      <c r="N2058" s="28" t="s">
        <v>22</v>
      </c>
      <c r="O2058" s="2" t="s">
        <v>21</v>
      </c>
    </row>
    <row r="2059" spans="1:15">
      <c r="A2059" s="71">
        <v>2024</v>
      </c>
      <c r="B2059" s="16" t="s">
        <v>1295</v>
      </c>
      <c r="C2059" s="63" t="s">
        <v>2912</v>
      </c>
      <c r="D2059" s="56" t="s">
        <v>1670</v>
      </c>
      <c r="E2059" s="56" t="s">
        <v>2207</v>
      </c>
      <c r="F2059" s="101">
        <v>2</v>
      </c>
      <c r="G2059" s="59" t="s">
        <v>19</v>
      </c>
      <c r="H2059" s="60">
        <v>1850</v>
      </c>
      <c r="I2059" s="49">
        <f t="shared" si="135"/>
        <v>3700</v>
      </c>
      <c r="J2059" s="551">
        <v>1800</v>
      </c>
      <c r="K2059" s="532">
        <f t="shared" si="137"/>
        <v>50</v>
      </c>
      <c r="L2059" s="533">
        <f t="shared" si="136"/>
        <v>100</v>
      </c>
      <c r="M2059" s="531">
        <f t="shared" si="138"/>
        <v>2.7027027027027029E-2</v>
      </c>
      <c r="N2059" s="28" t="s">
        <v>22</v>
      </c>
      <c r="O2059" s="2" t="s">
        <v>21</v>
      </c>
    </row>
    <row r="2060" spans="1:15">
      <c r="A2060" s="71">
        <v>2024</v>
      </c>
      <c r="B2060" s="16" t="s">
        <v>1295</v>
      </c>
      <c r="C2060" s="63" t="s">
        <v>2912</v>
      </c>
      <c r="D2060" s="56" t="s">
        <v>1670</v>
      </c>
      <c r="E2060" s="56" t="s">
        <v>2208</v>
      </c>
      <c r="F2060" s="101">
        <v>2</v>
      </c>
      <c r="G2060" s="59" t="s">
        <v>19</v>
      </c>
      <c r="H2060" s="60">
        <v>1850</v>
      </c>
      <c r="I2060" s="49">
        <f t="shared" si="135"/>
        <v>3700</v>
      </c>
      <c r="J2060" s="551">
        <v>1500</v>
      </c>
      <c r="K2060" s="532">
        <f t="shared" si="137"/>
        <v>350</v>
      </c>
      <c r="L2060" s="533">
        <f t="shared" si="136"/>
        <v>700</v>
      </c>
      <c r="M2060" s="531">
        <f t="shared" si="138"/>
        <v>0.1891891891891892</v>
      </c>
      <c r="N2060" s="28" t="s">
        <v>22</v>
      </c>
      <c r="O2060" s="2" t="s">
        <v>21</v>
      </c>
    </row>
    <row r="2061" spans="1:15">
      <c r="A2061" s="71">
        <v>2024</v>
      </c>
      <c r="B2061" s="16" t="s">
        <v>1295</v>
      </c>
      <c r="C2061" s="63" t="s">
        <v>2913</v>
      </c>
      <c r="D2061" s="56" t="s">
        <v>174</v>
      </c>
      <c r="E2061" s="56" t="s">
        <v>1173</v>
      </c>
      <c r="F2061" s="101">
        <v>500</v>
      </c>
      <c r="G2061" s="59" t="s">
        <v>19</v>
      </c>
      <c r="H2061" s="60">
        <v>2.8</v>
      </c>
      <c r="I2061" s="49">
        <f t="shared" si="135"/>
        <v>1400</v>
      </c>
      <c r="J2061" s="551">
        <v>2</v>
      </c>
      <c r="K2061" s="532">
        <f t="shared" si="137"/>
        <v>0.79999999999999982</v>
      </c>
      <c r="L2061" s="533">
        <f t="shared" si="136"/>
        <v>399.99999999999989</v>
      </c>
      <c r="M2061" s="531">
        <f t="shared" si="138"/>
        <v>0.28571428571428564</v>
      </c>
      <c r="N2061" s="28" t="s">
        <v>22</v>
      </c>
      <c r="O2061" s="2" t="s">
        <v>21</v>
      </c>
    </row>
    <row r="2062" spans="1:15">
      <c r="A2062" s="71">
        <v>2024</v>
      </c>
      <c r="B2062" s="16" t="s">
        <v>1295</v>
      </c>
      <c r="C2062" s="63" t="s">
        <v>2914</v>
      </c>
      <c r="D2062" s="56" t="s">
        <v>1948</v>
      </c>
      <c r="E2062" s="56" t="s">
        <v>2366</v>
      </c>
      <c r="F2062" s="101">
        <v>6</v>
      </c>
      <c r="G2062" s="59" t="s">
        <v>588</v>
      </c>
      <c r="H2062" s="60">
        <v>650</v>
      </c>
      <c r="I2062" s="49">
        <f t="shared" si="135"/>
        <v>3900</v>
      </c>
      <c r="J2062" s="551">
        <v>644</v>
      </c>
      <c r="K2062" s="532">
        <f t="shared" si="137"/>
        <v>6</v>
      </c>
      <c r="L2062" s="533">
        <f t="shared" si="136"/>
        <v>36</v>
      </c>
      <c r="M2062" s="531">
        <f t="shared" si="138"/>
        <v>9.2307692307692316E-3</v>
      </c>
      <c r="N2062" s="28" t="s">
        <v>22</v>
      </c>
      <c r="O2062" s="2" t="s">
        <v>21</v>
      </c>
    </row>
    <row r="2063" spans="1:15">
      <c r="A2063" s="71">
        <v>2024</v>
      </c>
      <c r="B2063" s="16" t="s">
        <v>1295</v>
      </c>
      <c r="C2063" s="63" t="s">
        <v>2915</v>
      </c>
      <c r="D2063" s="56" t="s">
        <v>1176</v>
      </c>
      <c r="E2063" s="56" t="s">
        <v>2916</v>
      </c>
      <c r="F2063" s="101">
        <v>7</v>
      </c>
      <c r="G2063" s="59" t="s">
        <v>59</v>
      </c>
      <c r="H2063" s="60">
        <v>11500</v>
      </c>
      <c r="I2063" s="49">
        <f t="shared" si="135"/>
        <v>80500</v>
      </c>
      <c r="J2063" s="551">
        <v>11000</v>
      </c>
      <c r="K2063" s="532">
        <f t="shared" si="137"/>
        <v>500</v>
      </c>
      <c r="L2063" s="533">
        <f t="shared" si="136"/>
        <v>3500</v>
      </c>
      <c r="M2063" s="531">
        <f t="shared" si="138"/>
        <v>4.3478260869565216E-2</v>
      </c>
      <c r="N2063" s="28" t="s">
        <v>22</v>
      </c>
      <c r="O2063" s="2" t="s">
        <v>21</v>
      </c>
    </row>
    <row r="2064" spans="1:15">
      <c r="A2064" s="71">
        <v>2024</v>
      </c>
      <c r="B2064" s="16" t="s">
        <v>1295</v>
      </c>
      <c r="C2064" s="63" t="s">
        <v>2917</v>
      </c>
      <c r="D2064" s="56" t="s">
        <v>2918</v>
      </c>
      <c r="E2064" s="56" t="s">
        <v>2919</v>
      </c>
      <c r="F2064" s="101">
        <v>1</v>
      </c>
      <c r="G2064" s="59" t="s">
        <v>59</v>
      </c>
      <c r="H2064" s="60">
        <v>196800</v>
      </c>
      <c r="I2064" s="49">
        <f t="shared" si="135"/>
        <v>196800</v>
      </c>
      <c r="J2064" s="551">
        <v>112000</v>
      </c>
      <c r="K2064" s="532">
        <f t="shared" si="137"/>
        <v>84800</v>
      </c>
      <c r="L2064" s="533">
        <f t="shared" si="136"/>
        <v>84800</v>
      </c>
      <c r="M2064" s="531">
        <f t="shared" si="138"/>
        <v>0.43089430894308944</v>
      </c>
      <c r="N2064" s="28"/>
      <c r="O2064" s="2"/>
    </row>
    <row r="2065" spans="1:15">
      <c r="A2065" s="71">
        <v>2024</v>
      </c>
      <c r="B2065" s="16" t="s">
        <v>1295</v>
      </c>
      <c r="C2065" s="63" t="s">
        <v>2920</v>
      </c>
      <c r="D2065" s="56" t="s">
        <v>1670</v>
      </c>
      <c r="E2065" s="56" t="s">
        <v>2653</v>
      </c>
      <c r="F2065" s="101">
        <v>19</v>
      </c>
      <c r="G2065" s="59" t="s">
        <v>19</v>
      </c>
      <c r="H2065" s="60">
        <v>3500</v>
      </c>
      <c r="I2065" s="49">
        <f t="shared" si="135"/>
        <v>66500</v>
      </c>
      <c r="J2065" s="551">
        <v>2500</v>
      </c>
      <c r="K2065" s="532">
        <f t="shared" si="137"/>
        <v>1000</v>
      </c>
      <c r="L2065" s="533">
        <f t="shared" si="136"/>
        <v>19000</v>
      </c>
      <c r="M2065" s="531">
        <f t="shared" si="138"/>
        <v>0.2857142857142857</v>
      </c>
      <c r="N2065" s="28" t="s">
        <v>22</v>
      </c>
      <c r="O2065" s="2" t="s">
        <v>21</v>
      </c>
    </row>
    <row r="2066" spans="1:15">
      <c r="A2066" s="71">
        <v>2024</v>
      </c>
      <c r="B2066" s="16" t="s">
        <v>1295</v>
      </c>
      <c r="C2066" s="63" t="s">
        <v>2921</v>
      </c>
      <c r="D2066" s="56" t="s">
        <v>398</v>
      </c>
      <c r="E2066" s="56" t="s">
        <v>2922</v>
      </c>
      <c r="F2066" s="101">
        <v>1</v>
      </c>
      <c r="G2066" s="59" t="s">
        <v>59</v>
      </c>
      <c r="H2066" s="60">
        <v>2773870</v>
      </c>
      <c r="I2066" s="49">
        <f t="shared" si="135"/>
        <v>2773870</v>
      </c>
      <c r="J2066" s="551">
        <v>2480000</v>
      </c>
      <c r="K2066" s="532">
        <f t="shared" si="137"/>
        <v>293870</v>
      </c>
      <c r="L2066" s="533">
        <f t="shared" si="136"/>
        <v>293870</v>
      </c>
      <c r="M2066" s="531">
        <f t="shared" si="138"/>
        <v>0.10594223954258851</v>
      </c>
      <c r="N2066" s="28" t="s">
        <v>20</v>
      </c>
      <c r="O2066" s="2" t="s">
        <v>21</v>
      </c>
    </row>
    <row r="2067" spans="1:15">
      <c r="A2067" s="71">
        <v>2024</v>
      </c>
      <c r="B2067" s="16" t="s">
        <v>1295</v>
      </c>
      <c r="C2067" s="63" t="s">
        <v>2923</v>
      </c>
      <c r="D2067" s="56" t="s">
        <v>17</v>
      </c>
      <c r="E2067" s="56" t="s">
        <v>18</v>
      </c>
      <c r="F2067" s="101">
        <v>48</v>
      </c>
      <c r="G2067" s="59" t="s">
        <v>98</v>
      </c>
      <c r="H2067" s="60">
        <v>405</v>
      </c>
      <c r="I2067" s="49">
        <f t="shared" si="135"/>
        <v>19440</v>
      </c>
      <c r="J2067" s="551">
        <v>395</v>
      </c>
      <c r="K2067" s="532">
        <f t="shared" si="137"/>
        <v>10</v>
      </c>
      <c r="L2067" s="533">
        <f t="shared" si="136"/>
        <v>480</v>
      </c>
      <c r="M2067" s="531">
        <f t="shared" si="138"/>
        <v>2.4691358024691357E-2</v>
      </c>
      <c r="N2067" s="28" t="s">
        <v>22</v>
      </c>
      <c r="O2067" s="2" t="s">
        <v>21</v>
      </c>
    </row>
    <row r="2068" spans="1:15">
      <c r="A2068" s="71">
        <v>2024</v>
      </c>
      <c r="B2068" s="16" t="s">
        <v>1295</v>
      </c>
      <c r="C2068" s="63" t="s">
        <v>2924</v>
      </c>
      <c r="D2068" s="56" t="s">
        <v>1470</v>
      </c>
      <c r="E2068" s="56" t="s">
        <v>2200</v>
      </c>
      <c r="F2068" s="101">
        <v>90</v>
      </c>
      <c r="G2068" s="59" t="s">
        <v>98</v>
      </c>
      <c r="H2068" s="60">
        <v>4700</v>
      </c>
      <c r="I2068" s="49">
        <f t="shared" si="135"/>
        <v>423000</v>
      </c>
      <c r="J2068" s="551">
        <v>4400</v>
      </c>
      <c r="K2068" s="532">
        <f t="shared" si="137"/>
        <v>300</v>
      </c>
      <c r="L2068" s="533">
        <f t="shared" si="136"/>
        <v>27000</v>
      </c>
      <c r="M2068" s="531">
        <f t="shared" si="138"/>
        <v>6.3829787234042548E-2</v>
      </c>
      <c r="N2068" s="28" t="s">
        <v>22</v>
      </c>
      <c r="O2068" s="2" t="s">
        <v>21</v>
      </c>
    </row>
    <row r="2069" spans="1:15">
      <c r="A2069" s="71">
        <v>2024</v>
      </c>
      <c r="B2069" s="16" t="s">
        <v>1295</v>
      </c>
      <c r="C2069" s="63" t="s">
        <v>2924</v>
      </c>
      <c r="D2069" s="56" t="s">
        <v>1470</v>
      </c>
      <c r="E2069" s="56" t="s">
        <v>1471</v>
      </c>
      <c r="F2069" s="101">
        <v>200</v>
      </c>
      <c r="G2069" s="59" t="s">
        <v>98</v>
      </c>
      <c r="H2069" s="60">
        <v>3000</v>
      </c>
      <c r="I2069" s="49">
        <f t="shared" si="135"/>
        <v>600000</v>
      </c>
      <c r="J2069" s="551">
        <v>2800</v>
      </c>
      <c r="K2069" s="532">
        <f t="shared" si="137"/>
        <v>200</v>
      </c>
      <c r="L2069" s="533">
        <f t="shared" si="136"/>
        <v>40000</v>
      </c>
      <c r="M2069" s="531">
        <f t="shared" si="138"/>
        <v>6.6666666666666666E-2</v>
      </c>
      <c r="N2069" s="28" t="s">
        <v>22</v>
      </c>
      <c r="O2069" s="2" t="s">
        <v>21</v>
      </c>
    </row>
    <row r="2070" spans="1:15">
      <c r="A2070" s="71">
        <v>2024</v>
      </c>
      <c r="B2070" s="16" t="s">
        <v>1295</v>
      </c>
      <c r="C2070" s="63" t="s">
        <v>2925</v>
      </c>
      <c r="D2070" s="56" t="s">
        <v>118</v>
      </c>
      <c r="E2070" s="56" t="s">
        <v>2926</v>
      </c>
      <c r="F2070" s="101">
        <v>5</v>
      </c>
      <c r="G2070" s="59" t="s">
        <v>2482</v>
      </c>
      <c r="H2070" s="60">
        <v>695</v>
      </c>
      <c r="I2070" s="49">
        <f t="shared" si="135"/>
        <v>3475</v>
      </c>
      <c r="J2070" s="551">
        <v>570</v>
      </c>
      <c r="K2070" s="532">
        <f t="shared" si="137"/>
        <v>125</v>
      </c>
      <c r="L2070" s="533">
        <f t="shared" si="136"/>
        <v>625</v>
      </c>
      <c r="M2070" s="531">
        <f t="shared" si="138"/>
        <v>0.17985611510791366</v>
      </c>
      <c r="N2070" s="28" t="s">
        <v>22</v>
      </c>
      <c r="O2070" s="2" t="s">
        <v>21</v>
      </c>
    </row>
    <row r="2071" spans="1:15">
      <c r="A2071" s="71">
        <v>2024</v>
      </c>
      <c r="B2071" s="16" t="s">
        <v>1295</v>
      </c>
      <c r="C2071" s="63" t="s">
        <v>2925</v>
      </c>
      <c r="D2071" s="56" t="s">
        <v>118</v>
      </c>
      <c r="E2071" s="56" t="s">
        <v>2927</v>
      </c>
      <c r="F2071" s="101">
        <v>3</v>
      </c>
      <c r="G2071" s="59" t="s">
        <v>2482</v>
      </c>
      <c r="H2071" s="60">
        <v>990</v>
      </c>
      <c r="I2071" s="49">
        <f t="shared" si="135"/>
        <v>2970</v>
      </c>
      <c r="J2071" s="551">
        <v>780</v>
      </c>
      <c r="K2071" s="532">
        <f t="shared" si="137"/>
        <v>210</v>
      </c>
      <c r="L2071" s="533">
        <f t="shared" si="136"/>
        <v>630</v>
      </c>
      <c r="M2071" s="531">
        <f t="shared" si="138"/>
        <v>0.21212121212121213</v>
      </c>
      <c r="N2071" s="28" t="s">
        <v>22</v>
      </c>
      <c r="O2071" s="2" t="s">
        <v>21</v>
      </c>
    </row>
    <row r="2072" spans="1:15">
      <c r="A2072" s="71">
        <v>2024</v>
      </c>
      <c r="B2072" s="16" t="s">
        <v>1295</v>
      </c>
      <c r="C2072" s="63" t="s">
        <v>2925</v>
      </c>
      <c r="D2072" s="56" t="s">
        <v>118</v>
      </c>
      <c r="E2072" s="56" t="s">
        <v>2928</v>
      </c>
      <c r="F2072" s="101">
        <v>1</v>
      </c>
      <c r="G2072" s="59" t="s">
        <v>2482</v>
      </c>
      <c r="H2072" s="60">
        <v>1550</v>
      </c>
      <c r="I2072" s="49">
        <f t="shared" si="135"/>
        <v>1550</v>
      </c>
      <c r="J2072" s="551">
        <v>1168</v>
      </c>
      <c r="K2072" s="532">
        <f t="shared" si="137"/>
        <v>382</v>
      </c>
      <c r="L2072" s="533">
        <f t="shared" si="136"/>
        <v>382</v>
      </c>
      <c r="M2072" s="531">
        <f t="shared" si="138"/>
        <v>0.24645161290322581</v>
      </c>
      <c r="N2072" s="28" t="s">
        <v>22</v>
      </c>
      <c r="O2072" s="2" t="s">
        <v>21</v>
      </c>
    </row>
    <row r="2073" spans="1:15">
      <c r="A2073" s="71">
        <v>2024</v>
      </c>
      <c r="B2073" s="16" t="s">
        <v>1295</v>
      </c>
      <c r="C2073" s="63" t="s">
        <v>2929</v>
      </c>
      <c r="D2073" s="56" t="s">
        <v>1948</v>
      </c>
      <c r="E2073" s="56" t="s">
        <v>2930</v>
      </c>
      <c r="F2073" s="101">
        <v>5</v>
      </c>
      <c r="G2073" s="59" t="s">
        <v>19</v>
      </c>
      <c r="H2073" s="60">
        <v>810</v>
      </c>
      <c r="I2073" s="49">
        <f t="shared" si="135"/>
        <v>4050</v>
      </c>
      <c r="J2073" s="551">
        <v>446</v>
      </c>
      <c r="K2073" s="532">
        <f t="shared" si="137"/>
        <v>364</v>
      </c>
      <c r="L2073" s="533">
        <f t="shared" si="136"/>
        <v>1820</v>
      </c>
      <c r="M2073" s="531">
        <f t="shared" si="138"/>
        <v>0.44938271604938274</v>
      </c>
      <c r="N2073" s="28" t="s">
        <v>22</v>
      </c>
      <c r="O2073" s="2" t="s">
        <v>21</v>
      </c>
    </row>
    <row r="2074" spans="1:15">
      <c r="A2074" s="71">
        <v>2024</v>
      </c>
      <c r="B2074" s="16" t="s">
        <v>1295</v>
      </c>
      <c r="C2074" s="63" t="s">
        <v>2929</v>
      </c>
      <c r="D2074" s="56" t="s">
        <v>1948</v>
      </c>
      <c r="E2074" s="56" t="s">
        <v>2931</v>
      </c>
      <c r="F2074" s="101">
        <v>5</v>
      </c>
      <c r="G2074" s="59" t="s">
        <v>2482</v>
      </c>
      <c r="H2074" s="60">
        <v>145</v>
      </c>
      <c r="I2074" s="49">
        <f t="shared" si="135"/>
        <v>725</v>
      </c>
      <c r="J2074" s="551">
        <v>114</v>
      </c>
      <c r="K2074" s="532">
        <f t="shared" si="137"/>
        <v>31</v>
      </c>
      <c r="L2074" s="533">
        <f t="shared" si="136"/>
        <v>155</v>
      </c>
      <c r="M2074" s="531">
        <f t="shared" si="138"/>
        <v>0.21379310344827587</v>
      </c>
      <c r="N2074" s="28" t="s">
        <v>22</v>
      </c>
      <c r="O2074" s="2" t="s">
        <v>21</v>
      </c>
    </row>
    <row r="2075" spans="1:15">
      <c r="A2075" s="71">
        <v>2024</v>
      </c>
      <c r="B2075" s="16" t="s">
        <v>1295</v>
      </c>
      <c r="C2075" s="63" t="s">
        <v>2932</v>
      </c>
      <c r="D2075" s="56" t="s">
        <v>94</v>
      </c>
      <c r="E2075" s="56" t="s">
        <v>550</v>
      </c>
      <c r="F2075" s="101">
        <v>200</v>
      </c>
      <c r="G2075" s="59" t="s">
        <v>19</v>
      </c>
      <c r="H2075" s="60">
        <v>50</v>
      </c>
      <c r="I2075" s="49">
        <f t="shared" si="135"/>
        <v>10000</v>
      </c>
      <c r="J2075" s="551">
        <v>47.56</v>
      </c>
      <c r="K2075" s="532">
        <f t="shared" si="137"/>
        <v>2.4399999999999977</v>
      </c>
      <c r="L2075" s="533">
        <f t="shared" si="136"/>
        <v>487.99999999999955</v>
      </c>
      <c r="M2075" s="531">
        <f t="shared" si="138"/>
        <v>4.8799999999999955E-2</v>
      </c>
      <c r="N2075" s="28" t="s">
        <v>22</v>
      </c>
      <c r="O2075" s="2" t="s">
        <v>105</v>
      </c>
    </row>
    <row r="2076" spans="1:15">
      <c r="A2076" s="71">
        <v>2024</v>
      </c>
      <c r="B2076" s="16" t="s">
        <v>1295</v>
      </c>
      <c r="C2076" s="63" t="s">
        <v>2933</v>
      </c>
      <c r="D2076" s="56" t="s">
        <v>2934</v>
      </c>
      <c r="E2076" s="56" t="s">
        <v>2935</v>
      </c>
      <c r="F2076" s="101">
        <v>1</v>
      </c>
      <c r="G2076" s="59" t="s">
        <v>59</v>
      </c>
      <c r="H2076" s="60">
        <v>515000</v>
      </c>
      <c r="I2076" s="161">
        <f t="shared" si="135"/>
        <v>515000</v>
      </c>
      <c r="J2076" s="551">
        <v>513176.04166666669</v>
      </c>
      <c r="K2076" s="532">
        <f t="shared" si="137"/>
        <v>1823.9583333333139</v>
      </c>
      <c r="L2076" s="533">
        <f t="shared" si="136"/>
        <v>1823.9583333333139</v>
      </c>
      <c r="M2076" s="531">
        <f t="shared" si="138"/>
        <v>3.5416666666666292E-3</v>
      </c>
      <c r="N2076" s="28" t="s">
        <v>30</v>
      </c>
      <c r="O2076" s="2" t="s">
        <v>21</v>
      </c>
    </row>
    <row r="2077" spans="1:15">
      <c r="A2077" s="71">
        <v>2024</v>
      </c>
      <c r="B2077" s="16" t="s">
        <v>1295</v>
      </c>
      <c r="C2077" s="63" t="s">
        <v>2933</v>
      </c>
      <c r="D2077" s="56" t="s">
        <v>2934</v>
      </c>
      <c r="E2077" s="56" t="s">
        <v>2936</v>
      </c>
      <c r="F2077" s="101">
        <v>1</v>
      </c>
      <c r="G2077" s="59" t="s">
        <v>59</v>
      </c>
      <c r="H2077" s="60">
        <v>529312.30000000005</v>
      </c>
      <c r="I2077" s="161">
        <f t="shared" si="135"/>
        <v>529312.30000000005</v>
      </c>
      <c r="J2077" s="551">
        <v>515000</v>
      </c>
      <c r="K2077" s="532">
        <f t="shared" si="137"/>
        <v>14312.300000000047</v>
      </c>
      <c r="L2077" s="533">
        <f t="shared" si="136"/>
        <v>14312.300000000047</v>
      </c>
      <c r="M2077" s="531">
        <f t="shared" si="138"/>
        <v>2.7039424551441645E-2</v>
      </c>
      <c r="N2077" s="28" t="s">
        <v>22</v>
      </c>
      <c r="O2077" s="2" t="s">
        <v>21</v>
      </c>
    </row>
    <row r="2078" spans="1:15">
      <c r="A2078" s="71">
        <v>2024</v>
      </c>
      <c r="B2078" s="16" t="s">
        <v>1295</v>
      </c>
      <c r="C2078" s="63" t="s">
        <v>2937</v>
      </c>
      <c r="D2078" s="56" t="s">
        <v>1948</v>
      </c>
      <c r="E2078" s="56" t="s">
        <v>2938</v>
      </c>
      <c r="F2078" s="101">
        <v>4</v>
      </c>
      <c r="G2078" s="59" t="s">
        <v>19</v>
      </c>
      <c r="H2078" s="60">
        <v>850</v>
      </c>
      <c r="I2078" s="49">
        <f t="shared" si="135"/>
        <v>3400</v>
      </c>
      <c r="J2078" s="551">
        <v>740</v>
      </c>
      <c r="K2078" s="532">
        <f t="shared" si="137"/>
        <v>110</v>
      </c>
      <c r="L2078" s="533">
        <f t="shared" si="136"/>
        <v>440</v>
      </c>
      <c r="M2078" s="531">
        <f t="shared" si="138"/>
        <v>0.12941176470588237</v>
      </c>
      <c r="N2078" s="28" t="s">
        <v>22</v>
      </c>
      <c r="O2078" s="2" t="s">
        <v>21</v>
      </c>
    </row>
    <row r="2079" spans="1:15">
      <c r="A2079" s="71">
        <v>2024</v>
      </c>
      <c r="B2079" s="16" t="s">
        <v>1295</v>
      </c>
      <c r="C2079" s="63" t="s">
        <v>2937</v>
      </c>
      <c r="D2079" s="56" t="s">
        <v>1948</v>
      </c>
      <c r="E2079" s="56" t="s">
        <v>2939</v>
      </c>
      <c r="F2079" s="101">
        <v>4</v>
      </c>
      <c r="G2079" s="59" t="s">
        <v>19</v>
      </c>
      <c r="H2079" s="60">
        <v>950</v>
      </c>
      <c r="I2079" s="49">
        <f t="shared" si="135"/>
        <v>3800</v>
      </c>
      <c r="J2079" s="551">
        <v>940</v>
      </c>
      <c r="K2079" s="532">
        <f t="shared" si="137"/>
        <v>10</v>
      </c>
      <c r="L2079" s="533">
        <f t="shared" si="136"/>
        <v>40</v>
      </c>
      <c r="M2079" s="531">
        <f t="shared" si="138"/>
        <v>1.0526315789473684E-2</v>
      </c>
      <c r="N2079" s="28" t="s">
        <v>22</v>
      </c>
      <c r="O2079" s="2" t="s">
        <v>21</v>
      </c>
    </row>
    <row r="2080" spans="1:15">
      <c r="A2080" s="71">
        <v>2024</v>
      </c>
      <c r="B2080" s="16" t="s">
        <v>1295</v>
      </c>
      <c r="C2080" s="63" t="s">
        <v>2940</v>
      </c>
      <c r="D2080" s="56" t="s">
        <v>1670</v>
      </c>
      <c r="E2080" s="56" t="s">
        <v>2941</v>
      </c>
      <c r="F2080" s="101">
        <v>6</v>
      </c>
      <c r="G2080" s="59" t="s">
        <v>19</v>
      </c>
      <c r="H2080" s="60">
        <v>3850</v>
      </c>
      <c r="I2080" s="49">
        <f t="shared" si="135"/>
        <v>23100</v>
      </c>
      <c r="J2080" s="551">
        <v>3000</v>
      </c>
      <c r="K2080" s="532">
        <f t="shared" si="137"/>
        <v>850</v>
      </c>
      <c r="L2080" s="533">
        <f t="shared" si="136"/>
        <v>5100</v>
      </c>
      <c r="M2080" s="531">
        <f t="shared" si="138"/>
        <v>0.22077922077922077</v>
      </c>
      <c r="N2080" s="28" t="s">
        <v>22</v>
      </c>
      <c r="O2080" s="2" t="s">
        <v>21</v>
      </c>
    </row>
    <row r="2081" spans="1:15">
      <c r="A2081" s="71">
        <v>2024</v>
      </c>
      <c r="B2081" s="16" t="s">
        <v>1295</v>
      </c>
      <c r="C2081" s="63" t="s">
        <v>2942</v>
      </c>
      <c r="D2081" s="56" t="s">
        <v>236</v>
      </c>
      <c r="E2081" s="56" t="s">
        <v>240</v>
      </c>
      <c r="F2081" s="101">
        <v>1</v>
      </c>
      <c r="G2081" s="59" t="s">
        <v>238</v>
      </c>
      <c r="H2081" s="60">
        <v>1790</v>
      </c>
      <c r="I2081" s="49">
        <f t="shared" si="135"/>
        <v>1790</v>
      </c>
      <c r="J2081" s="551">
        <v>1650</v>
      </c>
      <c r="K2081" s="532">
        <f t="shared" si="137"/>
        <v>140</v>
      </c>
      <c r="L2081" s="533">
        <f t="shared" si="136"/>
        <v>140</v>
      </c>
      <c r="M2081" s="531">
        <f t="shared" si="138"/>
        <v>7.8212290502793297E-2</v>
      </c>
      <c r="N2081" s="28" t="s">
        <v>20</v>
      </c>
      <c r="O2081" s="2" t="s">
        <v>21</v>
      </c>
    </row>
    <row r="2082" spans="1:15">
      <c r="A2082" s="71">
        <v>2024</v>
      </c>
      <c r="B2082" s="16" t="s">
        <v>1295</v>
      </c>
      <c r="C2082" s="63" t="s">
        <v>2943</v>
      </c>
      <c r="D2082" s="56" t="s">
        <v>2291</v>
      </c>
      <c r="E2082" s="56" t="s">
        <v>2944</v>
      </c>
      <c r="F2082" s="101">
        <v>1</v>
      </c>
      <c r="G2082" s="59" t="s">
        <v>238</v>
      </c>
      <c r="H2082" s="60">
        <v>38000</v>
      </c>
      <c r="I2082" s="49">
        <f t="shared" si="135"/>
        <v>38000</v>
      </c>
      <c r="J2082" s="551">
        <v>34200</v>
      </c>
      <c r="K2082" s="532">
        <f t="shared" si="137"/>
        <v>3800</v>
      </c>
      <c r="L2082" s="533">
        <f t="shared" si="136"/>
        <v>3800</v>
      </c>
      <c r="M2082" s="531">
        <f t="shared" si="138"/>
        <v>0.1</v>
      </c>
      <c r="N2082" s="28" t="s">
        <v>38</v>
      </c>
      <c r="O2082" s="2" t="s">
        <v>21</v>
      </c>
    </row>
    <row r="2083" spans="1:15">
      <c r="A2083" s="71">
        <v>2024</v>
      </c>
      <c r="B2083" s="16" t="s">
        <v>1295</v>
      </c>
      <c r="C2083" s="63" t="s">
        <v>2945</v>
      </c>
      <c r="D2083" s="56" t="s">
        <v>24</v>
      </c>
      <c r="E2083" s="56" t="s">
        <v>2946</v>
      </c>
      <c r="F2083" s="101">
        <v>20</v>
      </c>
      <c r="G2083" s="59" t="s">
        <v>29</v>
      </c>
      <c r="H2083" s="60">
        <v>59</v>
      </c>
      <c r="I2083" s="49">
        <f t="shared" si="135"/>
        <v>1180</v>
      </c>
      <c r="J2083" s="551">
        <v>57</v>
      </c>
      <c r="K2083" s="532">
        <f t="shared" si="137"/>
        <v>2</v>
      </c>
      <c r="L2083" s="533">
        <f t="shared" si="136"/>
        <v>40</v>
      </c>
      <c r="M2083" s="531">
        <f t="shared" si="138"/>
        <v>3.3898305084745763E-2</v>
      </c>
      <c r="N2083" s="28" t="s">
        <v>38</v>
      </c>
      <c r="O2083" s="2" t="s">
        <v>21</v>
      </c>
    </row>
    <row r="2084" spans="1:15">
      <c r="A2084" s="71">
        <v>2024</v>
      </c>
      <c r="B2084" s="16" t="s">
        <v>1295</v>
      </c>
      <c r="C2084" s="63" t="s">
        <v>2947</v>
      </c>
      <c r="D2084" s="56" t="s">
        <v>335</v>
      </c>
      <c r="E2084" s="56" t="s">
        <v>2948</v>
      </c>
      <c r="F2084" s="101">
        <v>6270</v>
      </c>
      <c r="G2084" s="59" t="s">
        <v>337</v>
      </c>
      <c r="H2084" s="60">
        <v>50.3</v>
      </c>
      <c r="I2084" s="49">
        <f t="shared" si="135"/>
        <v>315381</v>
      </c>
      <c r="J2084" s="551">
        <v>49.9</v>
      </c>
      <c r="K2084" s="532">
        <f t="shared" si="137"/>
        <v>0.39999999999999858</v>
      </c>
      <c r="L2084" s="533">
        <f t="shared" si="136"/>
        <v>2507.9999999999909</v>
      </c>
      <c r="M2084" s="531">
        <f t="shared" si="138"/>
        <v>7.9522862823061344E-3</v>
      </c>
      <c r="N2084" s="28" t="s">
        <v>38</v>
      </c>
      <c r="O2084" s="2" t="s">
        <v>39</v>
      </c>
    </row>
    <row r="2085" spans="1:15">
      <c r="A2085" s="71">
        <v>2024</v>
      </c>
      <c r="B2085" s="16" t="s">
        <v>1295</v>
      </c>
      <c r="C2085" s="63" t="s">
        <v>2949</v>
      </c>
      <c r="D2085" s="56" t="s">
        <v>590</v>
      </c>
      <c r="E2085" s="56" t="s">
        <v>2950</v>
      </c>
      <c r="F2085" s="101">
        <v>1</v>
      </c>
      <c r="G2085" s="59" t="s">
        <v>302</v>
      </c>
      <c r="H2085" s="60">
        <v>10000</v>
      </c>
      <c r="I2085" s="49">
        <f t="shared" si="135"/>
        <v>10000</v>
      </c>
      <c r="J2085" s="551">
        <v>9600</v>
      </c>
      <c r="K2085" s="532">
        <f t="shared" si="137"/>
        <v>400</v>
      </c>
      <c r="L2085" s="533">
        <f t="shared" si="136"/>
        <v>400</v>
      </c>
      <c r="M2085" s="531">
        <f t="shared" si="138"/>
        <v>0.04</v>
      </c>
      <c r="N2085" s="28" t="s">
        <v>22</v>
      </c>
      <c r="O2085" s="2" t="s">
        <v>39</v>
      </c>
    </row>
    <row r="2086" spans="1:15">
      <c r="A2086" s="71">
        <v>2024</v>
      </c>
      <c r="B2086" s="16" t="s">
        <v>1295</v>
      </c>
      <c r="C2086" s="63" t="s">
        <v>2951</v>
      </c>
      <c r="D2086" s="56" t="s">
        <v>200</v>
      </c>
      <c r="E2086" s="56" t="s">
        <v>2952</v>
      </c>
      <c r="F2086" s="101">
        <v>3</v>
      </c>
      <c r="G2086" s="59" t="s">
        <v>302</v>
      </c>
      <c r="H2086" s="60">
        <v>9650</v>
      </c>
      <c r="I2086" s="49">
        <f t="shared" si="135"/>
        <v>28950</v>
      </c>
      <c r="J2086" s="551">
        <v>9600</v>
      </c>
      <c r="K2086" s="532">
        <f t="shared" si="137"/>
        <v>50</v>
      </c>
      <c r="L2086" s="533">
        <f t="shared" si="136"/>
        <v>150</v>
      </c>
      <c r="M2086" s="531">
        <f t="shared" si="138"/>
        <v>5.1813471502590676E-3</v>
      </c>
      <c r="N2086" s="28" t="s">
        <v>22</v>
      </c>
      <c r="O2086" s="2" t="s">
        <v>39</v>
      </c>
    </row>
    <row r="2087" spans="1:15">
      <c r="A2087" s="71">
        <v>2024</v>
      </c>
      <c r="B2087" s="16" t="s">
        <v>1295</v>
      </c>
      <c r="C2087" s="63" t="s">
        <v>2951</v>
      </c>
      <c r="D2087" s="56" t="s">
        <v>200</v>
      </c>
      <c r="E2087" s="56" t="s">
        <v>2953</v>
      </c>
      <c r="F2087" s="101">
        <v>2</v>
      </c>
      <c r="G2087" s="59" t="s">
        <v>302</v>
      </c>
      <c r="H2087" s="60">
        <v>9650</v>
      </c>
      <c r="I2087" s="49">
        <f t="shared" si="135"/>
        <v>19300</v>
      </c>
      <c r="J2087" s="551">
        <v>9600</v>
      </c>
      <c r="K2087" s="532">
        <f t="shared" si="137"/>
        <v>50</v>
      </c>
      <c r="L2087" s="533">
        <f t="shared" si="136"/>
        <v>100</v>
      </c>
      <c r="M2087" s="531">
        <f t="shared" si="138"/>
        <v>5.1813471502590676E-3</v>
      </c>
      <c r="N2087" s="28" t="s">
        <v>22</v>
      </c>
      <c r="O2087" s="2" t="s">
        <v>39</v>
      </c>
    </row>
    <row r="2088" spans="1:15">
      <c r="A2088" s="71">
        <v>2024</v>
      </c>
      <c r="B2088" s="16" t="s">
        <v>1295</v>
      </c>
      <c r="C2088" s="63" t="s">
        <v>2951</v>
      </c>
      <c r="D2088" s="56" t="s">
        <v>200</v>
      </c>
      <c r="E2088" s="56" t="s">
        <v>2952</v>
      </c>
      <c r="F2088" s="101">
        <v>1</v>
      </c>
      <c r="G2088" s="59" t="s">
        <v>302</v>
      </c>
      <c r="H2088" s="60">
        <v>9650</v>
      </c>
      <c r="I2088" s="49">
        <f t="shared" si="135"/>
        <v>9650</v>
      </c>
      <c r="J2088" s="551">
        <v>9600</v>
      </c>
      <c r="K2088" s="532">
        <f t="shared" si="137"/>
        <v>50</v>
      </c>
      <c r="L2088" s="533">
        <f t="shared" si="136"/>
        <v>50</v>
      </c>
      <c r="M2088" s="531">
        <f t="shared" si="138"/>
        <v>5.1813471502590676E-3</v>
      </c>
      <c r="N2088" s="28" t="s">
        <v>22</v>
      </c>
      <c r="O2088" s="2" t="s">
        <v>39</v>
      </c>
    </row>
    <row r="2089" spans="1:15">
      <c r="A2089" s="71">
        <v>2024</v>
      </c>
      <c r="B2089" s="16" t="s">
        <v>1295</v>
      </c>
      <c r="C2089" s="63" t="s">
        <v>2951</v>
      </c>
      <c r="D2089" s="56" t="s">
        <v>200</v>
      </c>
      <c r="E2089" s="56" t="s">
        <v>2952</v>
      </c>
      <c r="F2089" s="101">
        <v>2</v>
      </c>
      <c r="G2089" s="59" t="s">
        <v>302</v>
      </c>
      <c r="H2089" s="60">
        <v>9650</v>
      </c>
      <c r="I2089" s="49">
        <f t="shared" si="135"/>
        <v>19300</v>
      </c>
      <c r="J2089" s="551">
        <v>9600</v>
      </c>
      <c r="K2089" s="532">
        <f t="shared" si="137"/>
        <v>50</v>
      </c>
      <c r="L2089" s="533">
        <f t="shared" si="136"/>
        <v>100</v>
      </c>
      <c r="M2089" s="531">
        <f t="shared" si="138"/>
        <v>5.1813471502590676E-3</v>
      </c>
      <c r="N2089" s="28" t="s">
        <v>22</v>
      </c>
      <c r="O2089" s="2" t="s">
        <v>39</v>
      </c>
    </row>
    <row r="2090" spans="1:15">
      <c r="A2090" s="71">
        <v>2024</v>
      </c>
      <c r="B2090" s="16" t="s">
        <v>1295</v>
      </c>
      <c r="C2090" s="63" t="s">
        <v>2954</v>
      </c>
      <c r="D2090" s="56" t="s">
        <v>200</v>
      </c>
      <c r="E2090" s="56" t="s">
        <v>2955</v>
      </c>
      <c r="F2090" s="101">
        <v>2</v>
      </c>
      <c r="G2090" s="59" t="s">
        <v>302</v>
      </c>
      <c r="H2090" s="60">
        <v>9650</v>
      </c>
      <c r="I2090" s="49">
        <f t="shared" si="135"/>
        <v>19300</v>
      </c>
      <c r="J2090" s="551">
        <v>9600</v>
      </c>
      <c r="K2090" s="532">
        <f t="shared" si="137"/>
        <v>50</v>
      </c>
      <c r="L2090" s="533">
        <f t="shared" si="136"/>
        <v>100</v>
      </c>
      <c r="M2090" s="531">
        <f t="shared" si="138"/>
        <v>5.1813471502590676E-3</v>
      </c>
      <c r="N2090" s="28" t="s">
        <v>22</v>
      </c>
      <c r="O2090" s="2" t="s">
        <v>39</v>
      </c>
    </row>
    <row r="2091" spans="1:15">
      <c r="A2091" s="71">
        <v>2024</v>
      </c>
      <c r="B2091" s="16" t="s">
        <v>1295</v>
      </c>
      <c r="C2091" s="63" t="s">
        <v>2956</v>
      </c>
      <c r="D2091" s="56" t="s">
        <v>200</v>
      </c>
      <c r="E2091" s="56" t="s">
        <v>2957</v>
      </c>
      <c r="F2091" s="101">
        <v>1</v>
      </c>
      <c r="G2091" s="59" t="s">
        <v>302</v>
      </c>
      <c r="H2091" s="60">
        <v>9650</v>
      </c>
      <c r="I2091" s="49">
        <f t="shared" si="135"/>
        <v>9650</v>
      </c>
      <c r="J2091" s="551">
        <v>9600</v>
      </c>
      <c r="K2091" s="532">
        <f t="shared" si="137"/>
        <v>50</v>
      </c>
      <c r="L2091" s="533">
        <f t="shared" si="136"/>
        <v>50</v>
      </c>
      <c r="M2091" s="531">
        <f t="shared" si="138"/>
        <v>5.1813471502590676E-3</v>
      </c>
      <c r="N2091" s="28" t="s">
        <v>22</v>
      </c>
      <c r="O2091" s="2" t="s">
        <v>39</v>
      </c>
    </row>
    <row r="2092" spans="1:15">
      <c r="A2092" s="71">
        <v>2024</v>
      </c>
      <c r="B2092" s="16" t="s">
        <v>1295</v>
      </c>
      <c r="C2092" s="63" t="s">
        <v>2956</v>
      </c>
      <c r="D2092" s="56" t="s">
        <v>200</v>
      </c>
      <c r="E2092" s="56" t="s">
        <v>2957</v>
      </c>
      <c r="F2092" s="101">
        <v>2</v>
      </c>
      <c r="G2092" s="59" t="s">
        <v>302</v>
      </c>
      <c r="H2092" s="60">
        <v>9650</v>
      </c>
      <c r="I2092" s="49">
        <f t="shared" si="135"/>
        <v>19300</v>
      </c>
      <c r="J2092" s="551">
        <v>9600</v>
      </c>
      <c r="K2092" s="532">
        <f t="shared" si="137"/>
        <v>50</v>
      </c>
      <c r="L2092" s="533">
        <f t="shared" si="136"/>
        <v>100</v>
      </c>
      <c r="M2092" s="531">
        <f t="shared" si="138"/>
        <v>5.1813471502590676E-3</v>
      </c>
      <c r="N2092" s="28" t="s">
        <v>22</v>
      </c>
      <c r="O2092" s="2" t="s">
        <v>39</v>
      </c>
    </row>
    <row r="2093" spans="1:15">
      <c r="A2093" s="71">
        <v>2024</v>
      </c>
      <c r="B2093" s="16" t="s">
        <v>1295</v>
      </c>
      <c r="C2093" s="63" t="s">
        <v>2958</v>
      </c>
      <c r="D2093" s="56" t="s">
        <v>200</v>
      </c>
      <c r="E2093" s="56" t="s">
        <v>2959</v>
      </c>
      <c r="F2093" s="101">
        <v>2</v>
      </c>
      <c r="G2093" s="59" t="s">
        <v>302</v>
      </c>
      <c r="H2093" s="60">
        <v>9650</v>
      </c>
      <c r="I2093" s="49">
        <f t="shared" ref="I2093:I2156" si="139">H2093*F2093</f>
        <v>19300</v>
      </c>
      <c r="J2093" s="551">
        <v>9600</v>
      </c>
      <c r="K2093" s="532">
        <f t="shared" si="137"/>
        <v>50</v>
      </c>
      <c r="L2093" s="533">
        <f t="shared" si="136"/>
        <v>100</v>
      </c>
      <c r="M2093" s="531">
        <f t="shared" si="138"/>
        <v>5.1813471502590676E-3</v>
      </c>
      <c r="N2093" s="28" t="s">
        <v>22</v>
      </c>
      <c r="O2093" s="2" t="s">
        <v>39</v>
      </c>
    </row>
    <row r="2094" spans="1:15">
      <c r="A2094" s="71">
        <v>2024</v>
      </c>
      <c r="B2094" s="16" t="s">
        <v>1295</v>
      </c>
      <c r="C2094" s="63" t="s">
        <v>2960</v>
      </c>
      <c r="D2094" s="56" t="s">
        <v>590</v>
      </c>
      <c r="E2094" s="56" t="s">
        <v>2961</v>
      </c>
      <c r="F2094" s="101">
        <v>2</v>
      </c>
      <c r="G2094" s="59" t="s">
        <v>302</v>
      </c>
      <c r="H2094" s="60">
        <v>10000</v>
      </c>
      <c r="I2094" s="49">
        <f t="shared" si="139"/>
        <v>20000</v>
      </c>
      <c r="J2094" s="551">
        <v>9600</v>
      </c>
      <c r="K2094" s="532">
        <f t="shared" si="137"/>
        <v>400</v>
      </c>
      <c r="L2094" s="533">
        <f t="shared" si="136"/>
        <v>800</v>
      </c>
      <c r="M2094" s="531">
        <f t="shared" si="138"/>
        <v>0.04</v>
      </c>
      <c r="N2094" s="28" t="s">
        <v>22</v>
      </c>
      <c r="O2094" s="2" t="s">
        <v>39</v>
      </c>
    </row>
    <row r="2095" spans="1:15">
      <c r="A2095" s="71">
        <v>2024</v>
      </c>
      <c r="B2095" s="16" t="s">
        <v>1295</v>
      </c>
      <c r="C2095" s="63" t="s">
        <v>2962</v>
      </c>
      <c r="D2095" s="56" t="s">
        <v>200</v>
      </c>
      <c r="E2095" s="56" t="s">
        <v>2963</v>
      </c>
      <c r="F2095" s="101">
        <v>2</v>
      </c>
      <c r="G2095" s="59" t="s">
        <v>302</v>
      </c>
      <c r="H2095" s="60">
        <v>9650</v>
      </c>
      <c r="I2095" s="49">
        <f t="shared" si="139"/>
        <v>19300</v>
      </c>
      <c r="J2095" s="551">
        <v>9600</v>
      </c>
      <c r="K2095" s="532">
        <f t="shared" si="137"/>
        <v>50</v>
      </c>
      <c r="L2095" s="533">
        <f t="shared" si="136"/>
        <v>100</v>
      </c>
      <c r="M2095" s="531">
        <f t="shared" si="138"/>
        <v>5.1813471502590676E-3</v>
      </c>
      <c r="N2095" s="28" t="s">
        <v>22</v>
      </c>
      <c r="O2095" s="2" t="s">
        <v>39</v>
      </c>
    </row>
    <row r="2096" spans="1:15">
      <c r="A2096" s="71">
        <v>2024</v>
      </c>
      <c r="B2096" s="16" t="s">
        <v>1295</v>
      </c>
      <c r="C2096" s="63" t="s">
        <v>2962</v>
      </c>
      <c r="D2096" s="56" t="s">
        <v>200</v>
      </c>
      <c r="E2096" s="56" t="s">
        <v>2964</v>
      </c>
      <c r="F2096" s="101">
        <v>1</v>
      </c>
      <c r="G2096" s="59" t="s">
        <v>302</v>
      </c>
      <c r="H2096" s="60">
        <v>9650</v>
      </c>
      <c r="I2096" s="49">
        <f t="shared" si="139"/>
        <v>9650</v>
      </c>
      <c r="J2096" s="551">
        <v>9600</v>
      </c>
      <c r="K2096" s="532">
        <f t="shared" si="137"/>
        <v>50</v>
      </c>
      <c r="L2096" s="533">
        <f t="shared" si="136"/>
        <v>50</v>
      </c>
      <c r="M2096" s="531">
        <f t="shared" si="138"/>
        <v>5.1813471502590676E-3</v>
      </c>
      <c r="N2096" s="28" t="s">
        <v>22</v>
      </c>
      <c r="O2096" s="2" t="s">
        <v>39</v>
      </c>
    </row>
    <row r="2097" spans="1:15">
      <c r="A2097" s="71">
        <v>2024</v>
      </c>
      <c r="B2097" s="16" t="s">
        <v>1295</v>
      </c>
      <c r="C2097" s="63" t="s">
        <v>2965</v>
      </c>
      <c r="D2097" s="56" t="s">
        <v>617</v>
      </c>
      <c r="E2097" s="56" t="s">
        <v>2345</v>
      </c>
      <c r="F2097" s="101">
        <v>3000</v>
      </c>
      <c r="G2097" s="59" t="s">
        <v>37</v>
      </c>
      <c r="H2097" s="60">
        <v>30.5</v>
      </c>
      <c r="I2097" s="49">
        <f t="shared" si="139"/>
        <v>91500</v>
      </c>
      <c r="J2097" s="551">
        <v>30</v>
      </c>
      <c r="K2097" s="532">
        <f t="shared" si="137"/>
        <v>0.5</v>
      </c>
      <c r="L2097" s="533">
        <f t="shared" si="136"/>
        <v>1500</v>
      </c>
      <c r="M2097" s="531">
        <f t="shared" si="138"/>
        <v>1.6393442622950821E-2</v>
      </c>
      <c r="N2097" s="28" t="s">
        <v>38</v>
      </c>
      <c r="O2097" s="2" t="s">
        <v>39</v>
      </c>
    </row>
    <row r="2098" spans="1:15">
      <c r="A2098" s="71">
        <v>2024</v>
      </c>
      <c r="B2098" s="16" t="s">
        <v>1295</v>
      </c>
      <c r="C2098" s="63" t="s">
        <v>2965</v>
      </c>
      <c r="D2098" s="56" t="s">
        <v>617</v>
      </c>
      <c r="E2098" s="56" t="s">
        <v>275</v>
      </c>
      <c r="F2098" s="101">
        <v>3006</v>
      </c>
      <c r="G2098" s="59" t="s">
        <v>37</v>
      </c>
      <c r="H2098" s="60">
        <v>30.5</v>
      </c>
      <c r="I2098" s="49">
        <f t="shared" si="139"/>
        <v>91683</v>
      </c>
      <c r="J2098" s="551">
        <v>30</v>
      </c>
      <c r="K2098" s="532">
        <f t="shared" si="137"/>
        <v>0.5</v>
      </c>
      <c r="L2098" s="533">
        <f t="shared" si="136"/>
        <v>1503</v>
      </c>
      <c r="M2098" s="531">
        <f t="shared" si="138"/>
        <v>1.6393442622950821E-2</v>
      </c>
      <c r="N2098" s="28" t="s">
        <v>38</v>
      </c>
      <c r="O2098" s="2" t="s">
        <v>39</v>
      </c>
    </row>
    <row r="2099" spans="1:15">
      <c r="A2099" s="71">
        <v>2024</v>
      </c>
      <c r="B2099" s="16" t="s">
        <v>1295</v>
      </c>
      <c r="C2099" s="63" t="s">
        <v>2966</v>
      </c>
      <c r="D2099" s="56" t="s">
        <v>229</v>
      </c>
      <c r="E2099" s="56" t="s">
        <v>233</v>
      </c>
      <c r="F2099" s="101">
        <v>6000</v>
      </c>
      <c r="G2099" s="59" t="s">
        <v>37</v>
      </c>
      <c r="H2099" s="60">
        <v>31</v>
      </c>
      <c r="I2099" s="49">
        <f t="shared" si="139"/>
        <v>186000</v>
      </c>
      <c r="J2099" s="551">
        <v>29</v>
      </c>
      <c r="K2099" s="532">
        <f t="shared" si="137"/>
        <v>2</v>
      </c>
      <c r="L2099" s="533">
        <f t="shared" si="136"/>
        <v>12000</v>
      </c>
      <c r="M2099" s="531">
        <f t="shared" si="138"/>
        <v>6.4516129032258063E-2</v>
      </c>
      <c r="N2099" s="28" t="s">
        <v>22</v>
      </c>
      <c r="O2099" s="2" t="s">
        <v>39</v>
      </c>
    </row>
    <row r="2100" spans="1:15">
      <c r="A2100" s="71">
        <v>2024</v>
      </c>
      <c r="B2100" s="16" t="s">
        <v>1295</v>
      </c>
      <c r="C2100" s="63" t="s">
        <v>2966</v>
      </c>
      <c r="D2100" s="56" t="s">
        <v>229</v>
      </c>
      <c r="E2100" s="56" t="s">
        <v>230</v>
      </c>
      <c r="F2100" s="101">
        <v>6000</v>
      </c>
      <c r="G2100" s="59" t="s">
        <v>37</v>
      </c>
      <c r="H2100" s="60">
        <v>31</v>
      </c>
      <c r="I2100" s="49">
        <f t="shared" si="139"/>
        <v>186000</v>
      </c>
      <c r="J2100" s="551">
        <v>29</v>
      </c>
      <c r="K2100" s="532">
        <f t="shared" si="137"/>
        <v>2</v>
      </c>
      <c r="L2100" s="533">
        <f t="shared" si="136"/>
        <v>12000</v>
      </c>
      <c r="M2100" s="531">
        <f t="shared" si="138"/>
        <v>6.4516129032258063E-2</v>
      </c>
      <c r="N2100" s="28" t="s">
        <v>22</v>
      </c>
      <c r="O2100" s="2" t="s">
        <v>39</v>
      </c>
    </row>
    <row r="2101" spans="1:15">
      <c r="A2101" s="71">
        <v>2024</v>
      </c>
      <c r="B2101" s="16" t="s">
        <v>1295</v>
      </c>
      <c r="C2101" s="63" t="s">
        <v>2967</v>
      </c>
      <c r="D2101" s="56" t="s">
        <v>335</v>
      </c>
      <c r="E2101" s="56" t="s">
        <v>336</v>
      </c>
      <c r="F2101" s="101">
        <v>98000</v>
      </c>
      <c r="G2101" s="59">
        <f>$F$199</f>
        <v>12</v>
      </c>
      <c r="H2101" s="60">
        <v>37</v>
      </c>
      <c r="I2101" s="49">
        <f t="shared" si="139"/>
        <v>3626000</v>
      </c>
      <c r="J2101" s="551">
        <v>36</v>
      </c>
      <c r="K2101" s="532">
        <f t="shared" si="137"/>
        <v>1</v>
      </c>
      <c r="L2101" s="533">
        <f t="shared" si="136"/>
        <v>98000</v>
      </c>
      <c r="M2101" s="531">
        <f t="shared" si="138"/>
        <v>2.7027027027027029E-2</v>
      </c>
      <c r="N2101" s="28" t="s">
        <v>22</v>
      </c>
      <c r="O2101" s="2" t="s">
        <v>39</v>
      </c>
    </row>
    <row r="2102" spans="1:15">
      <c r="A2102" s="71">
        <v>2024</v>
      </c>
      <c r="B2102" s="16" t="s">
        <v>1400</v>
      </c>
      <c r="C2102" s="63" t="s">
        <v>2968</v>
      </c>
      <c r="D2102" s="56" t="s">
        <v>1430</v>
      </c>
      <c r="E2102" s="56" t="s">
        <v>859</v>
      </c>
      <c r="F2102" s="101">
        <v>3400</v>
      </c>
      <c r="G2102" s="59" t="s">
        <v>337</v>
      </c>
      <c r="H2102" s="60">
        <v>90</v>
      </c>
      <c r="I2102" s="49">
        <f t="shared" si="139"/>
        <v>306000</v>
      </c>
      <c r="J2102" s="551">
        <v>89.5</v>
      </c>
      <c r="K2102" s="532">
        <f t="shared" si="137"/>
        <v>0.5</v>
      </c>
      <c r="L2102" s="533">
        <f t="shared" si="136"/>
        <v>1700</v>
      </c>
      <c r="M2102" s="531">
        <f t="shared" si="138"/>
        <v>5.5555555555555558E-3</v>
      </c>
      <c r="N2102" s="30" t="s">
        <v>22</v>
      </c>
      <c r="O2102" s="2" t="s">
        <v>39</v>
      </c>
    </row>
    <row r="2103" spans="1:15">
      <c r="A2103" s="71">
        <v>2024</v>
      </c>
      <c r="B2103" s="16" t="s">
        <v>1400</v>
      </c>
      <c r="C2103" s="63" t="s">
        <v>2969</v>
      </c>
      <c r="D2103" s="56" t="s">
        <v>283</v>
      </c>
      <c r="E2103" s="56" t="s">
        <v>2970</v>
      </c>
      <c r="F2103" s="101">
        <v>1</v>
      </c>
      <c r="G2103" s="59" t="s">
        <v>285</v>
      </c>
      <c r="H2103" s="60">
        <v>44500</v>
      </c>
      <c r="I2103" s="49">
        <f t="shared" si="139"/>
        <v>44500</v>
      </c>
      <c r="J2103" s="551">
        <v>43500</v>
      </c>
      <c r="K2103" s="532">
        <f t="shared" si="137"/>
        <v>1000</v>
      </c>
      <c r="L2103" s="533">
        <f t="shared" si="136"/>
        <v>1000</v>
      </c>
      <c r="M2103" s="531">
        <f t="shared" si="138"/>
        <v>2.247191011235955E-2</v>
      </c>
      <c r="N2103" s="30" t="s">
        <v>38</v>
      </c>
      <c r="O2103" s="2" t="s">
        <v>105</v>
      </c>
    </row>
    <row r="2104" spans="1:15">
      <c r="A2104" s="71">
        <v>2024</v>
      </c>
      <c r="B2104" s="16" t="s">
        <v>1400</v>
      </c>
      <c r="C2104" s="63" t="s">
        <v>2971</v>
      </c>
      <c r="D2104" s="56" t="s">
        <v>68</v>
      </c>
      <c r="E2104" s="56" t="s">
        <v>755</v>
      </c>
      <c r="F2104" s="101">
        <v>756.2</v>
      </c>
      <c r="G2104" s="59" t="s">
        <v>37</v>
      </c>
      <c r="H2104" s="60">
        <v>385</v>
      </c>
      <c r="I2104" s="49">
        <f t="shared" si="139"/>
        <v>291137</v>
      </c>
      <c r="J2104" s="551">
        <v>363</v>
      </c>
      <c r="K2104" s="532">
        <f t="shared" si="137"/>
        <v>22</v>
      </c>
      <c r="L2104" s="533">
        <f t="shared" si="136"/>
        <v>16636.400000000001</v>
      </c>
      <c r="M2104" s="531">
        <f t="shared" si="138"/>
        <v>5.7142857142857141E-2</v>
      </c>
      <c r="N2104" s="30" t="s">
        <v>22</v>
      </c>
      <c r="O2104" s="2" t="s">
        <v>105</v>
      </c>
    </row>
    <row r="2105" spans="1:15">
      <c r="A2105" s="71">
        <v>2024</v>
      </c>
      <c r="B2105" s="16" t="s">
        <v>1400</v>
      </c>
      <c r="C2105" s="63" t="s">
        <v>2972</v>
      </c>
      <c r="D2105" s="56" t="s">
        <v>1042</v>
      </c>
      <c r="E2105" s="56" t="s">
        <v>2973</v>
      </c>
      <c r="F2105" s="101">
        <v>101440</v>
      </c>
      <c r="G2105" s="59" t="s">
        <v>37</v>
      </c>
      <c r="H2105" s="60">
        <v>350</v>
      </c>
      <c r="I2105" s="49">
        <f t="shared" si="139"/>
        <v>35504000</v>
      </c>
      <c r="J2105" s="551">
        <v>349</v>
      </c>
      <c r="K2105" s="532">
        <f t="shared" si="137"/>
        <v>1</v>
      </c>
      <c r="L2105" s="533">
        <f t="shared" si="136"/>
        <v>101440</v>
      </c>
      <c r="M2105" s="531">
        <f t="shared" si="138"/>
        <v>2.8571428571428571E-3</v>
      </c>
      <c r="N2105" s="30" t="s">
        <v>38</v>
      </c>
      <c r="O2105" s="2" t="s">
        <v>105</v>
      </c>
    </row>
    <row r="2106" spans="1:15">
      <c r="A2106" s="71">
        <v>2024</v>
      </c>
      <c r="B2106" s="16" t="s">
        <v>1400</v>
      </c>
      <c r="C2106" s="63" t="s">
        <v>2974</v>
      </c>
      <c r="D2106" s="56" t="s">
        <v>27</v>
      </c>
      <c r="E2106" s="56" t="s">
        <v>2975</v>
      </c>
      <c r="F2106" s="101">
        <v>3</v>
      </c>
      <c r="G2106" s="59" t="s">
        <v>29</v>
      </c>
      <c r="H2106" s="60">
        <v>1350</v>
      </c>
      <c r="I2106" s="49">
        <f t="shared" si="139"/>
        <v>4050</v>
      </c>
      <c r="J2106" s="551">
        <v>1100</v>
      </c>
      <c r="K2106" s="532">
        <f t="shared" si="137"/>
        <v>250</v>
      </c>
      <c r="L2106" s="533">
        <f t="shared" si="136"/>
        <v>750</v>
      </c>
      <c r="M2106" s="531">
        <f t="shared" si="138"/>
        <v>0.18518518518518517</v>
      </c>
      <c r="N2106" s="30" t="s">
        <v>22</v>
      </c>
      <c r="O2106" s="2" t="s">
        <v>105</v>
      </c>
    </row>
    <row r="2107" spans="1:15">
      <c r="A2107" s="71">
        <v>2024</v>
      </c>
      <c r="B2107" s="16" t="s">
        <v>1400</v>
      </c>
      <c r="C2107" s="63" t="s">
        <v>2976</v>
      </c>
      <c r="D2107" s="56" t="s">
        <v>94</v>
      </c>
      <c r="E2107" s="56" t="s">
        <v>1038</v>
      </c>
      <c r="F2107" s="101">
        <v>100</v>
      </c>
      <c r="G2107" s="59" t="s">
        <v>19</v>
      </c>
      <c r="H2107" s="60">
        <v>15.5</v>
      </c>
      <c r="I2107" s="49">
        <f t="shared" si="139"/>
        <v>1550</v>
      </c>
      <c r="J2107" s="551">
        <v>14.76</v>
      </c>
      <c r="K2107" s="532">
        <f t="shared" si="137"/>
        <v>0.74000000000000021</v>
      </c>
      <c r="L2107" s="533">
        <f t="shared" si="136"/>
        <v>74.000000000000028</v>
      </c>
      <c r="M2107" s="531">
        <f t="shared" si="138"/>
        <v>4.7741935483870984E-2</v>
      </c>
      <c r="N2107" s="30" t="s">
        <v>22</v>
      </c>
      <c r="O2107" s="2" t="s">
        <v>105</v>
      </c>
    </row>
    <row r="2108" spans="1:15">
      <c r="A2108" s="71">
        <v>2024</v>
      </c>
      <c r="B2108" s="16" t="s">
        <v>1400</v>
      </c>
      <c r="C2108" s="63" t="s">
        <v>2977</v>
      </c>
      <c r="D2108" s="56" t="s">
        <v>27</v>
      </c>
      <c r="E2108" s="56" t="s">
        <v>2978</v>
      </c>
      <c r="F2108" s="101">
        <v>10</v>
      </c>
      <c r="G2108" s="59" t="s">
        <v>19</v>
      </c>
      <c r="H2108" s="60">
        <v>82</v>
      </c>
      <c r="I2108" s="49">
        <f t="shared" si="139"/>
        <v>820</v>
      </c>
      <c r="J2108" s="551">
        <v>72</v>
      </c>
      <c r="K2108" s="532">
        <f t="shared" si="137"/>
        <v>10</v>
      </c>
      <c r="L2108" s="533">
        <f t="shared" si="136"/>
        <v>100</v>
      </c>
      <c r="M2108" s="531">
        <f t="shared" si="138"/>
        <v>0.12195121951219512</v>
      </c>
      <c r="N2108" s="30" t="s">
        <v>22</v>
      </c>
      <c r="O2108" s="2" t="s">
        <v>105</v>
      </c>
    </row>
    <row r="2109" spans="1:15">
      <c r="A2109" s="71">
        <v>2024</v>
      </c>
      <c r="B2109" s="16" t="s">
        <v>1400</v>
      </c>
      <c r="C2109" s="63" t="s">
        <v>2979</v>
      </c>
      <c r="D2109" s="56" t="s">
        <v>590</v>
      </c>
      <c r="E2109" s="56" t="s">
        <v>2980</v>
      </c>
      <c r="F2109" s="58">
        <v>1</v>
      </c>
      <c r="G2109" s="59" t="s">
        <v>238</v>
      </c>
      <c r="H2109" s="60">
        <v>52500</v>
      </c>
      <c r="I2109" s="49">
        <f t="shared" si="139"/>
        <v>52500</v>
      </c>
      <c r="J2109" s="551">
        <v>50900</v>
      </c>
      <c r="K2109" s="532">
        <f t="shared" si="137"/>
        <v>1600</v>
      </c>
      <c r="L2109" s="533">
        <f t="shared" si="136"/>
        <v>1600</v>
      </c>
      <c r="M2109" s="531">
        <f t="shared" si="138"/>
        <v>3.0476190476190476E-2</v>
      </c>
      <c r="N2109" s="30" t="s">
        <v>22</v>
      </c>
      <c r="O2109" s="2" t="s">
        <v>39</v>
      </c>
    </row>
    <row r="2110" spans="1:15">
      <c r="A2110" s="71">
        <v>2024</v>
      </c>
      <c r="B2110" s="16" t="s">
        <v>1400</v>
      </c>
      <c r="C2110" s="63" t="s">
        <v>2979</v>
      </c>
      <c r="D2110" s="56" t="s">
        <v>590</v>
      </c>
      <c r="E2110" s="56" t="s">
        <v>2981</v>
      </c>
      <c r="F2110" s="58">
        <v>1</v>
      </c>
      <c r="G2110" s="59" t="s">
        <v>238</v>
      </c>
      <c r="H2110" s="60">
        <v>46000</v>
      </c>
      <c r="I2110" s="49">
        <f t="shared" si="139"/>
        <v>46000</v>
      </c>
      <c r="J2110" s="551">
        <v>44700</v>
      </c>
      <c r="K2110" s="532">
        <f t="shared" si="137"/>
        <v>1300</v>
      </c>
      <c r="L2110" s="533">
        <f t="shared" si="136"/>
        <v>1300</v>
      </c>
      <c r="M2110" s="531">
        <f t="shared" si="138"/>
        <v>2.8260869565217391E-2</v>
      </c>
      <c r="N2110" s="30" t="s">
        <v>22</v>
      </c>
      <c r="O2110" s="2" t="s">
        <v>39</v>
      </c>
    </row>
    <row r="2111" spans="1:15">
      <c r="A2111" s="71">
        <v>2024</v>
      </c>
      <c r="B2111" s="16" t="s">
        <v>1400</v>
      </c>
      <c r="C2111" s="61" t="s">
        <v>2979</v>
      </c>
      <c r="D2111" s="32" t="s">
        <v>590</v>
      </c>
      <c r="E2111" s="43" t="s">
        <v>2982</v>
      </c>
      <c r="F2111" s="54">
        <v>1</v>
      </c>
      <c r="G2111" s="45" t="s">
        <v>238</v>
      </c>
      <c r="H2111" s="49">
        <v>38500</v>
      </c>
      <c r="I2111" s="49">
        <f t="shared" si="139"/>
        <v>38500</v>
      </c>
      <c r="J2111" s="518">
        <v>37300</v>
      </c>
      <c r="K2111" s="532">
        <f t="shared" si="137"/>
        <v>1200</v>
      </c>
      <c r="L2111" s="545">
        <f t="shared" ref="L2111:L2169" si="140">K2111*F2111</f>
        <v>1200</v>
      </c>
      <c r="M2111" s="527">
        <f t="shared" si="138"/>
        <v>3.1168831168831169E-2</v>
      </c>
      <c r="N2111" s="50" t="s">
        <v>22</v>
      </c>
      <c r="O2111" s="32" t="s">
        <v>39</v>
      </c>
    </row>
    <row r="2112" spans="1:15">
      <c r="A2112" s="71">
        <v>2024</v>
      </c>
      <c r="B2112" s="16" t="s">
        <v>1400</v>
      </c>
      <c r="C2112" s="62" t="s">
        <v>2979</v>
      </c>
      <c r="D2112" s="47" t="s">
        <v>590</v>
      </c>
      <c r="E2112" s="47" t="s">
        <v>2983</v>
      </c>
      <c r="F2112" s="99">
        <v>1</v>
      </c>
      <c r="G2112" s="42" t="s">
        <v>238</v>
      </c>
      <c r="H2112" s="44">
        <v>51500</v>
      </c>
      <c r="I2112" s="49">
        <f t="shared" si="139"/>
        <v>51500</v>
      </c>
      <c r="J2112" s="544">
        <v>50000</v>
      </c>
      <c r="K2112" s="529">
        <f t="shared" si="137"/>
        <v>1500</v>
      </c>
      <c r="L2112" s="530">
        <f t="shared" si="140"/>
        <v>1500</v>
      </c>
      <c r="M2112" s="536">
        <f t="shared" si="138"/>
        <v>2.9126213592233011E-2</v>
      </c>
      <c r="N2112" s="64" t="s">
        <v>22</v>
      </c>
      <c r="O2112" s="47" t="s">
        <v>39</v>
      </c>
    </row>
    <row r="2113" spans="1:15">
      <c r="A2113" s="71">
        <v>2024</v>
      </c>
      <c r="B2113" s="16" t="s">
        <v>1400</v>
      </c>
      <c r="C2113" s="62" t="s">
        <v>2979</v>
      </c>
      <c r="D2113" s="47" t="s">
        <v>590</v>
      </c>
      <c r="E2113" s="47" t="s">
        <v>2984</v>
      </c>
      <c r="F2113" s="99">
        <v>1</v>
      </c>
      <c r="G2113" s="42" t="s">
        <v>238</v>
      </c>
      <c r="H2113" s="44">
        <v>69500</v>
      </c>
      <c r="I2113" s="49">
        <f t="shared" si="139"/>
        <v>69500</v>
      </c>
      <c r="J2113" s="544">
        <v>67000</v>
      </c>
      <c r="K2113" s="529">
        <f t="shared" si="137"/>
        <v>2500</v>
      </c>
      <c r="L2113" s="530">
        <f t="shared" si="140"/>
        <v>2500</v>
      </c>
      <c r="M2113" s="536">
        <f t="shared" si="138"/>
        <v>3.5971223021582732E-2</v>
      </c>
      <c r="N2113" s="64" t="s">
        <v>22</v>
      </c>
      <c r="O2113" s="47" t="s">
        <v>39</v>
      </c>
    </row>
    <row r="2114" spans="1:15">
      <c r="A2114" s="71">
        <v>2024</v>
      </c>
      <c r="B2114" s="16" t="s">
        <v>1400</v>
      </c>
      <c r="C2114" s="62" t="s">
        <v>2979</v>
      </c>
      <c r="D2114" s="47" t="s">
        <v>590</v>
      </c>
      <c r="E2114" s="47" t="s">
        <v>2985</v>
      </c>
      <c r="F2114" s="99">
        <v>1</v>
      </c>
      <c r="G2114" s="42" t="s">
        <v>238</v>
      </c>
      <c r="H2114" s="44">
        <v>72500</v>
      </c>
      <c r="I2114" s="49">
        <f t="shared" si="139"/>
        <v>72500</v>
      </c>
      <c r="J2114" s="544">
        <v>70300</v>
      </c>
      <c r="K2114" s="529">
        <f t="shared" si="137"/>
        <v>2200</v>
      </c>
      <c r="L2114" s="530">
        <f t="shared" si="140"/>
        <v>2200</v>
      </c>
      <c r="M2114" s="536">
        <f t="shared" si="138"/>
        <v>3.0344827586206897E-2</v>
      </c>
      <c r="N2114" s="64" t="s">
        <v>22</v>
      </c>
      <c r="O2114" s="47" t="s">
        <v>39</v>
      </c>
    </row>
    <row r="2115" spans="1:15">
      <c r="A2115" s="71">
        <v>2024</v>
      </c>
      <c r="B2115" s="16" t="s">
        <v>1400</v>
      </c>
      <c r="C2115" s="62" t="s">
        <v>2986</v>
      </c>
      <c r="D2115" s="47" t="s">
        <v>27</v>
      </c>
      <c r="E2115" s="47" t="s">
        <v>456</v>
      </c>
      <c r="F2115" s="99">
        <v>300</v>
      </c>
      <c r="G2115" s="42" t="s">
        <v>19</v>
      </c>
      <c r="H2115" s="44">
        <v>2.5499999999999998</v>
      </c>
      <c r="I2115" s="49">
        <f t="shared" si="139"/>
        <v>765</v>
      </c>
      <c r="J2115" s="544">
        <v>2.5</v>
      </c>
      <c r="K2115" s="529">
        <f t="shared" ref="K2115:K2178" si="141">H2115-J2115</f>
        <v>4.9999999999999822E-2</v>
      </c>
      <c r="L2115" s="530">
        <f t="shared" si="140"/>
        <v>14.999999999999947</v>
      </c>
      <c r="M2115" s="536">
        <f t="shared" ref="M2115:M2178" si="142">K2115/H2115</f>
        <v>1.9607843137254832E-2</v>
      </c>
      <c r="N2115" s="64" t="s">
        <v>22</v>
      </c>
      <c r="O2115" s="47" t="s">
        <v>105</v>
      </c>
    </row>
    <row r="2116" spans="1:15">
      <c r="A2116" s="71">
        <v>2024</v>
      </c>
      <c r="B2116" s="16" t="s">
        <v>1400</v>
      </c>
      <c r="C2116" s="62" t="s">
        <v>2987</v>
      </c>
      <c r="D2116" s="47" t="s">
        <v>35</v>
      </c>
      <c r="E2116" s="47" t="s">
        <v>2988</v>
      </c>
      <c r="F2116" s="99">
        <v>7430</v>
      </c>
      <c r="G2116" s="42" t="s">
        <v>37</v>
      </c>
      <c r="H2116" s="44">
        <v>373</v>
      </c>
      <c r="I2116" s="49">
        <f t="shared" si="139"/>
        <v>2771390</v>
      </c>
      <c r="J2116" s="544">
        <v>371</v>
      </c>
      <c r="K2116" s="529">
        <f t="shared" si="141"/>
        <v>2</v>
      </c>
      <c r="L2116" s="530">
        <f t="shared" si="140"/>
        <v>14860</v>
      </c>
      <c r="M2116" s="536">
        <f t="shared" si="142"/>
        <v>5.3619302949061663E-3</v>
      </c>
      <c r="N2116" s="64" t="s">
        <v>38</v>
      </c>
      <c r="O2116" s="47" t="s">
        <v>105</v>
      </c>
    </row>
    <row r="2117" spans="1:15">
      <c r="A2117" s="71">
        <v>2024</v>
      </c>
      <c r="B2117" s="16" t="s">
        <v>1400</v>
      </c>
      <c r="C2117" s="62" t="s">
        <v>2987</v>
      </c>
      <c r="D2117" s="47" t="s">
        <v>35</v>
      </c>
      <c r="E2117" s="47" t="s">
        <v>2989</v>
      </c>
      <c r="F2117" s="99">
        <v>157</v>
      </c>
      <c r="G2117" s="42" t="s">
        <v>37</v>
      </c>
      <c r="H2117" s="44">
        <v>380</v>
      </c>
      <c r="I2117" s="49">
        <f t="shared" si="139"/>
        <v>59660</v>
      </c>
      <c r="J2117" s="544">
        <v>378</v>
      </c>
      <c r="K2117" s="529">
        <f t="shared" si="141"/>
        <v>2</v>
      </c>
      <c r="L2117" s="530">
        <f t="shared" si="140"/>
        <v>314</v>
      </c>
      <c r="M2117" s="536">
        <f t="shared" si="142"/>
        <v>5.263157894736842E-3</v>
      </c>
      <c r="N2117" s="64" t="s">
        <v>38</v>
      </c>
      <c r="O2117" s="47" t="s">
        <v>105</v>
      </c>
    </row>
    <row r="2118" spans="1:15">
      <c r="A2118" s="71">
        <v>2024</v>
      </c>
      <c r="B2118" s="16" t="s">
        <v>1400</v>
      </c>
      <c r="C2118" s="62" t="s">
        <v>2990</v>
      </c>
      <c r="D2118" s="47" t="s">
        <v>593</v>
      </c>
      <c r="E2118" s="47" t="s">
        <v>2991</v>
      </c>
      <c r="F2118" s="99">
        <v>9</v>
      </c>
      <c r="G2118" s="42" t="s">
        <v>19</v>
      </c>
      <c r="H2118" s="44">
        <v>19350</v>
      </c>
      <c r="I2118" s="49">
        <f t="shared" si="139"/>
        <v>174150</v>
      </c>
      <c r="J2118" s="544">
        <v>18500</v>
      </c>
      <c r="K2118" s="529">
        <f t="shared" si="141"/>
        <v>850</v>
      </c>
      <c r="L2118" s="530">
        <f t="shared" si="140"/>
        <v>7650</v>
      </c>
      <c r="M2118" s="536">
        <f t="shared" si="142"/>
        <v>4.3927648578811367E-2</v>
      </c>
      <c r="N2118" s="64" t="s">
        <v>38</v>
      </c>
      <c r="O2118" s="47" t="s">
        <v>105</v>
      </c>
    </row>
    <row r="2119" spans="1:15">
      <c r="A2119" s="71">
        <v>2024</v>
      </c>
      <c r="B2119" s="16" t="s">
        <v>1400</v>
      </c>
      <c r="C2119" s="62" t="s">
        <v>2992</v>
      </c>
      <c r="D2119" s="47" t="s">
        <v>1252</v>
      </c>
      <c r="E2119" s="47" t="s">
        <v>2993</v>
      </c>
      <c r="F2119" s="99">
        <v>19570</v>
      </c>
      <c r="G2119" s="42" t="s">
        <v>37</v>
      </c>
      <c r="H2119" s="44">
        <f>0.8*35</f>
        <v>28</v>
      </c>
      <c r="I2119" s="49">
        <f t="shared" si="139"/>
        <v>547960</v>
      </c>
      <c r="J2119" s="544">
        <f>0.77*35</f>
        <v>26.95</v>
      </c>
      <c r="K2119" s="529">
        <f t="shared" si="141"/>
        <v>1.0500000000000007</v>
      </c>
      <c r="L2119" s="530">
        <f t="shared" si="140"/>
        <v>20548.500000000015</v>
      </c>
      <c r="M2119" s="536">
        <f t="shared" si="142"/>
        <v>3.7500000000000026E-2</v>
      </c>
      <c r="N2119" s="64" t="s">
        <v>22</v>
      </c>
      <c r="O2119" s="47" t="s">
        <v>105</v>
      </c>
    </row>
    <row r="2120" spans="1:15">
      <c r="A2120" s="71">
        <v>2024</v>
      </c>
      <c r="B2120" s="16" t="s">
        <v>1400</v>
      </c>
      <c r="C2120" s="62" t="s">
        <v>2994</v>
      </c>
      <c r="D2120" s="47" t="s">
        <v>1252</v>
      </c>
      <c r="E2120" s="47" t="s">
        <v>2993</v>
      </c>
      <c r="F2120" s="99">
        <v>19764</v>
      </c>
      <c r="G2120" s="42" t="s">
        <v>37</v>
      </c>
      <c r="H2120" s="44">
        <f>0.8*35</f>
        <v>28</v>
      </c>
      <c r="I2120" s="49">
        <f t="shared" si="139"/>
        <v>553392</v>
      </c>
      <c r="J2120" s="544">
        <f>0.77*35</f>
        <v>26.95</v>
      </c>
      <c r="K2120" s="529">
        <f t="shared" si="141"/>
        <v>1.0500000000000007</v>
      </c>
      <c r="L2120" s="530">
        <f t="shared" si="140"/>
        <v>20752.200000000015</v>
      </c>
      <c r="M2120" s="536">
        <f t="shared" si="142"/>
        <v>3.7500000000000026E-2</v>
      </c>
      <c r="N2120" s="64" t="s">
        <v>22</v>
      </c>
      <c r="O2120" s="47" t="s">
        <v>105</v>
      </c>
    </row>
    <row r="2121" spans="1:15">
      <c r="A2121" s="71">
        <v>2024</v>
      </c>
      <c r="B2121" s="16" t="s">
        <v>1400</v>
      </c>
      <c r="C2121" s="62" t="s">
        <v>2995</v>
      </c>
      <c r="D2121" s="47" t="s">
        <v>1252</v>
      </c>
      <c r="E2121" s="47" t="s">
        <v>2993</v>
      </c>
      <c r="F2121" s="99">
        <v>19110</v>
      </c>
      <c r="G2121" s="42" t="s">
        <v>37</v>
      </c>
      <c r="H2121" s="44">
        <f>0.8*35</f>
        <v>28</v>
      </c>
      <c r="I2121" s="49">
        <f t="shared" si="139"/>
        <v>535080</v>
      </c>
      <c r="J2121" s="544">
        <f>0.77*35</f>
        <v>26.95</v>
      </c>
      <c r="K2121" s="529">
        <f t="shared" si="141"/>
        <v>1.0500000000000007</v>
      </c>
      <c r="L2121" s="530">
        <f t="shared" si="140"/>
        <v>20065.500000000015</v>
      </c>
      <c r="M2121" s="536">
        <f t="shared" si="142"/>
        <v>3.7500000000000026E-2</v>
      </c>
      <c r="N2121" s="64" t="s">
        <v>22</v>
      </c>
      <c r="O2121" s="47" t="s">
        <v>105</v>
      </c>
    </row>
    <row r="2122" spans="1:15">
      <c r="A2122" s="71">
        <v>2024</v>
      </c>
      <c r="B2122" s="16" t="s">
        <v>1400</v>
      </c>
      <c r="C2122" s="62" t="s">
        <v>2996</v>
      </c>
      <c r="D2122" s="47" t="s">
        <v>926</v>
      </c>
      <c r="E2122" s="47" t="s">
        <v>2997</v>
      </c>
      <c r="F2122" s="99">
        <v>1</v>
      </c>
      <c r="G2122" s="42" t="s">
        <v>302</v>
      </c>
      <c r="H2122" s="44">
        <v>8150</v>
      </c>
      <c r="I2122" s="49">
        <f t="shared" si="139"/>
        <v>8150</v>
      </c>
      <c r="J2122" s="544">
        <v>7150</v>
      </c>
      <c r="K2122" s="529">
        <f t="shared" si="141"/>
        <v>1000</v>
      </c>
      <c r="L2122" s="530">
        <f t="shared" si="140"/>
        <v>1000</v>
      </c>
      <c r="M2122" s="536">
        <f t="shared" si="142"/>
        <v>0.12269938650306748</v>
      </c>
      <c r="N2122" s="64" t="s">
        <v>22</v>
      </c>
      <c r="O2122" s="47" t="s">
        <v>105</v>
      </c>
    </row>
    <row r="2123" spans="1:15">
      <c r="A2123" s="71">
        <v>2024</v>
      </c>
      <c r="B2123" s="16" t="s">
        <v>1400</v>
      </c>
      <c r="C2123" s="62" t="s">
        <v>2998</v>
      </c>
      <c r="D2123" s="47" t="s">
        <v>35</v>
      </c>
      <c r="E2123" s="47" t="s">
        <v>2988</v>
      </c>
      <c r="F2123" s="99">
        <v>2905</v>
      </c>
      <c r="G2123" s="42" t="s">
        <v>37</v>
      </c>
      <c r="H2123" s="44">
        <v>373</v>
      </c>
      <c r="I2123" s="49">
        <f t="shared" si="139"/>
        <v>1083565</v>
      </c>
      <c r="J2123" s="544">
        <v>371</v>
      </c>
      <c r="K2123" s="529">
        <f t="shared" si="141"/>
        <v>2</v>
      </c>
      <c r="L2123" s="530">
        <f t="shared" si="140"/>
        <v>5810</v>
      </c>
      <c r="M2123" s="536">
        <f t="shared" si="142"/>
        <v>5.3619302949061663E-3</v>
      </c>
      <c r="N2123" s="64" t="s">
        <v>38</v>
      </c>
      <c r="O2123" s="47" t="s">
        <v>105</v>
      </c>
    </row>
    <row r="2124" spans="1:15">
      <c r="A2124" s="71">
        <v>2024</v>
      </c>
      <c r="B2124" s="16" t="s">
        <v>1400</v>
      </c>
      <c r="C2124" s="62" t="s">
        <v>2999</v>
      </c>
      <c r="D2124" s="47" t="s">
        <v>200</v>
      </c>
      <c r="E2124" s="47" t="s">
        <v>3000</v>
      </c>
      <c r="F2124" s="99">
        <v>6</v>
      </c>
      <c r="G2124" s="42" t="s">
        <v>238</v>
      </c>
      <c r="H2124" s="44">
        <v>18500</v>
      </c>
      <c r="I2124" s="49">
        <f t="shared" si="139"/>
        <v>111000</v>
      </c>
      <c r="J2124" s="544">
        <v>18000</v>
      </c>
      <c r="K2124" s="529">
        <f t="shared" si="141"/>
        <v>500</v>
      </c>
      <c r="L2124" s="530">
        <f t="shared" si="140"/>
        <v>3000</v>
      </c>
      <c r="M2124" s="536">
        <f t="shared" si="142"/>
        <v>2.7027027027027029E-2</v>
      </c>
      <c r="N2124" s="64" t="s">
        <v>38</v>
      </c>
      <c r="O2124" s="47" t="s">
        <v>39</v>
      </c>
    </row>
    <row r="2125" spans="1:15">
      <c r="A2125" s="71">
        <v>2024</v>
      </c>
      <c r="B2125" s="16" t="s">
        <v>1400</v>
      </c>
      <c r="C2125" s="62" t="s">
        <v>3001</v>
      </c>
      <c r="D2125" s="47" t="s">
        <v>617</v>
      </c>
      <c r="E2125" s="47" t="s">
        <v>275</v>
      </c>
      <c r="F2125" s="99">
        <v>3000</v>
      </c>
      <c r="G2125" s="42" t="s">
        <v>37</v>
      </c>
      <c r="H2125" s="44">
        <v>30.5</v>
      </c>
      <c r="I2125" s="49">
        <f t="shared" si="139"/>
        <v>91500</v>
      </c>
      <c r="J2125" s="544">
        <v>30</v>
      </c>
      <c r="K2125" s="529">
        <f t="shared" si="141"/>
        <v>0.5</v>
      </c>
      <c r="L2125" s="530">
        <f t="shared" si="140"/>
        <v>1500</v>
      </c>
      <c r="M2125" s="536">
        <f t="shared" si="142"/>
        <v>1.6393442622950821E-2</v>
      </c>
      <c r="N2125" s="64" t="s">
        <v>22</v>
      </c>
      <c r="O2125" s="47" t="s">
        <v>39</v>
      </c>
    </row>
    <row r="2126" spans="1:15">
      <c r="A2126" s="71">
        <v>2024</v>
      </c>
      <c r="B2126" s="16" t="s">
        <v>1400</v>
      </c>
      <c r="C2126" s="62" t="s">
        <v>3002</v>
      </c>
      <c r="D2126" s="47" t="s">
        <v>617</v>
      </c>
      <c r="E2126" s="47" t="s">
        <v>230</v>
      </c>
      <c r="F2126" s="99">
        <v>3000</v>
      </c>
      <c r="G2126" s="42" t="s">
        <v>37</v>
      </c>
      <c r="H2126" s="44">
        <v>30.5</v>
      </c>
      <c r="I2126" s="49">
        <f t="shared" si="139"/>
        <v>91500</v>
      </c>
      <c r="J2126" s="544">
        <v>30</v>
      </c>
      <c r="K2126" s="529">
        <f t="shared" si="141"/>
        <v>0.5</v>
      </c>
      <c r="L2126" s="530">
        <f t="shared" si="140"/>
        <v>1500</v>
      </c>
      <c r="M2126" s="536">
        <f t="shared" si="142"/>
        <v>1.6393442622950821E-2</v>
      </c>
      <c r="N2126" s="64" t="s">
        <v>22</v>
      </c>
      <c r="O2126" s="47" t="s">
        <v>39</v>
      </c>
    </row>
    <row r="2127" spans="1:15">
      <c r="A2127" s="71">
        <v>2024</v>
      </c>
      <c r="B2127" s="16" t="s">
        <v>1400</v>
      </c>
      <c r="C2127" s="62" t="s">
        <v>3003</v>
      </c>
      <c r="D2127" s="47" t="s">
        <v>200</v>
      </c>
      <c r="E2127" s="47" t="s">
        <v>3004</v>
      </c>
      <c r="F2127" s="99">
        <v>1</v>
      </c>
      <c r="G2127" s="42" t="s">
        <v>238</v>
      </c>
      <c r="H2127" s="44">
        <v>41000</v>
      </c>
      <c r="I2127" s="49">
        <f t="shared" si="139"/>
        <v>41000</v>
      </c>
      <c r="J2127" s="544">
        <v>39000</v>
      </c>
      <c r="K2127" s="529">
        <f t="shared" si="141"/>
        <v>2000</v>
      </c>
      <c r="L2127" s="530">
        <f t="shared" si="140"/>
        <v>2000</v>
      </c>
      <c r="M2127" s="536">
        <f t="shared" si="142"/>
        <v>4.878048780487805E-2</v>
      </c>
      <c r="N2127" s="64" t="s">
        <v>38</v>
      </c>
      <c r="O2127" s="47" t="s">
        <v>39</v>
      </c>
    </row>
    <row r="2128" spans="1:15">
      <c r="A2128" s="71">
        <v>2024</v>
      </c>
      <c r="B2128" s="16" t="s">
        <v>1400</v>
      </c>
      <c r="C2128" s="62" t="s">
        <v>3005</v>
      </c>
      <c r="D2128" s="47" t="s">
        <v>94</v>
      </c>
      <c r="E2128" s="47" t="s">
        <v>550</v>
      </c>
      <c r="F2128" s="99">
        <v>300</v>
      </c>
      <c r="G2128" s="42" t="s">
        <v>19</v>
      </c>
      <c r="H2128" s="44">
        <v>50</v>
      </c>
      <c r="I2128" s="49">
        <f t="shared" si="139"/>
        <v>15000</v>
      </c>
      <c r="J2128" s="544">
        <v>47.56</v>
      </c>
      <c r="K2128" s="529">
        <f t="shared" si="141"/>
        <v>2.4399999999999977</v>
      </c>
      <c r="L2128" s="530">
        <f t="shared" si="140"/>
        <v>731.99999999999932</v>
      </c>
      <c r="M2128" s="536">
        <f t="shared" si="142"/>
        <v>4.8799999999999955E-2</v>
      </c>
      <c r="N2128" s="64" t="s">
        <v>22</v>
      </c>
      <c r="O2128" s="47" t="s">
        <v>105</v>
      </c>
    </row>
    <row r="2129" spans="1:15">
      <c r="A2129" s="71">
        <v>2024</v>
      </c>
      <c r="B2129" s="16" t="s">
        <v>1400</v>
      </c>
      <c r="C2129" s="62" t="s">
        <v>3006</v>
      </c>
      <c r="D2129" s="47" t="s">
        <v>497</v>
      </c>
      <c r="E2129" s="47" t="s">
        <v>2258</v>
      </c>
      <c r="F2129" s="99">
        <v>20000</v>
      </c>
      <c r="G2129" s="42" t="s">
        <v>37</v>
      </c>
      <c r="H2129" s="44">
        <v>94.39</v>
      </c>
      <c r="I2129" s="49">
        <f t="shared" si="139"/>
        <v>1887800</v>
      </c>
      <c r="J2129" s="544">
        <v>93.82</v>
      </c>
      <c r="K2129" s="529">
        <f t="shared" si="141"/>
        <v>0.57000000000000739</v>
      </c>
      <c r="L2129" s="530">
        <f t="shared" si="140"/>
        <v>11400.000000000147</v>
      </c>
      <c r="M2129" s="536">
        <f t="shared" si="142"/>
        <v>6.0387752939930857E-3</v>
      </c>
      <c r="N2129" s="64" t="s">
        <v>38</v>
      </c>
      <c r="O2129" s="47" t="s">
        <v>39</v>
      </c>
    </row>
    <row r="2130" spans="1:15">
      <c r="A2130" s="71">
        <v>2024</v>
      </c>
      <c r="B2130" s="16" t="s">
        <v>1400</v>
      </c>
      <c r="C2130" s="62" t="s">
        <v>3007</v>
      </c>
      <c r="D2130" s="47" t="s">
        <v>522</v>
      </c>
      <c r="E2130" s="47" t="s">
        <v>3008</v>
      </c>
      <c r="F2130" s="99">
        <v>1</v>
      </c>
      <c r="G2130" s="42" t="s">
        <v>285</v>
      </c>
      <c r="H2130" s="44">
        <v>71058.5</v>
      </c>
      <c r="I2130" s="49">
        <f t="shared" si="139"/>
        <v>71058.5</v>
      </c>
      <c r="J2130" s="544">
        <v>68000</v>
      </c>
      <c r="K2130" s="529">
        <f t="shared" si="141"/>
        <v>3058.5</v>
      </c>
      <c r="L2130" s="530">
        <f t="shared" si="140"/>
        <v>3058.5</v>
      </c>
      <c r="M2130" s="536">
        <f t="shared" si="142"/>
        <v>4.3042000605135203E-2</v>
      </c>
      <c r="N2130" s="64" t="s">
        <v>38</v>
      </c>
      <c r="O2130" s="47" t="s">
        <v>21</v>
      </c>
    </row>
    <row r="2131" spans="1:15">
      <c r="A2131" s="71">
        <v>2024</v>
      </c>
      <c r="B2131" s="16" t="s">
        <v>1400</v>
      </c>
      <c r="C2131" s="62" t="s">
        <v>3009</v>
      </c>
      <c r="D2131" s="47" t="s">
        <v>3010</v>
      </c>
      <c r="E2131" s="47" t="s">
        <v>3011</v>
      </c>
      <c r="F2131" s="99">
        <v>1</v>
      </c>
      <c r="G2131" s="42" t="s">
        <v>285</v>
      </c>
      <c r="H2131" s="44">
        <v>28434</v>
      </c>
      <c r="I2131" s="49">
        <f t="shared" si="139"/>
        <v>28434</v>
      </c>
      <c r="J2131" s="544">
        <v>26534</v>
      </c>
      <c r="K2131" s="529">
        <f t="shared" si="141"/>
        <v>1900</v>
      </c>
      <c r="L2131" s="530">
        <f t="shared" si="140"/>
        <v>1900</v>
      </c>
      <c r="M2131" s="536">
        <f t="shared" si="142"/>
        <v>6.6821410986846727E-2</v>
      </c>
      <c r="N2131" s="64" t="s">
        <v>38</v>
      </c>
      <c r="O2131" s="47" t="s">
        <v>21</v>
      </c>
    </row>
    <row r="2132" spans="1:15">
      <c r="A2132" s="71">
        <v>2024</v>
      </c>
      <c r="B2132" s="16" t="s">
        <v>1400</v>
      </c>
      <c r="C2132" s="62" t="s">
        <v>3012</v>
      </c>
      <c r="D2132" s="47" t="s">
        <v>110</v>
      </c>
      <c r="E2132" s="47" t="s">
        <v>3013</v>
      </c>
      <c r="F2132" s="99">
        <v>1</v>
      </c>
      <c r="G2132" s="42" t="s">
        <v>19</v>
      </c>
      <c r="H2132" s="44">
        <v>10990</v>
      </c>
      <c r="I2132" s="49">
        <f t="shared" si="139"/>
        <v>10990</v>
      </c>
      <c r="J2132" s="544">
        <v>10200</v>
      </c>
      <c r="K2132" s="529">
        <f t="shared" si="141"/>
        <v>790</v>
      </c>
      <c r="L2132" s="530">
        <f t="shared" si="140"/>
        <v>790</v>
      </c>
      <c r="M2132" s="536">
        <f t="shared" si="142"/>
        <v>7.1883530482256597E-2</v>
      </c>
      <c r="N2132" s="64" t="s">
        <v>22</v>
      </c>
      <c r="O2132" s="47" t="s">
        <v>21</v>
      </c>
    </row>
    <row r="2133" spans="1:15">
      <c r="A2133" s="71">
        <v>2024</v>
      </c>
      <c r="B2133" s="16" t="s">
        <v>1400</v>
      </c>
      <c r="C2133" s="62" t="s">
        <v>3012</v>
      </c>
      <c r="D2133" s="47" t="s">
        <v>110</v>
      </c>
      <c r="E2133" s="47" t="s">
        <v>3014</v>
      </c>
      <c r="F2133" s="99">
        <v>1</v>
      </c>
      <c r="G2133" s="42" t="s">
        <v>19</v>
      </c>
      <c r="H2133" s="44">
        <v>3990</v>
      </c>
      <c r="I2133" s="49">
        <f t="shared" si="139"/>
        <v>3990</v>
      </c>
      <c r="J2133" s="544">
        <v>3500</v>
      </c>
      <c r="K2133" s="529">
        <f t="shared" si="141"/>
        <v>490</v>
      </c>
      <c r="L2133" s="530">
        <f t="shared" si="140"/>
        <v>490</v>
      </c>
      <c r="M2133" s="536">
        <f t="shared" si="142"/>
        <v>0.12280701754385964</v>
      </c>
      <c r="N2133" s="64" t="s">
        <v>22</v>
      </c>
      <c r="O2133" s="47" t="s">
        <v>21</v>
      </c>
    </row>
    <row r="2134" spans="1:15">
      <c r="A2134" s="71">
        <v>2024</v>
      </c>
      <c r="B2134" s="16" t="s">
        <v>1400</v>
      </c>
      <c r="C2134" s="62" t="s">
        <v>3015</v>
      </c>
      <c r="D2134" s="47" t="s">
        <v>1948</v>
      </c>
      <c r="E2134" s="47" t="s">
        <v>3016</v>
      </c>
      <c r="F2134" s="99">
        <v>1</v>
      </c>
      <c r="G2134" s="42" t="s">
        <v>19</v>
      </c>
      <c r="H2134" s="44">
        <v>4990</v>
      </c>
      <c r="I2134" s="49">
        <f t="shared" si="139"/>
        <v>4990</v>
      </c>
      <c r="J2134" s="544">
        <v>4060</v>
      </c>
      <c r="K2134" s="529">
        <f t="shared" si="141"/>
        <v>930</v>
      </c>
      <c r="L2134" s="530">
        <f t="shared" si="140"/>
        <v>930</v>
      </c>
      <c r="M2134" s="536">
        <f t="shared" si="142"/>
        <v>0.18637274549098196</v>
      </c>
      <c r="N2134" s="64" t="s">
        <v>22</v>
      </c>
      <c r="O2134" s="47" t="s">
        <v>21</v>
      </c>
    </row>
    <row r="2135" spans="1:15">
      <c r="A2135" s="71">
        <v>2024</v>
      </c>
      <c r="B2135" s="16" t="s">
        <v>1400</v>
      </c>
      <c r="C2135" s="62" t="s">
        <v>3017</v>
      </c>
      <c r="D2135" s="47" t="s">
        <v>398</v>
      </c>
      <c r="E2135" s="47" t="s">
        <v>3018</v>
      </c>
      <c r="F2135" s="99">
        <v>1</v>
      </c>
      <c r="G2135" s="42" t="s">
        <v>285</v>
      </c>
      <c r="H2135" s="44">
        <v>65000</v>
      </c>
      <c r="I2135" s="49">
        <f t="shared" si="139"/>
        <v>65000</v>
      </c>
      <c r="J2135" s="544">
        <v>62000</v>
      </c>
      <c r="K2135" s="529">
        <f t="shared" si="141"/>
        <v>3000</v>
      </c>
      <c r="L2135" s="530">
        <f t="shared" si="140"/>
        <v>3000</v>
      </c>
      <c r="M2135" s="536">
        <f t="shared" si="142"/>
        <v>4.6153846153846156E-2</v>
      </c>
      <c r="N2135" s="64" t="s">
        <v>22</v>
      </c>
      <c r="O2135" s="47" t="s">
        <v>21</v>
      </c>
    </row>
    <row r="2136" spans="1:15">
      <c r="A2136" s="71">
        <v>2024</v>
      </c>
      <c r="B2136" s="16" t="s">
        <v>1400</v>
      </c>
      <c r="C2136" s="62" t="s">
        <v>3019</v>
      </c>
      <c r="D2136" s="47" t="s">
        <v>3020</v>
      </c>
      <c r="E2136" s="47" t="s">
        <v>3021</v>
      </c>
      <c r="F2136" s="99">
        <v>1</v>
      </c>
      <c r="G2136" s="42" t="s">
        <v>285</v>
      </c>
      <c r="H2136" s="44">
        <v>95000</v>
      </c>
      <c r="I2136" s="49">
        <f t="shared" si="139"/>
        <v>95000</v>
      </c>
      <c r="J2136" s="544">
        <v>92000</v>
      </c>
      <c r="K2136" s="529">
        <f t="shared" si="141"/>
        <v>3000</v>
      </c>
      <c r="L2136" s="530">
        <f t="shared" si="140"/>
        <v>3000</v>
      </c>
      <c r="M2136" s="536">
        <f t="shared" si="142"/>
        <v>3.1578947368421054E-2</v>
      </c>
      <c r="N2136" s="64" t="s">
        <v>22</v>
      </c>
      <c r="O2136" s="47" t="s">
        <v>21</v>
      </c>
    </row>
    <row r="2137" spans="1:15">
      <c r="A2137" s="71">
        <v>2024</v>
      </c>
      <c r="B2137" s="16" t="s">
        <v>1400</v>
      </c>
      <c r="C2137" s="62" t="s">
        <v>3022</v>
      </c>
      <c r="D2137" s="47" t="s">
        <v>3020</v>
      </c>
      <c r="E2137" s="47" t="s">
        <v>3023</v>
      </c>
      <c r="F2137" s="99">
        <v>1</v>
      </c>
      <c r="G2137" s="42" t="s">
        <v>285</v>
      </c>
      <c r="H2137" s="44">
        <v>111500</v>
      </c>
      <c r="I2137" s="49">
        <f t="shared" si="139"/>
        <v>111500</v>
      </c>
      <c r="J2137" s="544">
        <v>105000</v>
      </c>
      <c r="K2137" s="529">
        <f t="shared" si="141"/>
        <v>6500</v>
      </c>
      <c r="L2137" s="530">
        <f t="shared" si="140"/>
        <v>6500</v>
      </c>
      <c r="M2137" s="536">
        <f t="shared" si="142"/>
        <v>5.829596412556054E-2</v>
      </c>
      <c r="N2137" s="64" t="s">
        <v>22</v>
      </c>
      <c r="O2137" s="47" t="s">
        <v>21</v>
      </c>
    </row>
    <row r="2138" spans="1:15">
      <c r="A2138" s="71">
        <v>2024</v>
      </c>
      <c r="B2138" s="16" t="s">
        <v>1400</v>
      </c>
      <c r="C2138" s="62" t="s">
        <v>3024</v>
      </c>
      <c r="D2138" s="47" t="s">
        <v>118</v>
      </c>
      <c r="E2138" s="47" t="s">
        <v>3025</v>
      </c>
      <c r="F2138" s="99">
        <v>4</v>
      </c>
      <c r="G2138" s="42" t="s">
        <v>19</v>
      </c>
      <c r="H2138" s="44">
        <v>2390</v>
      </c>
      <c r="I2138" s="49">
        <f t="shared" si="139"/>
        <v>9560</v>
      </c>
      <c r="J2138" s="544">
        <v>1600</v>
      </c>
      <c r="K2138" s="529">
        <f t="shared" si="141"/>
        <v>790</v>
      </c>
      <c r="L2138" s="530">
        <f t="shared" si="140"/>
        <v>3160</v>
      </c>
      <c r="M2138" s="536">
        <f t="shared" si="142"/>
        <v>0.33054393305439328</v>
      </c>
      <c r="N2138" s="64" t="s">
        <v>22</v>
      </c>
      <c r="O2138" s="47" t="s">
        <v>21</v>
      </c>
    </row>
    <row r="2139" spans="1:15">
      <c r="A2139" s="71">
        <v>2024</v>
      </c>
      <c r="B2139" s="16" t="s">
        <v>1400</v>
      </c>
      <c r="C2139" s="62" t="s">
        <v>3024</v>
      </c>
      <c r="D2139" s="47" t="s">
        <v>118</v>
      </c>
      <c r="E2139" s="47" t="s">
        <v>3026</v>
      </c>
      <c r="F2139" s="99">
        <v>4</v>
      </c>
      <c r="G2139" s="42" t="s">
        <v>19</v>
      </c>
      <c r="H2139" s="44">
        <v>7450</v>
      </c>
      <c r="I2139" s="49">
        <f t="shared" si="139"/>
        <v>29800</v>
      </c>
      <c r="J2139" s="544">
        <v>5150</v>
      </c>
      <c r="K2139" s="529">
        <f t="shared" si="141"/>
        <v>2300</v>
      </c>
      <c r="L2139" s="530">
        <f t="shared" si="140"/>
        <v>9200</v>
      </c>
      <c r="M2139" s="536">
        <f t="shared" si="142"/>
        <v>0.3087248322147651</v>
      </c>
      <c r="N2139" s="64" t="s">
        <v>22</v>
      </c>
      <c r="O2139" s="47" t="s">
        <v>21</v>
      </c>
    </row>
    <row r="2140" spans="1:15">
      <c r="A2140" s="71">
        <v>2024</v>
      </c>
      <c r="B2140" s="16" t="s">
        <v>1400</v>
      </c>
      <c r="C2140" s="62" t="s">
        <v>3027</v>
      </c>
      <c r="D2140" s="47" t="s">
        <v>1948</v>
      </c>
      <c r="E2140" s="47" t="s">
        <v>3028</v>
      </c>
      <c r="F2140" s="99">
        <v>20</v>
      </c>
      <c r="G2140" s="42" t="s">
        <v>798</v>
      </c>
      <c r="H2140" s="44">
        <v>155</v>
      </c>
      <c r="I2140" s="49">
        <f t="shared" si="139"/>
        <v>3100</v>
      </c>
      <c r="J2140" s="544">
        <v>108</v>
      </c>
      <c r="K2140" s="529">
        <f t="shared" si="141"/>
        <v>47</v>
      </c>
      <c r="L2140" s="530">
        <f t="shared" si="140"/>
        <v>940</v>
      </c>
      <c r="M2140" s="536">
        <f t="shared" si="142"/>
        <v>0.3032258064516129</v>
      </c>
      <c r="N2140" s="64" t="s">
        <v>22</v>
      </c>
      <c r="O2140" s="32" t="s">
        <v>21</v>
      </c>
    </row>
    <row r="2141" spans="1:15">
      <c r="A2141" s="71">
        <v>2024</v>
      </c>
      <c r="B2141" s="16" t="s">
        <v>1400</v>
      </c>
      <c r="C2141" s="62" t="s">
        <v>3029</v>
      </c>
      <c r="D2141" s="47" t="s">
        <v>157</v>
      </c>
      <c r="E2141" s="47" t="s">
        <v>3030</v>
      </c>
      <c r="F2141" s="99">
        <v>4</v>
      </c>
      <c r="G2141" s="42" t="s">
        <v>19</v>
      </c>
      <c r="H2141" s="44">
        <v>1100</v>
      </c>
      <c r="I2141" s="49">
        <f t="shared" si="139"/>
        <v>4400</v>
      </c>
      <c r="J2141" s="544">
        <v>880</v>
      </c>
      <c r="K2141" s="529">
        <f t="shared" si="141"/>
        <v>220</v>
      </c>
      <c r="L2141" s="530">
        <f t="shared" si="140"/>
        <v>880</v>
      </c>
      <c r="M2141" s="536">
        <f t="shared" si="142"/>
        <v>0.2</v>
      </c>
      <c r="N2141" s="64" t="s">
        <v>38</v>
      </c>
      <c r="O2141" s="32" t="s">
        <v>21</v>
      </c>
    </row>
    <row r="2142" spans="1:15">
      <c r="A2142" s="71">
        <v>2024</v>
      </c>
      <c r="B2142" s="16" t="s">
        <v>1400</v>
      </c>
      <c r="C2142" s="62" t="s">
        <v>3029</v>
      </c>
      <c r="D2142" s="47" t="s">
        <v>157</v>
      </c>
      <c r="E2142" s="47" t="s">
        <v>3031</v>
      </c>
      <c r="F2142" s="99">
        <v>400</v>
      </c>
      <c r="G2142" s="42" t="s">
        <v>615</v>
      </c>
      <c r="H2142" s="44">
        <v>10.5</v>
      </c>
      <c r="I2142" s="49">
        <f t="shared" si="139"/>
        <v>4200</v>
      </c>
      <c r="J2142" s="544">
        <v>8.4</v>
      </c>
      <c r="K2142" s="529">
        <f t="shared" si="141"/>
        <v>2.0999999999999996</v>
      </c>
      <c r="L2142" s="530">
        <f t="shared" si="140"/>
        <v>839.99999999999989</v>
      </c>
      <c r="M2142" s="536">
        <f t="shared" si="142"/>
        <v>0.19999999999999996</v>
      </c>
      <c r="N2142" s="64" t="s">
        <v>38</v>
      </c>
      <c r="O2142" s="32" t="s">
        <v>21</v>
      </c>
    </row>
    <row r="2143" spans="1:15">
      <c r="A2143" s="71">
        <v>2024</v>
      </c>
      <c r="B2143" s="16" t="s">
        <v>1400</v>
      </c>
      <c r="C2143" s="62" t="s">
        <v>3032</v>
      </c>
      <c r="D2143" s="47" t="s">
        <v>118</v>
      </c>
      <c r="E2143" s="47" t="s">
        <v>2006</v>
      </c>
      <c r="F2143" s="99">
        <v>10</v>
      </c>
      <c r="G2143" s="42" t="s">
        <v>37</v>
      </c>
      <c r="H2143" s="44">
        <v>1250</v>
      </c>
      <c r="I2143" s="49">
        <f t="shared" si="139"/>
        <v>12500</v>
      </c>
      <c r="J2143" s="544">
        <v>1180</v>
      </c>
      <c r="K2143" s="529">
        <f t="shared" si="141"/>
        <v>70</v>
      </c>
      <c r="L2143" s="530">
        <f t="shared" si="140"/>
        <v>700</v>
      </c>
      <c r="M2143" s="536">
        <f t="shared" si="142"/>
        <v>5.6000000000000001E-2</v>
      </c>
      <c r="N2143" s="64" t="s">
        <v>22</v>
      </c>
      <c r="O2143" s="47" t="s">
        <v>21</v>
      </c>
    </row>
    <row r="2144" spans="1:15">
      <c r="A2144" s="71">
        <v>2024</v>
      </c>
      <c r="B2144" s="16" t="s">
        <v>1400</v>
      </c>
      <c r="C2144" s="62" t="s">
        <v>3033</v>
      </c>
      <c r="D2144" s="47" t="s">
        <v>1948</v>
      </c>
      <c r="E2144" s="47" t="s">
        <v>3034</v>
      </c>
      <c r="F2144" s="99">
        <v>1</v>
      </c>
      <c r="G2144" s="42" t="s">
        <v>19</v>
      </c>
      <c r="H2144" s="44">
        <v>30900</v>
      </c>
      <c r="I2144" s="49">
        <f t="shared" si="139"/>
        <v>30900</v>
      </c>
      <c r="J2144" s="544">
        <v>28600</v>
      </c>
      <c r="K2144" s="529">
        <f t="shared" si="141"/>
        <v>2300</v>
      </c>
      <c r="L2144" s="530">
        <f t="shared" si="140"/>
        <v>2300</v>
      </c>
      <c r="M2144" s="536">
        <f t="shared" si="142"/>
        <v>7.4433656957928807E-2</v>
      </c>
      <c r="N2144" s="64" t="s">
        <v>22</v>
      </c>
      <c r="O2144" s="47" t="s">
        <v>21</v>
      </c>
    </row>
    <row r="2145" spans="1:15">
      <c r="A2145" s="71">
        <v>2024</v>
      </c>
      <c r="B2145" s="16" t="s">
        <v>1400</v>
      </c>
      <c r="C2145" s="62" t="s">
        <v>3033</v>
      </c>
      <c r="D2145" s="47" t="s">
        <v>1948</v>
      </c>
      <c r="E2145" s="47" t="s">
        <v>3035</v>
      </c>
      <c r="F2145" s="99">
        <v>1</v>
      </c>
      <c r="G2145" s="42" t="s">
        <v>19</v>
      </c>
      <c r="H2145" s="44">
        <v>8800</v>
      </c>
      <c r="I2145" s="49">
        <f t="shared" si="139"/>
        <v>8800</v>
      </c>
      <c r="J2145" s="544">
        <v>7850</v>
      </c>
      <c r="K2145" s="529">
        <f t="shared" si="141"/>
        <v>950</v>
      </c>
      <c r="L2145" s="530">
        <f t="shared" si="140"/>
        <v>950</v>
      </c>
      <c r="M2145" s="536">
        <f t="shared" si="142"/>
        <v>0.10795454545454546</v>
      </c>
      <c r="N2145" s="64" t="s">
        <v>22</v>
      </c>
      <c r="O2145" s="47" t="s">
        <v>21</v>
      </c>
    </row>
    <row r="2146" spans="1:15">
      <c r="A2146" s="71">
        <v>2024</v>
      </c>
      <c r="B2146" s="16" t="s">
        <v>1400</v>
      </c>
      <c r="C2146" s="62" t="s">
        <v>3036</v>
      </c>
      <c r="D2146" s="47" t="s">
        <v>1409</v>
      </c>
      <c r="E2146" s="47" t="s">
        <v>3037</v>
      </c>
      <c r="F2146" s="99">
        <v>1</v>
      </c>
      <c r="G2146" s="42" t="s">
        <v>29</v>
      </c>
      <c r="H2146" s="44">
        <v>3500</v>
      </c>
      <c r="I2146" s="49">
        <f t="shared" si="139"/>
        <v>3500</v>
      </c>
      <c r="J2146" s="544">
        <v>3200</v>
      </c>
      <c r="K2146" s="529">
        <f t="shared" si="141"/>
        <v>300</v>
      </c>
      <c r="L2146" s="530">
        <f t="shared" si="140"/>
        <v>300</v>
      </c>
      <c r="M2146" s="536">
        <f t="shared" si="142"/>
        <v>8.5714285714285715E-2</v>
      </c>
      <c r="N2146" s="64" t="s">
        <v>38</v>
      </c>
      <c r="O2146" s="47" t="s">
        <v>21</v>
      </c>
    </row>
    <row r="2147" spans="1:15">
      <c r="A2147" s="71">
        <v>2024</v>
      </c>
      <c r="B2147" s="16" t="s">
        <v>1400</v>
      </c>
      <c r="C2147" s="62" t="s">
        <v>3038</v>
      </c>
      <c r="D2147" s="47" t="s">
        <v>323</v>
      </c>
      <c r="E2147" s="47" t="s">
        <v>3039</v>
      </c>
      <c r="F2147" s="99">
        <v>48</v>
      </c>
      <c r="G2147" s="42" t="s">
        <v>588</v>
      </c>
      <c r="H2147" s="44">
        <v>858</v>
      </c>
      <c r="I2147" s="49">
        <f t="shared" si="139"/>
        <v>41184</v>
      </c>
      <c r="J2147" s="544">
        <v>535</v>
      </c>
      <c r="K2147" s="529">
        <f t="shared" si="141"/>
        <v>323</v>
      </c>
      <c r="L2147" s="530">
        <f t="shared" si="140"/>
        <v>15504</v>
      </c>
      <c r="M2147" s="536">
        <f t="shared" si="142"/>
        <v>0.37645687645687648</v>
      </c>
      <c r="N2147" s="64" t="s">
        <v>22</v>
      </c>
      <c r="O2147" s="47" t="s">
        <v>21</v>
      </c>
    </row>
    <row r="2148" spans="1:15">
      <c r="A2148" s="71">
        <v>2024</v>
      </c>
      <c r="B2148" s="16" t="s">
        <v>1400</v>
      </c>
      <c r="C2148" s="62" t="s">
        <v>3038</v>
      </c>
      <c r="D2148" s="47" t="s">
        <v>323</v>
      </c>
      <c r="E2148" s="47" t="s">
        <v>3040</v>
      </c>
      <c r="F2148" s="99">
        <v>6</v>
      </c>
      <c r="G2148" s="42" t="s">
        <v>588</v>
      </c>
      <c r="H2148" s="44">
        <v>590</v>
      </c>
      <c r="I2148" s="49">
        <f t="shared" si="139"/>
        <v>3540</v>
      </c>
      <c r="J2148" s="544">
        <v>560</v>
      </c>
      <c r="K2148" s="529">
        <f t="shared" si="141"/>
        <v>30</v>
      </c>
      <c r="L2148" s="530">
        <f t="shared" si="140"/>
        <v>180</v>
      </c>
      <c r="M2148" s="536">
        <f t="shared" si="142"/>
        <v>5.0847457627118647E-2</v>
      </c>
      <c r="N2148" s="64" t="s">
        <v>22</v>
      </c>
      <c r="O2148" s="47" t="s">
        <v>21</v>
      </c>
    </row>
    <row r="2149" spans="1:15">
      <c r="A2149" s="71">
        <v>2024</v>
      </c>
      <c r="B2149" s="16" t="s">
        <v>1400</v>
      </c>
      <c r="C2149" s="62" t="s">
        <v>3041</v>
      </c>
      <c r="D2149" s="47" t="s">
        <v>2294</v>
      </c>
      <c r="E2149" s="47" t="s">
        <v>3042</v>
      </c>
      <c r="F2149" s="99">
        <v>1</v>
      </c>
      <c r="G2149" s="42" t="s">
        <v>285</v>
      </c>
      <c r="H2149" s="44">
        <v>56100</v>
      </c>
      <c r="I2149" s="49">
        <f t="shared" si="139"/>
        <v>56100</v>
      </c>
      <c r="J2149" s="544">
        <v>55000</v>
      </c>
      <c r="K2149" s="529">
        <f t="shared" si="141"/>
        <v>1100</v>
      </c>
      <c r="L2149" s="530">
        <f t="shared" si="140"/>
        <v>1100</v>
      </c>
      <c r="M2149" s="536">
        <f t="shared" si="142"/>
        <v>1.9607843137254902E-2</v>
      </c>
      <c r="N2149" s="64" t="s">
        <v>38</v>
      </c>
      <c r="O2149" s="47" t="s">
        <v>21</v>
      </c>
    </row>
    <row r="2150" spans="1:15">
      <c r="A2150" s="71">
        <v>2024</v>
      </c>
      <c r="B2150" s="16" t="s">
        <v>1400</v>
      </c>
      <c r="C2150" s="62" t="s">
        <v>3043</v>
      </c>
      <c r="D2150" s="47" t="s">
        <v>2610</v>
      </c>
      <c r="E2150" s="47" t="s">
        <v>3044</v>
      </c>
      <c r="F2150" s="99">
        <v>1</v>
      </c>
      <c r="G2150" s="42" t="s">
        <v>19</v>
      </c>
      <c r="H2150" s="44">
        <v>9100</v>
      </c>
      <c r="I2150" s="49">
        <f t="shared" si="139"/>
        <v>9100</v>
      </c>
      <c r="J2150" s="544">
        <v>7906.43</v>
      </c>
      <c r="K2150" s="529">
        <f t="shared" si="141"/>
        <v>1193.5699999999997</v>
      </c>
      <c r="L2150" s="530">
        <f t="shared" si="140"/>
        <v>1193.5699999999997</v>
      </c>
      <c r="M2150" s="536">
        <f t="shared" si="142"/>
        <v>0.13116153846153844</v>
      </c>
      <c r="N2150" s="64" t="s">
        <v>22</v>
      </c>
      <c r="O2150" s="47" t="s">
        <v>21</v>
      </c>
    </row>
    <row r="2151" spans="1:15">
      <c r="A2151" s="71">
        <v>2024</v>
      </c>
      <c r="B2151" s="16" t="s">
        <v>1400</v>
      </c>
      <c r="C2151" s="62" t="s">
        <v>3045</v>
      </c>
      <c r="D2151" s="47" t="s">
        <v>1948</v>
      </c>
      <c r="E2151" s="47" t="s">
        <v>3046</v>
      </c>
      <c r="F2151" s="99">
        <v>5</v>
      </c>
      <c r="G2151" s="42" t="s">
        <v>19</v>
      </c>
      <c r="H2151" s="44">
        <v>185</v>
      </c>
      <c r="I2151" s="49">
        <f t="shared" si="139"/>
        <v>925</v>
      </c>
      <c r="J2151" s="544">
        <v>165.75</v>
      </c>
      <c r="K2151" s="529">
        <f t="shared" si="141"/>
        <v>19.25</v>
      </c>
      <c r="L2151" s="530">
        <f t="shared" si="140"/>
        <v>96.25</v>
      </c>
      <c r="M2151" s="536">
        <f t="shared" si="142"/>
        <v>0.10405405405405406</v>
      </c>
      <c r="N2151" s="64" t="s">
        <v>22</v>
      </c>
      <c r="O2151" s="47" t="s">
        <v>21</v>
      </c>
    </row>
    <row r="2152" spans="1:15">
      <c r="A2152" s="71">
        <v>2024</v>
      </c>
      <c r="B2152" s="16" t="s">
        <v>1400</v>
      </c>
      <c r="C2152" s="62" t="s">
        <v>3045</v>
      </c>
      <c r="D2152" s="47" t="s">
        <v>1948</v>
      </c>
      <c r="E2152" s="47" t="s">
        <v>3047</v>
      </c>
      <c r="F2152" s="99">
        <v>1</v>
      </c>
      <c r="G2152" s="42" t="s">
        <v>19</v>
      </c>
      <c r="H2152" s="44">
        <v>8400</v>
      </c>
      <c r="I2152" s="49">
        <f t="shared" si="139"/>
        <v>8400</v>
      </c>
      <c r="J2152" s="544">
        <v>6468</v>
      </c>
      <c r="K2152" s="529">
        <f t="shared" si="141"/>
        <v>1932</v>
      </c>
      <c r="L2152" s="530">
        <f t="shared" si="140"/>
        <v>1932</v>
      </c>
      <c r="M2152" s="536">
        <f t="shared" si="142"/>
        <v>0.23</v>
      </c>
      <c r="N2152" s="64" t="s">
        <v>22</v>
      </c>
      <c r="O2152" s="47" t="s">
        <v>21</v>
      </c>
    </row>
    <row r="2153" spans="1:15">
      <c r="A2153" s="71">
        <v>2024</v>
      </c>
      <c r="B2153" s="16" t="s">
        <v>1400</v>
      </c>
      <c r="C2153" s="62" t="s">
        <v>3048</v>
      </c>
      <c r="D2153" s="47" t="s">
        <v>3049</v>
      </c>
      <c r="E2153" s="47" t="s">
        <v>3050</v>
      </c>
      <c r="F2153" s="99">
        <v>8</v>
      </c>
      <c r="G2153" s="42" t="s">
        <v>19</v>
      </c>
      <c r="H2153" s="44">
        <v>1180</v>
      </c>
      <c r="I2153" s="49">
        <f t="shared" si="139"/>
        <v>9440</v>
      </c>
      <c r="J2153" s="544">
        <v>980</v>
      </c>
      <c r="K2153" s="529">
        <f t="shared" si="141"/>
        <v>200</v>
      </c>
      <c r="L2153" s="530">
        <f t="shared" si="140"/>
        <v>1600</v>
      </c>
      <c r="M2153" s="536">
        <f t="shared" si="142"/>
        <v>0.16949152542372881</v>
      </c>
      <c r="N2153" s="64" t="s">
        <v>20</v>
      </c>
      <c r="O2153" s="47" t="s">
        <v>21</v>
      </c>
    </row>
    <row r="2154" spans="1:15">
      <c r="A2154" s="71">
        <v>2024</v>
      </c>
      <c r="B2154" s="16" t="s">
        <v>1400</v>
      </c>
      <c r="C2154" s="62" t="s">
        <v>3048</v>
      </c>
      <c r="D2154" s="47" t="s">
        <v>3049</v>
      </c>
      <c r="E2154" s="47" t="s">
        <v>3051</v>
      </c>
      <c r="F2154" s="99">
        <v>6</v>
      </c>
      <c r="G2154" s="42" t="s">
        <v>19</v>
      </c>
      <c r="H2154" s="44">
        <v>1180</v>
      </c>
      <c r="I2154" s="49">
        <f t="shared" si="139"/>
        <v>7080</v>
      </c>
      <c r="J2154" s="544">
        <v>980</v>
      </c>
      <c r="K2154" s="529">
        <f t="shared" si="141"/>
        <v>200</v>
      </c>
      <c r="L2154" s="530">
        <f t="shared" si="140"/>
        <v>1200</v>
      </c>
      <c r="M2154" s="536">
        <f t="shared" si="142"/>
        <v>0.16949152542372881</v>
      </c>
      <c r="N2154" s="64" t="s">
        <v>20</v>
      </c>
      <c r="O2154" s="47" t="s">
        <v>21</v>
      </c>
    </row>
    <row r="2155" spans="1:15">
      <c r="A2155" s="71">
        <v>2024</v>
      </c>
      <c r="B2155" s="16" t="s">
        <v>1400</v>
      </c>
      <c r="C2155" s="62" t="s">
        <v>3052</v>
      </c>
      <c r="D2155" s="47" t="s">
        <v>1101</v>
      </c>
      <c r="E2155" s="47" t="s">
        <v>3053</v>
      </c>
      <c r="F2155" s="99">
        <v>1120</v>
      </c>
      <c r="G2155" s="42" t="s">
        <v>19</v>
      </c>
      <c r="H2155" s="44">
        <v>16</v>
      </c>
      <c r="I2155" s="49">
        <f t="shared" si="139"/>
        <v>17920</v>
      </c>
      <c r="J2155" s="544">
        <v>15</v>
      </c>
      <c r="K2155" s="529">
        <f t="shared" si="141"/>
        <v>1</v>
      </c>
      <c r="L2155" s="530">
        <f t="shared" si="140"/>
        <v>1120</v>
      </c>
      <c r="M2155" s="536">
        <f t="shared" si="142"/>
        <v>6.25E-2</v>
      </c>
      <c r="N2155" s="64" t="s">
        <v>38</v>
      </c>
      <c r="O2155" s="47" t="s">
        <v>21</v>
      </c>
    </row>
    <row r="2156" spans="1:15">
      <c r="A2156" s="71">
        <v>2024</v>
      </c>
      <c r="B2156" s="16" t="s">
        <v>1400</v>
      </c>
      <c r="C2156" s="62" t="s">
        <v>3054</v>
      </c>
      <c r="D2156" s="47" t="s">
        <v>200</v>
      </c>
      <c r="E2156" s="47" t="s">
        <v>2111</v>
      </c>
      <c r="F2156" s="99">
        <v>2</v>
      </c>
      <c r="G2156" s="42" t="s">
        <v>302</v>
      </c>
      <c r="H2156" s="44">
        <v>9650</v>
      </c>
      <c r="I2156" s="49">
        <f t="shared" si="139"/>
        <v>19300</v>
      </c>
      <c r="J2156" s="544">
        <v>9600</v>
      </c>
      <c r="K2156" s="529">
        <f t="shared" si="141"/>
        <v>50</v>
      </c>
      <c r="L2156" s="530">
        <f t="shared" si="140"/>
        <v>100</v>
      </c>
      <c r="M2156" s="536">
        <f t="shared" si="142"/>
        <v>5.1813471502590676E-3</v>
      </c>
      <c r="N2156" s="64" t="s">
        <v>22</v>
      </c>
      <c r="O2156" s="47" t="s">
        <v>39</v>
      </c>
    </row>
    <row r="2157" spans="1:15">
      <c r="A2157" s="71">
        <v>2024</v>
      </c>
      <c r="B2157" s="16" t="s">
        <v>1400</v>
      </c>
      <c r="C2157" s="62" t="s">
        <v>3055</v>
      </c>
      <c r="D2157" s="47" t="s">
        <v>200</v>
      </c>
      <c r="E2157" s="47" t="s">
        <v>2111</v>
      </c>
      <c r="F2157" s="99">
        <v>2</v>
      </c>
      <c r="G2157" s="42" t="s">
        <v>302</v>
      </c>
      <c r="H2157" s="44">
        <v>9650</v>
      </c>
      <c r="I2157" s="49">
        <f t="shared" ref="I2157:I2220" si="143">H2157*F2157</f>
        <v>19300</v>
      </c>
      <c r="J2157" s="544">
        <v>9600</v>
      </c>
      <c r="K2157" s="529">
        <f t="shared" si="141"/>
        <v>50</v>
      </c>
      <c r="L2157" s="530">
        <f t="shared" si="140"/>
        <v>100</v>
      </c>
      <c r="M2157" s="536">
        <f t="shared" si="142"/>
        <v>5.1813471502590676E-3</v>
      </c>
      <c r="N2157" s="64" t="s">
        <v>22</v>
      </c>
      <c r="O2157" s="47" t="s">
        <v>39</v>
      </c>
    </row>
    <row r="2158" spans="1:15">
      <c r="A2158" s="71">
        <v>2024</v>
      </c>
      <c r="B2158" s="16" t="s">
        <v>1400</v>
      </c>
      <c r="C2158" s="62" t="s">
        <v>3056</v>
      </c>
      <c r="D2158" s="47" t="s">
        <v>200</v>
      </c>
      <c r="E2158" s="47" t="s">
        <v>2111</v>
      </c>
      <c r="F2158" s="99">
        <v>12</v>
      </c>
      <c r="G2158" s="42" t="s">
        <v>302</v>
      </c>
      <c r="H2158" s="44">
        <v>9650</v>
      </c>
      <c r="I2158" s="49">
        <f t="shared" si="143"/>
        <v>115800</v>
      </c>
      <c r="J2158" s="544">
        <v>9600</v>
      </c>
      <c r="K2158" s="529">
        <f t="shared" si="141"/>
        <v>50</v>
      </c>
      <c r="L2158" s="530">
        <f t="shared" si="140"/>
        <v>600</v>
      </c>
      <c r="M2158" s="536">
        <f t="shared" si="142"/>
        <v>5.1813471502590676E-3</v>
      </c>
      <c r="N2158" s="64" t="s">
        <v>22</v>
      </c>
      <c r="O2158" s="32" t="s">
        <v>39</v>
      </c>
    </row>
    <row r="2159" spans="1:15">
      <c r="A2159" s="71">
        <v>2024</v>
      </c>
      <c r="B2159" s="16" t="s">
        <v>1400</v>
      </c>
      <c r="C2159" s="62" t="s">
        <v>3057</v>
      </c>
      <c r="D2159" s="47" t="s">
        <v>200</v>
      </c>
      <c r="E2159" s="47" t="s">
        <v>2111</v>
      </c>
      <c r="F2159" s="99">
        <v>2</v>
      </c>
      <c r="G2159" s="42" t="s">
        <v>302</v>
      </c>
      <c r="H2159" s="44">
        <v>9650</v>
      </c>
      <c r="I2159" s="49">
        <f t="shared" si="143"/>
        <v>19300</v>
      </c>
      <c r="J2159" s="544">
        <v>9600</v>
      </c>
      <c r="K2159" s="529">
        <f t="shared" si="141"/>
        <v>50</v>
      </c>
      <c r="L2159" s="530">
        <f t="shared" si="140"/>
        <v>100</v>
      </c>
      <c r="M2159" s="536">
        <f t="shared" si="142"/>
        <v>5.1813471502590676E-3</v>
      </c>
      <c r="N2159" s="64" t="s">
        <v>22</v>
      </c>
      <c r="O2159" s="32" t="s">
        <v>39</v>
      </c>
    </row>
    <row r="2160" spans="1:15">
      <c r="A2160" s="71">
        <v>2024</v>
      </c>
      <c r="B2160" s="16" t="s">
        <v>1400</v>
      </c>
      <c r="C2160" s="62" t="s">
        <v>3058</v>
      </c>
      <c r="D2160" s="47" t="s">
        <v>200</v>
      </c>
      <c r="E2160" s="47" t="s">
        <v>2111</v>
      </c>
      <c r="F2160" s="99">
        <v>2</v>
      </c>
      <c r="G2160" s="42" t="s">
        <v>302</v>
      </c>
      <c r="H2160" s="44">
        <v>9650</v>
      </c>
      <c r="I2160" s="49">
        <f t="shared" si="143"/>
        <v>19300</v>
      </c>
      <c r="J2160" s="544">
        <v>9600</v>
      </c>
      <c r="K2160" s="529">
        <f t="shared" si="141"/>
        <v>50</v>
      </c>
      <c r="L2160" s="530">
        <f t="shared" si="140"/>
        <v>100</v>
      </c>
      <c r="M2160" s="536">
        <f t="shared" si="142"/>
        <v>5.1813471502590676E-3</v>
      </c>
      <c r="N2160" s="64" t="s">
        <v>22</v>
      </c>
      <c r="O2160" s="32" t="s">
        <v>39</v>
      </c>
    </row>
    <row r="2161" spans="1:15">
      <c r="A2161" s="71">
        <v>2024</v>
      </c>
      <c r="B2161" s="16" t="s">
        <v>1400</v>
      </c>
      <c r="C2161" s="62" t="s">
        <v>3059</v>
      </c>
      <c r="D2161" s="47" t="s">
        <v>229</v>
      </c>
      <c r="E2161" s="47" t="s">
        <v>233</v>
      </c>
      <c r="F2161" s="99">
        <v>3000</v>
      </c>
      <c r="G2161" s="42" t="s">
        <v>37</v>
      </c>
      <c r="H2161" s="44">
        <v>30</v>
      </c>
      <c r="I2161" s="49">
        <f t="shared" si="143"/>
        <v>90000</v>
      </c>
      <c r="J2161" s="544">
        <v>28</v>
      </c>
      <c r="K2161" s="529">
        <f t="shared" si="141"/>
        <v>2</v>
      </c>
      <c r="L2161" s="530">
        <f t="shared" si="140"/>
        <v>6000</v>
      </c>
      <c r="M2161" s="536">
        <f t="shared" si="142"/>
        <v>6.6666666666666666E-2</v>
      </c>
      <c r="N2161" s="64" t="s">
        <v>22</v>
      </c>
      <c r="O2161" s="47" t="s">
        <v>39</v>
      </c>
    </row>
    <row r="2162" spans="1:15">
      <c r="A2162" s="71">
        <v>2024</v>
      </c>
      <c r="B2162" s="16" t="s">
        <v>1400</v>
      </c>
      <c r="C2162" s="62" t="s">
        <v>3059</v>
      </c>
      <c r="D2162" s="47" t="s">
        <v>229</v>
      </c>
      <c r="E2162" s="47" t="s">
        <v>230</v>
      </c>
      <c r="F2162" s="99">
        <v>6000</v>
      </c>
      <c r="G2162" s="42" t="s">
        <v>37</v>
      </c>
      <c r="H2162" s="44">
        <v>30</v>
      </c>
      <c r="I2162" s="49">
        <f t="shared" si="143"/>
        <v>180000</v>
      </c>
      <c r="J2162" s="544">
        <v>28</v>
      </c>
      <c r="K2162" s="529">
        <f t="shared" si="141"/>
        <v>2</v>
      </c>
      <c r="L2162" s="530">
        <f t="shared" si="140"/>
        <v>12000</v>
      </c>
      <c r="M2162" s="536">
        <f t="shared" si="142"/>
        <v>6.6666666666666666E-2</v>
      </c>
      <c r="N2162" s="64" t="s">
        <v>22</v>
      </c>
      <c r="O2162" s="47" t="s">
        <v>39</v>
      </c>
    </row>
    <row r="2163" spans="1:15">
      <c r="A2163" s="71">
        <v>2024</v>
      </c>
      <c r="B2163" s="16" t="s">
        <v>1400</v>
      </c>
      <c r="C2163" s="62" t="s">
        <v>3059</v>
      </c>
      <c r="D2163" s="47" t="s">
        <v>229</v>
      </c>
      <c r="E2163" s="47" t="s">
        <v>996</v>
      </c>
      <c r="F2163" s="99">
        <v>3000</v>
      </c>
      <c r="G2163" s="42" t="s">
        <v>37</v>
      </c>
      <c r="H2163" s="44">
        <v>30</v>
      </c>
      <c r="I2163" s="44">
        <f t="shared" si="143"/>
        <v>90000</v>
      </c>
      <c r="J2163" s="544">
        <v>28</v>
      </c>
      <c r="K2163" s="529">
        <f t="shared" si="141"/>
        <v>2</v>
      </c>
      <c r="L2163" s="530">
        <f t="shared" si="140"/>
        <v>6000</v>
      </c>
      <c r="M2163" s="536">
        <f t="shared" si="142"/>
        <v>6.6666666666666666E-2</v>
      </c>
      <c r="N2163" s="64" t="s">
        <v>22</v>
      </c>
      <c r="O2163" s="47" t="s">
        <v>39</v>
      </c>
    </row>
    <row r="2164" spans="1:15">
      <c r="A2164" s="71">
        <v>2024</v>
      </c>
      <c r="B2164" s="16" t="s">
        <v>1400</v>
      </c>
      <c r="C2164" s="62" t="s">
        <v>3059</v>
      </c>
      <c r="D2164" s="47" t="s">
        <v>229</v>
      </c>
      <c r="E2164" s="47" t="s">
        <v>275</v>
      </c>
      <c r="F2164" s="99">
        <v>3000</v>
      </c>
      <c r="G2164" s="42" t="s">
        <v>37</v>
      </c>
      <c r="H2164" s="44">
        <v>30</v>
      </c>
      <c r="I2164" s="44">
        <f t="shared" si="143"/>
        <v>90000</v>
      </c>
      <c r="J2164" s="544">
        <v>28</v>
      </c>
      <c r="K2164" s="529">
        <f t="shared" si="141"/>
        <v>2</v>
      </c>
      <c r="L2164" s="530">
        <f t="shared" si="140"/>
        <v>6000</v>
      </c>
      <c r="M2164" s="536">
        <f t="shared" si="142"/>
        <v>6.6666666666666666E-2</v>
      </c>
      <c r="N2164" s="64" t="s">
        <v>22</v>
      </c>
      <c r="O2164" s="47" t="s">
        <v>39</v>
      </c>
    </row>
    <row r="2165" spans="1:15">
      <c r="A2165" s="71">
        <v>2024</v>
      </c>
      <c r="B2165" s="16" t="s">
        <v>1400</v>
      </c>
      <c r="C2165" s="62" t="s">
        <v>3059</v>
      </c>
      <c r="D2165" s="47" t="s">
        <v>229</v>
      </c>
      <c r="E2165" s="47" t="s">
        <v>274</v>
      </c>
      <c r="F2165" s="99">
        <v>3000</v>
      </c>
      <c r="G2165" s="42" t="s">
        <v>37</v>
      </c>
      <c r="H2165" s="44">
        <v>30</v>
      </c>
      <c r="I2165" s="44">
        <f t="shared" si="143"/>
        <v>90000</v>
      </c>
      <c r="J2165" s="544">
        <v>28</v>
      </c>
      <c r="K2165" s="529">
        <f t="shared" si="141"/>
        <v>2</v>
      </c>
      <c r="L2165" s="530">
        <f t="shared" si="140"/>
        <v>6000</v>
      </c>
      <c r="M2165" s="536">
        <f t="shared" si="142"/>
        <v>6.6666666666666666E-2</v>
      </c>
      <c r="N2165" s="64" t="s">
        <v>22</v>
      </c>
      <c r="O2165" s="47" t="s">
        <v>39</v>
      </c>
    </row>
    <row r="2166" spans="1:15">
      <c r="A2166" s="71">
        <v>2024</v>
      </c>
      <c r="B2166" s="16" t="s">
        <v>1400</v>
      </c>
      <c r="C2166" s="62" t="s">
        <v>3059</v>
      </c>
      <c r="D2166" s="47" t="s">
        <v>229</v>
      </c>
      <c r="E2166" s="47" t="s">
        <v>333</v>
      </c>
      <c r="F2166" s="99">
        <v>3000</v>
      </c>
      <c r="G2166" s="42" t="s">
        <v>37</v>
      </c>
      <c r="H2166" s="44">
        <v>30</v>
      </c>
      <c r="I2166" s="44">
        <f t="shared" si="143"/>
        <v>90000</v>
      </c>
      <c r="J2166" s="544">
        <v>28</v>
      </c>
      <c r="K2166" s="529">
        <f t="shared" si="141"/>
        <v>2</v>
      </c>
      <c r="L2166" s="530">
        <f t="shared" si="140"/>
        <v>6000</v>
      </c>
      <c r="M2166" s="536">
        <f t="shared" si="142"/>
        <v>6.6666666666666666E-2</v>
      </c>
      <c r="N2166" s="64" t="s">
        <v>22</v>
      </c>
      <c r="O2166" s="47" t="s">
        <v>39</v>
      </c>
    </row>
    <row r="2167" spans="1:15">
      <c r="A2167" s="71">
        <v>2024</v>
      </c>
      <c r="B2167" s="16" t="s">
        <v>1400</v>
      </c>
      <c r="C2167" s="62" t="s">
        <v>3060</v>
      </c>
      <c r="D2167" s="47" t="s">
        <v>590</v>
      </c>
      <c r="E2167" s="47" t="s">
        <v>2111</v>
      </c>
      <c r="F2167" s="99">
        <v>2</v>
      </c>
      <c r="G2167" s="42" t="s">
        <v>302</v>
      </c>
      <c r="H2167" s="44">
        <v>10000</v>
      </c>
      <c r="I2167" s="44">
        <f t="shared" si="143"/>
        <v>20000</v>
      </c>
      <c r="J2167" s="544">
        <v>9600</v>
      </c>
      <c r="K2167" s="529">
        <f t="shared" si="141"/>
        <v>400</v>
      </c>
      <c r="L2167" s="530">
        <f t="shared" si="140"/>
        <v>800</v>
      </c>
      <c r="M2167" s="536">
        <f t="shared" si="142"/>
        <v>0.04</v>
      </c>
      <c r="N2167" s="64" t="s">
        <v>22</v>
      </c>
      <c r="O2167" s="47" t="s">
        <v>39</v>
      </c>
    </row>
    <row r="2168" spans="1:15">
      <c r="A2168" s="71">
        <v>2024</v>
      </c>
      <c r="B2168" s="16" t="s">
        <v>1400</v>
      </c>
      <c r="C2168" s="62" t="s">
        <v>2979</v>
      </c>
      <c r="D2168" s="47" t="s">
        <v>590</v>
      </c>
      <c r="E2168" s="47" t="s">
        <v>2111</v>
      </c>
      <c r="F2168" s="99">
        <v>1</v>
      </c>
      <c r="G2168" s="42" t="s">
        <v>302</v>
      </c>
      <c r="H2168" s="44">
        <v>10000</v>
      </c>
      <c r="I2168" s="44">
        <f t="shared" si="143"/>
        <v>10000</v>
      </c>
      <c r="J2168" s="544">
        <v>9600</v>
      </c>
      <c r="K2168" s="529">
        <f t="shared" si="141"/>
        <v>400</v>
      </c>
      <c r="L2168" s="530">
        <f t="shared" si="140"/>
        <v>400</v>
      </c>
      <c r="M2168" s="536">
        <f t="shared" si="142"/>
        <v>0.04</v>
      </c>
      <c r="N2168" s="64" t="s">
        <v>22</v>
      </c>
      <c r="O2168" s="47" t="s">
        <v>39</v>
      </c>
    </row>
    <row r="2169" spans="1:15">
      <c r="A2169" s="71">
        <v>2024</v>
      </c>
      <c r="B2169" s="16" t="s">
        <v>1400</v>
      </c>
      <c r="C2169" s="62" t="s">
        <v>3061</v>
      </c>
      <c r="D2169" s="47" t="s">
        <v>166</v>
      </c>
      <c r="E2169" s="88" t="s">
        <v>3062</v>
      </c>
      <c r="F2169" s="99">
        <v>18360</v>
      </c>
      <c r="G2169" s="42" t="s">
        <v>37</v>
      </c>
      <c r="H2169" s="44">
        <f>0.85*35</f>
        <v>29.75</v>
      </c>
      <c r="I2169" s="44">
        <f t="shared" si="143"/>
        <v>546210</v>
      </c>
      <c r="J2169" s="544">
        <f>0.775*35</f>
        <v>27.125</v>
      </c>
      <c r="K2169" s="529">
        <f t="shared" si="141"/>
        <v>2.625</v>
      </c>
      <c r="L2169" s="530">
        <f t="shared" si="140"/>
        <v>48195</v>
      </c>
      <c r="M2169" s="536">
        <f t="shared" si="142"/>
        <v>8.8235294117647065E-2</v>
      </c>
      <c r="N2169" s="64" t="s">
        <v>22</v>
      </c>
      <c r="O2169" s="47" t="s">
        <v>105</v>
      </c>
    </row>
    <row r="2170" spans="1:15">
      <c r="A2170" s="71">
        <v>2024</v>
      </c>
      <c r="B2170" s="16" t="s">
        <v>1400</v>
      </c>
      <c r="C2170" s="62"/>
      <c r="D2170" s="47" t="s">
        <v>3063</v>
      </c>
      <c r="E2170" s="88" t="s">
        <v>3064</v>
      </c>
      <c r="F2170" s="99">
        <v>1</v>
      </c>
      <c r="G2170" s="42" t="s">
        <v>59</v>
      </c>
      <c r="H2170" s="44"/>
      <c r="I2170" s="44">
        <f t="shared" si="143"/>
        <v>0</v>
      </c>
      <c r="J2170" s="544"/>
      <c r="K2170" s="529">
        <f t="shared" si="141"/>
        <v>0</v>
      </c>
      <c r="L2170" s="530">
        <v>6664.708333333333</v>
      </c>
      <c r="M2170" s="536" t="e">
        <f t="shared" si="142"/>
        <v>#DIV/0!</v>
      </c>
      <c r="N2170" s="64" t="s">
        <v>30</v>
      </c>
      <c r="O2170" s="47" t="s">
        <v>39</v>
      </c>
    </row>
    <row r="2171" spans="1:15">
      <c r="A2171" s="71">
        <v>2024</v>
      </c>
      <c r="B2171" s="16" t="s">
        <v>1400</v>
      </c>
      <c r="C2171" s="62" t="s">
        <v>2968</v>
      </c>
      <c r="D2171" s="47" t="s">
        <v>1430</v>
      </c>
      <c r="E2171" s="88" t="s">
        <v>859</v>
      </c>
      <c r="F2171" s="99">
        <v>3400</v>
      </c>
      <c r="G2171" s="42" t="s">
        <v>337</v>
      </c>
      <c r="H2171" s="44">
        <v>90</v>
      </c>
      <c r="I2171" s="44">
        <f t="shared" si="143"/>
        <v>306000</v>
      </c>
      <c r="J2171" s="544">
        <v>89.5</v>
      </c>
      <c r="K2171" s="529">
        <f t="shared" si="141"/>
        <v>0.5</v>
      </c>
      <c r="L2171" s="530">
        <f t="shared" ref="L2171:L2234" si="144">K2171*F2171</f>
        <v>1700</v>
      </c>
      <c r="M2171" s="536">
        <f t="shared" si="142"/>
        <v>5.5555555555555558E-3</v>
      </c>
      <c r="N2171" s="64" t="s">
        <v>22</v>
      </c>
      <c r="O2171" s="47" t="s">
        <v>39</v>
      </c>
    </row>
    <row r="2172" spans="1:15">
      <c r="A2172" s="70">
        <v>2025</v>
      </c>
      <c r="B2172" s="424" t="s">
        <v>15</v>
      </c>
      <c r="C2172" s="62" t="s">
        <v>3065</v>
      </c>
      <c r="D2172" s="47" t="s">
        <v>501</v>
      </c>
      <c r="E2172" s="47" t="s">
        <v>503</v>
      </c>
      <c r="F2172" s="99">
        <v>80000</v>
      </c>
      <c r="G2172" s="488" t="s">
        <v>231</v>
      </c>
      <c r="H2172" s="502">
        <v>75.5</v>
      </c>
      <c r="I2172" s="502">
        <f t="shared" si="143"/>
        <v>6040000</v>
      </c>
      <c r="J2172" s="529">
        <v>75</v>
      </c>
      <c r="K2172" s="529">
        <f t="shared" si="141"/>
        <v>0.5</v>
      </c>
      <c r="L2172" s="530">
        <f t="shared" si="144"/>
        <v>40000</v>
      </c>
      <c r="M2172" s="536">
        <f t="shared" si="142"/>
        <v>6.6225165562913907E-3</v>
      </c>
      <c r="N2172" s="47" t="s">
        <v>22</v>
      </c>
      <c r="O2172" s="47" t="s">
        <v>39</v>
      </c>
    </row>
    <row r="2173" spans="1:15">
      <c r="A2173" s="70">
        <v>2025</v>
      </c>
      <c r="B2173" s="16" t="s">
        <v>15</v>
      </c>
      <c r="C2173" s="62" t="s">
        <v>3066</v>
      </c>
      <c r="D2173" s="47" t="s">
        <v>1227</v>
      </c>
      <c r="E2173" s="47" t="s">
        <v>1230</v>
      </c>
      <c r="F2173" s="99">
        <v>500</v>
      </c>
      <c r="G2173" s="42" t="s">
        <v>19</v>
      </c>
      <c r="H2173" s="44">
        <v>89</v>
      </c>
      <c r="I2173" s="502">
        <f t="shared" si="143"/>
        <v>44500</v>
      </c>
      <c r="J2173" s="529">
        <v>87</v>
      </c>
      <c r="K2173" s="529">
        <f t="shared" si="141"/>
        <v>2</v>
      </c>
      <c r="L2173" s="530">
        <f t="shared" si="144"/>
        <v>1000</v>
      </c>
      <c r="M2173" s="536">
        <f t="shared" si="142"/>
        <v>2.247191011235955E-2</v>
      </c>
      <c r="N2173" s="47" t="s">
        <v>40</v>
      </c>
      <c r="O2173" s="47" t="s">
        <v>39</v>
      </c>
    </row>
    <row r="2174" spans="1:15">
      <c r="A2174" s="70">
        <v>2025</v>
      </c>
      <c r="B2174" s="16" t="s">
        <v>15</v>
      </c>
      <c r="C2174" s="62" t="s">
        <v>3066</v>
      </c>
      <c r="D2174" s="47" t="s">
        <v>1227</v>
      </c>
      <c r="E2174" s="47" t="s">
        <v>3067</v>
      </c>
      <c r="F2174" s="99">
        <v>40</v>
      </c>
      <c r="G2174" s="42" t="s">
        <v>19</v>
      </c>
      <c r="H2174" s="44">
        <v>4980</v>
      </c>
      <c r="I2174" s="502">
        <f t="shared" si="143"/>
        <v>199200</v>
      </c>
      <c r="J2174" s="529">
        <v>4960</v>
      </c>
      <c r="K2174" s="529">
        <f t="shared" si="141"/>
        <v>20</v>
      </c>
      <c r="L2174" s="530">
        <f t="shared" si="144"/>
        <v>800</v>
      </c>
      <c r="M2174" s="536">
        <f t="shared" si="142"/>
        <v>4.0160642570281121E-3</v>
      </c>
      <c r="N2174" s="47" t="s">
        <v>40</v>
      </c>
      <c r="O2174" s="47" t="s">
        <v>39</v>
      </c>
    </row>
    <row r="2175" spans="1:15">
      <c r="A2175" s="70">
        <v>2025</v>
      </c>
      <c r="B2175" s="16" t="s">
        <v>15</v>
      </c>
      <c r="C2175" s="62" t="s">
        <v>3066</v>
      </c>
      <c r="D2175" s="47" t="s">
        <v>1227</v>
      </c>
      <c r="E2175" s="47" t="s">
        <v>3068</v>
      </c>
      <c r="F2175" s="99">
        <v>4</v>
      </c>
      <c r="G2175" s="42" t="s">
        <v>19</v>
      </c>
      <c r="H2175" s="44">
        <v>475</v>
      </c>
      <c r="I2175" s="502">
        <f t="shared" si="143"/>
        <v>1900</v>
      </c>
      <c r="J2175" s="529">
        <v>465</v>
      </c>
      <c r="K2175" s="529">
        <f t="shared" si="141"/>
        <v>10</v>
      </c>
      <c r="L2175" s="530">
        <f t="shared" si="144"/>
        <v>40</v>
      </c>
      <c r="M2175" s="536">
        <f t="shared" si="142"/>
        <v>2.1052631578947368E-2</v>
      </c>
      <c r="N2175" s="47" t="s">
        <v>40</v>
      </c>
      <c r="O2175" s="47" t="s">
        <v>39</v>
      </c>
    </row>
    <row r="2176" spans="1:15">
      <c r="A2176" s="70">
        <v>2025</v>
      </c>
      <c r="B2176" s="16" t="s">
        <v>15</v>
      </c>
      <c r="C2176" s="62" t="s">
        <v>3066</v>
      </c>
      <c r="D2176" s="47" t="s">
        <v>1227</v>
      </c>
      <c r="E2176" s="47" t="s">
        <v>3069</v>
      </c>
      <c r="F2176" s="99">
        <v>4</v>
      </c>
      <c r="G2176" s="42" t="s">
        <v>19</v>
      </c>
      <c r="H2176" s="44">
        <v>6850</v>
      </c>
      <c r="I2176" s="502">
        <f t="shared" si="143"/>
        <v>27400</v>
      </c>
      <c r="J2176" s="529">
        <v>6680</v>
      </c>
      <c r="K2176" s="529">
        <f t="shared" si="141"/>
        <v>170</v>
      </c>
      <c r="L2176" s="530">
        <f t="shared" si="144"/>
        <v>680</v>
      </c>
      <c r="M2176" s="536">
        <f t="shared" si="142"/>
        <v>2.4817518248175182E-2</v>
      </c>
      <c r="N2176" s="47" t="s">
        <v>40</v>
      </c>
      <c r="O2176" s="47" t="s">
        <v>39</v>
      </c>
    </row>
    <row r="2177" spans="1:15">
      <c r="A2177" s="70">
        <v>2025</v>
      </c>
      <c r="B2177" s="16" t="s">
        <v>15</v>
      </c>
      <c r="C2177" s="62" t="s">
        <v>3070</v>
      </c>
      <c r="D2177" s="47" t="s">
        <v>1042</v>
      </c>
      <c r="E2177" s="47" t="s">
        <v>889</v>
      </c>
      <c r="F2177" s="99">
        <v>580</v>
      </c>
      <c r="G2177" s="42" t="s">
        <v>37</v>
      </c>
      <c r="H2177" s="44">
        <v>378</v>
      </c>
      <c r="I2177" s="502">
        <f t="shared" si="143"/>
        <v>219240</v>
      </c>
      <c r="J2177" s="529">
        <v>348</v>
      </c>
      <c r="K2177" s="529">
        <f t="shared" si="141"/>
        <v>30</v>
      </c>
      <c r="L2177" s="530">
        <f t="shared" si="144"/>
        <v>17400</v>
      </c>
      <c r="M2177" s="536">
        <f t="shared" si="142"/>
        <v>7.9365079365079361E-2</v>
      </c>
      <c r="N2177" s="47" t="s">
        <v>22</v>
      </c>
      <c r="O2177" s="47" t="s">
        <v>105</v>
      </c>
    </row>
    <row r="2178" spans="1:15">
      <c r="A2178" s="70">
        <v>2025</v>
      </c>
      <c r="B2178" s="16" t="s">
        <v>15</v>
      </c>
      <c r="C2178" s="62" t="s">
        <v>3071</v>
      </c>
      <c r="D2178" s="47" t="s">
        <v>590</v>
      </c>
      <c r="E2178" s="47" t="s">
        <v>3072</v>
      </c>
      <c r="F2178" s="99">
        <v>8</v>
      </c>
      <c r="G2178" s="42" t="s">
        <v>63</v>
      </c>
      <c r="H2178" s="44">
        <v>129000</v>
      </c>
      <c r="I2178" s="502">
        <f t="shared" si="143"/>
        <v>1032000</v>
      </c>
      <c r="J2178" s="529">
        <v>125000</v>
      </c>
      <c r="K2178" s="529">
        <f t="shared" si="141"/>
        <v>4000</v>
      </c>
      <c r="L2178" s="530">
        <f t="shared" si="144"/>
        <v>32000</v>
      </c>
      <c r="M2178" s="536">
        <f t="shared" si="142"/>
        <v>3.1007751937984496E-2</v>
      </c>
      <c r="N2178" s="47" t="s">
        <v>22</v>
      </c>
      <c r="O2178" s="47" t="s">
        <v>39</v>
      </c>
    </row>
    <row r="2179" spans="1:15">
      <c r="A2179" s="70">
        <v>2025</v>
      </c>
      <c r="B2179" s="16" t="s">
        <v>15</v>
      </c>
      <c r="C2179" s="62" t="s">
        <v>3073</v>
      </c>
      <c r="D2179" s="47" t="s">
        <v>329</v>
      </c>
      <c r="E2179" s="47" t="s">
        <v>379</v>
      </c>
      <c r="F2179" s="99">
        <v>20</v>
      </c>
      <c r="G2179" s="42" t="s">
        <v>331</v>
      </c>
      <c r="H2179" s="44">
        <v>3195</v>
      </c>
      <c r="I2179" s="502">
        <f t="shared" si="143"/>
        <v>63900</v>
      </c>
      <c r="J2179" s="529">
        <v>3190</v>
      </c>
      <c r="K2179" s="529">
        <f t="shared" ref="K2179:K2242" si="145">H2179-J2179</f>
        <v>5</v>
      </c>
      <c r="L2179" s="530">
        <f t="shared" si="144"/>
        <v>100</v>
      </c>
      <c r="M2179" s="536">
        <f t="shared" ref="M2179:M2242" si="146">K2179/H2179</f>
        <v>1.5649452269170579E-3</v>
      </c>
      <c r="N2179" s="47" t="s">
        <v>22</v>
      </c>
      <c r="O2179" s="47" t="s">
        <v>39</v>
      </c>
    </row>
    <row r="2180" spans="1:15">
      <c r="A2180" s="70">
        <v>2025</v>
      </c>
      <c r="B2180" s="16" t="s">
        <v>15</v>
      </c>
      <c r="C2180" s="62" t="s">
        <v>3073</v>
      </c>
      <c r="D2180" s="47" t="s">
        <v>329</v>
      </c>
      <c r="E2180" s="47" t="s">
        <v>702</v>
      </c>
      <c r="F2180" s="99">
        <v>2</v>
      </c>
      <c r="G2180" s="42" t="s">
        <v>331</v>
      </c>
      <c r="H2180" s="44">
        <v>4730</v>
      </c>
      <c r="I2180" s="502">
        <f t="shared" si="143"/>
        <v>9460</v>
      </c>
      <c r="J2180" s="529">
        <v>4695</v>
      </c>
      <c r="K2180" s="529">
        <f t="shared" si="145"/>
        <v>35</v>
      </c>
      <c r="L2180" s="530">
        <f t="shared" si="144"/>
        <v>70</v>
      </c>
      <c r="M2180" s="536">
        <f t="shared" si="146"/>
        <v>7.3995771670190271E-3</v>
      </c>
      <c r="N2180" s="47" t="s">
        <v>22</v>
      </c>
      <c r="O2180" s="47" t="s">
        <v>39</v>
      </c>
    </row>
    <row r="2181" spans="1:15">
      <c r="A2181" s="70">
        <v>2025</v>
      </c>
      <c r="B2181" s="16" t="s">
        <v>15</v>
      </c>
      <c r="C2181" s="62" t="s">
        <v>3074</v>
      </c>
      <c r="D2181" s="47" t="s">
        <v>94</v>
      </c>
      <c r="E2181" s="47" t="s">
        <v>1038</v>
      </c>
      <c r="F2181" s="99">
        <v>200</v>
      </c>
      <c r="G2181" s="42" t="s">
        <v>19</v>
      </c>
      <c r="H2181" s="44">
        <v>15.5</v>
      </c>
      <c r="I2181" s="502">
        <f t="shared" si="143"/>
        <v>3100</v>
      </c>
      <c r="J2181" s="529">
        <v>14.76</v>
      </c>
      <c r="K2181" s="529">
        <f t="shared" si="145"/>
        <v>0.74000000000000021</v>
      </c>
      <c r="L2181" s="530">
        <f t="shared" si="144"/>
        <v>148.00000000000006</v>
      </c>
      <c r="M2181" s="536">
        <f t="shared" si="146"/>
        <v>4.7741935483870984E-2</v>
      </c>
      <c r="N2181" s="47" t="s">
        <v>22</v>
      </c>
      <c r="O2181" s="47" t="s">
        <v>105</v>
      </c>
    </row>
    <row r="2182" spans="1:15">
      <c r="A2182" s="70">
        <v>2025</v>
      </c>
      <c r="B2182" s="16" t="s">
        <v>15</v>
      </c>
      <c r="C2182" s="62" t="s">
        <v>3074</v>
      </c>
      <c r="D2182" s="47" t="s">
        <v>94</v>
      </c>
      <c r="E2182" s="47" t="s">
        <v>1147</v>
      </c>
      <c r="F2182" s="99">
        <v>50</v>
      </c>
      <c r="G2182" s="42" t="s">
        <v>615</v>
      </c>
      <c r="H2182" s="44">
        <v>155</v>
      </c>
      <c r="I2182" s="502">
        <f t="shared" si="143"/>
        <v>7750</v>
      </c>
      <c r="J2182" s="529">
        <v>152</v>
      </c>
      <c r="K2182" s="529">
        <f t="shared" si="145"/>
        <v>3</v>
      </c>
      <c r="L2182" s="530">
        <f t="shared" si="144"/>
        <v>150</v>
      </c>
      <c r="M2182" s="536">
        <f t="shared" si="146"/>
        <v>1.935483870967742E-2</v>
      </c>
      <c r="N2182" s="47" t="s">
        <v>22</v>
      </c>
      <c r="O2182" s="47" t="s">
        <v>105</v>
      </c>
    </row>
    <row r="2183" spans="1:15">
      <c r="A2183" s="70">
        <v>2025</v>
      </c>
      <c r="B2183" s="16" t="s">
        <v>15</v>
      </c>
      <c r="C2183" s="62" t="s">
        <v>3075</v>
      </c>
      <c r="D2183" s="47" t="s">
        <v>229</v>
      </c>
      <c r="E2183" s="47" t="s">
        <v>2255</v>
      </c>
      <c r="F2183" s="99">
        <v>3000</v>
      </c>
      <c r="G2183" s="42" t="s">
        <v>37</v>
      </c>
      <c r="H2183" s="44">
        <v>30</v>
      </c>
      <c r="I2183" s="502">
        <f t="shared" si="143"/>
        <v>90000</v>
      </c>
      <c r="J2183" s="529">
        <v>28</v>
      </c>
      <c r="K2183" s="529">
        <f t="shared" si="145"/>
        <v>2</v>
      </c>
      <c r="L2183" s="530">
        <f t="shared" si="144"/>
        <v>6000</v>
      </c>
      <c r="M2183" s="536">
        <f t="shared" si="146"/>
        <v>6.6666666666666666E-2</v>
      </c>
      <c r="N2183" s="47" t="s">
        <v>22</v>
      </c>
      <c r="O2183" s="47" t="s">
        <v>39</v>
      </c>
    </row>
    <row r="2184" spans="1:15">
      <c r="A2184" s="70">
        <v>2025</v>
      </c>
      <c r="B2184" s="16" t="s">
        <v>15</v>
      </c>
      <c r="C2184" s="62" t="s">
        <v>3075</v>
      </c>
      <c r="D2184" s="47" t="s">
        <v>229</v>
      </c>
      <c r="E2184" s="47" t="s">
        <v>274</v>
      </c>
      <c r="F2184" s="99">
        <v>3000</v>
      </c>
      <c r="G2184" s="42" t="s">
        <v>37</v>
      </c>
      <c r="H2184" s="44">
        <v>30</v>
      </c>
      <c r="I2184" s="502">
        <f t="shared" si="143"/>
        <v>90000</v>
      </c>
      <c r="J2184" s="529">
        <v>28</v>
      </c>
      <c r="K2184" s="529">
        <f t="shared" si="145"/>
        <v>2</v>
      </c>
      <c r="L2184" s="530">
        <f t="shared" si="144"/>
        <v>6000</v>
      </c>
      <c r="M2184" s="536">
        <f t="shared" si="146"/>
        <v>6.6666666666666666E-2</v>
      </c>
      <c r="N2184" s="47" t="s">
        <v>22</v>
      </c>
      <c r="O2184" s="47" t="s">
        <v>39</v>
      </c>
    </row>
    <row r="2185" spans="1:15">
      <c r="A2185" s="70">
        <v>2025</v>
      </c>
      <c r="B2185" s="16" t="s">
        <v>15</v>
      </c>
      <c r="C2185" s="62" t="s">
        <v>3075</v>
      </c>
      <c r="D2185" s="47" t="s">
        <v>229</v>
      </c>
      <c r="E2185" s="47" t="s">
        <v>996</v>
      </c>
      <c r="F2185" s="99">
        <v>3000</v>
      </c>
      <c r="G2185" s="42" t="s">
        <v>37</v>
      </c>
      <c r="H2185" s="44">
        <v>30</v>
      </c>
      <c r="I2185" s="502">
        <f t="shared" si="143"/>
        <v>90000</v>
      </c>
      <c r="J2185" s="529">
        <v>28</v>
      </c>
      <c r="K2185" s="529">
        <f t="shared" si="145"/>
        <v>2</v>
      </c>
      <c r="L2185" s="530">
        <f t="shared" si="144"/>
        <v>6000</v>
      </c>
      <c r="M2185" s="536">
        <f t="shared" si="146"/>
        <v>6.6666666666666666E-2</v>
      </c>
      <c r="N2185" s="47" t="s">
        <v>22</v>
      </c>
      <c r="O2185" s="47" t="s">
        <v>39</v>
      </c>
    </row>
    <row r="2186" spans="1:15">
      <c r="A2186" s="70">
        <v>2025</v>
      </c>
      <c r="B2186" s="16" t="s">
        <v>15</v>
      </c>
      <c r="C2186" s="62" t="s">
        <v>3075</v>
      </c>
      <c r="D2186" s="47" t="s">
        <v>229</v>
      </c>
      <c r="E2186" s="47" t="s">
        <v>233</v>
      </c>
      <c r="F2186" s="99">
        <v>6000</v>
      </c>
      <c r="G2186" s="42" t="s">
        <v>37</v>
      </c>
      <c r="H2186" s="44">
        <v>30</v>
      </c>
      <c r="I2186" s="502">
        <f t="shared" si="143"/>
        <v>180000</v>
      </c>
      <c r="J2186" s="529">
        <v>28</v>
      </c>
      <c r="K2186" s="529">
        <f t="shared" si="145"/>
        <v>2</v>
      </c>
      <c r="L2186" s="530">
        <f t="shared" si="144"/>
        <v>12000</v>
      </c>
      <c r="M2186" s="536">
        <f t="shared" si="146"/>
        <v>6.6666666666666666E-2</v>
      </c>
      <c r="N2186" s="47" t="s">
        <v>22</v>
      </c>
      <c r="O2186" s="47" t="s">
        <v>39</v>
      </c>
    </row>
    <row r="2187" spans="1:15">
      <c r="A2187" s="70">
        <v>2025</v>
      </c>
      <c r="B2187" s="16" t="s">
        <v>15</v>
      </c>
      <c r="C2187" s="62" t="s">
        <v>3076</v>
      </c>
      <c r="D2187" s="47" t="s">
        <v>270</v>
      </c>
      <c r="E2187" s="47" t="s">
        <v>962</v>
      </c>
      <c r="F2187" s="99">
        <v>578</v>
      </c>
      <c r="G2187" s="42" t="s">
        <v>37</v>
      </c>
      <c r="H2187" s="44">
        <v>375</v>
      </c>
      <c r="I2187" s="502">
        <f t="shared" si="143"/>
        <v>216750</v>
      </c>
      <c r="J2187" s="529">
        <v>355</v>
      </c>
      <c r="K2187" s="529">
        <f t="shared" si="145"/>
        <v>20</v>
      </c>
      <c r="L2187" s="530">
        <f t="shared" si="144"/>
        <v>11560</v>
      </c>
      <c r="M2187" s="536">
        <f t="shared" si="146"/>
        <v>5.3333333333333337E-2</v>
      </c>
      <c r="N2187" s="47" t="s">
        <v>22</v>
      </c>
      <c r="O2187" s="47" t="s">
        <v>105</v>
      </c>
    </row>
    <row r="2188" spans="1:15">
      <c r="A2188" s="70">
        <v>2025</v>
      </c>
      <c r="B2188" s="16" t="s">
        <v>15</v>
      </c>
      <c r="C2188" s="62" t="s">
        <v>3077</v>
      </c>
      <c r="D2188" s="47" t="s">
        <v>2602</v>
      </c>
      <c r="E2188" s="47" t="s">
        <v>2815</v>
      </c>
      <c r="F2188" s="99">
        <v>1</v>
      </c>
      <c r="G2188" s="42" t="s">
        <v>302</v>
      </c>
      <c r="H2188" s="44">
        <v>7650</v>
      </c>
      <c r="I2188" s="502">
        <f t="shared" si="143"/>
        <v>7650</v>
      </c>
      <c r="J2188" s="529">
        <v>5870</v>
      </c>
      <c r="K2188" s="529">
        <f t="shared" si="145"/>
        <v>1780</v>
      </c>
      <c r="L2188" s="530">
        <f t="shared" si="144"/>
        <v>1780</v>
      </c>
      <c r="M2188" s="536">
        <f t="shared" si="146"/>
        <v>0.23267973856209151</v>
      </c>
      <c r="N2188" s="47" t="s">
        <v>22</v>
      </c>
      <c r="O2188" s="47" t="s">
        <v>105</v>
      </c>
    </row>
    <row r="2189" spans="1:15">
      <c r="A2189" s="70">
        <v>2025</v>
      </c>
      <c r="B2189" s="16" t="s">
        <v>15</v>
      </c>
      <c r="C2189" s="62" t="s">
        <v>3078</v>
      </c>
      <c r="D2189" s="47" t="s">
        <v>1181</v>
      </c>
      <c r="E2189" s="47" t="s">
        <v>2514</v>
      </c>
      <c r="F2189" s="99">
        <v>1</v>
      </c>
      <c r="G2189" s="42" t="s">
        <v>285</v>
      </c>
      <c r="H2189" s="44">
        <v>3500</v>
      </c>
      <c r="I2189" s="502">
        <f t="shared" si="143"/>
        <v>3500</v>
      </c>
      <c r="J2189" s="529">
        <v>0</v>
      </c>
      <c r="K2189" s="529">
        <f t="shared" si="145"/>
        <v>3500</v>
      </c>
      <c r="L2189" s="530">
        <f t="shared" si="144"/>
        <v>3500</v>
      </c>
      <c r="M2189" s="536">
        <f t="shared" si="146"/>
        <v>1</v>
      </c>
      <c r="N2189" s="47" t="s">
        <v>40</v>
      </c>
      <c r="O2189" s="47" t="s">
        <v>105</v>
      </c>
    </row>
    <row r="2190" spans="1:15">
      <c r="A2190" s="70">
        <v>2025</v>
      </c>
      <c r="B2190" s="16" t="s">
        <v>15</v>
      </c>
      <c r="C2190" s="62" t="s">
        <v>3079</v>
      </c>
      <c r="D2190" s="47" t="s">
        <v>94</v>
      </c>
      <c r="E2190" s="47" t="s">
        <v>3080</v>
      </c>
      <c r="F2190" s="99">
        <v>4</v>
      </c>
      <c r="G2190" s="42" t="s">
        <v>29</v>
      </c>
      <c r="H2190" s="44">
        <v>1150</v>
      </c>
      <c r="I2190" s="502">
        <f t="shared" si="143"/>
        <v>4600</v>
      </c>
      <c r="J2190" s="529">
        <v>1100</v>
      </c>
      <c r="K2190" s="529">
        <f t="shared" si="145"/>
        <v>50</v>
      </c>
      <c r="L2190" s="530">
        <f t="shared" si="144"/>
        <v>200</v>
      </c>
      <c r="M2190" s="536">
        <f t="shared" si="146"/>
        <v>4.3478260869565216E-2</v>
      </c>
      <c r="N2190" s="47" t="s">
        <v>22</v>
      </c>
      <c r="O2190" s="47" t="s">
        <v>105</v>
      </c>
    </row>
    <row r="2191" spans="1:15">
      <c r="A2191" s="70">
        <v>2025</v>
      </c>
      <c r="B2191" s="16" t="s">
        <v>15</v>
      </c>
      <c r="C2191" s="62" t="s">
        <v>3081</v>
      </c>
      <c r="D2191" s="47" t="s">
        <v>27</v>
      </c>
      <c r="E2191" s="47" t="s">
        <v>3082</v>
      </c>
      <c r="F2191" s="99">
        <v>4</v>
      </c>
      <c r="G2191" s="42" t="s">
        <v>29</v>
      </c>
      <c r="H2191" s="44">
        <v>1350</v>
      </c>
      <c r="I2191" s="502">
        <f t="shared" si="143"/>
        <v>5400</v>
      </c>
      <c r="J2191" s="529">
        <v>1100</v>
      </c>
      <c r="K2191" s="529">
        <f t="shared" si="145"/>
        <v>250</v>
      </c>
      <c r="L2191" s="530">
        <f t="shared" si="144"/>
        <v>1000</v>
      </c>
      <c r="M2191" s="536">
        <f t="shared" si="146"/>
        <v>0.18518518518518517</v>
      </c>
      <c r="N2191" s="47" t="s">
        <v>22</v>
      </c>
      <c r="O2191" s="47" t="s">
        <v>105</v>
      </c>
    </row>
    <row r="2192" spans="1:15">
      <c r="A2192" s="70">
        <v>2025</v>
      </c>
      <c r="B2192" s="16" t="s">
        <v>15</v>
      </c>
      <c r="C2192" s="62" t="s">
        <v>3083</v>
      </c>
      <c r="D2192" s="47" t="s">
        <v>192</v>
      </c>
      <c r="E2192" s="47" t="s">
        <v>3084</v>
      </c>
      <c r="F2192" s="99">
        <v>2</v>
      </c>
      <c r="G2192" s="42" t="s">
        <v>302</v>
      </c>
      <c r="H2192" s="44">
        <v>16875</v>
      </c>
      <c r="I2192" s="502">
        <f t="shared" si="143"/>
        <v>33750</v>
      </c>
      <c r="J2192" s="529">
        <v>16805</v>
      </c>
      <c r="K2192" s="529">
        <f t="shared" si="145"/>
        <v>70</v>
      </c>
      <c r="L2192" s="530">
        <f t="shared" si="144"/>
        <v>140</v>
      </c>
      <c r="M2192" s="536">
        <f t="shared" si="146"/>
        <v>4.1481481481481482E-3</v>
      </c>
      <c r="N2192" s="47" t="s">
        <v>40</v>
      </c>
      <c r="O2192" s="47" t="s">
        <v>105</v>
      </c>
    </row>
    <row r="2193" spans="1:15">
      <c r="A2193" s="70">
        <v>2025</v>
      </c>
      <c r="B2193" s="16" t="s">
        <v>15</v>
      </c>
      <c r="C2193" s="62" t="s">
        <v>3085</v>
      </c>
      <c r="D2193" s="47" t="s">
        <v>1042</v>
      </c>
      <c r="E2193" s="442" t="s">
        <v>889</v>
      </c>
      <c r="F2193" s="99">
        <v>5790</v>
      </c>
      <c r="G2193" s="42" t="s">
        <v>37</v>
      </c>
      <c r="H2193" s="411">
        <v>374</v>
      </c>
      <c r="I2193" s="502">
        <f t="shared" si="143"/>
        <v>2165460</v>
      </c>
      <c r="J2193" s="529">
        <v>348</v>
      </c>
      <c r="K2193" s="529">
        <f t="shared" si="145"/>
        <v>26</v>
      </c>
      <c r="L2193" s="530">
        <f t="shared" si="144"/>
        <v>150540</v>
      </c>
      <c r="M2193" s="536">
        <f t="shared" si="146"/>
        <v>6.9518716577540107E-2</v>
      </c>
      <c r="N2193" s="47" t="s">
        <v>22</v>
      </c>
      <c r="O2193" s="47" t="s">
        <v>105</v>
      </c>
    </row>
    <row r="2194" spans="1:15">
      <c r="A2194" s="70">
        <v>2025</v>
      </c>
      <c r="B2194" s="16" t="s">
        <v>15</v>
      </c>
      <c r="C2194" s="62" t="s">
        <v>3086</v>
      </c>
      <c r="D2194" s="47" t="s">
        <v>94</v>
      </c>
      <c r="E2194" s="47" t="s">
        <v>613</v>
      </c>
      <c r="F2194" s="99">
        <v>500</v>
      </c>
      <c r="G2194" s="42" t="s">
        <v>19</v>
      </c>
      <c r="H2194" s="44">
        <v>26</v>
      </c>
      <c r="I2194" s="502">
        <f t="shared" si="143"/>
        <v>13000</v>
      </c>
      <c r="J2194" s="529">
        <v>24.6</v>
      </c>
      <c r="K2194" s="529">
        <f t="shared" si="145"/>
        <v>1.3999999999999986</v>
      </c>
      <c r="L2194" s="530">
        <f t="shared" si="144"/>
        <v>699.99999999999932</v>
      </c>
      <c r="M2194" s="536">
        <f t="shared" si="146"/>
        <v>5.3846153846153794E-2</v>
      </c>
      <c r="N2194" s="47" t="s">
        <v>22</v>
      </c>
      <c r="O2194" s="47" t="s">
        <v>105</v>
      </c>
    </row>
    <row r="2195" spans="1:15">
      <c r="A2195" s="70">
        <v>2025</v>
      </c>
      <c r="B2195" s="16" t="s">
        <v>15</v>
      </c>
      <c r="C2195" s="62" t="s">
        <v>3086</v>
      </c>
      <c r="D2195" s="47" t="s">
        <v>94</v>
      </c>
      <c r="E2195" s="47" t="s">
        <v>550</v>
      </c>
      <c r="F2195" s="99">
        <v>400</v>
      </c>
      <c r="G2195" s="42" t="s">
        <v>19</v>
      </c>
      <c r="H2195" s="44">
        <v>50</v>
      </c>
      <c r="I2195" s="502">
        <f t="shared" si="143"/>
        <v>20000</v>
      </c>
      <c r="J2195" s="529">
        <v>47.56</v>
      </c>
      <c r="K2195" s="529">
        <f t="shared" si="145"/>
        <v>2.4399999999999977</v>
      </c>
      <c r="L2195" s="530">
        <f t="shared" si="144"/>
        <v>975.99999999999909</v>
      </c>
      <c r="M2195" s="536">
        <f t="shared" si="146"/>
        <v>4.8799999999999955E-2</v>
      </c>
      <c r="N2195" s="47" t="s">
        <v>22</v>
      </c>
      <c r="O2195" s="47" t="s">
        <v>105</v>
      </c>
    </row>
    <row r="2196" spans="1:15">
      <c r="A2196" s="70">
        <v>2025</v>
      </c>
      <c r="B2196" s="16" t="s">
        <v>15</v>
      </c>
      <c r="C2196" s="62" t="s">
        <v>3086</v>
      </c>
      <c r="D2196" s="47" t="s">
        <v>94</v>
      </c>
      <c r="E2196" s="47" t="s">
        <v>546</v>
      </c>
      <c r="F2196" s="99">
        <v>100</v>
      </c>
      <c r="G2196" s="42" t="s">
        <v>19</v>
      </c>
      <c r="H2196" s="44">
        <v>190</v>
      </c>
      <c r="I2196" s="502">
        <f t="shared" si="143"/>
        <v>19000</v>
      </c>
      <c r="J2196" s="529">
        <v>182.25</v>
      </c>
      <c r="K2196" s="529">
        <f t="shared" si="145"/>
        <v>7.75</v>
      </c>
      <c r="L2196" s="530">
        <f t="shared" si="144"/>
        <v>775</v>
      </c>
      <c r="M2196" s="536">
        <f t="shared" si="146"/>
        <v>4.0789473684210528E-2</v>
      </c>
      <c r="N2196" s="47" t="s">
        <v>22</v>
      </c>
      <c r="O2196" s="47" t="s">
        <v>105</v>
      </c>
    </row>
    <row r="2197" spans="1:15">
      <c r="A2197" s="70">
        <v>2025</v>
      </c>
      <c r="B2197" s="16" t="s">
        <v>15</v>
      </c>
      <c r="C2197" s="62" t="s">
        <v>3087</v>
      </c>
      <c r="D2197" s="47" t="s">
        <v>1042</v>
      </c>
      <c r="E2197" s="442" t="s">
        <v>889</v>
      </c>
      <c r="F2197" s="99">
        <v>1350</v>
      </c>
      <c r="G2197" s="42" t="s">
        <v>37</v>
      </c>
      <c r="H2197" s="44">
        <v>378</v>
      </c>
      <c r="I2197" s="502">
        <f t="shared" si="143"/>
        <v>510300</v>
      </c>
      <c r="J2197" s="529">
        <v>348</v>
      </c>
      <c r="K2197" s="529">
        <f t="shared" si="145"/>
        <v>30</v>
      </c>
      <c r="L2197" s="530">
        <f t="shared" si="144"/>
        <v>40500</v>
      </c>
      <c r="M2197" s="536">
        <f t="shared" si="146"/>
        <v>7.9365079365079361E-2</v>
      </c>
      <c r="N2197" s="47" t="s">
        <v>22</v>
      </c>
      <c r="O2197" s="47" t="s">
        <v>105</v>
      </c>
    </row>
    <row r="2198" spans="1:15">
      <c r="A2198" s="70">
        <v>2025</v>
      </c>
      <c r="B2198" s="16" t="s">
        <v>15</v>
      </c>
      <c r="C2198" s="62" t="s">
        <v>3088</v>
      </c>
      <c r="D2198" s="47" t="s">
        <v>2011</v>
      </c>
      <c r="E2198" s="47" t="s">
        <v>2514</v>
      </c>
      <c r="F2198" s="99">
        <v>1</v>
      </c>
      <c r="G2198" s="42" t="s">
        <v>285</v>
      </c>
      <c r="H2198" s="44">
        <v>3500</v>
      </c>
      <c r="I2198" s="502">
        <f t="shared" si="143"/>
        <v>3500</v>
      </c>
      <c r="J2198" s="529">
        <v>0</v>
      </c>
      <c r="K2198" s="529">
        <f t="shared" si="145"/>
        <v>3500</v>
      </c>
      <c r="L2198" s="530">
        <f t="shared" si="144"/>
        <v>3500</v>
      </c>
      <c r="M2198" s="536">
        <f t="shared" si="146"/>
        <v>1</v>
      </c>
      <c r="N2198" s="47" t="s">
        <v>40</v>
      </c>
      <c r="O2198" s="47" t="s">
        <v>105</v>
      </c>
    </row>
    <row r="2199" spans="1:15">
      <c r="A2199" s="70">
        <v>2025</v>
      </c>
      <c r="B2199" s="16" t="s">
        <v>15</v>
      </c>
      <c r="C2199" s="62" t="s">
        <v>3089</v>
      </c>
      <c r="D2199" s="47" t="s">
        <v>1375</v>
      </c>
      <c r="E2199" s="47" t="s">
        <v>502</v>
      </c>
      <c r="F2199" s="99">
        <v>80000</v>
      </c>
      <c r="G2199" s="42" t="s">
        <v>37</v>
      </c>
      <c r="H2199" s="44">
        <v>58</v>
      </c>
      <c r="I2199" s="502">
        <f t="shared" si="143"/>
        <v>4640000</v>
      </c>
      <c r="J2199" s="529">
        <v>57</v>
      </c>
      <c r="K2199" s="529">
        <f t="shared" si="145"/>
        <v>1</v>
      </c>
      <c r="L2199" s="530">
        <f t="shared" si="144"/>
        <v>80000</v>
      </c>
      <c r="M2199" s="536">
        <f t="shared" si="146"/>
        <v>1.7241379310344827E-2</v>
      </c>
      <c r="N2199" s="47" t="s">
        <v>22</v>
      </c>
      <c r="O2199" s="47" t="s">
        <v>39</v>
      </c>
    </row>
    <row r="2200" spans="1:15">
      <c r="A2200" s="70">
        <v>2025</v>
      </c>
      <c r="B2200" s="16" t="s">
        <v>15</v>
      </c>
      <c r="C2200" s="62" t="s">
        <v>3089</v>
      </c>
      <c r="D2200" s="47" t="s">
        <v>1375</v>
      </c>
      <c r="E2200" s="47" t="s">
        <v>813</v>
      </c>
      <c r="F2200" s="99">
        <v>40000</v>
      </c>
      <c r="G2200" s="42" t="s">
        <v>37</v>
      </c>
      <c r="H2200" s="44">
        <v>55.5</v>
      </c>
      <c r="I2200" s="502">
        <f t="shared" si="143"/>
        <v>2220000</v>
      </c>
      <c r="J2200" s="529">
        <v>54.5</v>
      </c>
      <c r="K2200" s="529">
        <f t="shared" si="145"/>
        <v>1</v>
      </c>
      <c r="L2200" s="530">
        <f t="shared" si="144"/>
        <v>40000</v>
      </c>
      <c r="M2200" s="536">
        <f t="shared" si="146"/>
        <v>1.8018018018018018E-2</v>
      </c>
      <c r="N2200" s="47" t="s">
        <v>22</v>
      </c>
      <c r="O2200" s="47" t="s">
        <v>39</v>
      </c>
    </row>
    <row r="2201" spans="1:15">
      <c r="A2201" s="70">
        <v>2025</v>
      </c>
      <c r="B2201" s="16" t="s">
        <v>15</v>
      </c>
      <c r="C2201" s="62" t="s">
        <v>3090</v>
      </c>
      <c r="D2201" s="47" t="s">
        <v>270</v>
      </c>
      <c r="E2201" s="47" t="s">
        <v>755</v>
      </c>
      <c r="F2201" s="99">
        <v>1092.5999999999999</v>
      </c>
      <c r="G2201" s="42" t="s">
        <v>37</v>
      </c>
      <c r="H2201" s="44">
        <v>380</v>
      </c>
      <c r="I2201" s="502">
        <f t="shared" si="143"/>
        <v>415187.99999999994</v>
      </c>
      <c r="J2201" s="529">
        <v>355</v>
      </c>
      <c r="K2201" s="529">
        <f t="shared" si="145"/>
        <v>25</v>
      </c>
      <c r="L2201" s="530">
        <f t="shared" si="144"/>
        <v>27314.999999999996</v>
      </c>
      <c r="M2201" s="536">
        <f t="shared" si="146"/>
        <v>6.5789473684210523E-2</v>
      </c>
      <c r="N2201" s="47" t="s">
        <v>22</v>
      </c>
      <c r="O2201" s="47" t="s">
        <v>105</v>
      </c>
    </row>
    <row r="2202" spans="1:15">
      <c r="A2202" s="70">
        <v>2025</v>
      </c>
      <c r="B2202" s="16" t="s">
        <v>15</v>
      </c>
      <c r="C2202" s="62" t="s">
        <v>3091</v>
      </c>
      <c r="D2202" s="47" t="s">
        <v>708</v>
      </c>
      <c r="E2202" s="47" t="s">
        <v>3092</v>
      </c>
      <c r="F2202" s="99">
        <v>17400</v>
      </c>
      <c r="G2202" s="42" t="s">
        <v>37</v>
      </c>
      <c r="H2202" s="44">
        <v>7</v>
      </c>
      <c r="I2202" s="502">
        <f t="shared" si="143"/>
        <v>121800</v>
      </c>
      <c r="J2202" s="529">
        <v>0</v>
      </c>
      <c r="K2202" s="529">
        <f t="shared" si="145"/>
        <v>7</v>
      </c>
      <c r="L2202" s="530">
        <f t="shared" si="144"/>
        <v>121800</v>
      </c>
      <c r="M2202" s="536">
        <f t="shared" si="146"/>
        <v>1</v>
      </c>
      <c r="N2202" s="47" t="s">
        <v>40</v>
      </c>
      <c r="O2202" s="47" t="s">
        <v>105</v>
      </c>
    </row>
    <row r="2203" spans="1:15">
      <c r="A2203" s="70">
        <v>2025</v>
      </c>
      <c r="B2203" s="16" t="s">
        <v>15</v>
      </c>
      <c r="C2203" s="62"/>
      <c r="D2203" s="47" t="s">
        <v>1470</v>
      </c>
      <c r="E2203" s="47" t="s">
        <v>3093</v>
      </c>
      <c r="F2203" s="99">
        <v>1</v>
      </c>
      <c r="G2203" s="42" t="s">
        <v>285</v>
      </c>
      <c r="H2203" s="44">
        <v>10124405</v>
      </c>
      <c r="I2203" s="502">
        <f t="shared" si="143"/>
        <v>10124405</v>
      </c>
      <c r="J2203" s="529">
        <v>9820672.8499999996</v>
      </c>
      <c r="K2203" s="529">
        <f t="shared" si="145"/>
        <v>303732.15000000037</v>
      </c>
      <c r="L2203" s="530">
        <f t="shared" si="144"/>
        <v>303732.15000000037</v>
      </c>
      <c r="M2203" s="536">
        <f t="shared" si="146"/>
        <v>3.0000000000000037E-2</v>
      </c>
      <c r="N2203" s="47" t="s">
        <v>33</v>
      </c>
      <c r="O2203" s="47" t="s">
        <v>21</v>
      </c>
    </row>
    <row r="2204" spans="1:15">
      <c r="A2204" s="70">
        <v>2025</v>
      </c>
      <c r="B2204" s="16" t="s">
        <v>15</v>
      </c>
      <c r="C2204" s="62" t="s">
        <v>3094</v>
      </c>
      <c r="D2204" s="47" t="s">
        <v>1470</v>
      </c>
      <c r="E2204" s="47" t="s">
        <v>1848</v>
      </c>
      <c r="F2204" s="99">
        <v>200</v>
      </c>
      <c r="G2204" s="42" t="s">
        <v>98</v>
      </c>
      <c r="H2204" s="44">
        <v>4700</v>
      </c>
      <c r="I2204" s="502">
        <f t="shared" si="143"/>
        <v>940000</v>
      </c>
      <c r="J2204" s="529">
        <v>4400</v>
      </c>
      <c r="K2204" s="529">
        <f t="shared" si="145"/>
        <v>300</v>
      </c>
      <c r="L2204" s="530">
        <f t="shared" si="144"/>
        <v>60000</v>
      </c>
      <c r="M2204" s="536">
        <f t="shared" si="146"/>
        <v>6.3829787234042548E-2</v>
      </c>
      <c r="N2204" s="47" t="s">
        <v>40</v>
      </c>
      <c r="O2204" s="47" t="s">
        <v>21</v>
      </c>
    </row>
    <row r="2205" spans="1:15">
      <c r="A2205" s="70">
        <v>2025</v>
      </c>
      <c r="B2205" s="16" t="s">
        <v>15</v>
      </c>
      <c r="C2205" s="62" t="s">
        <v>3095</v>
      </c>
      <c r="D2205" s="47" t="s">
        <v>96</v>
      </c>
      <c r="E2205" s="47" t="s">
        <v>902</v>
      </c>
      <c r="F2205" s="99">
        <v>5</v>
      </c>
      <c r="G2205" s="42" t="s">
        <v>98</v>
      </c>
      <c r="H2205" s="44">
        <v>240</v>
      </c>
      <c r="I2205" s="502">
        <f t="shared" si="143"/>
        <v>1200</v>
      </c>
      <c r="J2205" s="529">
        <v>168</v>
      </c>
      <c r="K2205" s="529">
        <f t="shared" si="145"/>
        <v>72</v>
      </c>
      <c r="L2205" s="530">
        <f t="shared" si="144"/>
        <v>360</v>
      </c>
      <c r="M2205" s="536">
        <f t="shared" si="146"/>
        <v>0.3</v>
      </c>
      <c r="N2205" s="47" t="s">
        <v>22</v>
      </c>
      <c r="O2205" s="47" t="s">
        <v>21</v>
      </c>
    </row>
    <row r="2206" spans="1:15">
      <c r="A2206" s="70">
        <v>2025</v>
      </c>
      <c r="B2206" s="16" t="s">
        <v>15</v>
      </c>
      <c r="C2206" s="62" t="s">
        <v>3096</v>
      </c>
      <c r="D2206" s="47" t="s">
        <v>323</v>
      </c>
      <c r="E2206" s="47" t="s">
        <v>324</v>
      </c>
      <c r="F2206" s="99">
        <v>144</v>
      </c>
      <c r="G2206" s="42" t="s">
        <v>29</v>
      </c>
      <c r="H2206" s="44">
        <v>405</v>
      </c>
      <c r="I2206" s="502">
        <f t="shared" si="143"/>
        <v>58320</v>
      </c>
      <c r="J2206" s="529">
        <v>385</v>
      </c>
      <c r="K2206" s="529">
        <f t="shared" si="145"/>
        <v>20</v>
      </c>
      <c r="L2206" s="530">
        <f t="shared" si="144"/>
        <v>2880</v>
      </c>
      <c r="M2206" s="536">
        <f t="shared" si="146"/>
        <v>4.9382716049382713E-2</v>
      </c>
      <c r="N2206" s="47" t="s">
        <v>20</v>
      </c>
      <c r="O2206" s="47" t="s">
        <v>21</v>
      </c>
    </row>
    <row r="2207" spans="1:15">
      <c r="A2207" s="70">
        <v>2025</v>
      </c>
      <c r="B2207" s="16" t="s">
        <v>15</v>
      </c>
      <c r="C2207" s="62" t="s">
        <v>3097</v>
      </c>
      <c r="D2207" s="47" t="s">
        <v>1560</v>
      </c>
      <c r="E2207" s="47" t="s">
        <v>3098</v>
      </c>
      <c r="F2207" s="99">
        <v>1</v>
      </c>
      <c r="G2207" s="42" t="s">
        <v>19</v>
      </c>
      <c r="H2207" s="44">
        <v>4230</v>
      </c>
      <c r="I2207" s="502">
        <f t="shared" si="143"/>
        <v>4230</v>
      </c>
      <c r="J2207" s="529">
        <v>2800</v>
      </c>
      <c r="K2207" s="529">
        <f t="shared" si="145"/>
        <v>1430</v>
      </c>
      <c r="L2207" s="530">
        <f t="shared" si="144"/>
        <v>1430</v>
      </c>
      <c r="M2207" s="536">
        <f t="shared" si="146"/>
        <v>0.33806146572104018</v>
      </c>
      <c r="N2207" s="47" t="s">
        <v>22</v>
      </c>
      <c r="O2207" s="47" t="s">
        <v>21</v>
      </c>
    </row>
    <row r="2208" spans="1:15">
      <c r="A2208" s="70">
        <v>2025</v>
      </c>
      <c r="B2208" s="16" t="s">
        <v>15</v>
      </c>
      <c r="C2208" s="62" t="s">
        <v>3099</v>
      </c>
      <c r="D2208" s="47" t="s">
        <v>118</v>
      </c>
      <c r="E2208" s="47" t="s">
        <v>3100</v>
      </c>
      <c r="F2208" s="99">
        <v>5</v>
      </c>
      <c r="G2208" s="42" t="s">
        <v>19</v>
      </c>
      <c r="H2208" s="44">
        <v>780</v>
      </c>
      <c r="I2208" s="502">
        <f t="shared" si="143"/>
        <v>3900</v>
      </c>
      <c r="J2208" s="529">
        <v>720</v>
      </c>
      <c r="K2208" s="529">
        <f t="shared" si="145"/>
        <v>60</v>
      </c>
      <c r="L2208" s="530">
        <f t="shared" si="144"/>
        <v>300</v>
      </c>
      <c r="M2208" s="536">
        <f t="shared" si="146"/>
        <v>7.6923076923076927E-2</v>
      </c>
      <c r="N2208" s="47" t="s">
        <v>22</v>
      </c>
      <c r="O2208" s="47" t="s">
        <v>21</v>
      </c>
    </row>
    <row r="2209" spans="1:15">
      <c r="A2209" s="70">
        <v>2025</v>
      </c>
      <c r="B2209" s="16" t="s">
        <v>15</v>
      </c>
      <c r="C2209" s="62" t="s">
        <v>3099</v>
      </c>
      <c r="D2209" s="47" t="s">
        <v>118</v>
      </c>
      <c r="E2209" s="47" t="s">
        <v>3101</v>
      </c>
      <c r="F2209" s="99">
        <v>4</v>
      </c>
      <c r="G2209" s="42" t="s">
        <v>19</v>
      </c>
      <c r="H2209" s="44">
        <v>780</v>
      </c>
      <c r="I2209" s="502">
        <f t="shared" si="143"/>
        <v>3120</v>
      </c>
      <c r="J2209" s="529">
        <v>720</v>
      </c>
      <c r="K2209" s="529">
        <f t="shared" si="145"/>
        <v>60</v>
      </c>
      <c r="L2209" s="530">
        <f t="shared" si="144"/>
        <v>240</v>
      </c>
      <c r="M2209" s="536">
        <f t="shared" si="146"/>
        <v>7.6923076923076927E-2</v>
      </c>
      <c r="N2209" s="47" t="s">
        <v>22</v>
      </c>
      <c r="O2209" s="47" t="s">
        <v>21</v>
      </c>
    </row>
    <row r="2210" spans="1:15">
      <c r="A2210" s="70">
        <v>2025</v>
      </c>
      <c r="B2210" s="16" t="s">
        <v>15</v>
      </c>
      <c r="C2210" s="62" t="s">
        <v>3099</v>
      </c>
      <c r="D2210" s="47" t="s">
        <v>118</v>
      </c>
      <c r="E2210" s="47" t="s">
        <v>3102</v>
      </c>
      <c r="F2210" s="99">
        <v>8</v>
      </c>
      <c r="G2210" s="42" t="s">
        <v>19</v>
      </c>
      <c r="H2210" s="44">
        <v>780</v>
      </c>
      <c r="I2210" s="502">
        <f t="shared" si="143"/>
        <v>6240</v>
      </c>
      <c r="J2210" s="529">
        <v>720</v>
      </c>
      <c r="K2210" s="529">
        <f t="shared" si="145"/>
        <v>60</v>
      </c>
      <c r="L2210" s="530">
        <f t="shared" si="144"/>
        <v>480</v>
      </c>
      <c r="M2210" s="536">
        <f t="shared" si="146"/>
        <v>7.6923076923076927E-2</v>
      </c>
      <c r="N2210" s="47" t="s">
        <v>22</v>
      </c>
      <c r="O2210" s="47" t="s">
        <v>21</v>
      </c>
    </row>
    <row r="2211" spans="1:15">
      <c r="A2211" s="70">
        <v>2025</v>
      </c>
      <c r="B2211" s="16" t="s">
        <v>15</v>
      </c>
      <c r="C2211" s="62" t="s">
        <v>3099</v>
      </c>
      <c r="D2211" s="47" t="s">
        <v>118</v>
      </c>
      <c r="E2211" s="47" t="s">
        <v>3103</v>
      </c>
      <c r="F2211" s="99">
        <v>3</v>
      </c>
      <c r="G2211" s="42" t="s">
        <v>19</v>
      </c>
      <c r="H2211" s="44">
        <v>780</v>
      </c>
      <c r="I2211" s="502">
        <f t="shared" si="143"/>
        <v>2340</v>
      </c>
      <c r="J2211" s="529">
        <v>720</v>
      </c>
      <c r="K2211" s="529">
        <f t="shared" si="145"/>
        <v>60</v>
      </c>
      <c r="L2211" s="530">
        <f t="shared" si="144"/>
        <v>180</v>
      </c>
      <c r="M2211" s="536">
        <f t="shared" si="146"/>
        <v>7.6923076923076927E-2</v>
      </c>
      <c r="N2211" s="47" t="s">
        <v>22</v>
      </c>
      <c r="O2211" s="47" t="s">
        <v>21</v>
      </c>
    </row>
    <row r="2212" spans="1:15">
      <c r="A2212" s="70">
        <v>2025</v>
      </c>
      <c r="B2212" s="16" t="s">
        <v>15</v>
      </c>
      <c r="C2212" s="62" t="s">
        <v>3099</v>
      </c>
      <c r="D2212" s="47" t="s">
        <v>118</v>
      </c>
      <c r="E2212" s="47" t="s">
        <v>3104</v>
      </c>
      <c r="F2212" s="99">
        <v>3</v>
      </c>
      <c r="G2212" s="42" t="s">
        <v>19</v>
      </c>
      <c r="H2212" s="44">
        <v>882</v>
      </c>
      <c r="I2212" s="502">
        <f t="shared" si="143"/>
        <v>2646</v>
      </c>
      <c r="J2212" s="529">
        <v>820</v>
      </c>
      <c r="K2212" s="529">
        <f t="shared" si="145"/>
        <v>62</v>
      </c>
      <c r="L2212" s="530">
        <f t="shared" si="144"/>
        <v>186</v>
      </c>
      <c r="M2212" s="536">
        <f t="shared" si="146"/>
        <v>7.029478458049887E-2</v>
      </c>
      <c r="N2212" s="47" t="s">
        <v>22</v>
      </c>
      <c r="O2212" s="47" t="s">
        <v>21</v>
      </c>
    </row>
    <row r="2213" spans="1:15">
      <c r="A2213" s="70">
        <v>2025</v>
      </c>
      <c r="B2213" s="16" t="s">
        <v>15</v>
      </c>
      <c r="C2213" s="62" t="s">
        <v>3099</v>
      </c>
      <c r="D2213" s="47" t="s">
        <v>118</v>
      </c>
      <c r="E2213" s="47" t="s">
        <v>3105</v>
      </c>
      <c r="F2213" s="99">
        <v>3</v>
      </c>
      <c r="G2213" s="42" t="s">
        <v>19</v>
      </c>
      <c r="H2213" s="44">
        <v>882</v>
      </c>
      <c r="I2213" s="502">
        <f t="shared" si="143"/>
        <v>2646</v>
      </c>
      <c r="J2213" s="529">
        <v>820</v>
      </c>
      <c r="K2213" s="529">
        <f t="shared" si="145"/>
        <v>62</v>
      </c>
      <c r="L2213" s="530">
        <f t="shared" si="144"/>
        <v>186</v>
      </c>
      <c r="M2213" s="536">
        <f t="shared" si="146"/>
        <v>7.029478458049887E-2</v>
      </c>
      <c r="N2213" s="47" t="s">
        <v>22</v>
      </c>
      <c r="O2213" s="47" t="s">
        <v>21</v>
      </c>
    </row>
    <row r="2214" spans="1:15">
      <c r="A2214" s="70">
        <v>2025</v>
      </c>
      <c r="B2214" s="16" t="s">
        <v>15</v>
      </c>
      <c r="C2214" s="62" t="s">
        <v>3106</v>
      </c>
      <c r="D2214" s="47" t="s">
        <v>17</v>
      </c>
      <c r="E2214" s="47" t="s">
        <v>116</v>
      </c>
      <c r="F2214" s="99">
        <v>20</v>
      </c>
      <c r="G2214" s="42" t="s">
        <v>98</v>
      </c>
      <c r="H2214" s="44">
        <v>2150</v>
      </c>
      <c r="I2214" s="502">
        <f t="shared" si="143"/>
        <v>43000</v>
      </c>
      <c r="J2214" s="529">
        <v>2135</v>
      </c>
      <c r="K2214" s="529">
        <f t="shared" si="145"/>
        <v>15</v>
      </c>
      <c r="L2214" s="530">
        <f t="shared" si="144"/>
        <v>300</v>
      </c>
      <c r="M2214" s="536">
        <f t="shared" si="146"/>
        <v>6.9767441860465115E-3</v>
      </c>
      <c r="N2214" s="47" t="s">
        <v>22</v>
      </c>
      <c r="O2214" s="47" t="s">
        <v>21</v>
      </c>
    </row>
    <row r="2215" spans="1:15">
      <c r="A2215" s="70">
        <v>2025</v>
      </c>
      <c r="B2215" s="16" t="s">
        <v>15</v>
      </c>
      <c r="C2215" s="62" t="s">
        <v>3106</v>
      </c>
      <c r="D2215" s="47" t="s">
        <v>17</v>
      </c>
      <c r="E2215" s="47" t="s">
        <v>32</v>
      </c>
      <c r="F2215" s="99">
        <v>576</v>
      </c>
      <c r="G2215" s="42" t="s">
        <v>29</v>
      </c>
      <c r="H2215" s="44">
        <v>32</v>
      </c>
      <c r="I2215" s="502">
        <f t="shared" si="143"/>
        <v>18432</v>
      </c>
      <c r="J2215" s="529">
        <v>25</v>
      </c>
      <c r="K2215" s="529">
        <f t="shared" si="145"/>
        <v>7</v>
      </c>
      <c r="L2215" s="530">
        <f t="shared" si="144"/>
        <v>4032</v>
      </c>
      <c r="M2215" s="536">
        <f t="shared" si="146"/>
        <v>0.21875</v>
      </c>
      <c r="N2215" s="47" t="s">
        <v>22</v>
      </c>
      <c r="O2215" s="47" t="s">
        <v>21</v>
      </c>
    </row>
    <row r="2216" spans="1:15">
      <c r="A2216" s="70">
        <v>2025</v>
      </c>
      <c r="B2216" s="16" t="s">
        <v>15</v>
      </c>
      <c r="C2216" s="62" t="s">
        <v>3107</v>
      </c>
      <c r="D2216" s="47" t="s">
        <v>1560</v>
      </c>
      <c r="E2216" s="47" t="s">
        <v>3108</v>
      </c>
      <c r="F2216" s="99">
        <v>2</v>
      </c>
      <c r="G2216" s="42" t="s">
        <v>63</v>
      </c>
      <c r="H2216" s="44">
        <v>1600</v>
      </c>
      <c r="I2216" s="502">
        <f t="shared" si="143"/>
        <v>3200</v>
      </c>
      <c r="J2216" s="529">
        <v>1500</v>
      </c>
      <c r="K2216" s="529">
        <f t="shared" si="145"/>
        <v>100</v>
      </c>
      <c r="L2216" s="530">
        <f t="shared" si="144"/>
        <v>200</v>
      </c>
      <c r="M2216" s="536">
        <f t="shared" si="146"/>
        <v>6.25E-2</v>
      </c>
      <c r="N2216" s="47" t="s">
        <v>22</v>
      </c>
      <c r="O2216" s="47" t="s">
        <v>21</v>
      </c>
    </row>
    <row r="2217" spans="1:15">
      <c r="A2217" s="70">
        <v>2025</v>
      </c>
      <c r="B2217" s="16" t="s">
        <v>15</v>
      </c>
      <c r="C2217" s="62" t="s">
        <v>3107</v>
      </c>
      <c r="D2217" s="47" t="s">
        <v>1560</v>
      </c>
      <c r="E2217" s="47" t="s">
        <v>3109</v>
      </c>
      <c r="F2217" s="99">
        <v>4</v>
      </c>
      <c r="G2217" s="42" t="s">
        <v>19</v>
      </c>
      <c r="H2217" s="44">
        <v>600</v>
      </c>
      <c r="I2217" s="502">
        <f t="shared" si="143"/>
        <v>2400</v>
      </c>
      <c r="J2217" s="529">
        <v>350</v>
      </c>
      <c r="K2217" s="529">
        <f t="shared" si="145"/>
        <v>250</v>
      </c>
      <c r="L2217" s="530">
        <f t="shared" si="144"/>
        <v>1000</v>
      </c>
      <c r="M2217" s="536">
        <f t="shared" si="146"/>
        <v>0.41666666666666669</v>
      </c>
      <c r="N2217" s="47" t="s">
        <v>22</v>
      </c>
      <c r="O2217" s="47" t="s">
        <v>21</v>
      </c>
    </row>
    <row r="2218" spans="1:15">
      <c r="A2218" s="70">
        <v>2025</v>
      </c>
      <c r="B2218" s="16" t="s">
        <v>15</v>
      </c>
      <c r="C2218" s="62" t="s">
        <v>3110</v>
      </c>
      <c r="D2218" s="47" t="s">
        <v>1948</v>
      </c>
      <c r="E2218" s="47" t="s">
        <v>3111</v>
      </c>
      <c r="F2218" s="99">
        <v>300</v>
      </c>
      <c r="G2218" s="42" t="s">
        <v>19</v>
      </c>
      <c r="H2218" s="44">
        <v>34</v>
      </c>
      <c r="I2218" s="502">
        <f t="shared" si="143"/>
        <v>10200</v>
      </c>
      <c r="J2218" s="529">
        <v>20</v>
      </c>
      <c r="K2218" s="529">
        <f t="shared" si="145"/>
        <v>14</v>
      </c>
      <c r="L2218" s="530">
        <f t="shared" si="144"/>
        <v>4200</v>
      </c>
      <c r="M2218" s="536">
        <f t="shared" si="146"/>
        <v>0.41176470588235292</v>
      </c>
      <c r="N2218" s="47" t="s">
        <v>22</v>
      </c>
      <c r="O2218" s="47" t="s">
        <v>21</v>
      </c>
    </row>
    <row r="2219" spans="1:15">
      <c r="A2219" s="70">
        <v>2025</v>
      </c>
      <c r="B2219" s="16" t="s">
        <v>15</v>
      </c>
      <c r="C2219" s="62" t="s">
        <v>3112</v>
      </c>
      <c r="D2219" s="47" t="s">
        <v>1896</v>
      </c>
      <c r="E2219" s="47" t="s">
        <v>1897</v>
      </c>
      <c r="F2219" s="99">
        <v>60</v>
      </c>
      <c r="G2219" s="42" t="s">
        <v>19</v>
      </c>
      <c r="H2219" s="44">
        <v>80</v>
      </c>
      <c r="I2219" s="502">
        <f t="shared" si="143"/>
        <v>4800</v>
      </c>
      <c r="J2219" s="529">
        <v>70</v>
      </c>
      <c r="K2219" s="529">
        <f t="shared" si="145"/>
        <v>10</v>
      </c>
      <c r="L2219" s="530">
        <f t="shared" si="144"/>
        <v>600</v>
      </c>
      <c r="M2219" s="536">
        <f t="shared" si="146"/>
        <v>0.125</v>
      </c>
      <c r="N2219" s="47" t="s">
        <v>40</v>
      </c>
      <c r="O2219" s="47" t="s">
        <v>21</v>
      </c>
    </row>
    <row r="2220" spans="1:15">
      <c r="A2220" s="70">
        <v>2025</v>
      </c>
      <c r="B2220" s="16" t="s">
        <v>15</v>
      </c>
      <c r="C2220" s="62" t="s">
        <v>3113</v>
      </c>
      <c r="D2220" s="47" t="s">
        <v>926</v>
      </c>
      <c r="E2220" s="47" t="s">
        <v>123</v>
      </c>
      <c r="F2220" s="99">
        <v>300</v>
      </c>
      <c r="G2220" s="42" t="s">
        <v>19</v>
      </c>
      <c r="H2220" s="44">
        <v>95</v>
      </c>
      <c r="I2220" s="502">
        <f t="shared" si="143"/>
        <v>28500</v>
      </c>
      <c r="J2220" s="529">
        <v>75</v>
      </c>
      <c r="K2220" s="529">
        <f t="shared" si="145"/>
        <v>20</v>
      </c>
      <c r="L2220" s="530">
        <f t="shared" si="144"/>
        <v>6000</v>
      </c>
      <c r="M2220" s="536">
        <f t="shared" si="146"/>
        <v>0.21052631578947367</v>
      </c>
      <c r="N2220" s="47" t="s">
        <v>22</v>
      </c>
      <c r="O2220" s="47" t="s">
        <v>21</v>
      </c>
    </row>
    <row r="2221" spans="1:15">
      <c r="A2221" s="70">
        <v>2025</v>
      </c>
      <c r="B2221" s="16" t="s">
        <v>15</v>
      </c>
      <c r="C2221" s="62" t="s">
        <v>3113</v>
      </c>
      <c r="D2221" s="47" t="s">
        <v>926</v>
      </c>
      <c r="E2221" s="47" t="s">
        <v>122</v>
      </c>
      <c r="F2221" s="99">
        <v>400</v>
      </c>
      <c r="G2221" s="42" t="s">
        <v>19</v>
      </c>
      <c r="H2221" s="44">
        <v>165</v>
      </c>
      <c r="I2221" s="502">
        <f t="shared" ref="I2221:I2284" si="147">H2221*F2221</f>
        <v>66000</v>
      </c>
      <c r="J2221" s="529">
        <v>145</v>
      </c>
      <c r="K2221" s="529">
        <f t="shared" si="145"/>
        <v>20</v>
      </c>
      <c r="L2221" s="530">
        <f t="shared" si="144"/>
        <v>8000</v>
      </c>
      <c r="M2221" s="536">
        <f t="shared" si="146"/>
        <v>0.12121212121212122</v>
      </c>
      <c r="N2221" s="47" t="s">
        <v>22</v>
      </c>
      <c r="O2221" s="47" t="s">
        <v>21</v>
      </c>
    </row>
    <row r="2222" spans="1:15">
      <c r="A2222" s="70">
        <v>2025</v>
      </c>
      <c r="B2222" s="16" t="s">
        <v>15</v>
      </c>
      <c r="C2222" s="62" t="s">
        <v>3113</v>
      </c>
      <c r="D2222" s="47" t="s">
        <v>926</v>
      </c>
      <c r="E2222" s="47" t="s">
        <v>1532</v>
      </c>
      <c r="F2222" s="99">
        <v>150</v>
      </c>
      <c r="G2222" s="42" t="s">
        <v>19</v>
      </c>
      <c r="H2222" s="44">
        <v>60</v>
      </c>
      <c r="I2222" s="502">
        <f t="shared" si="147"/>
        <v>9000</v>
      </c>
      <c r="J2222" s="529">
        <v>48</v>
      </c>
      <c r="K2222" s="529">
        <f t="shared" si="145"/>
        <v>12</v>
      </c>
      <c r="L2222" s="530">
        <f t="shared" si="144"/>
        <v>1800</v>
      </c>
      <c r="M2222" s="536">
        <f t="shared" si="146"/>
        <v>0.2</v>
      </c>
      <c r="N2222" s="47" t="s">
        <v>22</v>
      </c>
      <c r="O2222" s="47" t="s">
        <v>21</v>
      </c>
    </row>
    <row r="2223" spans="1:15">
      <c r="A2223" s="70">
        <v>2025</v>
      </c>
      <c r="B2223" s="16" t="s">
        <v>15</v>
      </c>
      <c r="C2223" s="62" t="s">
        <v>3113</v>
      </c>
      <c r="D2223" s="47" t="s">
        <v>926</v>
      </c>
      <c r="E2223" s="47" t="s">
        <v>123</v>
      </c>
      <c r="F2223" s="99">
        <v>50</v>
      </c>
      <c r="G2223" s="42" t="s">
        <v>19</v>
      </c>
      <c r="H2223" s="44">
        <v>95</v>
      </c>
      <c r="I2223" s="502">
        <f t="shared" si="147"/>
        <v>4750</v>
      </c>
      <c r="J2223" s="529">
        <v>75</v>
      </c>
      <c r="K2223" s="529">
        <f t="shared" si="145"/>
        <v>20</v>
      </c>
      <c r="L2223" s="530">
        <f t="shared" si="144"/>
        <v>1000</v>
      </c>
      <c r="M2223" s="536">
        <f t="shared" si="146"/>
        <v>0.21052631578947367</v>
      </c>
      <c r="N2223" s="47" t="s">
        <v>22</v>
      </c>
      <c r="O2223" s="47" t="s">
        <v>21</v>
      </c>
    </row>
    <row r="2224" spans="1:15">
      <c r="A2224" s="70">
        <v>2025</v>
      </c>
      <c r="B2224" s="16" t="s">
        <v>15</v>
      </c>
      <c r="C2224" s="62" t="s">
        <v>3113</v>
      </c>
      <c r="D2224" s="47" t="s">
        <v>926</v>
      </c>
      <c r="E2224" s="47" t="s">
        <v>122</v>
      </c>
      <c r="F2224" s="99">
        <v>100</v>
      </c>
      <c r="G2224" s="42" t="s">
        <v>19</v>
      </c>
      <c r="H2224" s="44">
        <v>165</v>
      </c>
      <c r="I2224" s="502">
        <f t="shared" si="147"/>
        <v>16500</v>
      </c>
      <c r="J2224" s="529">
        <v>145</v>
      </c>
      <c r="K2224" s="529">
        <f t="shared" si="145"/>
        <v>20</v>
      </c>
      <c r="L2224" s="530">
        <f t="shared" si="144"/>
        <v>2000</v>
      </c>
      <c r="M2224" s="536">
        <f t="shared" si="146"/>
        <v>0.12121212121212122</v>
      </c>
      <c r="N2224" s="47" t="s">
        <v>22</v>
      </c>
      <c r="O2224" s="47" t="s">
        <v>21</v>
      </c>
    </row>
    <row r="2225" spans="1:15">
      <c r="A2225" s="70">
        <v>2025</v>
      </c>
      <c r="B2225" s="16" t="s">
        <v>15</v>
      </c>
      <c r="C2225" s="62" t="s">
        <v>3114</v>
      </c>
      <c r="D2225" s="47" t="s">
        <v>78</v>
      </c>
      <c r="E2225" s="47" t="s">
        <v>3115</v>
      </c>
      <c r="F2225" s="99">
        <v>1000</v>
      </c>
      <c r="G2225" s="42" t="s">
        <v>19</v>
      </c>
      <c r="H2225" s="44">
        <v>3</v>
      </c>
      <c r="I2225" s="502">
        <f t="shared" si="147"/>
        <v>3000</v>
      </c>
      <c r="J2225" s="529">
        <v>2</v>
      </c>
      <c r="K2225" s="529">
        <f t="shared" si="145"/>
        <v>1</v>
      </c>
      <c r="L2225" s="530">
        <f t="shared" si="144"/>
        <v>1000</v>
      </c>
      <c r="M2225" s="536">
        <f t="shared" si="146"/>
        <v>0.33333333333333331</v>
      </c>
      <c r="N2225" s="47" t="s">
        <v>22</v>
      </c>
      <c r="O2225" s="47" t="s">
        <v>21</v>
      </c>
    </row>
    <row r="2226" spans="1:15">
      <c r="A2226" s="70">
        <v>2025</v>
      </c>
      <c r="B2226" s="16" t="s">
        <v>15</v>
      </c>
      <c r="C2226" s="62" t="s">
        <v>3114</v>
      </c>
      <c r="D2226" s="47" t="s">
        <v>78</v>
      </c>
      <c r="E2226" s="47" t="s">
        <v>3116</v>
      </c>
      <c r="F2226" s="99">
        <v>500</v>
      </c>
      <c r="G2226" s="42" t="s">
        <v>19</v>
      </c>
      <c r="H2226" s="44">
        <v>3</v>
      </c>
      <c r="I2226" s="502">
        <f t="shared" si="147"/>
        <v>1500</v>
      </c>
      <c r="J2226" s="529">
        <v>2</v>
      </c>
      <c r="K2226" s="529">
        <f t="shared" si="145"/>
        <v>1</v>
      </c>
      <c r="L2226" s="530">
        <f t="shared" si="144"/>
        <v>500</v>
      </c>
      <c r="M2226" s="536">
        <f t="shared" si="146"/>
        <v>0.33333333333333331</v>
      </c>
      <c r="N2226" s="47" t="s">
        <v>22</v>
      </c>
      <c r="O2226" s="47" t="s">
        <v>21</v>
      </c>
    </row>
    <row r="2227" spans="1:15">
      <c r="A2227" s="70">
        <v>2025</v>
      </c>
      <c r="B2227" s="16" t="s">
        <v>15</v>
      </c>
      <c r="C2227" s="62" t="s">
        <v>3114</v>
      </c>
      <c r="D2227" s="47" t="s">
        <v>78</v>
      </c>
      <c r="E2227" s="47" t="s">
        <v>3117</v>
      </c>
      <c r="F2227" s="99">
        <v>1000</v>
      </c>
      <c r="G2227" s="42" t="s">
        <v>19</v>
      </c>
      <c r="H2227" s="44">
        <v>3</v>
      </c>
      <c r="I2227" s="502">
        <f t="shared" si="147"/>
        <v>3000</v>
      </c>
      <c r="J2227" s="529">
        <v>2</v>
      </c>
      <c r="K2227" s="529">
        <f t="shared" si="145"/>
        <v>1</v>
      </c>
      <c r="L2227" s="530">
        <f t="shared" si="144"/>
        <v>1000</v>
      </c>
      <c r="M2227" s="536">
        <f t="shared" si="146"/>
        <v>0.33333333333333331</v>
      </c>
      <c r="N2227" s="47" t="s">
        <v>22</v>
      </c>
      <c r="O2227" s="47" t="s">
        <v>21</v>
      </c>
    </row>
    <row r="2228" spans="1:15">
      <c r="A2228" s="70">
        <v>2025</v>
      </c>
      <c r="B2228" s="16" t="s">
        <v>15</v>
      </c>
      <c r="C2228" s="62" t="s">
        <v>3114</v>
      </c>
      <c r="D2228" s="47" t="s">
        <v>78</v>
      </c>
      <c r="E2228" s="47" t="s">
        <v>3118</v>
      </c>
      <c r="F2228" s="99">
        <v>1000</v>
      </c>
      <c r="G2228" s="42" t="s">
        <v>19</v>
      </c>
      <c r="H2228" s="44">
        <v>3</v>
      </c>
      <c r="I2228" s="502">
        <f t="shared" si="147"/>
        <v>3000</v>
      </c>
      <c r="J2228" s="529">
        <v>2</v>
      </c>
      <c r="K2228" s="529">
        <f t="shared" si="145"/>
        <v>1</v>
      </c>
      <c r="L2228" s="530">
        <f t="shared" si="144"/>
        <v>1000</v>
      </c>
      <c r="M2228" s="536">
        <f t="shared" si="146"/>
        <v>0.33333333333333331</v>
      </c>
      <c r="N2228" s="47" t="s">
        <v>22</v>
      </c>
      <c r="O2228" s="47" t="s">
        <v>21</v>
      </c>
    </row>
    <row r="2229" spans="1:15">
      <c r="A2229" s="70">
        <v>2025</v>
      </c>
      <c r="B2229" s="16" t="s">
        <v>15</v>
      </c>
      <c r="C2229" s="62" t="s">
        <v>3114</v>
      </c>
      <c r="D2229" s="47" t="s">
        <v>78</v>
      </c>
      <c r="E2229" s="47" t="s">
        <v>3119</v>
      </c>
      <c r="F2229" s="99">
        <v>1000</v>
      </c>
      <c r="G2229" s="42" t="s">
        <v>19</v>
      </c>
      <c r="H2229" s="44">
        <v>3</v>
      </c>
      <c r="I2229" s="502">
        <f t="shared" si="147"/>
        <v>3000</v>
      </c>
      <c r="J2229" s="529">
        <v>2</v>
      </c>
      <c r="K2229" s="529">
        <f t="shared" si="145"/>
        <v>1</v>
      </c>
      <c r="L2229" s="530">
        <f t="shared" si="144"/>
        <v>1000</v>
      </c>
      <c r="M2229" s="536">
        <f t="shared" si="146"/>
        <v>0.33333333333333331</v>
      </c>
      <c r="N2229" s="47" t="s">
        <v>22</v>
      </c>
      <c r="O2229" s="47" t="s">
        <v>21</v>
      </c>
    </row>
    <row r="2230" spans="1:15">
      <c r="A2230" s="70">
        <v>2025</v>
      </c>
      <c r="B2230" s="16" t="s">
        <v>15</v>
      </c>
      <c r="C2230" s="428" t="s">
        <v>3120</v>
      </c>
      <c r="D2230" s="47" t="s">
        <v>2291</v>
      </c>
      <c r="E2230" s="47" t="s">
        <v>3121</v>
      </c>
      <c r="F2230" s="99">
        <v>1</v>
      </c>
      <c r="G2230" s="42" t="s">
        <v>285</v>
      </c>
      <c r="H2230" s="44">
        <v>417075</v>
      </c>
      <c r="I2230" s="502">
        <f t="shared" si="147"/>
        <v>417075</v>
      </c>
      <c r="J2230" s="529">
        <v>351120</v>
      </c>
      <c r="K2230" s="529">
        <f t="shared" si="145"/>
        <v>65955</v>
      </c>
      <c r="L2230" s="530">
        <f t="shared" si="144"/>
        <v>65955</v>
      </c>
      <c r="M2230" s="536">
        <f t="shared" si="146"/>
        <v>0.15813702571479948</v>
      </c>
      <c r="N2230" s="47" t="s">
        <v>22</v>
      </c>
      <c r="O2230" s="47" t="s">
        <v>21</v>
      </c>
    </row>
    <row r="2231" spans="1:15">
      <c r="A2231" s="70">
        <v>2025</v>
      </c>
      <c r="B2231" s="16" t="s">
        <v>15</v>
      </c>
      <c r="C2231" s="433" t="s">
        <v>3122</v>
      </c>
      <c r="D2231" s="47" t="s">
        <v>2291</v>
      </c>
      <c r="E2231" s="55" t="s">
        <v>3123</v>
      </c>
      <c r="F2231" s="100">
        <v>1</v>
      </c>
      <c r="G2231" s="42" t="s">
        <v>285</v>
      </c>
      <c r="H2231" s="44">
        <v>391020</v>
      </c>
      <c r="I2231" s="502">
        <f t="shared" si="147"/>
        <v>391020</v>
      </c>
      <c r="J2231" s="529">
        <v>333660</v>
      </c>
      <c r="K2231" s="529">
        <f t="shared" si="145"/>
        <v>57360</v>
      </c>
      <c r="L2231" s="530">
        <f t="shared" si="144"/>
        <v>57360</v>
      </c>
      <c r="M2231" s="536">
        <f t="shared" si="146"/>
        <v>0.14669326377167408</v>
      </c>
      <c r="N2231" s="47" t="s">
        <v>22</v>
      </c>
      <c r="O2231" s="47" t="s">
        <v>21</v>
      </c>
    </row>
    <row r="2232" spans="1:15">
      <c r="A2232" s="70">
        <v>2025</v>
      </c>
      <c r="B2232" s="16" t="s">
        <v>15</v>
      </c>
      <c r="C2232" s="62" t="s">
        <v>3124</v>
      </c>
      <c r="D2232" s="76" t="s">
        <v>586</v>
      </c>
      <c r="E2232" s="47" t="s">
        <v>3125</v>
      </c>
      <c r="F2232" s="99">
        <v>200</v>
      </c>
      <c r="G2232" s="152" t="s">
        <v>37</v>
      </c>
      <c r="H2232" s="44">
        <v>95</v>
      </c>
      <c r="I2232" s="502">
        <f t="shared" si="147"/>
        <v>19000</v>
      </c>
      <c r="J2232" s="529">
        <v>55</v>
      </c>
      <c r="K2232" s="529">
        <f t="shared" si="145"/>
        <v>40</v>
      </c>
      <c r="L2232" s="530">
        <f t="shared" si="144"/>
        <v>8000</v>
      </c>
      <c r="M2232" s="536">
        <f t="shared" si="146"/>
        <v>0.42105263157894735</v>
      </c>
      <c r="N2232" s="47" t="s">
        <v>22</v>
      </c>
      <c r="O2232" s="47" t="s">
        <v>21</v>
      </c>
    </row>
    <row r="2233" spans="1:15">
      <c r="A2233" s="70">
        <v>2025</v>
      </c>
      <c r="B2233" s="16" t="s">
        <v>15</v>
      </c>
      <c r="C2233" s="62" t="s">
        <v>3126</v>
      </c>
      <c r="D2233" s="76" t="s">
        <v>27</v>
      </c>
      <c r="E2233" s="47" t="s">
        <v>772</v>
      </c>
      <c r="F2233" s="99">
        <v>5</v>
      </c>
      <c r="G2233" s="152" t="s">
        <v>29</v>
      </c>
      <c r="H2233" s="44">
        <v>2300</v>
      </c>
      <c r="I2233" s="502">
        <f t="shared" si="147"/>
        <v>11500</v>
      </c>
      <c r="J2233" s="529">
        <v>2200</v>
      </c>
      <c r="K2233" s="529">
        <f t="shared" si="145"/>
        <v>100</v>
      </c>
      <c r="L2233" s="530">
        <f t="shared" si="144"/>
        <v>500</v>
      </c>
      <c r="M2233" s="536">
        <f t="shared" si="146"/>
        <v>4.3478260869565216E-2</v>
      </c>
      <c r="N2233" s="47" t="s">
        <v>22</v>
      </c>
      <c r="O2233" s="47" t="s">
        <v>21</v>
      </c>
    </row>
    <row r="2234" spans="1:15">
      <c r="A2234" s="70">
        <v>2025</v>
      </c>
      <c r="B2234" s="16" t="s">
        <v>15</v>
      </c>
      <c r="C2234" s="62" t="s">
        <v>3126</v>
      </c>
      <c r="D2234" s="76" t="s">
        <v>27</v>
      </c>
      <c r="E2234" s="47" t="s">
        <v>3127</v>
      </c>
      <c r="F2234" s="99">
        <v>5</v>
      </c>
      <c r="G2234" s="152" t="s">
        <v>29</v>
      </c>
      <c r="H2234" s="44">
        <v>4320</v>
      </c>
      <c r="I2234" s="502">
        <f t="shared" si="147"/>
        <v>21600</v>
      </c>
      <c r="J2234" s="529">
        <v>3800</v>
      </c>
      <c r="K2234" s="529">
        <f t="shared" si="145"/>
        <v>520</v>
      </c>
      <c r="L2234" s="530">
        <f t="shared" si="144"/>
        <v>2600</v>
      </c>
      <c r="M2234" s="536">
        <f t="shared" si="146"/>
        <v>0.12037037037037036</v>
      </c>
      <c r="N2234" s="47" t="s">
        <v>22</v>
      </c>
      <c r="O2234" s="47" t="s">
        <v>21</v>
      </c>
    </row>
    <row r="2235" spans="1:15">
      <c r="A2235" s="70">
        <v>2025</v>
      </c>
      <c r="B2235" s="16" t="s">
        <v>15</v>
      </c>
      <c r="C2235" s="62" t="s">
        <v>3126</v>
      </c>
      <c r="D2235" s="76" t="s">
        <v>27</v>
      </c>
      <c r="E2235" s="47" t="s">
        <v>28</v>
      </c>
      <c r="F2235" s="99">
        <v>5</v>
      </c>
      <c r="G2235" s="152" t="s">
        <v>29</v>
      </c>
      <c r="H2235" s="44">
        <v>1320</v>
      </c>
      <c r="I2235" s="502">
        <f t="shared" si="147"/>
        <v>6600</v>
      </c>
      <c r="J2235" s="529">
        <v>1300</v>
      </c>
      <c r="K2235" s="529">
        <f t="shared" si="145"/>
        <v>20</v>
      </c>
      <c r="L2235" s="530">
        <f t="shared" ref="L2235:L2298" si="148">K2235*F2235</f>
        <v>100</v>
      </c>
      <c r="M2235" s="536">
        <f t="shared" si="146"/>
        <v>1.5151515151515152E-2</v>
      </c>
      <c r="N2235" s="47" t="s">
        <v>22</v>
      </c>
      <c r="O2235" s="47" t="s">
        <v>21</v>
      </c>
    </row>
    <row r="2236" spans="1:15">
      <c r="A2236" s="70">
        <v>2025</v>
      </c>
      <c r="B2236" s="16" t="s">
        <v>15</v>
      </c>
      <c r="C2236" s="62" t="s">
        <v>3128</v>
      </c>
      <c r="D2236" s="76" t="s">
        <v>1670</v>
      </c>
      <c r="E2236" s="47" t="s">
        <v>2207</v>
      </c>
      <c r="F2236" s="99">
        <v>2</v>
      </c>
      <c r="G2236" s="152" t="s">
        <v>19</v>
      </c>
      <c r="H2236" s="44">
        <v>1850</v>
      </c>
      <c r="I2236" s="502">
        <f t="shared" si="147"/>
        <v>3700</v>
      </c>
      <c r="J2236" s="529">
        <v>1800</v>
      </c>
      <c r="K2236" s="529">
        <f t="shared" si="145"/>
        <v>50</v>
      </c>
      <c r="L2236" s="530">
        <f t="shared" si="148"/>
        <v>100</v>
      </c>
      <c r="M2236" s="536">
        <f t="shared" si="146"/>
        <v>2.7027027027027029E-2</v>
      </c>
      <c r="N2236" s="47" t="s">
        <v>22</v>
      </c>
      <c r="O2236" s="47" t="s">
        <v>21</v>
      </c>
    </row>
    <row r="2237" spans="1:15">
      <c r="A2237" s="70">
        <v>2025</v>
      </c>
      <c r="B2237" s="16" t="s">
        <v>15</v>
      </c>
      <c r="C2237" s="62" t="s">
        <v>3128</v>
      </c>
      <c r="D2237" s="76" t="s">
        <v>1670</v>
      </c>
      <c r="E2237" s="47" t="s">
        <v>2208</v>
      </c>
      <c r="F2237" s="99">
        <v>2</v>
      </c>
      <c r="G2237" s="152" t="s">
        <v>19</v>
      </c>
      <c r="H2237" s="44">
        <v>1850</v>
      </c>
      <c r="I2237" s="502">
        <f t="shared" si="147"/>
        <v>3700</v>
      </c>
      <c r="J2237" s="529">
        <v>1500</v>
      </c>
      <c r="K2237" s="529">
        <f t="shared" si="145"/>
        <v>350</v>
      </c>
      <c r="L2237" s="530">
        <f t="shared" si="148"/>
        <v>700</v>
      </c>
      <c r="M2237" s="536">
        <f t="shared" si="146"/>
        <v>0.1891891891891892</v>
      </c>
      <c r="N2237" s="47" t="s">
        <v>22</v>
      </c>
      <c r="O2237" s="47" t="s">
        <v>21</v>
      </c>
    </row>
    <row r="2238" spans="1:15">
      <c r="A2238" s="70">
        <v>2025</v>
      </c>
      <c r="B2238" s="16" t="s">
        <v>15</v>
      </c>
      <c r="C2238" s="62" t="s">
        <v>3128</v>
      </c>
      <c r="D2238" s="76" t="s">
        <v>1670</v>
      </c>
      <c r="E2238" s="47" t="s">
        <v>2276</v>
      </c>
      <c r="F2238" s="99">
        <v>8</v>
      </c>
      <c r="G2238" s="152" t="s">
        <v>19</v>
      </c>
      <c r="H2238" s="44">
        <v>6500</v>
      </c>
      <c r="I2238" s="502">
        <f t="shared" si="147"/>
        <v>52000</v>
      </c>
      <c r="J2238" s="529">
        <v>1925</v>
      </c>
      <c r="K2238" s="529">
        <f t="shared" si="145"/>
        <v>4575</v>
      </c>
      <c r="L2238" s="530">
        <f t="shared" si="148"/>
        <v>36600</v>
      </c>
      <c r="M2238" s="536">
        <f t="shared" si="146"/>
        <v>0.7038461538461539</v>
      </c>
      <c r="N2238" s="47" t="s">
        <v>22</v>
      </c>
      <c r="O2238" s="47" t="s">
        <v>21</v>
      </c>
    </row>
    <row r="2239" spans="1:15">
      <c r="A2239" s="70">
        <v>2025</v>
      </c>
      <c r="B2239" s="16" t="s">
        <v>15</v>
      </c>
      <c r="C2239" s="62" t="s">
        <v>3128</v>
      </c>
      <c r="D2239" s="76" t="s">
        <v>1670</v>
      </c>
      <c r="E2239" s="47" t="s">
        <v>2277</v>
      </c>
      <c r="F2239" s="99">
        <v>8</v>
      </c>
      <c r="G2239" s="152" t="s">
        <v>19</v>
      </c>
      <c r="H2239" s="44">
        <v>5000</v>
      </c>
      <c r="I2239" s="502">
        <f t="shared" si="147"/>
        <v>40000</v>
      </c>
      <c r="J2239" s="529">
        <v>1725</v>
      </c>
      <c r="K2239" s="529">
        <f t="shared" si="145"/>
        <v>3275</v>
      </c>
      <c r="L2239" s="530">
        <f t="shared" si="148"/>
        <v>26200</v>
      </c>
      <c r="M2239" s="536">
        <f t="shared" si="146"/>
        <v>0.65500000000000003</v>
      </c>
      <c r="N2239" s="47" t="s">
        <v>22</v>
      </c>
      <c r="O2239" s="47" t="s">
        <v>21</v>
      </c>
    </row>
    <row r="2240" spans="1:15">
      <c r="A2240" s="70">
        <v>2025</v>
      </c>
      <c r="B2240" s="16" t="s">
        <v>15</v>
      </c>
      <c r="C2240" s="62" t="s">
        <v>3129</v>
      </c>
      <c r="D2240" s="76" t="s">
        <v>265</v>
      </c>
      <c r="E2240" s="47" t="s">
        <v>3130</v>
      </c>
      <c r="F2240" s="99">
        <v>500</v>
      </c>
      <c r="G2240" s="152" t="s">
        <v>37</v>
      </c>
      <c r="H2240" s="44">
        <v>35</v>
      </c>
      <c r="I2240" s="502">
        <f t="shared" si="147"/>
        <v>17500</v>
      </c>
      <c r="J2240" s="529">
        <v>33</v>
      </c>
      <c r="K2240" s="529">
        <f t="shared" si="145"/>
        <v>2</v>
      </c>
      <c r="L2240" s="530">
        <f t="shared" si="148"/>
        <v>1000</v>
      </c>
      <c r="M2240" s="536">
        <f t="shared" si="146"/>
        <v>5.7142857142857141E-2</v>
      </c>
      <c r="N2240" s="47" t="s">
        <v>20</v>
      </c>
      <c r="O2240" s="47" t="s">
        <v>21</v>
      </c>
    </row>
    <row r="2241" spans="1:15">
      <c r="A2241" s="70">
        <v>2025</v>
      </c>
      <c r="B2241" s="16" t="s">
        <v>15</v>
      </c>
      <c r="C2241" s="62" t="s">
        <v>3131</v>
      </c>
      <c r="D2241" s="47" t="s">
        <v>398</v>
      </c>
      <c r="E2241" s="47" t="s">
        <v>3132</v>
      </c>
      <c r="F2241" s="99">
        <v>1</v>
      </c>
      <c r="G2241" s="42" t="s">
        <v>285</v>
      </c>
      <c r="H2241" s="44">
        <v>143000</v>
      </c>
      <c r="I2241" s="502">
        <f t="shared" si="147"/>
        <v>143000</v>
      </c>
      <c r="J2241" s="529">
        <v>135000</v>
      </c>
      <c r="K2241" s="529">
        <f t="shared" si="145"/>
        <v>8000</v>
      </c>
      <c r="L2241" s="530">
        <f t="shared" si="148"/>
        <v>8000</v>
      </c>
      <c r="M2241" s="536">
        <f t="shared" si="146"/>
        <v>5.5944055944055944E-2</v>
      </c>
      <c r="N2241" s="47" t="s">
        <v>40</v>
      </c>
      <c r="O2241" s="47" t="s">
        <v>21</v>
      </c>
    </row>
    <row r="2242" spans="1:15">
      <c r="A2242" s="70">
        <v>2025</v>
      </c>
      <c r="B2242" s="16" t="s">
        <v>15</v>
      </c>
      <c r="C2242" s="62" t="s">
        <v>3133</v>
      </c>
      <c r="D2242" s="47" t="s">
        <v>1948</v>
      </c>
      <c r="E2242" s="47" t="s">
        <v>3134</v>
      </c>
      <c r="F2242" s="99">
        <v>12</v>
      </c>
      <c r="G2242" s="42" t="s">
        <v>19</v>
      </c>
      <c r="H2242" s="44">
        <v>35</v>
      </c>
      <c r="I2242" s="502">
        <f t="shared" si="147"/>
        <v>420</v>
      </c>
      <c r="J2242" s="529">
        <v>26</v>
      </c>
      <c r="K2242" s="529">
        <f t="shared" si="145"/>
        <v>9</v>
      </c>
      <c r="L2242" s="530">
        <f t="shared" si="148"/>
        <v>108</v>
      </c>
      <c r="M2242" s="536">
        <f t="shared" si="146"/>
        <v>0.25714285714285712</v>
      </c>
      <c r="N2242" s="47" t="s">
        <v>22</v>
      </c>
      <c r="O2242" s="47" t="s">
        <v>21</v>
      </c>
    </row>
    <row r="2243" spans="1:15">
      <c r="A2243" s="70">
        <v>2025</v>
      </c>
      <c r="B2243" s="16" t="s">
        <v>15</v>
      </c>
      <c r="C2243" s="62" t="s">
        <v>3133</v>
      </c>
      <c r="D2243" s="47" t="s">
        <v>1948</v>
      </c>
      <c r="E2243" s="47" t="s">
        <v>3135</v>
      </c>
      <c r="F2243" s="99">
        <v>6</v>
      </c>
      <c r="G2243" s="42" t="s">
        <v>2482</v>
      </c>
      <c r="H2243" s="44">
        <v>650</v>
      </c>
      <c r="I2243" s="502">
        <f t="shared" si="147"/>
        <v>3900</v>
      </c>
      <c r="J2243" s="529">
        <v>644</v>
      </c>
      <c r="K2243" s="529">
        <f t="shared" ref="K2243:K2306" si="149">H2243-J2243</f>
        <v>6</v>
      </c>
      <c r="L2243" s="530">
        <f t="shared" si="148"/>
        <v>36</v>
      </c>
      <c r="M2243" s="536">
        <f t="shared" ref="M2243:M2306" si="150">K2243/H2243</f>
        <v>9.2307692307692316E-3</v>
      </c>
      <c r="N2243" s="47" t="s">
        <v>22</v>
      </c>
      <c r="O2243" s="47" t="s">
        <v>21</v>
      </c>
    </row>
    <row r="2244" spans="1:15">
      <c r="A2244" s="70">
        <v>2025</v>
      </c>
      <c r="B2244" s="16" t="s">
        <v>15</v>
      </c>
      <c r="C2244" s="62" t="s">
        <v>3136</v>
      </c>
      <c r="D2244" s="47" t="s">
        <v>926</v>
      </c>
      <c r="E2244" s="47" t="s">
        <v>123</v>
      </c>
      <c r="F2244" s="99">
        <v>50</v>
      </c>
      <c r="G2244" s="42" t="s">
        <v>19</v>
      </c>
      <c r="H2244" s="44">
        <v>95</v>
      </c>
      <c r="I2244" s="502">
        <f t="shared" si="147"/>
        <v>4750</v>
      </c>
      <c r="J2244" s="529">
        <v>75</v>
      </c>
      <c r="K2244" s="529">
        <f t="shared" si="149"/>
        <v>20</v>
      </c>
      <c r="L2244" s="530">
        <f t="shared" si="148"/>
        <v>1000</v>
      </c>
      <c r="M2244" s="536">
        <f t="shared" si="150"/>
        <v>0.21052631578947367</v>
      </c>
      <c r="N2244" s="47" t="s">
        <v>22</v>
      </c>
      <c r="O2244" s="47" t="s">
        <v>21</v>
      </c>
    </row>
    <row r="2245" spans="1:15">
      <c r="A2245" s="70">
        <v>2025</v>
      </c>
      <c r="B2245" s="16" t="s">
        <v>15</v>
      </c>
      <c r="C2245" s="62" t="s">
        <v>3137</v>
      </c>
      <c r="D2245" s="47" t="s">
        <v>3138</v>
      </c>
      <c r="E2245" s="47" t="s">
        <v>3139</v>
      </c>
      <c r="F2245" s="99">
        <v>800</v>
      </c>
      <c r="G2245" s="42" t="s">
        <v>615</v>
      </c>
      <c r="H2245" s="44">
        <v>165</v>
      </c>
      <c r="I2245" s="502">
        <f t="shared" si="147"/>
        <v>132000</v>
      </c>
      <c r="J2245" s="529">
        <v>110</v>
      </c>
      <c r="K2245" s="529">
        <f t="shared" si="149"/>
        <v>55</v>
      </c>
      <c r="L2245" s="530">
        <f t="shared" si="148"/>
        <v>44000</v>
      </c>
      <c r="M2245" s="536">
        <f t="shared" si="150"/>
        <v>0.33333333333333331</v>
      </c>
      <c r="N2245" s="47" t="s">
        <v>22</v>
      </c>
      <c r="O2245" s="47" t="s">
        <v>21</v>
      </c>
    </row>
    <row r="2246" spans="1:15">
      <c r="A2246" s="70">
        <v>2025</v>
      </c>
      <c r="B2246" s="16" t="s">
        <v>15</v>
      </c>
      <c r="C2246" s="62" t="s">
        <v>3140</v>
      </c>
      <c r="D2246" s="47" t="s">
        <v>94</v>
      </c>
      <c r="E2246" s="47" t="s">
        <v>3141</v>
      </c>
      <c r="F2246" s="99">
        <v>60</v>
      </c>
      <c r="G2246" s="42" t="s">
        <v>29</v>
      </c>
      <c r="H2246" s="44">
        <v>890</v>
      </c>
      <c r="I2246" s="502">
        <f t="shared" si="147"/>
        <v>53400</v>
      </c>
      <c r="J2246" s="529">
        <v>875</v>
      </c>
      <c r="K2246" s="529">
        <f t="shared" si="149"/>
        <v>15</v>
      </c>
      <c r="L2246" s="530">
        <f t="shared" si="148"/>
        <v>900</v>
      </c>
      <c r="M2246" s="536">
        <f t="shared" si="150"/>
        <v>1.6853932584269662E-2</v>
      </c>
      <c r="N2246" s="47" t="s">
        <v>22</v>
      </c>
      <c r="O2246" s="47" t="s">
        <v>21</v>
      </c>
    </row>
    <row r="2247" spans="1:15">
      <c r="A2247" s="70">
        <v>2025</v>
      </c>
      <c r="B2247" s="16" t="s">
        <v>15</v>
      </c>
      <c r="C2247" s="62" t="s">
        <v>3142</v>
      </c>
      <c r="D2247" s="47" t="s">
        <v>96</v>
      </c>
      <c r="E2247" s="47" t="s">
        <v>774</v>
      </c>
      <c r="F2247" s="99">
        <v>60</v>
      </c>
      <c r="G2247" s="42" t="s">
        <v>98</v>
      </c>
      <c r="H2247" s="44">
        <v>1425</v>
      </c>
      <c r="I2247" s="502">
        <f t="shared" si="147"/>
        <v>85500</v>
      </c>
      <c r="J2247" s="529">
        <v>1050</v>
      </c>
      <c r="K2247" s="529">
        <f t="shared" si="149"/>
        <v>375</v>
      </c>
      <c r="L2247" s="530">
        <f t="shared" si="148"/>
        <v>22500</v>
      </c>
      <c r="M2247" s="536">
        <f t="shared" si="150"/>
        <v>0.26315789473684209</v>
      </c>
      <c r="N2247" s="47" t="s">
        <v>22</v>
      </c>
      <c r="O2247" s="47" t="s">
        <v>21</v>
      </c>
    </row>
    <row r="2248" spans="1:15">
      <c r="A2248" s="70">
        <v>2025</v>
      </c>
      <c r="B2248" s="16" t="s">
        <v>15</v>
      </c>
      <c r="C2248" s="62" t="s">
        <v>3143</v>
      </c>
      <c r="D2248" s="47" t="s">
        <v>311</v>
      </c>
      <c r="E2248" s="47" t="s">
        <v>3144</v>
      </c>
      <c r="F2248" s="99">
        <v>4</v>
      </c>
      <c r="G2248" s="42" t="s">
        <v>19</v>
      </c>
      <c r="H2248" s="44">
        <v>24000</v>
      </c>
      <c r="I2248" s="502">
        <f t="shared" si="147"/>
        <v>96000</v>
      </c>
      <c r="J2248" s="529">
        <v>23500</v>
      </c>
      <c r="K2248" s="529">
        <f t="shared" si="149"/>
        <v>500</v>
      </c>
      <c r="L2248" s="530">
        <f t="shared" si="148"/>
        <v>2000</v>
      </c>
      <c r="M2248" s="536">
        <f t="shared" si="150"/>
        <v>2.0833333333333332E-2</v>
      </c>
      <c r="N2248" s="47" t="s">
        <v>40</v>
      </c>
      <c r="O2248" s="47" t="s">
        <v>21</v>
      </c>
    </row>
    <row r="2249" spans="1:15">
      <c r="A2249" s="70">
        <v>2025</v>
      </c>
      <c r="B2249" s="16" t="s">
        <v>15</v>
      </c>
      <c r="C2249" s="62" t="s">
        <v>3143</v>
      </c>
      <c r="D2249" s="47" t="s">
        <v>311</v>
      </c>
      <c r="E2249" s="47" t="s">
        <v>3145</v>
      </c>
      <c r="F2249" s="99">
        <v>2</v>
      </c>
      <c r="G2249" s="42" t="s">
        <v>19</v>
      </c>
      <c r="H2249" s="44">
        <v>29000</v>
      </c>
      <c r="I2249" s="502">
        <f t="shared" si="147"/>
        <v>58000</v>
      </c>
      <c r="J2249" s="529">
        <v>28700</v>
      </c>
      <c r="K2249" s="529">
        <f t="shared" si="149"/>
        <v>300</v>
      </c>
      <c r="L2249" s="530">
        <f t="shared" si="148"/>
        <v>600</v>
      </c>
      <c r="M2249" s="536">
        <f t="shared" si="150"/>
        <v>1.0344827586206896E-2</v>
      </c>
      <c r="N2249" s="47" t="s">
        <v>40</v>
      </c>
      <c r="O2249" s="47" t="s">
        <v>21</v>
      </c>
    </row>
    <row r="2250" spans="1:15">
      <c r="A2250" s="70">
        <v>2025</v>
      </c>
      <c r="B2250" s="16" t="s">
        <v>15</v>
      </c>
      <c r="C2250" s="62" t="s">
        <v>3146</v>
      </c>
      <c r="D2250" s="47" t="s">
        <v>311</v>
      </c>
      <c r="E2250" s="47" t="s">
        <v>3147</v>
      </c>
      <c r="F2250" s="99">
        <v>3</v>
      </c>
      <c r="G2250" s="42" t="s">
        <v>19</v>
      </c>
      <c r="H2250" s="44">
        <v>23000</v>
      </c>
      <c r="I2250" s="502">
        <f t="shared" si="147"/>
        <v>69000</v>
      </c>
      <c r="J2250" s="529">
        <v>22000</v>
      </c>
      <c r="K2250" s="529">
        <f t="shared" si="149"/>
        <v>1000</v>
      </c>
      <c r="L2250" s="530">
        <f t="shared" si="148"/>
        <v>3000</v>
      </c>
      <c r="M2250" s="536">
        <f t="shared" si="150"/>
        <v>4.3478260869565216E-2</v>
      </c>
      <c r="N2250" s="47" t="s">
        <v>40</v>
      </c>
      <c r="O2250" s="47" t="s">
        <v>21</v>
      </c>
    </row>
    <row r="2251" spans="1:15">
      <c r="A2251" s="70">
        <v>2025</v>
      </c>
      <c r="B2251" s="16" t="s">
        <v>15</v>
      </c>
      <c r="C2251" s="62" t="s">
        <v>3146</v>
      </c>
      <c r="D2251" s="47" t="s">
        <v>311</v>
      </c>
      <c r="E2251" s="47" t="s">
        <v>3148</v>
      </c>
      <c r="F2251" s="99">
        <v>6</v>
      </c>
      <c r="G2251" s="42" t="s">
        <v>19</v>
      </c>
      <c r="H2251" s="44">
        <v>3500</v>
      </c>
      <c r="I2251" s="502">
        <f t="shared" si="147"/>
        <v>21000</v>
      </c>
      <c r="J2251" s="529">
        <v>3300</v>
      </c>
      <c r="K2251" s="529">
        <f t="shared" si="149"/>
        <v>200</v>
      </c>
      <c r="L2251" s="530">
        <f t="shared" si="148"/>
        <v>1200</v>
      </c>
      <c r="M2251" s="536">
        <f t="shared" si="150"/>
        <v>5.7142857142857141E-2</v>
      </c>
      <c r="N2251" s="47" t="s">
        <v>40</v>
      </c>
      <c r="O2251" s="47" t="s">
        <v>21</v>
      </c>
    </row>
    <row r="2252" spans="1:15">
      <c r="A2252" s="70">
        <v>2025</v>
      </c>
      <c r="B2252" s="16" t="s">
        <v>15</v>
      </c>
      <c r="C2252" s="62" t="s">
        <v>3149</v>
      </c>
      <c r="D2252" s="47" t="s">
        <v>3150</v>
      </c>
      <c r="E2252" s="47" t="s">
        <v>3151</v>
      </c>
      <c r="F2252" s="99">
        <v>8</v>
      </c>
      <c r="G2252" s="42" t="s">
        <v>19</v>
      </c>
      <c r="H2252" s="44">
        <v>89000</v>
      </c>
      <c r="I2252" s="502">
        <f t="shared" si="147"/>
        <v>712000</v>
      </c>
      <c r="J2252" s="529">
        <v>77500</v>
      </c>
      <c r="K2252" s="529">
        <f t="shared" si="149"/>
        <v>11500</v>
      </c>
      <c r="L2252" s="530">
        <f t="shared" si="148"/>
        <v>92000</v>
      </c>
      <c r="M2252" s="536">
        <f t="shared" si="150"/>
        <v>0.12921348314606743</v>
      </c>
      <c r="N2252" s="47" t="s">
        <v>40</v>
      </c>
      <c r="O2252" s="47" t="s">
        <v>21</v>
      </c>
    </row>
    <row r="2253" spans="1:15">
      <c r="A2253" s="70">
        <v>2025</v>
      </c>
      <c r="B2253" s="16" t="s">
        <v>15</v>
      </c>
      <c r="C2253" s="62" t="s">
        <v>3149</v>
      </c>
      <c r="D2253" s="47" t="s">
        <v>3150</v>
      </c>
      <c r="E2253" s="47" t="s">
        <v>3152</v>
      </c>
      <c r="F2253" s="99">
        <v>5</v>
      </c>
      <c r="G2253" s="42" t="s">
        <v>19</v>
      </c>
      <c r="H2253" s="44">
        <v>32900</v>
      </c>
      <c r="I2253" s="502">
        <f t="shared" si="147"/>
        <v>164500</v>
      </c>
      <c r="J2253" s="529">
        <v>30000</v>
      </c>
      <c r="K2253" s="529">
        <f t="shared" si="149"/>
        <v>2900</v>
      </c>
      <c r="L2253" s="530">
        <f t="shared" si="148"/>
        <v>14500</v>
      </c>
      <c r="M2253" s="536">
        <f t="shared" si="150"/>
        <v>8.8145896656534953E-2</v>
      </c>
      <c r="N2253" s="47" t="s">
        <v>40</v>
      </c>
      <c r="O2253" s="47" t="s">
        <v>21</v>
      </c>
    </row>
    <row r="2254" spans="1:15">
      <c r="A2254" s="70">
        <v>2025</v>
      </c>
      <c r="B2254" s="16" t="s">
        <v>15</v>
      </c>
      <c r="C2254" s="62" t="s">
        <v>3153</v>
      </c>
      <c r="D2254" s="47" t="s">
        <v>1332</v>
      </c>
      <c r="E2254" s="47" t="s">
        <v>3154</v>
      </c>
      <c r="F2254" s="99">
        <v>1</v>
      </c>
      <c r="G2254" s="42" t="s">
        <v>285</v>
      </c>
      <c r="H2254" s="44">
        <v>343500</v>
      </c>
      <c r="I2254" s="502">
        <f t="shared" si="147"/>
        <v>343500</v>
      </c>
      <c r="J2254" s="529"/>
      <c r="K2254" s="529">
        <f t="shared" si="149"/>
        <v>343500</v>
      </c>
      <c r="L2254" s="530">
        <f t="shared" si="148"/>
        <v>343500</v>
      </c>
      <c r="M2254" s="536">
        <f t="shared" si="150"/>
        <v>1</v>
      </c>
      <c r="N2254" s="47" t="s">
        <v>40</v>
      </c>
      <c r="O2254" s="47" t="s">
        <v>21</v>
      </c>
    </row>
    <row r="2255" spans="1:15">
      <c r="A2255" s="70">
        <v>2025</v>
      </c>
      <c r="B2255" s="16" t="s">
        <v>15</v>
      </c>
      <c r="C2255" s="62" t="s">
        <v>3155</v>
      </c>
      <c r="D2255" s="47" t="s">
        <v>1227</v>
      </c>
      <c r="E2255" s="47" t="s">
        <v>3156</v>
      </c>
      <c r="F2255" s="99">
        <v>501</v>
      </c>
      <c r="G2255" s="42" t="s">
        <v>19</v>
      </c>
      <c r="H2255" s="44">
        <v>147</v>
      </c>
      <c r="I2255" s="502">
        <f t="shared" si="147"/>
        <v>73647</v>
      </c>
      <c r="J2255" s="529">
        <v>136</v>
      </c>
      <c r="K2255" s="529">
        <f t="shared" si="149"/>
        <v>11</v>
      </c>
      <c r="L2255" s="530">
        <f t="shared" si="148"/>
        <v>5511</v>
      </c>
      <c r="M2255" s="536">
        <f t="shared" si="150"/>
        <v>7.4829931972789115E-2</v>
      </c>
      <c r="N2255" s="47" t="s">
        <v>40</v>
      </c>
      <c r="O2255" s="47" t="s">
        <v>39</v>
      </c>
    </row>
    <row r="2256" spans="1:15">
      <c r="A2256" s="70">
        <v>2025</v>
      </c>
      <c r="B2256" s="16" t="s">
        <v>15</v>
      </c>
      <c r="C2256" s="62" t="s">
        <v>3155</v>
      </c>
      <c r="D2256" s="47" t="s">
        <v>1227</v>
      </c>
      <c r="E2256" s="47" t="s">
        <v>3157</v>
      </c>
      <c r="F2256" s="99">
        <v>493</v>
      </c>
      <c r="G2256" s="42" t="s">
        <v>19</v>
      </c>
      <c r="H2256" s="44">
        <v>1100</v>
      </c>
      <c r="I2256" s="502">
        <f t="shared" si="147"/>
        <v>542300</v>
      </c>
      <c r="J2256" s="529">
        <v>1070</v>
      </c>
      <c r="K2256" s="529">
        <f t="shared" si="149"/>
        <v>30</v>
      </c>
      <c r="L2256" s="530">
        <f t="shared" si="148"/>
        <v>14790</v>
      </c>
      <c r="M2256" s="536">
        <f t="shared" si="150"/>
        <v>2.7272727272727271E-2</v>
      </c>
      <c r="N2256" s="47" t="s">
        <v>40</v>
      </c>
      <c r="O2256" s="47" t="s">
        <v>39</v>
      </c>
    </row>
    <row r="2257" spans="1:15">
      <c r="A2257" s="70">
        <v>2025</v>
      </c>
      <c r="B2257" s="16" t="s">
        <v>15</v>
      </c>
      <c r="C2257" s="62" t="s">
        <v>3155</v>
      </c>
      <c r="D2257" s="47" t="s">
        <v>1227</v>
      </c>
      <c r="E2257" s="47" t="s">
        <v>3158</v>
      </c>
      <c r="F2257" s="99">
        <v>473</v>
      </c>
      <c r="G2257" s="42" t="s">
        <v>19</v>
      </c>
      <c r="H2257" s="44">
        <v>185</v>
      </c>
      <c r="I2257" s="502">
        <f t="shared" si="147"/>
        <v>87505</v>
      </c>
      <c r="J2257" s="529">
        <v>180</v>
      </c>
      <c r="K2257" s="529">
        <f t="shared" si="149"/>
        <v>5</v>
      </c>
      <c r="L2257" s="530">
        <f t="shared" si="148"/>
        <v>2365</v>
      </c>
      <c r="M2257" s="536">
        <f t="shared" si="150"/>
        <v>2.7027027027027029E-2</v>
      </c>
      <c r="N2257" s="47" t="s">
        <v>40</v>
      </c>
      <c r="O2257" s="47" t="s">
        <v>39</v>
      </c>
    </row>
    <row r="2258" spans="1:15">
      <c r="A2258" s="70">
        <v>2025</v>
      </c>
      <c r="B2258" s="16" t="s">
        <v>15</v>
      </c>
      <c r="C2258" s="62" t="s">
        <v>3155</v>
      </c>
      <c r="D2258" s="47" t="s">
        <v>1227</v>
      </c>
      <c r="E2258" s="47" t="s">
        <v>3159</v>
      </c>
      <c r="F2258" s="99">
        <v>300</v>
      </c>
      <c r="G2258" s="42" t="s">
        <v>19</v>
      </c>
      <c r="H2258" s="44">
        <v>885</v>
      </c>
      <c r="I2258" s="502">
        <f t="shared" si="147"/>
        <v>265500</v>
      </c>
      <c r="J2258" s="529">
        <v>865</v>
      </c>
      <c r="K2258" s="529">
        <f t="shared" si="149"/>
        <v>20</v>
      </c>
      <c r="L2258" s="530">
        <f t="shared" si="148"/>
        <v>6000</v>
      </c>
      <c r="M2258" s="536">
        <f t="shared" si="150"/>
        <v>2.2598870056497175E-2</v>
      </c>
      <c r="N2258" s="47" t="s">
        <v>40</v>
      </c>
      <c r="O2258" s="47" t="s">
        <v>39</v>
      </c>
    </row>
    <row r="2259" spans="1:15">
      <c r="A2259" s="70">
        <v>2025</v>
      </c>
      <c r="B2259" s="16" t="s">
        <v>15</v>
      </c>
      <c r="C2259" s="62" t="s">
        <v>3160</v>
      </c>
      <c r="D2259" s="47" t="s">
        <v>3161</v>
      </c>
      <c r="E2259" s="47" t="s">
        <v>3162</v>
      </c>
      <c r="F2259" s="99">
        <v>12000</v>
      </c>
      <c r="G2259" s="42" t="s">
        <v>37</v>
      </c>
      <c r="H2259" s="44">
        <v>29.8</v>
      </c>
      <c r="I2259" s="502">
        <f t="shared" si="147"/>
        <v>357600</v>
      </c>
      <c r="J2259" s="529">
        <v>28</v>
      </c>
      <c r="K2259" s="529">
        <f t="shared" si="149"/>
        <v>1.8000000000000007</v>
      </c>
      <c r="L2259" s="530">
        <f t="shared" si="148"/>
        <v>21600.000000000007</v>
      </c>
      <c r="M2259" s="536">
        <f t="shared" si="150"/>
        <v>6.0402684563758413E-2</v>
      </c>
      <c r="N2259" s="47" t="s">
        <v>22</v>
      </c>
      <c r="O2259" s="47" t="s">
        <v>39</v>
      </c>
    </row>
    <row r="2260" spans="1:15">
      <c r="A2260" s="70">
        <v>2025</v>
      </c>
      <c r="B2260" s="16" t="s">
        <v>15</v>
      </c>
      <c r="C2260" s="62" t="s">
        <v>3163</v>
      </c>
      <c r="D2260" s="47" t="s">
        <v>107</v>
      </c>
      <c r="E2260" s="47" t="s">
        <v>816</v>
      </c>
      <c r="F2260" s="99">
        <v>5</v>
      </c>
      <c r="G2260" s="42" t="s">
        <v>19</v>
      </c>
      <c r="H2260" s="44">
        <v>2800</v>
      </c>
      <c r="I2260" s="502">
        <f t="shared" si="147"/>
        <v>14000</v>
      </c>
      <c r="J2260" s="529">
        <v>2625</v>
      </c>
      <c r="K2260" s="529">
        <f t="shared" si="149"/>
        <v>175</v>
      </c>
      <c r="L2260" s="530">
        <f t="shared" si="148"/>
        <v>875</v>
      </c>
      <c r="M2260" s="536">
        <f t="shared" si="150"/>
        <v>6.25E-2</v>
      </c>
      <c r="N2260" s="47" t="s">
        <v>22</v>
      </c>
      <c r="O2260" s="47" t="s">
        <v>105</v>
      </c>
    </row>
    <row r="2261" spans="1:15">
      <c r="A2261" s="70">
        <v>2025</v>
      </c>
      <c r="B2261" s="16" t="s">
        <v>15</v>
      </c>
      <c r="C2261" s="62" t="s">
        <v>3164</v>
      </c>
      <c r="D2261" s="47" t="s">
        <v>1375</v>
      </c>
      <c r="E2261" s="47" t="s">
        <v>1575</v>
      </c>
      <c r="F2261" s="99">
        <v>3000</v>
      </c>
      <c r="G2261" s="42" t="s">
        <v>337</v>
      </c>
      <c r="H2261" s="44">
        <v>313</v>
      </c>
      <c r="I2261" s="502">
        <f t="shared" si="147"/>
        <v>939000</v>
      </c>
      <c r="J2261" s="529">
        <v>311</v>
      </c>
      <c r="K2261" s="529">
        <f t="shared" si="149"/>
        <v>2</v>
      </c>
      <c r="L2261" s="530">
        <f t="shared" si="148"/>
        <v>6000</v>
      </c>
      <c r="M2261" s="536">
        <f t="shared" si="150"/>
        <v>6.3897763578274758E-3</v>
      </c>
      <c r="N2261" s="47" t="s">
        <v>40</v>
      </c>
      <c r="O2261" s="47" t="s">
        <v>105</v>
      </c>
    </row>
    <row r="2262" spans="1:15">
      <c r="A2262" s="70">
        <v>2025</v>
      </c>
      <c r="B2262" s="16" t="s">
        <v>15</v>
      </c>
      <c r="C2262" s="62" t="s">
        <v>3165</v>
      </c>
      <c r="D2262" s="47" t="s">
        <v>1042</v>
      </c>
      <c r="E2262" s="47" t="s">
        <v>711</v>
      </c>
      <c r="F2262" s="99">
        <v>849</v>
      </c>
      <c r="G2262" s="42" t="s">
        <v>37</v>
      </c>
      <c r="H2262" s="44">
        <v>378</v>
      </c>
      <c r="I2262" s="502">
        <f t="shared" si="147"/>
        <v>320922</v>
      </c>
      <c r="J2262" s="529">
        <v>348</v>
      </c>
      <c r="K2262" s="529">
        <f t="shared" si="149"/>
        <v>30</v>
      </c>
      <c r="L2262" s="530">
        <f t="shared" si="148"/>
        <v>25470</v>
      </c>
      <c r="M2262" s="536">
        <f t="shared" si="150"/>
        <v>7.9365079365079361E-2</v>
      </c>
      <c r="N2262" s="47" t="s">
        <v>22</v>
      </c>
      <c r="O2262" s="47" t="s">
        <v>105</v>
      </c>
    </row>
    <row r="2263" spans="1:15">
      <c r="A2263" s="70">
        <v>2025</v>
      </c>
      <c r="B2263" s="16" t="s">
        <v>15</v>
      </c>
      <c r="C2263" s="62" t="s">
        <v>3166</v>
      </c>
      <c r="D2263" s="47" t="s">
        <v>94</v>
      </c>
      <c r="E2263" s="47" t="s">
        <v>1038</v>
      </c>
      <c r="F2263" s="99">
        <v>200</v>
      </c>
      <c r="G2263" s="42" t="s">
        <v>19</v>
      </c>
      <c r="H2263" s="44">
        <v>15.5</v>
      </c>
      <c r="I2263" s="502">
        <f t="shared" si="147"/>
        <v>3100</v>
      </c>
      <c r="J2263" s="529">
        <v>14.76</v>
      </c>
      <c r="K2263" s="529">
        <f t="shared" si="149"/>
        <v>0.74000000000000021</v>
      </c>
      <c r="L2263" s="530">
        <f t="shared" si="148"/>
        <v>148.00000000000006</v>
      </c>
      <c r="M2263" s="536">
        <f t="shared" si="150"/>
        <v>4.7741935483870984E-2</v>
      </c>
      <c r="N2263" s="47" t="s">
        <v>22</v>
      </c>
      <c r="O2263" s="47" t="s">
        <v>105</v>
      </c>
    </row>
    <row r="2264" spans="1:15">
      <c r="A2264" s="70">
        <v>2025</v>
      </c>
      <c r="B2264" s="16" t="s">
        <v>15</v>
      </c>
      <c r="C2264" s="62" t="s">
        <v>3167</v>
      </c>
      <c r="D2264" s="47" t="s">
        <v>1042</v>
      </c>
      <c r="E2264" s="47" t="s">
        <v>889</v>
      </c>
      <c r="F2264" s="99">
        <v>1120</v>
      </c>
      <c r="G2264" s="42" t="s">
        <v>37</v>
      </c>
      <c r="H2264" s="44">
        <v>378</v>
      </c>
      <c r="I2264" s="502">
        <f t="shared" si="147"/>
        <v>423360</v>
      </c>
      <c r="J2264" s="529">
        <v>348</v>
      </c>
      <c r="K2264" s="529">
        <f t="shared" si="149"/>
        <v>30</v>
      </c>
      <c r="L2264" s="530">
        <f t="shared" si="148"/>
        <v>33600</v>
      </c>
      <c r="M2264" s="536">
        <f t="shared" si="150"/>
        <v>7.9365079365079361E-2</v>
      </c>
      <c r="N2264" s="47" t="s">
        <v>22</v>
      </c>
      <c r="O2264" s="47" t="s">
        <v>105</v>
      </c>
    </row>
    <row r="2265" spans="1:15">
      <c r="A2265" s="70">
        <v>2025</v>
      </c>
      <c r="B2265" s="16" t="s">
        <v>15</v>
      </c>
      <c r="C2265" s="62" t="s">
        <v>3168</v>
      </c>
      <c r="D2265" s="47" t="s">
        <v>166</v>
      </c>
      <c r="E2265" s="47" t="s">
        <v>3062</v>
      </c>
      <c r="F2265" s="99">
        <v>21530</v>
      </c>
      <c r="G2265" s="42" t="s">
        <v>37</v>
      </c>
      <c r="H2265" s="44">
        <v>29.75</v>
      </c>
      <c r="I2265" s="502">
        <f t="shared" si="147"/>
        <v>640517.5</v>
      </c>
      <c r="J2265" s="529">
        <v>27.13</v>
      </c>
      <c r="K2265" s="529">
        <f t="shared" si="149"/>
        <v>2.620000000000001</v>
      </c>
      <c r="L2265" s="530">
        <f t="shared" si="148"/>
        <v>56408.60000000002</v>
      </c>
      <c r="M2265" s="536">
        <f t="shared" si="150"/>
        <v>8.8067226890756342E-2</v>
      </c>
      <c r="N2265" s="47" t="s">
        <v>22</v>
      </c>
      <c r="O2265" s="47" t="s">
        <v>105</v>
      </c>
    </row>
    <row r="2266" spans="1:15">
      <c r="A2266" s="70">
        <v>2025</v>
      </c>
      <c r="B2266" s="16" t="s">
        <v>15</v>
      </c>
      <c r="C2266" s="62" t="s">
        <v>3169</v>
      </c>
      <c r="D2266" s="47" t="s">
        <v>708</v>
      </c>
      <c r="E2266" s="47" t="s">
        <v>45</v>
      </c>
      <c r="F2266" s="99">
        <v>4753</v>
      </c>
      <c r="G2266" s="42" t="s">
        <v>37</v>
      </c>
      <c r="H2266" s="44">
        <v>5</v>
      </c>
      <c r="I2266" s="502">
        <f t="shared" si="147"/>
        <v>23765</v>
      </c>
      <c r="J2266" s="529">
        <v>0</v>
      </c>
      <c r="K2266" s="529">
        <f t="shared" si="149"/>
        <v>5</v>
      </c>
      <c r="L2266" s="530">
        <f t="shared" si="148"/>
        <v>23765</v>
      </c>
      <c r="M2266" s="536">
        <f t="shared" si="150"/>
        <v>1</v>
      </c>
      <c r="N2266" s="47" t="s">
        <v>40</v>
      </c>
      <c r="O2266" s="47" t="s">
        <v>105</v>
      </c>
    </row>
    <row r="2267" spans="1:15">
      <c r="A2267" s="70">
        <v>2025</v>
      </c>
      <c r="B2267" s="16" t="s">
        <v>15</v>
      </c>
      <c r="C2267" s="62" t="s">
        <v>3170</v>
      </c>
      <c r="D2267" s="47" t="s">
        <v>3171</v>
      </c>
      <c r="E2267" s="47" t="s">
        <v>3172</v>
      </c>
      <c r="F2267" s="99">
        <v>1</v>
      </c>
      <c r="G2267" s="42" t="s">
        <v>285</v>
      </c>
      <c r="H2267" s="44">
        <v>36750</v>
      </c>
      <c r="I2267" s="502">
        <f t="shared" si="147"/>
        <v>36750</v>
      </c>
      <c r="J2267" s="529">
        <v>33250</v>
      </c>
      <c r="K2267" s="529">
        <f t="shared" si="149"/>
        <v>3500</v>
      </c>
      <c r="L2267" s="530">
        <f t="shared" si="148"/>
        <v>3500</v>
      </c>
      <c r="M2267" s="536">
        <f t="shared" si="150"/>
        <v>9.5238095238095233E-2</v>
      </c>
      <c r="N2267" s="47" t="s">
        <v>40</v>
      </c>
      <c r="O2267" s="47" t="s">
        <v>105</v>
      </c>
    </row>
    <row r="2268" spans="1:15">
      <c r="A2268" s="70">
        <v>2025</v>
      </c>
      <c r="B2268" s="16" t="s">
        <v>15</v>
      </c>
      <c r="C2268" s="62" t="s">
        <v>3173</v>
      </c>
      <c r="D2268" s="47" t="s">
        <v>107</v>
      </c>
      <c r="E2268" s="47" t="s">
        <v>1652</v>
      </c>
      <c r="F2268" s="99">
        <v>20</v>
      </c>
      <c r="G2268" s="42" t="s">
        <v>19</v>
      </c>
      <c r="H2268" s="44">
        <v>1600</v>
      </c>
      <c r="I2268" s="502">
        <f t="shared" si="147"/>
        <v>32000</v>
      </c>
      <c r="J2268" s="529">
        <v>1470</v>
      </c>
      <c r="K2268" s="529">
        <f t="shared" si="149"/>
        <v>130</v>
      </c>
      <c r="L2268" s="530">
        <f t="shared" si="148"/>
        <v>2600</v>
      </c>
      <c r="M2268" s="536">
        <f t="shared" si="150"/>
        <v>8.1250000000000003E-2</v>
      </c>
      <c r="N2268" s="47" t="s">
        <v>22</v>
      </c>
      <c r="O2268" s="47" t="s">
        <v>105</v>
      </c>
    </row>
    <row r="2269" spans="1:15">
      <c r="A2269" s="70">
        <v>2025</v>
      </c>
      <c r="B2269" s="16" t="s">
        <v>15</v>
      </c>
      <c r="C2269" s="62" t="s">
        <v>3174</v>
      </c>
      <c r="D2269" s="47" t="s">
        <v>1227</v>
      </c>
      <c r="E2269" s="47" t="s">
        <v>3175</v>
      </c>
      <c r="F2269" s="99">
        <v>490</v>
      </c>
      <c r="G2269" s="42" t="s">
        <v>19</v>
      </c>
      <c r="H2269" s="44">
        <v>106</v>
      </c>
      <c r="I2269" s="502">
        <f t="shared" si="147"/>
        <v>51940</v>
      </c>
      <c r="J2269" s="529">
        <v>104</v>
      </c>
      <c r="K2269" s="529">
        <f t="shared" si="149"/>
        <v>2</v>
      </c>
      <c r="L2269" s="530">
        <f t="shared" si="148"/>
        <v>980</v>
      </c>
      <c r="M2269" s="536">
        <f t="shared" si="150"/>
        <v>1.8867924528301886E-2</v>
      </c>
      <c r="N2269" s="47" t="s">
        <v>40</v>
      </c>
      <c r="O2269" s="47" t="s">
        <v>39</v>
      </c>
    </row>
    <row r="2270" spans="1:15">
      <c r="A2270" s="70">
        <v>2025</v>
      </c>
      <c r="B2270" s="16" t="s">
        <v>15</v>
      </c>
      <c r="C2270" s="62" t="s">
        <v>3176</v>
      </c>
      <c r="D2270" s="47" t="s">
        <v>1227</v>
      </c>
      <c r="E2270" s="47" t="s">
        <v>1230</v>
      </c>
      <c r="F2270" s="99">
        <v>1600</v>
      </c>
      <c r="G2270" s="42" t="s">
        <v>19</v>
      </c>
      <c r="H2270" s="44">
        <v>92</v>
      </c>
      <c r="I2270" s="502">
        <f t="shared" si="147"/>
        <v>147200</v>
      </c>
      <c r="J2270" s="529">
        <v>87</v>
      </c>
      <c r="K2270" s="529">
        <f t="shared" si="149"/>
        <v>5</v>
      </c>
      <c r="L2270" s="530">
        <f t="shared" si="148"/>
        <v>8000</v>
      </c>
      <c r="M2270" s="536">
        <f t="shared" si="150"/>
        <v>5.434782608695652E-2</v>
      </c>
      <c r="N2270" s="47" t="s">
        <v>40</v>
      </c>
      <c r="O2270" s="47" t="s">
        <v>39</v>
      </c>
    </row>
    <row r="2271" spans="1:15">
      <c r="A2271" s="70">
        <v>2025</v>
      </c>
      <c r="B2271" s="16" t="s">
        <v>15</v>
      </c>
      <c r="C2271" s="62" t="s">
        <v>3176</v>
      </c>
      <c r="D2271" s="47" t="s">
        <v>1227</v>
      </c>
      <c r="E2271" s="47" t="s">
        <v>3177</v>
      </c>
      <c r="F2271" s="99">
        <v>471</v>
      </c>
      <c r="G2271" s="42" t="s">
        <v>19</v>
      </c>
      <c r="H2271" s="44">
        <v>48</v>
      </c>
      <c r="I2271" s="502">
        <f t="shared" si="147"/>
        <v>22608</v>
      </c>
      <c r="J2271" s="529">
        <v>47</v>
      </c>
      <c r="K2271" s="529">
        <f t="shared" si="149"/>
        <v>1</v>
      </c>
      <c r="L2271" s="530">
        <f t="shared" si="148"/>
        <v>471</v>
      </c>
      <c r="M2271" s="536">
        <f t="shared" si="150"/>
        <v>2.0833333333333332E-2</v>
      </c>
      <c r="N2271" s="47" t="s">
        <v>40</v>
      </c>
      <c r="O2271" s="47" t="s">
        <v>39</v>
      </c>
    </row>
    <row r="2272" spans="1:15">
      <c r="A2272" s="70">
        <v>2025</v>
      </c>
      <c r="B2272" s="16" t="s">
        <v>15</v>
      </c>
      <c r="C2272" s="62" t="s">
        <v>3176</v>
      </c>
      <c r="D2272" s="47" t="s">
        <v>1227</v>
      </c>
      <c r="E2272" s="47" t="s">
        <v>3178</v>
      </c>
      <c r="F2272" s="99">
        <v>477</v>
      </c>
      <c r="G2272" s="42" t="s">
        <v>19</v>
      </c>
      <c r="H2272" s="44">
        <v>32</v>
      </c>
      <c r="I2272" s="502">
        <f t="shared" si="147"/>
        <v>15264</v>
      </c>
      <c r="J2272" s="529">
        <v>31</v>
      </c>
      <c r="K2272" s="529">
        <f t="shared" si="149"/>
        <v>1</v>
      </c>
      <c r="L2272" s="530">
        <f t="shared" si="148"/>
        <v>477</v>
      </c>
      <c r="M2272" s="536">
        <f t="shared" si="150"/>
        <v>3.125E-2</v>
      </c>
      <c r="N2272" s="47" t="s">
        <v>40</v>
      </c>
      <c r="O2272" s="47" t="s">
        <v>39</v>
      </c>
    </row>
    <row r="2273" spans="1:15">
      <c r="A2273" s="70">
        <v>2025</v>
      </c>
      <c r="B2273" s="16" t="s">
        <v>15</v>
      </c>
      <c r="C2273" s="62" t="s">
        <v>3176</v>
      </c>
      <c r="D2273" s="47" t="s">
        <v>1227</v>
      </c>
      <c r="E2273" s="47" t="s">
        <v>3179</v>
      </c>
      <c r="F2273" s="99">
        <v>481</v>
      </c>
      <c r="G2273" s="42" t="s">
        <v>19</v>
      </c>
      <c r="H2273" s="44">
        <v>77</v>
      </c>
      <c r="I2273" s="502">
        <f t="shared" si="147"/>
        <v>37037</v>
      </c>
      <c r="J2273" s="529">
        <v>75</v>
      </c>
      <c r="K2273" s="529">
        <f t="shared" si="149"/>
        <v>2</v>
      </c>
      <c r="L2273" s="530">
        <f t="shared" si="148"/>
        <v>962</v>
      </c>
      <c r="M2273" s="536">
        <f t="shared" si="150"/>
        <v>2.5974025974025976E-2</v>
      </c>
      <c r="N2273" s="47" t="s">
        <v>40</v>
      </c>
      <c r="O2273" s="47" t="s">
        <v>39</v>
      </c>
    </row>
    <row r="2274" spans="1:15">
      <c r="A2274" s="70">
        <v>2025</v>
      </c>
      <c r="B2274" s="16" t="s">
        <v>15</v>
      </c>
      <c r="C2274" s="62" t="s">
        <v>3176</v>
      </c>
      <c r="D2274" s="47" t="s">
        <v>1227</v>
      </c>
      <c r="E2274" s="47" t="s">
        <v>3180</v>
      </c>
      <c r="F2274" s="99">
        <v>451</v>
      </c>
      <c r="G2274" s="42" t="s">
        <v>19</v>
      </c>
      <c r="H2274" s="44">
        <v>44</v>
      </c>
      <c r="I2274" s="502">
        <f t="shared" si="147"/>
        <v>19844</v>
      </c>
      <c r="J2274" s="529">
        <v>43</v>
      </c>
      <c r="K2274" s="529">
        <f t="shared" si="149"/>
        <v>1</v>
      </c>
      <c r="L2274" s="530">
        <f t="shared" si="148"/>
        <v>451</v>
      </c>
      <c r="M2274" s="536">
        <f t="shared" si="150"/>
        <v>2.2727272727272728E-2</v>
      </c>
      <c r="N2274" s="47" t="s">
        <v>40</v>
      </c>
      <c r="O2274" s="47" t="s">
        <v>39</v>
      </c>
    </row>
    <row r="2275" spans="1:15">
      <c r="A2275" s="70">
        <v>2025</v>
      </c>
      <c r="B2275" s="16" t="s">
        <v>15</v>
      </c>
      <c r="C2275" s="62" t="s">
        <v>3176</v>
      </c>
      <c r="D2275" s="47" t="s">
        <v>1227</v>
      </c>
      <c r="E2275" s="47" t="s">
        <v>3181</v>
      </c>
      <c r="F2275" s="99">
        <v>300</v>
      </c>
      <c r="G2275" s="42" t="s">
        <v>19</v>
      </c>
      <c r="H2275" s="44">
        <v>665</v>
      </c>
      <c r="I2275" s="502">
        <f t="shared" si="147"/>
        <v>199500</v>
      </c>
      <c r="J2275" s="529">
        <v>650</v>
      </c>
      <c r="K2275" s="529">
        <f t="shared" si="149"/>
        <v>15</v>
      </c>
      <c r="L2275" s="530">
        <f t="shared" si="148"/>
        <v>4500</v>
      </c>
      <c r="M2275" s="536">
        <f t="shared" si="150"/>
        <v>2.2556390977443608E-2</v>
      </c>
      <c r="N2275" s="47" t="s">
        <v>40</v>
      </c>
      <c r="O2275" s="47" t="s">
        <v>39</v>
      </c>
    </row>
    <row r="2276" spans="1:15">
      <c r="A2276" s="70">
        <v>2025</v>
      </c>
      <c r="B2276" s="16" t="s">
        <v>15</v>
      </c>
      <c r="C2276" s="62" t="s">
        <v>3176</v>
      </c>
      <c r="D2276" s="47" t="s">
        <v>1227</v>
      </c>
      <c r="E2276" s="47" t="s">
        <v>1237</v>
      </c>
      <c r="F2276" s="99">
        <v>402</v>
      </c>
      <c r="G2276" s="42" t="s">
        <v>19</v>
      </c>
      <c r="H2276" s="44">
        <v>36</v>
      </c>
      <c r="I2276" s="502">
        <f t="shared" si="147"/>
        <v>14472</v>
      </c>
      <c r="J2276" s="529">
        <v>35</v>
      </c>
      <c r="K2276" s="529">
        <f t="shared" si="149"/>
        <v>1</v>
      </c>
      <c r="L2276" s="530">
        <f t="shared" si="148"/>
        <v>402</v>
      </c>
      <c r="M2276" s="536">
        <f t="shared" si="150"/>
        <v>2.7777777777777776E-2</v>
      </c>
      <c r="N2276" s="47" t="s">
        <v>40</v>
      </c>
      <c r="O2276" s="47" t="s">
        <v>39</v>
      </c>
    </row>
    <row r="2277" spans="1:15">
      <c r="A2277" s="70">
        <v>2025</v>
      </c>
      <c r="B2277" s="16" t="s">
        <v>15</v>
      </c>
      <c r="C2277" s="62" t="s">
        <v>3176</v>
      </c>
      <c r="D2277" s="47" t="s">
        <v>1227</v>
      </c>
      <c r="E2277" s="47" t="s">
        <v>3182</v>
      </c>
      <c r="F2277" s="99">
        <v>433</v>
      </c>
      <c r="G2277" s="42" t="s">
        <v>19</v>
      </c>
      <c r="H2277" s="44">
        <v>115</v>
      </c>
      <c r="I2277" s="502">
        <f t="shared" si="147"/>
        <v>49795</v>
      </c>
      <c r="J2277" s="529">
        <v>112</v>
      </c>
      <c r="K2277" s="529">
        <f t="shared" si="149"/>
        <v>3</v>
      </c>
      <c r="L2277" s="530">
        <f t="shared" si="148"/>
        <v>1299</v>
      </c>
      <c r="M2277" s="536">
        <f t="shared" si="150"/>
        <v>2.6086956521739129E-2</v>
      </c>
      <c r="N2277" s="47" t="s">
        <v>40</v>
      </c>
      <c r="O2277" s="47" t="s">
        <v>39</v>
      </c>
    </row>
    <row r="2278" spans="1:15">
      <c r="A2278" s="70">
        <v>2025</v>
      </c>
      <c r="B2278" s="16" t="s">
        <v>15</v>
      </c>
      <c r="C2278" s="62" t="s">
        <v>3176</v>
      </c>
      <c r="D2278" s="47" t="s">
        <v>1227</v>
      </c>
      <c r="E2278" s="47" t="s">
        <v>1235</v>
      </c>
      <c r="F2278" s="99">
        <v>417</v>
      </c>
      <c r="G2278" s="42" t="s">
        <v>19</v>
      </c>
      <c r="H2278" s="44">
        <v>46</v>
      </c>
      <c r="I2278" s="502">
        <f t="shared" si="147"/>
        <v>19182</v>
      </c>
      <c r="J2278" s="529">
        <v>45</v>
      </c>
      <c r="K2278" s="529">
        <f t="shared" si="149"/>
        <v>1</v>
      </c>
      <c r="L2278" s="530">
        <f t="shared" si="148"/>
        <v>417</v>
      </c>
      <c r="M2278" s="536">
        <f t="shared" si="150"/>
        <v>2.1739130434782608E-2</v>
      </c>
      <c r="N2278" s="47" t="s">
        <v>40</v>
      </c>
      <c r="O2278" s="47" t="s">
        <v>39</v>
      </c>
    </row>
    <row r="2279" spans="1:15">
      <c r="A2279" s="70">
        <v>2025</v>
      </c>
      <c r="B2279" s="16" t="s">
        <v>15</v>
      </c>
      <c r="C2279" s="62" t="s">
        <v>3176</v>
      </c>
      <c r="D2279" s="47" t="s">
        <v>1227</v>
      </c>
      <c r="E2279" s="47" t="s">
        <v>3183</v>
      </c>
      <c r="F2279" s="99">
        <v>201</v>
      </c>
      <c r="G2279" s="42" t="s">
        <v>19</v>
      </c>
      <c r="H2279" s="44">
        <v>310</v>
      </c>
      <c r="I2279" s="502">
        <f t="shared" si="147"/>
        <v>62310</v>
      </c>
      <c r="J2279" s="529">
        <v>300</v>
      </c>
      <c r="K2279" s="529">
        <f t="shared" si="149"/>
        <v>10</v>
      </c>
      <c r="L2279" s="530">
        <f t="shared" si="148"/>
        <v>2010</v>
      </c>
      <c r="M2279" s="536">
        <f t="shared" si="150"/>
        <v>3.2258064516129031E-2</v>
      </c>
      <c r="N2279" s="47" t="s">
        <v>40</v>
      </c>
      <c r="O2279" s="47" t="s">
        <v>39</v>
      </c>
    </row>
    <row r="2280" spans="1:15">
      <c r="A2280" s="70">
        <v>2025</v>
      </c>
      <c r="B2280" s="16" t="s">
        <v>15</v>
      </c>
      <c r="C2280" s="62" t="s">
        <v>3176</v>
      </c>
      <c r="D2280" s="47" t="s">
        <v>1227</v>
      </c>
      <c r="E2280" s="47" t="s">
        <v>3184</v>
      </c>
      <c r="F2280" s="99">
        <v>201</v>
      </c>
      <c r="G2280" s="42" t="s">
        <v>19</v>
      </c>
      <c r="H2280" s="44">
        <v>178</v>
      </c>
      <c r="I2280" s="502">
        <f t="shared" si="147"/>
        <v>35778</v>
      </c>
      <c r="J2280" s="529">
        <v>175</v>
      </c>
      <c r="K2280" s="529">
        <f t="shared" si="149"/>
        <v>3</v>
      </c>
      <c r="L2280" s="530">
        <f t="shared" si="148"/>
        <v>603</v>
      </c>
      <c r="M2280" s="536">
        <f t="shared" si="150"/>
        <v>1.6853932584269662E-2</v>
      </c>
      <c r="N2280" s="47" t="s">
        <v>40</v>
      </c>
      <c r="O2280" s="47" t="s">
        <v>39</v>
      </c>
    </row>
    <row r="2281" spans="1:15">
      <c r="A2281" s="70">
        <v>2025</v>
      </c>
      <c r="B2281" s="16" t="s">
        <v>15</v>
      </c>
      <c r="C2281" s="62" t="s">
        <v>3176</v>
      </c>
      <c r="D2281" s="55" t="s">
        <v>1227</v>
      </c>
      <c r="E2281" s="47" t="s">
        <v>3185</v>
      </c>
      <c r="F2281" s="99">
        <v>463</v>
      </c>
      <c r="G2281" s="42" t="s">
        <v>19</v>
      </c>
      <c r="H2281" s="44">
        <v>475</v>
      </c>
      <c r="I2281" s="502">
        <f t="shared" si="147"/>
        <v>219925</v>
      </c>
      <c r="J2281" s="529">
        <v>465</v>
      </c>
      <c r="K2281" s="529">
        <f t="shared" si="149"/>
        <v>10</v>
      </c>
      <c r="L2281" s="530">
        <f t="shared" si="148"/>
        <v>4630</v>
      </c>
      <c r="M2281" s="536">
        <f t="shared" si="150"/>
        <v>2.1052631578947368E-2</v>
      </c>
      <c r="N2281" s="47" t="s">
        <v>40</v>
      </c>
      <c r="O2281" s="47" t="s">
        <v>39</v>
      </c>
    </row>
    <row r="2282" spans="1:15">
      <c r="A2282" s="70">
        <v>2025</v>
      </c>
      <c r="B2282" s="16" t="s">
        <v>15</v>
      </c>
      <c r="C2282" s="77" t="s">
        <v>3186</v>
      </c>
      <c r="D2282" s="55" t="s">
        <v>398</v>
      </c>
      <c r="E2282" s="78" t="s">
        <v>3187</v>
      </c>
      <c r="F2282" s="99">
        <v>1</v>
      </c>
      <c r="G2282" s="42" t="s">
        <v>285</v>
      </c>
      <c r="H2282" s="44">
        <v>632922</v>
      </c>
      <c r="I2282" s="502">
        <f t="shared" si="147"/>
        <v>632922</v>
      </c>
      <c r="J2282" s="529">
        <v>625000</v>
      </c>
      <c r="K2282" s="529">
        <f t="shared" si="149"/>
        <v>7922</v>
      </c>
      <c r="L2282" s="530">
        <f t="shared" si="148"/>
        <v>7922</v>
      </c>
      <c r="M2282" s="536">
        <f t="shared" si="150"/>
        <v>1.2516550222618269E-2</v>
      </c>
      <c r="N2282" s="47" t="s">
        <v>40</v>
      </c>
      <c r="O2282" s="47" t="s">
        <v>21</v>
      </c>
    </row>
    <row r="2283" spans="1:15">
      <c r="A2283" s="70">
        <v>2025</v>
      </c>
      <c r="B2283" s="16" t="s">
        <v>15</v>
      </c>
      <c r="C2283" s="77" t="s">
        <v>3188</v>
      </c>
      <c r="D2283" s="2" t="s">
        <v>1101</v>
      </c>
      <c r="E2283" s="78" t="s">
        <v>1901</v>
      </c>
      <c r="F2283" s="99">
        <v>830</v>
      </c>
      <c r="G2283" s="42" t="s">
        <v>19</v>
      </c>
      <c r="H2283" s="44">
        <v>16</v>
      </c>
      <c r="I2283" s="502">
        <f t="shared" si="147"/>
        <v>13280</v>
      </c>
      <c r="J2283" s="529">
        <v>15</v>
      </c>
      <c r="K2283" s="529">
        <f t="shared" si="149"/>
        <v>1</v>
      </c>
      <c r="L2283" s="530">
        <f t="shared" si="148"/>
        <v>830</v>
      </c>
      <c r="M2283" s="536">
        <f t="shared" si="150"/>
        <v>6.25E-2</v>
      </c>
      <c r="N2283" s="47" t="s">
        <v>20</v>
      </c>
      <c r="O2283" s="47" t="s">
        <v>21</v>
      </c>
    </row>
    <row r="2284" spans="1:15">
      <c r="A2284" s="70">
        <v>2025</v>
      </c>
      <c r="B2284" s="16" t="s">
        <v>15</v>
      </c>
      <c r="C2284" s="62" t="s">
        <v>3189</v>
      </c>
      <c r="D2284" s="56" t="s">
        <v>1670</v>
      </c>
      <c r="E2284" s="47" t="s">
        <v>3190</v>
      </c>
      <c r="F2284" s="99">
        <v>2</v>
      </c>
      <c r="G2284" s="42" t="s">
        <v>19</v>
      </c>
      <c r="H2284" s="44">
        <v>1850</v>
      </c>
      <c r="I2284" s="502">
        <f t="shared" si="147"/>
        <v>3700</v>
      </c>
      <c r="J2284" s="529">
        <v>1800</v>
      </c>
      <c r="K2284" s="529">
        <f t="shared" si="149"/>
        <v>50</v>
      </c>
      <c r="L2284" s="530">
        <f t="shared" si="148"/>
        <v>100</v>
      </c>
      <c r="M2284" s="536">
        <f t="shared" si="150"/>
        <v>2.7027027027027029E-2</v>
      </c>
      <c r="N2284" s="47" t="s">
        <v>22</v>
      </c>
      <c r="O2284" s="47" t="s">
        <v>21</v>
      </c>
    </row>
    <row r="2285" spans="1:15">
      <c r="A2285" s="70">
        <v>2025</v>
      </c>
      <c r="B2285" s="16" t="s">
        <v>15</v>
      </c>
      <c r="C2285" s="62" t="s">
        <v>3189</v>
      </c>
      <c r="D2285" s="47" t="s">
        <v>1670</v>
      </c>
      <c r="E2285" s="47" t="s">
        <v>3191</v>
      </c>
      <c r="F2285" s="99">
        <v>2</v>
      </c>
      <c r="G2285" s="42" t="s">
        <v>19</v>
      </c>
      <c r="H2285" s="44">
        <v>1850</v>
      </c>
      <c r="I2285" s="502">
        <f t="shared" ref="I2285:I2348" si="151">H2285*F2285</f>
        <v>3700</v>
      </c>
      <c r="J2285" s="529">
        <v>1500</v>
      </c>
      <c r="K2285" s="529">
        <f t="shared" si="149"/>
        <v>350</v>
      </c>
      <c r="L2285" s="530">
        <f t="shared" si="148"/>
        <v>700</v>
      </c>
      <c r="M2285" s="536">
        <f t="shared" si="150"/>
        <v>0.1891891891891892</v>
      </c>
      <c r="N2285" s="47" t="s">
        <v>22</v>
      </c>
      <c r="O2285" s="47" t="s">
        <v>21</v>
      </c>
    </row>
    <row r="2286" spans="1:15">
      <c r="A2286" s="70">
        <v>2025</v>
      </c>
      <c r="B2286" s="16" t="s">
        <v>15</v>
      </c>
      <c r="C2286" s="62" t="s">
        <v>3192</v>
      </c>
      <c r="D2286" s="47" t="s">
        <v>118</v>
      </c>
      <c r="E2286" s="47" t="s">
        <v>3193</v>
      </c>
      <c r="F2286" s="99">
        <v>3</v>
      </c>
      <c r="G2286" s="42" t="s">
        <v>19</v>
      </c>
      <c r="H2286" s="44">
        <v>4300</v>
      </c>
      <c r="I2286" s="502">
        <f t="shared" si="151"/>
        <v>12900</v>
      </c>
      <c r="J2286" s="529">
        <v>3562.5</v>
      </c>
      <c r="K2286" s="529">
        <f t="shared" si="149"/>
        <v>737.5</v>
      </c>
      <c r="L2286" s="530">
        <f t="shared" si="148"/>
        <v>2212.5</v>
      </c>
      <c r="M2286" s="536">
        <f t="shared" si="150"/>
        <v>0.17151162790697674</v>
      </c>
      <c r="N2286" s="47" t="s">
        <v>22</v>
      </c>
      <c r="O2286" s="47" t="s">
        <v>21</v>
      </c>
    </row>
    <row r="2287" spans="1:15">
      <c r="A2287" s="70">
        <v>2025</v>
      </c>
      <c r="B2287" s="16" t="s">
        <v>15</v>
      </c>
      <c r="C2287" s="62" t="s">
        <v>3192</v>
      </c>
      <c r="D2287" s="47" t="s">
        <v>118</v>
      </c>
      <c r="E2287" s="47" t="s">
        <v>3194</v>
      </c>
      <c r="F2287" s="99">
        <v>3</v>
      </c>
      <c r="G2287" s="42" t="s">
        <v>19</v>
      </c>
      <c r="H2287" s="44">
        <v>2490</v>
      </c>
      <c r="I2287" s="502">
        <f t="shared" si="151"/>
        <v>7470</v>
      </c>
      <c r="J2287" s="529">
        <v>1750</v>
      </c>
      <c r="K2287" s="529">
        <f t="shared" si="149"/>
        <v>740</v>
      </c>
      <c r="L2287" s="530">
        <f t="shared" si="148"/>
        <v>2220</v>
      </c>
      <c r="M2287" s="536">
        <f t="shared" si="150"/>
        <v>0.2971887550200803</v>
      </c>
      <c r="N2287" s="47" t="s">
        <v>22</v>
      </c>
      <c r="O2287" s="47" t="s">
        <v>21</v>
      </c>
    </row>
    <row r="2288" spans="1:15">
      <c r="A2288" s="70">
        <v>2025</v>
      </c>
      <c r="B2288" s="16" t="s">
        <v>15</v>
      </c>
      <c r="C2288" s="62" t="s">
        <v>3195</v>
      </c>
      <c r="D2288" s="47" t="s">
        <v>1948</v>
      </c>
      <c r="E2288" s="47" t="s">
        <v>3196</v>
      </c>
      <c r="F2288" s="99">
        <v>5</v>
      </c>
      <c r="G2288" s="42" t="s">
        <v>19</v>
      </c>
      <c r="H2288" s="44">
        <v>599</v>
      </c>
      <c r="I2288" s="502">
        <f t="shared" si="151"/>
        <v>2995</v>
      </c>
      <c r="J2288" s="529">
        <v>515</v>
      </c>
      <c r="K2288" s="529">
        <f t="shared" si="149"/>
        <v>84</v>
      </c>
      <c r="L2288" s="530">
        <f t="shared" si="148"/>
        <v>420</v>
      </c>
      <c r="M2288" s="536">
        <f t="shared" si="150"/>
        <v>0.14023372287145242</v>
      </c>
      <c r="N2288" s="47" t="s">
        <v>22</v>
      </c>
      <c r="O2288" s="47" t="s">
        <v>21</v>
      </c>
    </row>
    <row r="2289" spans="1:15">
      <c r="A2289" s="70">
        <v>2025</v>
      </c>
      <c r="B2289" s="16" t="s">
        <v>15</v>
      </c>
      <c r="C2289" s="62" t="s">
        <v>3195</v>
      </c>
      <c r="D2289" s="47" t="s">
        <v>1948</v>
      </c>
      <c r="E2289" s="47" t="s">
        <v>3197</v>
      </c>
      <c r="F2289" s="99">
        <v>5</v>
      </c>
      <c r="G2289" s="42" t="s">
        <v>19</v>
      </c>
      <c r="H2289" s="44">
        <v>750</v>
      </c>
      <c r="I2289" s="502">
        <f t="shared" si="151"/>
        <v>3750</v>
      </c>
      <c r="J2289" s="529">
        <v>711</v>
      </c>
      <c r="K2289" s="529">
        <f t="shared" si="149"/>
        <v>39</v>
      </c>
      <c r="L2289" s="530">
        <f t="shared" si="148"/>
        <v>195</v>
      </c>
      <c r="M2289" s="536">
        <f t="shared" si="150"/>
        <v>5.1999999999999998E-2</v>
      </c>
      <c r="N2289" s="47" t="s">
        <v>22</v>
      </c>
      <c r="O2289" s="47" t="s">
        <v>21</v>
      </c>
    </row>
    <row r="2290" spans="1:15">
      <c r="A2290" s="70">
        <v>2025</v>
      </c>
      <c r="B2290" s="16" t="s">
        <v>15</v>
      </c>
      <c r="C2290" s="62" t="s">
        <v>3198</v>
      </c>
      <c r="D2290" s="47" t="s">
        <v>110</v>
      </c>
      <c r="E2290" s="47" t="s">
        <v>3199</v>
      </c>
      <c r="F2290" s="99">
        <v>3</v>
      </c>
      <c r="G2290" s="42" t="s">
        <v>19</v>
      </c>
      <c r="H2290" s="44">
        <v>10500</v>
      </c>
      <c r="I2290" s="502">
        <f t="shared" si="151"/>
        <v>31500</v>
      </c>
      <c r="J2290" s="529">
        <v>10200</v>
      </c>
      <c r="K2290" s="529">
        <f t="shared" si="149"/>
        <v>300</v>
      </c>
      <c r="L2290" s="530">
        <f t="shared" si="148"/>
        <v>900</v>
      </c>
      <c r="M2290" s="536">
        <f t="shared" si="150"/>
        <v>2.8571428571428571E-2</v>
      </c>
      <c r="N2290" s="47" t="s">
        <v>22</v>
      </c>
      <c r="O2290" s="47" t="s">
        <v>21</v>
      </c>
    </row>
    <row r="2291" spans="1:15">
      <c r="A2291" s="70">
        <v>2025</v>
      </c>
      <c r="B2291" s="16" t="s">
        <v>15</v>
      </c>
      <c r="C2291" s="62" t="s">
        <v>3198</v>
      </c>
      <c r="D2291" s="47" t="s">
        <v>110</v>
      </c>
      <c r="E2291" s="47" t="s">
        <v>3200</v>
      </c>
      <c r="F2291" s="99">
        <v>3</v>
      </c>
      <c r="G2291" s="42" t="s">
        <v>19</v>
      </c>
      <c r="H2291" s="44">
        <v>3900</v>
      </c>
      <c r="I2291" s="502">
        <f t="shared" si="151"/>
        <v>11700</v>
      </c>
      <c r="J2291" s="529">
        <v>3500</v>
      </c>
      <c r="K2291" s="529">
        <f t="shared" si="149"/>
        <v>400</v>
      </c>
      <c r="L2291" s="530">
        <f t="shared" si="148"/>
        <v>1200</v>
      </c>
      <c r="M2291" s="536">
        <f t="shared" si="150"/>
        <v>0.10256410256410256</v>
      </c>
      <c r="N2291" s="47" t="s">
        <v>22</v>
      </c>
      <c r="O2291" s="47" t="s">
        <v>21</v>
      </c>
    </row>
    <row r="2292" spans="1:15">
      <c r="A2292" s="70">
        <v>2025</v>
      </c>
      <c r="B2292" s="16" t="s">
        <v>15</v>
      </c>
      <c r="C2292" s="62" t="s">
        <v>3201</v>
      </c>
      <c r="D2292" s="47" t="s">
        <v>3202</v>
      </c>
      <c r="E2292" s="47" t="s">
        <v>3203</v>
      </c>
      <c r="F2292" s="99">
        <v>100</v>
      </c>
      <c r="G2292" s="42" t="s">
        <v>19</v>
      </c>
      <c r="H2292" s="44">
        <v>1400</v>
      </c>
      <c r="I2292" s="502">
        <f t="shared" si="151"/>
        <v>140000</v>
      </c>
      <c r="J2292" s="529">
        <v>1200</v>
      </c>
      <c r="K2292" s="529">
        <f t="shared" si="149"/>
        <v>200</v>
      </c>
      <c r="L2292" s="530">
        <f t="shared" si="148"/>
        <v>20000</v>
      </c>
      <c r="M2292" s="536">
        <f t="shared" si="150"/>
        <v>0.14285714285714285</v>
      </c>
      <c r="N2292" s="47" t="s">
        <v>40</v>
      </c>
      <c r="O2292" s="47" t="s">
        <v>21</v>
      </c>
    </row>
    <row r="2293" spans="1:15">
      <c r="A2293" s="70">
        <v>2025</v>
      </c>
      <c r="B2293" s="16" t="s">
        <v>15</v>
      </c>
      <c r="C2293" s="62" t="s">
        <v>3204</v>
      </c>
      <c r="D2293" s="47" t="s">
        <v>1670</v>
      </c>
      <c r="E2293" s="47" t="s">
        <v>3205</v>
      </c>
      <c r="F2293" s="99">
        <v>1</v>
      </c>
      <c r="G2293" s="42" t="s">
        <v>19</v>
      </c>
      <c r="H2293" s="44">
        <v>1850</v>
      </c>
      <c r="I2293" s="502">
        <f t="shared" si="151"/>
        <v>1850</v>
      </c>
      <c r="J2293" s="529">
        <v>1800</v>
      </c>
      <c r="K2293" s="529">
        <f t="shared" si="149"/>
        <v>50</v>
      </c>
      <c r="L2293" s="530">
        <f t="shared" si="148"/>
        <v>50</v>
      </c>
      <c r="M2293" s="536">
        <f t="shared" si="150"/>
        <v>2.7027027027027029E-2</v>
      </c>
      <c r="N2293" s="47" t="s">
        <v>22</v>
      </c>
      <c r="O2293" s="47" t="s">
        <v>21</v>
      </c>
    </row>
    <row r="2294" spans="1:15">
      <c r="A2294" s="70">
        <v>2025</v>
      </c>
      <c r="B2294" s="16" t="s">
        <v>15</v>
      </c>
      <c r="C2294" s="62" t="s">
        <v>3204</v>
      </c>
      <c r="D2294" s="47" t="s">
        <v>1670</v>
      </c>
      <c r="E2294" s="47" t="s">
        <v>3206</v>
      </c>
      <c r="F2294" s="99">
        <v>1</v>
      </c>
      <c r="G2294" s="42" t="s">
        <v>19</v>
      </c>
      <c r="H2294" s="44">
        <v>1850</v>
      </c>
      <c r="I2294" s="502">
        <f t="shared" si="151"/>
        <v>1850</v>
      </c>
      <c r="J2294" s="529">
        <v>1500</v>
      </c>
      <c r="K2294" s="529">
        <f t="shared" si="149"/>
        <v>350</v>
      </c>
      <c r="L2294" s="530">
        <f t="shared" si="148"/>
        <v>350</v>
      </c>
      <c r="M2294" s="536">
        <f t="shared" si="150"/>
        <v>0.1891891891891892</v>
      </c>
      <c r="N2294" s="47" t="s">
        <v>22</v>
      </c>
      <c r="O2294" s="47" t="s">
        <v>21</v>
      </c>
    </row>
    <row r="2295" spans="1:15">
      <c r="A2295" s="70">
        <v>2025</v>
      </c>
      <c r="B2295" s="16" t="s">
        <v>15</v>
      </c>
      <c r="C2295" s="62" t="s">
        <v>3207</v>
      </c>
      <c r="D2295" s="47" t="s">
        <v>1948</v>
      </c>
      <c r="E2295" s="47" t="s">
        <v>1893</v>
      </c>
      <c r="F2295" s="99">
        <v>100</v>
      </c>
      <c r="G2295" s="42" t="s">
        <v>29</v>
      </c>
      <c r="H2295" s="44">
        <v>180</v>
      </c>
      <c r="I2295" s="502">
        <f t="shared" si="151"/>
        <v>18000</v>
      </c>
      <c r="J2295" s="529">
        <v>70</v>
      </c>
      <c r="K2295" s="529">
        <f t="shared" si="149"/>
        <v>110</v>
      </c>
      <c r="L2295" s="530">
        <f t="shared" si="148"/>
        <v>11000</v>
      </c>
      <c r="M2295" s="536">
        <f t="shared" si="150"/>
        <v>0.61111111111111116</v>
      </c>
      <c r="N2295" s="47" t="s">
        <v>22</v>
      </c>
      <c r="O2295" s="47" t="s">
        <v>21</v>
      </c>
    </row>
    <row r="2296" spans="1:15">
      <c r="A2296" s="70">
        <v>2025</v>
      </c>
      <c r="B2296" s="16" t="s">
        <v>15</v>
      </c>
      <c r="C2296" s="62" t="s">
        <v>3207</v>
      </c>
      <c r="D2296" s="47" t="s">
        <v>1948</v>
      </c>
      <c r="E2296" s="47" t="s">
        <v>1420</v>
      </c>
      <c r="F2296" s="99">
        <v>2000</v>
      </c>
      <c r="G2296" s="42" t="s">
        <v>19</v>
      </c>
      <c r="H2296" s="44">
        <v>1.5</v>
      </c>
      <c r="I2296" s="502">
        <f t="shared" si="151"/>
        <v>3000</v>
      </c>
      <c r="J2296" s="529">
        <v>1.31</v>
      </c>
      <c r="K2296" s="529">
        <f t="shared" si="149"/>
        <v>0.18999999999999995</v>
      </c>
      <c r="L2296" s="530">
        <f t="shared" si="148"/>
        <v>379.99999999999989</v>
      </c>
      <c r="M2296" s="536">
        <f t="shared" si="150"/>
        <v>0.12666666666666662</v>
      </c>
      <c r="N2296" s="47" t="s">
        <v>22</v>
      </c>
      <c r="O2296" s="47" t="s">
        <v>21</v>
      </c>
    </row>
    <row r="2297" spans="1:15">
      <c r="A2297" s="70">
        <v>2025</v>
      </c>
      <c r="B2297" s="16" t="s">
        <v>15</v>
      </c>
      <c r="C2297" s="62" t="s">
        <v>3208</v>
      </c>
      <c r="D2297" s="47" t="s">
        <v>946</v>
      </c>
      <c r="E2297" s="47" t="s">
        <v>1700</v>
      </c>
      <c r="F2297" s="99">
        <v>2000</v>
      </c>
      <c r="G2297" s="42" t="s">
        <v>615</v>
      </c>
      <c r="H2297" s="44">
        <v>22.5</v>
      </c>
      <c r="I2297" s="502">
        <f t="shared" si="151"/>
        <v>45000</v>
      </c>
      <c r="J2297" s="529">
        <v>21.375</v>
      </c>
      <c r="K2297" s="529">
        <f t="shared" si="149"/>
        <v>1.125</v>
      </c>
      <c r="L2297" s="530">
        <f t="shared" si="148"/>
        <v>2250</v>
      </c>
      <c r="M2297" s="536">
        <f t="shared" si="150"/>
        <v>0.05</v>
      </c>
      <c r="N2297" s="47" t="s">
        <v>20</v>
      </c>
      <c r="O2297" s="47" t="s">
        <v>21</v>
      </c>
    </row>
    <row r="2298" spans="1:15">
      <c r="A2298" s="70">
        <v>2025</v>
      </c>
      <c r="B2298" s="16" t="s">
        <v>15</v>
      </c>
      <c r="C2298" s="62" t="s">
        <v>3209</v>
      </c>
      <c r="D2298" s="47" t="s">
        <v>110</v>
      </c>
      <c r="E2298" s="47" t="s">
        <v>3210</v>
      </c>
      <c r="F2298" s="99">
        <v>1</v>
      </c>
      <c r="G2298" s="42" t="s">
        <v>19</v>
      </c>
      <c r="H2298" s="44">
        <v>8400</v>
      </c>
      <c r="I2298" s="502">
        <f t="shared" si="151"/>
        <v>8400</v>
      </c>
      <c r="J2298" s="529">
        <v>8100</v>
      </c>
      <c r="K2298" s="529">
        <f t="shared" si="149"/>
        <v>300</v>
      </c>
      <c r="L2298" s="530">
        <f t="shared" si="148"/>
        <v>300</v>
      </c>
      <c r="M2298" s="536">
        <f t="shared" si="150"/>
        <v>3.5714285714285712E-2</v>
      </c>
      <c r="N2298" s="47" t="s">
        <v>22</v>
      </c>
      <c r="O2298" s="47" t="s">
        <v>21</v>
      </c>
    </row>
    <row r="2299" spans="1:15">
      <c r="A2299" s="70">
        <v>2025</v>
      </c>
      <c r="B2299" s="16" t="s">
        <v>15</v>
      </c>
      <c r="C2299" s="62" t="s">
        <v>3211</v>
      </c>
      <c r="D2299" s="47" t="s">
        <v>1227</v>
      </c>
      <c r="E2299" s="47" t="s">
        <v>3212</v>
      </c>
      <c r="F2299" s="99">
        <v>180</v>
      </c>
      <c r="G2299" s="42" t="s">
        <v>19</v>
      </c>
      <c r="H2299" s="44">
        <v>965</v>
      </c>
      <c r="I2299" s="502">
        <f t="shared" si="151"/>
        <v>173700</v>
      </c>
      <c r="J2299" s="529">
        <v>940</v>
      </c>
      <c r="K2299" s="529">
        <f t="shared" si="149"/>
        <v>25</v>
      </c>
      <c r="L2299" s="530">
        <f t="shared" ref="L2299:L2362" si="152">K2299*F2299</f>
        <v>4500</v>
      </c>
      <c r="M2299" s="536">
        <f t="shared" si="150"/>
        <v>2.5906735751295335E-2</v>
      </c>
      <c r="N2299" s="47" t="s">
        <v>40</v>
      </c>
      <c r="O2299" s="47" t="s">
        <v>39</v>
      </c>
    </row>
    <row r="2300" spans="1:15">
      <c r="A2300" s="70">
        <v>2025</v>
      </c>
      <c r="B2300" s="16" t="s">
        <v>15</v>
      </c>
      <c r="C2300" s="62" t="s">
        <v>3211</v>
      </c>
      <c r="D2300" s="47" t="s">
        <v>1227</v>
      </c>
      <c r="E2300" s="47" t="s">
        <v>1234</v>
      </c>
      <c r="F2300" s="99">
        <v>5000</v>
      </c>
      <c r="G2300" s="42" t="s">
        <v>19</v>
      </c>
      <c r="H2300" s="44">
        <v>11</v>
      </c>
      <c r="I2300" s="502">
        <f t="shared" si="151"/>
        <v>55000</v>
      </c>
      <c r="J2300" s="529">
        <v>10.5</v>
      </c>
      <c r="K2300" s="529">
        <f t="shared" si="149"/>
        <v>0.5</v>
      </c>
      <c r="L2300" s="530">
        <f t="shared" si="152"/>
        <v>2500</v>
      </c>
      <c r="M2300" s="536">
        <f t="shared" si="150"/>
        <v>4.5454545454545456E-2</v>
      </c>
      <c r="N2300" s="47" t="s">
        <v>40</v>
      </c>
      <c r="O2300" s="47" t="s">
        <v>39</v>
      </c>
    </row>
    <row r="2301" spans="1:15">
      <c r="A2301" s="70">
        <v>2025</v>
      </c>
      <c r="B2301" s="16" t="s">
        <v>15</v>
      </c>
      <c r="C2301" s="62" t="s">
        <v>3211</v>
      </c>
      <c r="D2301" s="47" t="s">
        <v>1227</v>
      </c>
      <c r="E2301" s="47" t="s">
        <v>3213</v>
      </c>
      <c r="F2301" s="99">
        <v>1000</v>
      </c>
      <c r="G2301" s="42" t="s">
        <v>19</v>
      </c>
      <c r="H2301" s="44">
        <v>48</v>
      </c>
      <c r="I2301" s="502">
        <f t="shared" si="151"/>
        <v>48000</v>
      </c>
      <c r="J2301" s="529">
        <v>45</v>
      </c>
      <c r="K2301" s="529">
        <f t="shared" si="149"/>
        <v>3</v>
      </c>
      <c r="L2301" s="530">
        <f t="shared" si="152"/>
        <v>3000</v>
      </c>
      <c r="M2301" s="536">
        <f t="shared" si="150"/>
        <v>6.25E-2</v>
      </c>
      <c r="N2301" s="47" t="s">
        <v>40</v>
      </c>
      <c r="O2301" s="47" t="s">
        <v>39</v>
      </c>
    </row>
    <row r="2302" spans="1:15">
      <c r="A2302" s="70">
        <v>2025</v>
      </c>
      <c r="B2302" s="16" t="s">
        <v>15</v>
      </c>
      <c r="C2302" s="62" t="s">
        <v>3211</v>
      </c>
      <c r="D2302" s="47" t="s">
        <v>1227</v>
      </c>
      <c r="E2302" s="47" t="s">
        <v>3214</v>
      </c>
      <c r="F2302" s="99">
        <v>200</v>
      </c>
      <c r="G2302" s="42" t="s">
        <v>19</v>
      </c>
      <c r="H2302" s="44">
        <v>230</v>
      </c>
      <c r="I2302" s="502">
        <f t="shared" si="151"/>
        <v>46000</v>
      </c>
      <c r="J2302" s="529">
        <v>225</v>
      </c>
      <c r="K2302" s="529">
        <f t="shared" si="149"/>
        <v>5</v>
      </c>
      <c r="L2302" s="530">
        <f t="shared" si="152"/>
        <v>1000</v>
      </c>
      <c r="M2302" s="536">
        <f t="shared" si="150"/>
        <v>2.1739130434782608E-2</v>
      </c>
      <c r="N2302" s="47" t="s">
        <v>40</v>
      </c>
      <c r="O2302" s="47" t="s">
        <v>39</v>
      </c>
    </row>
    <row r="2303" spans="1:15">
      <c r="A2303" s="70">
        <v>2025</v>
      </c>
      <c r="B2303" s="16" t="s">
        <v>15</v>
      </c>
      <c r="C2303" s="62" t="s">
        <v>3211</v>
      </c>
      <c r="D2303" s="47" t="s">
        <v>1227</v>
      </c>
      <c r="E2303" s="47" t="s">
        <v>3215</v>
      </c>
      <c r="F2303" s="99">
        <v>119</v>
      </c>
      <c r="G2303" s="42" t="s">
        <v>19</v>
      </c>
      <c r="H2303" s="44">
        <v>410</v>
      </c>
      <c r="I2303" s="502">
        <f t="shared" si="151"/>
        <v>48790</v>
      </c>
      <c r="J2303" s="529">
        <v>400</v>
      </c>
      <c r="K2303" s="529">
        <f t="shared" si="149"/>
        <v>10</v>
      </c>
      <c r="L2303" s="530">
        <f t="shared" si="152"/>
        <v>1190</v>
      </c>
      <c r="M2303" s="536">
        <f t="shared" si="150"/>
        <v>2.4390243902439025E-2</v>
      </c>
      <c r="N2303" s="47" t="s">
        <v>40</v>
      </c>
      <c r="O2303" s="47" t="s">
        <v>39</v>
      </c>
    </row>
    <row r="2304" spans="1:15">
      <c r="A2304" s="70">
        <v>2025</v>
      </c>
      <c r="B2304" s="16" t="s">
        <v>15</v>
      </c>
      <c r="C2304" s="62" t="s">
        <v>3211</v>
      </c>
      <c r="D2304" s="47" t="s">
        <v>1227</v>
      </c>
      <c r="E2304" s="47" t="s">
        <v>3216</v>
      </c>
      <c r="F2304" s="99">
        <v>123</v>
      </c>
      <c r="G2304" s="42" t="s">
        <v>19</v>
      </c>
      <c r="H2304" s="44">
        <v>395</v>
      </c>
      <c r="I2304" s="502">
        <f t="shared" si="151"/>
        <v>48585</v>
      </c>
      <c r="J2304" s="529">
        <v>385</v>
      </c>
      <c r="K2304" s="529">
        <f t="shared" si="149"/>
        <v>10</v>
      </c>
      <c r="L2304" s="530">
        <f t="shared" si="152"/>
        <v>1230</v>
      </c>
      <c r="M2304" s="536">
        <f t="shared" si="150"/>
        <v>2.5316455696202531E-2</v>
      </c>
      <c r="N2304" s="47" t="s">
        <v>40</v>
      </c>
      <c r="O2304" s="47" t="s">
        <v>39</v>
      </c>
    </row>
    <row r="2305" spans="1:15">
      <c r="A2305" s="70">
        <v>2025</v>
      </c>
      <c r="B2305" s="16" t="s">
        <v>15</v>
      </c>
      <c r="C2305" s="62" t="s">
        <v>3211</v>
      </c>
      <c r="D2305" s="47" t="s">
        <v>1227</v>
      </c>
      <c r="E2305" s="47" t="s">
        <v>1236</v>
      </c>
      <c r="F2305" s="99">
        <v>387</v>
      </c>
      <c r="G2305" s="42" t="s">
        <v>19</v>
      </c>
      <c r="H2305" s="44">
        <v>34</v>
      </c>
      <c r="I2305" s="502">
        <f t="shared" si="151"/>
        <v>13158</v>
      </c>
      <c r="J2305" s="529">
        <v>33</v>
      </c>
      <c r="K2305" s="529">
        <f t="shared" si="149"/>
        <v>1</v>
      </c>
      <c r="L2305" s="530">
        <f t="shared" si="152"/>
        <v>387</v>
      </c>
      <c r="M2305" s="536">
        <f t="shared" si="150"/>
        <v>2.9411764705882353E-2</v>
      </c>
      <c r="N2305" s="47" t="s">
        <v>40</v>
      </c>
      <c r="O2305" s="47" t="s">
        <v>39</v>
      </c>
    </row>
    <row r="2306" spans="1:15">
      <c r="A2306" s="70">
        <v>2025</v>
      </c>
      <c r="B2306" s="16" t="s">
        <v>15</v>
      </c>
      <c r="C2306" s="62" t="s">
        <v>3211</v>
      </c>
      <c r="D2306" s="47" t="s">
        <v>1227</v>
      </c>
      <c r="E2306" s="47" t="s">
        <v>3217</v>
      </c>
      <c r="F2306" s="99">
        <v>453</v>
      </c>
      <c r="G2306" s="42" t="s">
        <v>19</v>
      </c>
      <c r="H2306" s="44">
        <v>82</v>
      </c>
      <c r="I2306" s="502">
        <f t="shared" si="151"/>
        <v>37146</v>
      </c>
      <c r="J2306" s="529">
        <v>80</v>
      </c>
      <c r="K2306" s="529">
        <f t="shared" si="149"/>
        <v>2</v>
      </c>
      <c r="L2306" s="530">
        <f t="shared" si="152"/>
        <v>906</v>
      </c>
      <c r="M2306" s="536">
        <f t="shared" si="150"/>
        <v>2.4390243902439025E-2</v>
      </c>
      <c r="N2306" s="47" t="s">
        <v>40</v>
      </c>
      <c r="O2306" s="47" t="s">
        <v>39</v>
      </c>
    </row>
    <row r="2307" spans="1:15">
      <c r="A2307" s="70">
        <v>2025</v>
      </c>
      <c r="B2307" s="16" t="s">
        <v>15</v>
      </c>
      <c r="C2307" s="62" t="s">
        <v>3211</v>
      </c>
      <c r="D2307" s="47" t="s">
        <v>1227</v>
      </c>
      <c r="E2307" s="47" t="s">
        <v>3218</v>
      </c>
      <c r="F2307" s="99">
        <v>133</v>
      </c>
      <c r="G2307" s="42" t="s">
        <v>19</v>
      </c>
      <c r="H2307" s="44">
        <v>195</v>
      </c>
      <c r="I2307" s="502">
        <f t="shared" si="151"/>
        <v>25935</v>
      </c>
      <c r="J2307" s="529">
        <v>190</v>
      </c>
      <c r="K2307" s="529">
        <f t="shared" ref="K2307:K2370" si="153">H2307-J2307</f>
        <v>5</v>
      </c>
      <c r="L2307" s="530">
        <f t="shared" si="152"/>
        <v>665</v>
      </c>
      <c r="M2307" s="536">
        <f t="shared" ref="M2307:M2370" si="154">K2307/H2307</f>
        <v>2.564102564102564E-2</v>
      </c>
      <c r="N2307" s="47" t="s">
        <v>40</v>
      </c>
      <c r="O2307" s="47" t="s">
        <v>39</v>
      </c>
    </row>
    <row r="2308" spans="1:15">
      <c r="A2308" s="70">
        <v>2025</v>
      </c>
      <c r="B2308" s="16" t="s">
        <v>15</v>
      </c>
      <c r="C2308" s="62" t="s">
        <v>3211</v>
      </c>
      <c r="D2308" s="47" t="s">
        <v>1227</v>
      </c>
      <c r="E2308" s="47" t="s">
        <v>3219</v>
      </c>
      <c r="F2308" s="99">
        <v>60</v>
      </c>
      <c r="G2308" s="42" t="s">
        <v>19</v>
      </c>
      <c r="H2308" s="44">
        <v>1100</v>
      </c>
      <c r="I2308" s="502">
        <f t="shared" si="151"/>
        <v>66000</v>
      </c>
      <c r="J2308" s="529">
        <v>1070</v>
      </c>
      <c r="K2308" s="529">
        <f t="shared" si="153"/>
        <v>30</v>
      </c>
      <c r="L2308" s="530">
        <f t="shared" si="152"/>
        <v>1800</v>
      </c>
      <c r="M2308" s="536">
        <f t="shared" si="154"/>
        <v>2.7272727272727271E-2</v>
      </c>
      <c r="N2308" s="47" t="s">
        <v>40</v>
      </c>
      <c r="O2308" s="47" t="s">
        <v>39</v>
      </c>
    </row>
    <row r="2309" spans="1:15">
      <c r="A2309" s="70">
        <v>2025</v>
      </c>
      <c r="B2309" s="16" t="s">
        <v>15</v>
      </c>
      <c r="C2309" s="75" t="s">
        <v>3211</v>
      </c>
      <c r="D2309" s="55" t="s">
        <v>1227</v>
      </c>
      <c r="E2309" s="55" t="s">
        <v>3220</v>
      </c>
      <c r="F2309" s="100">
        <v>70</v>
      </c>
      <c r="G2309" s="79" t="s">
        <v>19</v>
      </c>
      <c r="H2309" s="49">
        <v>5630</v>
      </c>
      <c r="I2309" s="511">
        <f t="shared" si="151"/>
        <v>394100</v>
      </c>
      <c r="J2309" s="532">
        <v>5490</v>
      </c>
      <c r="K2309" s="532">
        <f t="shared" si="153"/>
        <v>140</v>
      </c>
      <c r="L2309" s="533">
        <f t="shared" si="152"/>
        <v>9800</v>
      </c>
      <c r="M2309" s="534">
        <f t="shared" si="154"/>
        <v>2.4866785079928951E-2</v>
      </c>
      <c r="N2309" s="55" t="s">
        <v>40</v>
      </c>
      <c r="O2309" s="55" t="s">
        <v>39</v>
      </c>
    </row>
    <row r="2310" spans="1:15">
      <c r="A2310" s="70">
        <v>2025</v>
      </c>
      <c r="B2310" s="16" t="s">
        <v>15</v>
      </c>
      <c r="C2310" s="62" t="s">
        <v>3211</v>
      </c>
      <c r="D2310" s="47" t="s">
        <v>1227</v>
      </c>
      <c r="E2310" s="47" t="s">
        <v>3221</v>
      </c>
      <c r="F2310" s="99">
        <v>50</v>
      </c>
      <c r="G2310" s="42" t="s">
        <v>19</v>
      </c>
      <c r="H2310" s="44">
        <v>580</v>
      </c>
      <c r="I2310" s="511">
        <f t="shared" si="151"/>
        <v>29000</v>
      </c>
      <c r="J2310" s="532">
        <v>565</v>
      </c>
      <c r="K2310" s="532">
        <f t="shared" si="153"/>
        <v>15</v>
      </c>
      <c r="L2310" s="533">
        <f t="shared" si="152"/>
        <v>750</v>
      </c>
      <c r="M2310" s="534">
        <f t="shared" si="154"/>
        <v>2.5862068965517241E-2</v>
      </c>
      <c r="N2310" s="47" t="s">
        <v>40</v>
      </c>
      <c r="O2310" s="47" t="s">
        <v>39</v>
      </c>
    </row>
    <row r="2311" spans="1:15">
      <c r="A2311" s="70">
        <v>2025</v>
      </c>
      <c r="B2311" s="16" t="s">
        <v>15</v>
      </c>
      <c r="C2311" s="62" t="s">
        <v>3211</v>
      </c>
      <c r="D2311" s="47" t="s">
        <v>1227</v>
      </c>
      <c r="E2311" s="47" t="s">
        <v>3222</v>
      </c>
      <c r="F2311" s="99">
        <v>50</v>
      </c>
      <c r="G2311" s="42" t="s">
        <v>19</v>
      </c>
      <c r="H2311" s="44">
        <v>730</v>
      </c>
      <c r="I2311" s="511">
        <f t="shared" si="151"/>
        <v>36500</v>
      </c>
      <c r="J2311" s="532">
        <v>710</v>
      </c>
      <c r="K2311" s="532">
        <f t="shared" si="153"/>
        <v>20</v>
      </c>
      <c r="L2311" s="533">
        <f t="shared" si="152"/>
        <v>1000</v>
      </c>
      <c r="M2311" s="534">
        <f t="shared" si="154"/>
        <v>2.7397260273972601E-2</v>
      </c>
      <c r="N2311" s="47" t="s">
        <v>40</v>
      </c>
      <c r="O2311" s="47" t="s">
        <v>39</v>
      </c>
    </row>
    <row r="2312" spans="1:15">
      <c r="A2312" s="70">
        <v>2025</v>
      </c>
      <c r="B2312" s="16" t="s">
        <v>15</v>
      </c>
      <c r="C2312" s="63" t="s">
        <v>3211</v>
      </c>
      <c r="D2312" s="56" t="s">
        <v>1227</v>
      </c>
      <c r="E2312" s="56" t="s">
        <v>3223</v>
      </c>
      <c r="F2312" s="101">
        <v>50</v>
      </c>
      <c r="G2312" s="59" t="s">
        <v>19</v>
      </c>
      <c r="H2312" s="60">
        <v>410</v>
      </c>
      <c r="I2312" s="511">
        <f t="shared" si="151"/>
        <v>20500</v>
      </c>
      <c r="J2312" s="532">
        <v>400</v>
      </c>
      <c r="K2312" s="532">
        <f t="shared" si="153"/>
        <v>10</v>
      </c>
      <c r="L2312" s="533">
        <f t="shared" si="152"/>
        <v>500</v>
      </c>
      <c r="M2312" s="534">
        <f t="shared" si="154"/>
        <v>2.4390243902439025E-2</v>
      </c>
      <c r="N2312" s="47" t="s">
        <v>40</v>
      </c>
      <c r="O2312" s="47" t="s">
        <v>39</v>
      </c>
    </row>
    <row r="2313" spans="1:15">
      <c r="A2313" s="70">
        <v>2025</v>
      </c>
      <c r="B2313" s="16" t="s">
        <v>15</v>
      </c>
      <c r="C2313" s="62" t="s">
        <v>3224</v>
      </c>
      <c r="D2313" s="47" t="s">
        <v>590</v>
      </c>
      <c r="E2313" s="47" t="s">
        <v>3225</v>
      </c>
      <c r="F2313" s="99">
        <v>2</v>
      </c>
      <c r="G2313" s="42" t="s">
        <v>19</v>
      </c>
      <c r="H2313" s="44">
        <v>6900</v>
      </c>
      <c r="I2313" s="511">
        <f t="shared" si="151"/>
        <v>13800</v>
      </c>
      <c r="J2313" s="532">
        <v>6000</v>
      </c>
      <c r="K2313" s="532">
        <f t="shared" si="153"/>
        <v>900</v>
      </c>
      <c r="L2313" s="533">
        <f t="shared" si="152"/>
        <v>1800</v>
      </c>
      <c r="M2313" s="534">
        <f t="shared" si="154"/>
        <v>0.13043478260869565</v>
      </c>
      <c r="N2313" s="47" t="s">
        <v>22</v>
      </c>
      <c r="O2313" s="47" t="s">
        <v>39</v>
      </c>
    </row>
    <row r="2314" spans="1:15">
      <c r="A2314" s="70">
        <v>2025</v>
      </c>
      <c r="B2314" s="16" t="s">
        <v>15</v>
      </c>
      <c r="C2314" s="62" t="s">
        <v>3226</v>
      </c>
      <c r="D2314" s="47" t="s">
        <v>1658</v>
      </c>
      <c r="E2314" s="47" t="s">
        <v>2514</v>
      </c>
      <c r="F2314" s="99">
        <v>1</v>
      </c>
      <c r="G2314" s="42" t="s">
        <v>285</v>
      </c>
      <c r="H2314" s="44">
        <v>3500</v>
      </c>
      <c r="I2314" s="511">
        <f t="shared" si="151"/>
        <v>3500</v>
      </c>
      <c r="J2314" s="532">
        <v>0</v>
      </c>
      <c r="K2314" s="532">
        <f t="shared" si="153"/>
        <v>3500</v>
      </c>
      <c r="L2314" s="533">
        <f t="shared" si="152"/>
        <v>3500</v>
      </c>
      <c r="M2314" s="534">
        <f t="shared" si="154"/>
        <v>1</v>
      </c>
      <c r="N2314" s="47" t="s">
        <v>40</v>
      </c>
      <c r="O2314" s="47" t="s">
        <v>105</v>
      </c>
    </row>
    <row r="2315" spans="1:15">
      <c r="A2315" s="70">
        <v>2025</v>
      </c>
      <c r="B2315" s="16" t="s">
        <v>15</v>
      </c>
      <c r="C2315" s="62" t="s">
        <v>2770</v>
      </c>
      <c r="D2315" s="47" t="s">
        <v>1658</v>
      </c>
      <c r="E2315" s="47" t="s">
        <v>2514</v>
      </c>
      <c r="F2315" s="99">
        <v>1</v>
      </c>
      <c r="G2315" s="42" t="s">
        <v>285</v>
      </c>
      <c r="H2315" s="44">
        <v>3500</v>
      </c>
      <c r="I2315" s="511">
        <f t="shared" si="151"/>
        <v>3500</v>
      </c>
      <c r="J2315" s="532">
        <v>0</v>
      </c>
      <c r="K2315" s="532">
        <f t="shared" si="153"/>
        <v>3500</v>
      </c>
      <c r="L2315" s="533">
        <f t="shared" si="152"/>
        <v>3500</v>
      </c>
      <c r="M2315" s="534">
        <f t="shared" si="154"/>
        <v>1</v>
      </c>
      <c r="N2315" s="47" t="s">
        <v>40</v>
      </c>
      <c r="O2315" s="47" t="s">
        <v>105</v>
      </c>
    </row>
    <row r="2316" spans="1:15">
      <c r="A2316" s="70">
        <v>2025</v>
      </c>
      <c r="B2316" s="16" t="s">
        <v>15</v>
      </c>
      <c r="C2316" s="63" t="s">
        <v>3227</v>
      </c>
      <c r="D2316" s="47" t="s">
        <v>698</v>
      </c>
      <c r="E2316" s="56" t="s">
        <v>3228</v>
      </c>
      <c r="F2316" s="101">
        <v>6</v>
      </c>
      <c r="G2316" s="42" t="s">
        <v>63</v>
      </c>
      <c r="H2316" s="60">
        <v>16372</v>
      </c>
      <c r="I2316" s="511">
        <f t="shared" si="151"/>
        <v>98232</v>
      </c>
      <c r="J2316" s="532">
        <v>15372</v>
      </c>
      <c r="K2316" s="532">
        <f t="shared" si="153"/>
        <v>1000</v>
      </c>
      <c r="L2316" s="533">
        <f t="shared" si="152"/>
        <v>6000</v>
      </c>
      <c r="M2316" s="534">
        <f t="shared" si="154"/>
        <v>6.10798924993892E-2</v>
      </c>
      <c r="N2316" s="47" t="s">
        <v>40</v>
      </c>
      <c r="O2316" s="47" t="s">
        <v>39</v>
      </c>
    </row>
    <row r="2317" spans="1:15">
      <c r="A2317" s="70">
        <v>2025</v>
      </c>
      <c r="B2317" s="16" t="s">
        <v>15</v>
      </c>
      <c r="C2317" s="63" t="s">
        <v>3227</v>
      </c>
      <c r="D2317" s="56" t="s">
        <v>698</v>
      </c>
      <c r="E2317" s="56" t="s">
        <v>3229</v>
      </c>
      <c r="F2317" s="101">
        <v>16</v>
      </c>
      <c r="G2317" s="59" t="s">
        <v>63</v>
      </c>
      <c r="H2317" s="60">
        <v>24360</v>
      </c>
      <c r="I2317" s="511">
        <f t="shared" si="151"/>
        <v>389760</v>
      </c>
      <c r="J2317" s="532">
        <v>23360</v>
      </c>
      <c r="K2317" s="532">
        <f t="shared" si="153"/>
        <v>1000</v>
      </c>
      <c r="L2317" s="533">
        <f t="shared" si="152"/>
        <v>16000</v>
      </c>
      <c r="M2317" s="534">
        <f t="shared" si="154"/>
        <v>4.1050903119868636E-2</v>
      </c>
      <c r="N2317" s="47" t="s">
        <v>40</v>
      </c>
      <c r="O2317" s="47" t="s">
        <v>39</v>
      </c>
    </row>
    <row r="2318" spans="1:15">
      <c r="A2318" s="70">
        <v>2025</v>
      </c>
      <c r="B2318" s="16" t="s">
        <v>15</v>
      </c>
      <c r="C2318" s="62" t="s">
        <v>3230</v>
      </c>
      <c r="D2318" s="47" t="s">
        <v>698</v>
      </c>
      <c r="E2318" s="47" t="s">
        <v>3231</v>
      </c>
      <c r="F2318" s="99">
        <v>12</v>
      </c>
      <c r="G2318" s="42" t="s">
        <v>63</v>
      </c>
      <c r="H2318" s="44">
        <v>14497</v>
      </c>
      <c r="I2318" s="511">
        <f t="shared" si="151"/>
        <v>173964</v>
      </c>
      <c r="J2318" s="532">
        <v>13497</v>
      </c>
      <c r="K2318" s="532">
        <f t="shared" si="153"/>
        <v>1000</v>
      </c>
      <c r="L2318" s="533">
        <f t="shared" si="152"/>
        <v>12000</v>
      </c>
      <c r="M2318" s="534">
        <f t="shared" si="154"/>
        <v>6.8979788921845905E-2</v>
      </c>
      <c r="N2318" s="47" t="s">
        <v>40</v>
      </c>
      <c r="O2318" s="47" t="s">
        <v>39</v>
      </c>
    </row>
    <row r="2319" spans="1:15">
      <c r="A2319" s="70">
        <v>2025</v>
      </c>
      <c r="B2319" s="16" t="s">
        <v>15</v>
      </c>
      <c r="C2319" s="62" t="s">
        <v>3230</v>
      </c>
      <c r="D2319" s="47" t="s">
        <v>698</v>
      </c>
      <c r="E2319" s="47" t="s">
        <v>405</v>
      </c>
      <c r="F2319" s="99">
        <v>4</v>
      </c>
      <c r="G2319" s="42" t="s">
        <v>63</v>
      </c>
      <c r="H2319" s="44">
        <v>8791</v>
      </c>
      <c r="I2319" s="511">
        <f t="shared" si="151"/>
        <v>35164</v>
      </c>
      <c r="J2319" s="532">
        <v>7791</v>
      </c>
      <c r="K2319" s="532">
        <f t="shared" si="153"/>
        <v>1000</v>
      </c>
      <c r="L2319" s="533">
        <f t="shared" si="152"/>
        <v>4000</v>
      </c>
      <c r="M2319" s="534">
        <f t="shared" si="154"/>
        <v>0.11375270162666364</v>
      </c>
      <c r="N2319" s="47" t="s">
        <v>40</v>
      </c>
      <c r="O2319" s="47" t="s">
        <v>39</v>
      </c>
    </row>
    <row r="2320" spans="1:15">
      <c r="A2320" s="70">
        <v>2025</v>
      </c>
      <c r="B2320" s="16" t="s">
        <v>15</v>
      </c>
      <c r="C2320" s="62" t="s">
        <v>3230</v>
      </c>
      <c r="D2320" s="47" t="s">
        <v>698</v>
      </c>
      <c r="E2320" s="47" t="s">
        <v>3232</v>
      </c>
      <c r="F2320" s="99">
        <v>4</v>
      </c>
      <c r="G2320" s="42" t="s">
        <v>63</v>
      </c>
      <c r="H2320" s="44">
        <v>9007</v>
      </c>
      <c r="I2320" s="511">
        <f t="shared" si="151"/>
        <v>36028</v>
      </c>
      <c r="J2320" s="532">
        <v>8007</v>
      </c>
      <c r="K2320" s="532">
        <f t="shared" si="153"/>
        <v>1000</v>
      </c>
      <c r="L2320" s="533">
        <f t="shared" si="152"/>
        <v>4000</v>
      </c>
      <c r="M2320" s="534">
        <f t="shared" si="154"/>
        <v>0.11102475852115022</v>
      </c>
      <c r="N2320" s="47" t="s">
        <v>40</v>
      </c>
      <c r="O2320" s="47" t="s">
        <v>39</v>
      </c>
    </row>
    <row r="2321" spans="1:15">
      <c r="A2321" s="70">
        <v>2025</v>
      </c>
      <c r="B2321" s="16" t="s">
        <v>15</v>
      </c>
      <c r="C2321" s="63" t="s">
        <v>3230</v>
      </c>
      <c r="D2321" s="56" t="s">
        <v>698</v>
      </c>
      <c r="E2321" s="56" t="s">
        <v>3233</v>
      </c>
      <c r="F2321" s="101">
        <v>4</v>
      </c>
      <c r="G2321" s="59" t="s">
        <v>63</v>
      </c>
      <c r="H2321" s="60">
        <v>11736</v>
      </c>
      <c r="I2321" s="511">
        <f t="shared" si="151"/>
        <v>46944</v>
      </c>
      <c r="J2321" s="532">
        <v>10736</v>
      </c>
      <c r="K2321" s="532">
        <f t="shared" si="153"/>
        <v>1000</v>
      </c>
      <c r="L2321" s="533">
        <f t="shared" si="152"/>
        <v>4000</v>
      </c>
      <c r="M2321" s="534">
        <f t="shared" si="154"/>
        <v>8.5207907293796861E-2</v>
      </c>
      <c r="N2321" s="47" t="s">
        <v>40</v>
      </c>
      <c r="O2321" s="47" t="s">
        <v>39</v>
      </c>
    </row>
    <row r="2322" spans="1:15">
      <c r="A2322" s="70">
        <v>2025</v>
      </c>
      <c r="B2322" s="16" t="s">
        <v>15</v>
      </c>
      <c r="C2322" s="62" t="s">
        <v>3234</v>
      </c>
      <c r="D2322" s="47" t="s">
        <v>3235</v>
      </c>
      <c r="E2322" s="47" t="s">
        <v>274</v>
      </c>
      <c r="F2322" s="99">
        <v>3000</v>
      </c>
      <c r="G2322" s="59" t="s">
        <v>37</v>
      </c>
      <c r="H2322" s="44">
        <v>28</v>
      </c>
      <c r="I2322" s="511">
        <f t="shared" si="151"/>
        <v>84000</v>
      </c>
      <c r="J2322" s="532">
        <v>27.4</v>
      </c>
      <c r="K2322" s="532">
        <f t="shared" si="153"/>
        <v>0.60000000000000142</v>
      </c>
      <c r="L2322" s="533">
        <f t="shared" si="152"/>
        <v>1800.0000000000043</v>
      </c>
      <c r="M2322" s="534">
        <f t="shared" si="154"/>
        <v>2.1428571428571481E-2</v>
      </c>
      <c r="N2322" s="47" t="s">
        <v>22</v>
      </c>
      <c r="O2322" s="47" t="s">
        <v>39</v>
      </c>
    </row>
    <row r="2323" spans="1:15">
      <c r="A2323" s="70">
        <v>2025</v>
      </c>
      <c r="B2323" s="16" t="s">
        <v>15</v>
      </c>
      <c r="C2323" s="62" t="s">
        <v>3236</v>
      </c>
      <c r="D2323" s="47" t="s">
        <v>94</v>
      </c>
      <c r="E2323" s="47" t="s">
        <v>613</v>
      </c>
      <c r="F2323" s="99">
        <v>200</v>
      </c>
      <c r="G2323" s="42" t="s">
        <v>19</v>
      </c>
      <c r="H2323" s="44">
        <v>26</v>
      </c>
      <c r="I2323" s="511">
        <f t="shared" si="151"/>
        <v>5200</v>
      </c>
      <c r="J2323" s="532">
        <v>24.6</v>
      </c>
      <c r="K2323" s="532">
        <f t="shared" si="153"/>
        <v>1.3999999999999986</v>
      </c>
      <c r="L2323" s="533">
        <f t="shared" si="152"/>
        <v>279.99999999999972</v>
      </c>
      <c r="M2323" s="534">
        <f t="shared" si="154"/>
        <v>5.3846153846153794E-2</v>
      </c>
      <c r="N2323" s="47" t="s">
        <v>22</v>
      </c>
      <c r="O2323" s="47" t="s">
        <v>105</v>
      </c>
    </row>
    <row r="2324" spans="1:15">
      <c r="A2324" s="70">
        <v>2025</v>
      </c>
      <c r="B2324" s="16" t="s">
        <v>15</v>
      </c>
      <c r="C2324" s="62" t="s">
        <v>3236</v>
      </c>
      <c r="D2324" s="47" t="s">
        <v>94</v>
      </c>
      <c r="E2324" s="47" t="s">
        <v>1316</v>
      </c>
      <c r="F2324" s="99">
        <v>100</v>
      </c>
      <c r="G2324" s="42" t="s">
        <v>19</v>
      </c>
      <c r="H2324" s="44">
        <v>15.5</v>
      </c>
      <c r="I2324" s="511">
        <f t="shared" si="151"/>
        <v>1550</v>
      </c>
      <c r="J2324" s="532">
        <v>14.76</v>
      </c>
      <c r="K2324" s="532">
        <f t="shared" si="153"/>
        <v>0.74000000000000021</v>
      </c>
      <c r="L2324" s="533">
        <f t="shared" si="152"/>
        <v>74.000000000000028</v>
      </c>
      <c r="M2324" s="534">
        <f t="shared" si="154"/>
        <v>4.7741935483870984E-2</v>
      </c>
      <c r="N2324" s="47" t="s">
        <v>22</v>
      </c>
      <c r="O2324" s="47" t="s">
        <v>105</v>
      </c>
    </row>
    <row r="2325" spans="1:15">
      <c r="A2325" s="70">
        <v>2025</v>
      </c>
      <c r="B2325" s="16" t="s">
        <v>15</v>
      </c>
      <c r="C2325" s="62" t="s">
        <v>3236</v>
      </c>
      <c r="D2325" s="47" t="s">
        <v>94</v>
      </c>
      <c r="E2325" s="47" t="s">
        <v>550</v>
      </c>
      <c r="F2325" s="99">
        <v>200</v>
      </c>
      <c r="G2325" s="42" t="s">
        <v>19</v>
      </c>
      <c r="H2325" s="44">
        <v>50</v>
      </c>
      <c r="I2325" s="511">
        <f t="shared" si="151"/>
        <v>10000</v>
      </c>
      <c r="J2325" s="532">
        <v>47.56</v>
      </c>
      <c r="K2325" s="532">
        <f t="shared" si="153"/>
        <v>2.4399999999999977</v>
      </c>
      <c r="L2325" s="533">
        <f t="shared" si="152"/>
        <v>487.99999999999955</v>
      </c>
      <c r="M2325" s="534">
        <f t="shared" si="154"/>
        <v>4.8799999999999955E-2</v>
      </c>
      <c r="N2325" s="47" t="s">
        <v>22</v>
      </c>
      <c r="O2325" s="47" t="s">
        <v>105</v>
      </c>
    </row>
    <row r="2326" spans="1:15">
      <c r="A2326" s="70">
        <v>2025</v>
      </c>
      <c r="B2326" s="16" t="s">
        <v>15</v>
      </c>
      <c r="C2326" s="63" t="s">
        <v>3236</v>
      </c>
      <c r="D2326" s="56" t="s">
        <v>94</v>
      </c>
      <c r="E2326" s="56" t="s">
        <v>638</v>
      </c>
      <c r="F2326" s="101">
        <v>100</v>
      </c>
      <c r="G2326" s="59" t="s">
        <v>19</v>
      </c>
      <c r="H2326" s="60">
        <v>5.25</v>
      </c>
      <c r="I2326" s="511">
        <f t="shared" si="151"/>
        <v>525</v>
      </c>
      <c r="J2326" s="532">
        <v>5.0999999999999996</v>
      </c>
      <c r="K2326" s="532">
        <f t="shared" si="153"/>
        <v>0.15000000000000036</v>
      </c>
      <c r="L2326" s="533">
        <f t="shared" si="152"/>
        <v>15.000000000000036</v>
      </c>
      <c r="M2326" s="534">
        <f t="shared" si="154"/>
        <v>2.857142857142864E-2</v>
      </c>
      <c r="N2326" s="47" t="s">
        <v>22</v>
      </c>
      <c r="O2326" s="56" t="s">
        <v>105</v>
      </c>
    </row>
    <row r="2327" spans="1:15">
      <c r="A2327" s="70">
        <v>2025</v>
      </c>
      <c r="B2327" s="16" t="s">
        <v>15</v>
      </c>
      <c r="C2327" s="62" t="s">
        <v>3237</v>
      </c>
      <c r="D2327" s="47" t="s">
        <v>1042</v>
      </c>
      <c r="E2327" s="47" t="s">
        <v>889</v>
      </c>
      <c r="F2327" s="99">
        <v>3156</v>
      </c>
      <c r="G2327" s="42" t="s">
        <v>37</v>
      </c>
      <c r="H2327" s="44">
        <v>378</v>
      </c>
      <c r="I2327" s="511">
        <f t="shared" si="151"/>
        <v>1192968</v>
      </c>
      <c r="J2327" s="532">
        <v>347</v>
      </c>
      <c r="K2327" s="532">
        <f t="shared" si="153"/>
        <v>31</v>
      </c>
      <c r="L2327" s="533">
        <f t="shared" si="152"/>
        <v>97836</v>
      </c>
      <c r="M2327" s="534">
        <f t="shared" si="154"/>
        <v>8.2010582010582006E-2</v>
      </c>
      <c r="N2327" s="55" t="s">
        <v>40</v>
      </c>
      <c r="O2327" s="56" t="s">
        <v>105</v>
      </c>
    </row>
    <row r="2328" spans="1:15">
      <c r="A2328" s="70">
        <v>2025</v>
      </c>
      <c r="B2328" s="16" t="s">
        <v>15</v>
      </c>
      <c r="C2328" s="62" t="s">
        <v>3238</v>
      </c>
      <c r="D2328" s="47" t="s">
        <v>1042</v>
      </c>
      <c r="E2328" s="47" t="s">
        <v>3239</v>
      </c>
      <c r="F2328" s="99">
        <v>346</v>
      </c>
      <c r="G2328" s="42" t="s">
        <v>37</v>
      </c>
      <c r="H2328" s="44">
        <v>378</v>
      </c>
      <c r="I2328" s="511">
        <f t="shared" si="151"/>
        <v>130788</v>
      </c>
      <c r="J2328" s="532">
        <v>347</v>
      </c>
      <c r="K2328" s="532">
        <f t="shared" si="153"/>
        <v>31</v>
      </c>
      <c r="L2328" s="533">
        <f t="shared" si="152"/>
        <v>10726</v>
      </c>
      <c r="M2328" s="534">
        <f t="shared" si="154"/>
        <v>8.2010582010582006E-2</v>
      </c>
      <c r="N2328" s="55" t="s">
        <v>40</v>
      </c>
      <c r="O2328" s="56" t="s">
        <v>105</v>
      </c>
    </row>
    <row r="2329" spans="1:15">
      <c r="A2329" s="70">
        <v>2025</v>
      </c>
      <c r="B2329" s="16" t="s">
        <v>15</v>
      </c>
      <c r="C2329" s="63" t="s">
        <v>3240</v>
      </c>
      <c r="D2329" s="56" t="s">
        <v>68</v>
      </c>
      <c r="E2329" s="56" t="s">
        <v>962</v>
      </c>
      <c r="F2329" s="101">
        <v>2272.1999999999998</v>
      </c>
      <c r="G2329" s="59" t="s">
        <v>37</v>
      </c>
      <c r="H2329" s="60">
        <v>355</v>
      </c>
      <c r="I2329" s="511">
        <f t="shared" si="151"/>
        <v>806630.99999999988</v>
      </c>
      <c r="J2329" s="532">
        <v>354</v>
      </c>
      <c r="K2329" s="532">
        <f t="shared" si="153"/>
        <v>1</v>
      </c>
      <c r="L2329" s="533">
        <f t="shared" si="152"/>
        <v>2272.1999999999998</v>
      </c>
      <c r="M2329" s="534">
        <f t="shared" si="154"/>
        <v>2.8169014084507044E-3</v>
      </c>
      <c r="N2329" s="47" t="s">
        <v>40</v>
      </c>
      <c r="O2329" s="56" t="s">
        <v>105</v>
      </c>
    </row>
    <row r="2330" spans="1:15">
      <c r="A2330" s="70">
        <v>2025</v>
      </c>
      <c r="B2330" s="16" t="s">
        <v>15</v>
      </c>
      <c r="C2330" s="63" t="s">
        <v>3241</v>
      </c>
      <c r="D2330" s="56" t="s">
        <v>1470</v>
      </c>
      <c r="E2330" s="56" t="s">
        <v>3242</v>
      </c>
      <c r="F2330" s="101">
        <v>2</v>
      </c>
      <c r="G2330" s="59" t="s">
        <v>98</v>
      </c>
      <c r="H2330" s="60">
        <v>4700</v>
      </c>
      <c r="I2330" s="511">
        <f t="shared" si="151"/>
        <v>9400</v>
      </c>
      <c r="J2330" s="532">
        <v>4400</v>
      </c>
      <c r="K2330" s="532">
        <f t="shared" si="153"/>
        <v>300</v>
      </c>
      <c r="L2330" s="533">
        <f t="shared" si="152"/>
        <v>600</v>
      </c>
      <c r="M2330" s="534">
        <f t="shared" si="154"/>
        <v>6.3829787234042548E-2</v>
      </c>
      <c r="N2330" s="47" t="s">
        <v>22</v>
      </c>
      <c r="O2330" s="56" t="s">
        <v>21</v>
      </c>
    </row>
    <row r="2331" spans="1:15">
      <c r="A2331" s="70">
        <v>2025</v>
      </c>
      <c r="B2331" s="16" t="s">
        <v>15</v>
      </c>
      <c r="C2331" s="62" t="s">
        <v>3243</v>
      </c>
      <c r="D2331" s="47" t="s">
        <v>586</v>
      </c>
      <c r="E2331" s="47" t="s">
        <v>3244</v>
      </c>
      <c r="F2331" s="101">
        <v>120</v>
      </c>
      <c r="G2331" s="59" t="s">
        <v>37</v>
      </c>
      <c r="H2331" s="60">
        <v>95</v>
      </c>
      <c r="I2331" s="511">
        <f t="shared" si="151"/>
        <v>11400</v>
      </c>
      <c r="J2331" s="532">
        <v>55</v>
      </c>
      <c r="K2331" s="532">
        <f t="shared" si="153"/>
        <v>40</v>
      </c>
      <c r="L2331" s="533">
        <f t="shared" si="152"/>
        <v>4800</v>
      </c>
      <c r="M2331" s="534">
        <f t="shared" si="154"/>
        <v>0.42105263157894735</v>
      </c>
      <c r="N2331" s="55" t="s">
        <v>22</v>
      </c>
      <c r="O2331" s="56" t="s">
        <v>21</v>
      </c>
    </row>
    <row r="2332" spans="1:15">
      <c r="A2332" s="70">
        <v>2025</v>
      </c>
      <c r="B2332" s="16" t="s">
        <v>15</v>
      </c>
      <c r="C2332" s="63" t="s">
        <v>3245</v>
      </c>
      <c r="D2332" s="56" t="s">
        <v>1948</v>
      </c>
      <c r="E2332" s="56" t="s">
        <v>3246</v>
      </c>
      <c r="F2332" s="101">
        <v>120</v>
      </c>
      <c r="G2332" s="59" t="s">
        <v>37</v>
      </c>
      <c r="H2332" s="60">
        <v>93</v>
      </c>
      <c r="I2332" s="511">
        <f t="shared" si="151"/>
        <v>11160</v>
      </c>
      <c r="J2332" s="532">
        <v>83</v>
      </c>
      <c r="K2332" s="532">
        <f t="shared" si="153"/>
        <v>10</v>
      </c>
      <c r="L2332" s="533">
        <f t="shared" si="152"/>
        <v>1200</v>
      </c>
      <c r="M2332" s="537">
        <f t="shared" si="154"/>
        <v>0.10752688172043011</v>
      </c>
      <c r="N2332" s="2" t="s">
        <v>22</v>
      </c>
      <c r="O2332" s="81" t="s">
        <v>21</v>
      </c>
    </row>
    <row r="2333" spans="1:15">
      <c r="A2333" s="70">
        <v>2025</v>
      </c>
      <c r="B2333" s="16" t="s">
        <v>15</v>
      </c>
      <c r="C2333" s="63" t="s">
        <v>3247</v>
      </c>
      <c r="D2333" s="56" t="s">
        <v>1227</v>
      </c>
      <c r="E2333" s="56" t="s">
        <v>1238</v>
      </c>
      <c r="F2333" s="101">
        <v>1200</v>
      </c>
      <c r="G2333" s="59" t="s">
        <v>19</v>
      </c>
      <c r="H2333" s="60">
        <v>85</v>
      </c>
      <c r="I2333" s="511">
        <f t="shared" si="151"/>
        <v>102000</v>
      </c>
      <c r="J2333" s="532">
        <v>83</v>
      </c>
      <c r="K2333" s="532">
        <f t="shared" si="153"/>
        <v>2</v>
      </c>
      <c r="L2333" s="533">
        <f t="shared" si="152"/>
        <v>2400</v>
      </c>
      <c r="M2333" s="537">
        <f t="shared" si="154"/>
        <v>2.3529411764705882E-2</v>
      </c>
      <c r="N2333" s="2" t="s">
        <v>40</v>
      </c>
      <c r="O2333" s="81" t="s">
        <v>39</v>
      </c>
    </row>
    <row r="2334" spans="1:15">
      <c r="A2334" s="70">
        <v>2025</v>
      </c>
      <c r="B2334" s="16" t="s">
        <v>15</v>
      </c>
      <c r="C2334" s="63" t="s">
        <v>3247</v>
      </c>
      <c r="D2334" s="56" t="s">
        <v>1227</v>
      </c>
      <c r="E2334" s="56" t="s">
        <v>1229</v>
      </c>
      <c r="F2334" s="101">
        <v>1000</v>
      </c>
      <c r="G2334" s="59" t="s">
        <v>19</v>
      </c>
      <c r="H2334" s="60">
        <v>75</v>
      </c>
      <c r="I2334" s="511">
        <f t="shared" si="151"/>
        <v>75000</v>
      </c>
      <c r="J2334" s="532">
        <v>73</v>
      </c>
      <c r="K2334" s="532">
        <f t="shared" si="153"/>
        <v>2</v>
      </c>
      <c r="L2334" s="533">
        <f t="shared" si="152"/>
        <v>2000</v>
      </c>
      <c r="M2334" s="537">
        <f t="shared" si="154"/>
        <v>2.6666666666666668E-2</v>
      </c>
      <c r="N2334" s="2" t="s">
        <v>40</v>
      </c>
      <c r="O2334" s="81" t="s">
        <v>39</v>
      </c>
    </row>
    <row r="2335" spans="1:15">
      <c r="A2335" s="70">
        <v>2025</v>
      </c>
      <c r="B2335" s="16" t="s">
        <v>15</v>
      </c>
      <c r="C2335" s="63" t="s">
        <v>3247</v>
      </c>
      <c r="D2335" s="56" t="s">
        <v>1227</v>
      </c>
      <c r="E2335" s="56" t="s">
        <v>3248</v>
      </c>
      <c r="F2335" s="101">
        <v>186</v>
      </c>
      <c r="G2335" s="59" t="s">
        <v>19</v>
      </c>
      <c r="H2335" s="60">
        <v>2260</v>
      </c>
      <c r="I2335" s="511">
        <f t="shared" si="151"/>
        <v>420360</v>
      </c>
      <c r="J2335" s="532">
        <v>2200</v>
      </c>
      <c r="K2335" s="532">
        <f t="shared" si="153"/>
        <v>60</v>
      </c>
      <c r="L2335" s="533">
        <f t="shared" si="152"/>
        <v>11160</v>
      </c>
      <c r="M2335" s="537">
        <f t="shared" si="154"/>
        <v>2.6548672566371681E-2</v>
      </c>
      <c r="N2335" s="2" t="s">
        <v>40</v>
      </c>
      <c r="O2335" s="81" t="s">
        <v>39</v>
      </c>
    </row>
    <row r="2336" spans="1:15">
      <c r="A2336" s="70">
        <v>2025</v>
      </c>
      <c r="B2336" s="16" t="s">
        <v>15</v>
      </c>
      <c r="C2336" s="63" t="s">
        <v>3247</v>
      </c>
      <c r="D2336" s="56" t="s">
        <v>1227</v>
      </c>
      <c r="E2336" s="56" t="s">
        <v>3249</v>
      </c>
      <c r="F2336" s="101">
        <v>200</v>
      </c>
      <c r="G2336" s="59" t="s">
        <v>19</v>
      </c>
      <c r="H2336" s="60">
        <v>290</v>
      </c>
      <c r="I2336" s="511">
        <f t="shared" si="151"/>
        <v>58000</v>
      </c>
      <c r="J2336" s="532">
        <v>282</v>
      </c>
      <c r="K2336" s="532">
        <f t="shared" si="153"/>
        <v>8</v>
      </c>
      <c r="L2336" s="533">
        <f t="shared" si="152"/>
        <v>1600</v>
      </c>
      <c r="M2336" s="537">
        <f t="shared" si="154"/>
        <v>2.7586206896551724E-2</v>
      </c>
      <c r="N2336" s="2" t="s">
        <v>40</v>
      </c>
      <c r="O2336" s="81" t="s">
        <v>39</v>
      </c>
    </row>
    <row r="2337" spans="1:15">
      <c r="A2337" s="70">
        <v>2025</v>
      </c>
      <c r="B2337" s="16" t="s">
        <v>15</v>
      </c>
      <c r="C2337" s="63" t="s">
        <v>3247</v>
      </c>
      <c r="D2337" s="56" t="s">
        <v>1227</v>
      </c>
      <c r="E2337" s="56" t="s">
        <v>3250</v>
      </c>
      <c r="F2337" s="101">
        <v>60</v>
      </c>
      <c r="G2337" s="59" t="s">
        <v>19</v>
      </c>
      <c r="H2337" s="60">
        <v>3570</v>
      </c>
      <c r="I2337" s="511">
        <f t="shared" si="151"/>
        <v>214200</v>
      </c>
      <c r="J2337" s="532">
        <v>3480</v>
      </c>
      <c r="K2337" s="532">
        <f t="shared" si="153"/>
        <v>90</v>
      </c>
      <c r="L2337" s="533">
        <f t="shared" si="152"/>
        <v>5400</v>
      </c>
      <c r="M2337" s="537">
        <f t="shared" si="154"/>
        <v>2.5210084033613446E-2</v>
      </c>
      <c r="N2337" s="2" t="s">
        <v>40</v>
      </c>
      <c r="O2337" s="81" t="s">
        <v>39</v>
      </c>
    </row>
    <row r="2338" spans="1:15">
      <c r="A2338" s="70">
        <v>2025</v>
      </c>
      <c r="B2338" s="424" t="s">
        <v>178</v>
      </c>
      <c r="C2338" s="63" t="s">
        <v>3251</v>
      </c>
      <c r="D2338" s="56" t="s">
        <v>1430</v>
      </c>
      <c r="E2338" s="56" t="s">
        <v>859</v>
      </c>
      <c r="F2338" s="101">
        <v>1300</v>
      </c>
      <c r="G2338" s="59" t="s">
        <v>337</v>
      </c>
      <c r="H2338" s="60">
        <v>90</v>
      </c>
      <c r="I2338" s="511">
        <f t="shared" si="151"/>
        <v>117000</v>
      </c>
      <c r="J2338" s="532">
        <v>89.5</v>
      </c>
      <c r="K2338" s="532">
        <f t="shared" si="153"/>
        <v>0.5</v>
      </c>
      <c r="L2338" s="533">
        <f t="shared" si="152"/>
        <v>650</v>
      </c>
      <c r="M2338" s="537">
        <f t="shared" si="154"/>
        <v>5.5555555555555558E-3</v>
      </c>
      <c r="N2338" s="2" t="s">
        <v>22</v>
      </c>
      <c r="O2338" s="81" t="s">
        <v>39</v>
      </c>
    </row>
    <row r="2339" spans="1:15">
      <c r="A2339" s="70">
        <v>2025</v>
      </c>
      <c r="B2339" s="16" t="s">
        <v>178</v>
      </c>
      <c r="C2339" s="63" t="s">
        <v>3252</v>
      </c>
      <c r="D2339" s="56" t="s">
        <v>3235</v>
      </c>
      <c r="E2339" s="56" t="s">
        <v>274</v>
      </c>
      <c r="F2339" s="101">
        <v>6000</v>
      </c>
      <c r="G2339" s="59" t="s">
        <v>1885</v>
      </c>
      <c r="H2339" s="60">
        <v>28</v>
      </c>
      <c r="I2339" s="511">
        <f t="shared" si="151"/>
        <v>168000</v>
      </c>
      <c r="J2339" s="532">
        <v>27.4</v>
      </c>
      <c r="K2339" s="532">
        <f t="shared" si="153"/>
        <v>0.60000000000000142</v>
      </c>
      <c r="L2339" s="533">
        <f t="shared" si="152"/>
        <v>3600.0000000000086</v>
      </c>
      <c r="M2339" s="537">
        <f t="shared" si="154"/>
        <v>2.1428571428571481E-2</v>
      </c>
      <c r="N2339" s="2" t="s">
        <v>22</v>
      </c>
      <c r="O2339" s="81" t="s">
        <v>39</v>
      </c>
    </row>
    <row r="2340" spans="1:15">
      <c r="A2340" s="70">
        <v>2025</v>
      </c>
      <c r="B2340" s="16" t="s">
        <v>178</v>
      </c>
      <c r="C2340" s="63" t="s">
        <v>3253</v>
      </c>
      <c r="D2340" s="56" t="s">
        <v>94</v>
      </c>
      <c r="E2340" s="56" t="s">
        <v>1038</v>
      </c>
      <c r="F2340" s="101">
        <v>200</v>
      </c>
      <c r="G2340" s="59" t="s">
        <v>19</v>
      </c>
      <c r="H2340" s="489">
        <v>15.5</v>
      </c>
      <c r="I2340" s="511">
        <f t="shared" si="151"/>
        <v>3100</v>
      </c>
      <c r="J2340" s="532">
        <v>14.76</v>
      </c>
      <c r="K2340" s="532">
        <f t="shared" si="153"/>
        <v>0.74000000000000021</v>
      </c>
      <c r="L2340" s="533">
        <f t="shared" si="152"/>
        <v>148.00000000000006</v>
      </c>
      <c r="M2340" s="537">
        <f t="shared" si="154"/>
        <v>4.7741935483870984E-2</v>
      </c>
      <c r="N2340" s="2" t="s">
        <v>22</v>
      </c>
      <c r="O2340" s="81" t="s">
        <v>105</v>
      </c>
    </row>
    <row r="2341" spans="1:15">
      <c r="A2341" s="70">
        <v>2025</v>
      </c>
      <c r="B2341" s="16" t="s">
        <v>178</v>
      </c>
      <c r="C2341" s="63" t="s">
        <v>3253</v>
      </c>
      <c r="D2341" s="56" t="s">
        <v>94</v>
      </c>
      <c r="E2341" s="56" t="s">
        <v>550</v>
      </c>
      <c r="F2341" s="101">
        <v>200</v>
      </c>
      <c r="G2341" s="59" t="s">
        <v>19</v>
      </c>
      <c r="H2341" s="489">
        <v>50</v>
      </c>
      <c r="I2341" s="511">
        <f t="shared" si="151"/>
        <v>10000</v>
      </c>
      <c r="J2341" s="532">
        <v>47.56</v>
      </c>
      <c r="K2341" s="532">
        <f t="shared" si="153"/>
        <v>2.4399999999999977</v>
      </c>
      <c r="L2341" s="533">
        <f t="shared" si="152"/>
        <v>487.99999999999955</v>
      </c>
      <c r="M2341" s="537">
        <f t="shared" si="154"/>
        <v>4.8799999999999955E-2</v>
      </c>
      <c r="N2341" s="2" t="s">
        <v>22</v>
      </c>
      <c r="O2341" s="81" t="s">
        <v>105</v>
      </c>
    </row>
    <row r="2342" spans="1:15">
      <c r="A2342" s="70">
        <v>2025</v>
      </c>
      <c r="B2342" s="16" t="s">
        <v>178</v>
      </c>
      <c r="C2342" s="63" t="s">
        <v>3253</v>
      </c>
      <c r="D2342" s="56" t="s">
        <v>94</v>
      </c>
      <c r="E2342" s="56" t="s">
        <v>456</v>
      </c>
      <c r="F2342" s="101">
        <v>300</v>
      </c>
      <c r="G2342" s="59" t="s">
        <v>19</v>
      </c>
      <c r="H2342" s="489">
        <v>2.6</v>
      </c>
      <c r="I2342" s="511">
        <f t="shared" si="151"/>
        <v>780</v>
      </c>
      <c r="J2342" s="532">
        <v>2.5499999999999998</v>
      </c>
      <c r="K2342" s="532">
        <f t="shared" si="153"/>
        <v>5.0000000000000266E-2</v>
      </c>
      <c r="L2342" s="533">
        <f t="shared" si="152"/>
        <v>15.00000000000008</v>
      </c>
      <c r="M2342" s="537">
        <f t="shared" si="154"/>
        <v>1.9230769230769332E-2</v>
      </c>
      <c r="N2342" s="2" t="s">
        <v>22</v>
      </c>
      <c r="O2342" s="81" t="s">
        <v>105</v>
      </c>
    </row>
    <row r="2343" spans="1:15">
      <c r="A2343" s="70">
        <v>2025</v>
      </c>
      <c r="B2343" s="16" t="s">
        <v>178</v>
      </c>
      <c r="C2343" s="63" t="s">
        <v>3254</v>
      </c>
      <c r="D2343" s="56" t="s">
        <v>27</v>
      </c>
      <c r="E2343" s="56" t="s">
        <v>3255</v>
      </c>
      <c r="F2343" s="101">
        <v>4</v>
      </c>
      <c r="G2343" s="59" t="s">
        <v>19</v>
      </c>
      <c r="H2343" s="489">
        <v>21600</v>
      </c>
      <c r="I2343" s="511">
        <f t="shared" si="151"/>
        <v>86400</v>
      </c>
      <c r="J2343" s="532">
        <v>20200</v>
      </c>
      <c r="K2343" s="532">
        <f t="shared" si="153"/>
        <v>1400</v>
      </c>
      <c r="L2343" s="533">
        <f t="shared" si="152"/>
        <v>5600</v>
      </c>
      <c r="M2343" s="537">
        <f t="shared" si="154"/>
        <v>6.4814814814814811E-2</v>
      </c>
      <c r="N2343" s="2" t="s">
        <v>22</v>
      </c>
      <c r="O2343" s="81" t="s">
        <v>105</v>
      </c>
    </row>
    <row r="2344" spans="1:15">
      <c r="A2344" s="70">
        <v>2025</v>
      </c>
      <c r="B2344" s="16" t="s">
        <v>178</v>
      </c>
      <c r="C2344" s="63" t="s">
        <v>3254</v>
      </c>
      <c r="D2344" s="56" t="s">
        <v>27</v>
      </c>
      <c r="E2344" s="56" t="s">
        <v>3256</v>
      </c>
      <c r="F2344" s="101">
        <v>3</v>
      </c>
      <c r="G2344" s="59" t="s">
        <v>19</v>
      </c>
      <c r="H2344" s="489">
        <v>62500</v>
      </c>
      <c r="I2344" s="511">
        <f t="shared" si="151"/>
        <v>187500</v>
      </c>
      <c r="J2344" s="532">
        <v>61000</v>
      </c>
      <c r="K2344" s="532">
        <f t="shared" si="153"/>
        <v>1500</v>
      </c>
      <c r="L2344" s="533">
        <f t="shared" si="152"/>
        <v>4500</v>
      </c>
      <c r="M2344" s="537">
        <f t="shared" si="154"/>
        <v>2.4E-2</v>
      </c>
      <c r="N2344" s="2" t="s">
        <v>22</v>
      </c>
      <c r="O2344" s="81" t="s">
        <v>105</v>
      </c>
    </row>
    <row r="2345" spans="1:15">
      <c r="A2345" s="70">
        <v>2025</v>
      </c>
      <c r="B2345" s="16" t="s">
        <v>178</v>
      </c>
      <c r="C2345" s="63" t="s">
        <v>3254</v>
      </c>
      <c r="D2345" s="56" t="s">
        <v>27</v>
      </c>
      <c r="E2345" s="414" t="s">
        <v>3257</v>
      </c>
      <c r="F2345" s="101">
        <v>18</v>
      </c>
      <c r="G2345" s="59" t="s">
        <v>19</v>
      </c>
      <c r="H2345" s="489">
        <v>850</v>
      </c>
      <c r="I2345" s="511">
        <f t="shared" si="151"/>
        <v>15300</v>
      </c>
      <c r="J2345" s="532">
        <v>780</v>
      </c>
      <c r="K2345" s="532">
        <f t="shared" si="153"/>
        <v>70</v>
      </c>
      <c r="L2345" s="533">
        <f t="shared" si="152"/>
        <v>1260</v>
      </c>
      <c r="M2345" s="537">
        <f t="shared" si="154"/>
        <v>8.2352941176470587E-2</v>
      </c>
      <c r="N2345" s="2" t="s">
        <v>22</v>
      </c>
      <c r="O2345" s="81" t="s">
        <v>105</v>
      </c>
    </row>
    <row r="2346" spans="1:15">
      <c r="A2346" s="70">
        <v>2025</v>
      </c>
      <c r="B2346" s="16" t="s">
        <v>178</v>
      </c>
      <c r="C2346" s="63" t="s">
        <v>3258</v>
      </c>
      <c r="D2346" s="56" t="s">
        <v>708</v>
      </c>
      <c r="E2346" s="56" t="s">
        <v>3092</v>
      </c>
      <c r="F2346" s="101">
        <v>1600</v>
      </c>
      <c r="G2346" s="59" t="s">
        <v>37</v>
      </c>
      <c r="H2346" s="492">
        <f t="shared" ref="H2346:H2358" si="155">J2346+7</f>
        <v>361.85</v>
      </c>
      <c r="I2346" s="511">
        <f t="shared" si="151"/>
        <v>578960</v>
      </c>
      <c r="J2346" s="532">
        <v>354.85</v>
      </c>
      <c r="K2346" s="532">
        <f t="shared" si="153"/>
        <v>7</v>
      </c>
      <c r="L2346" s="533">
        <f t="shared" si="152"/>
        <v>11200</v>
      </c>
      <c r="M2346" s="537">
        <f t="shared" si="154"/>
        <v>1.934503247201879E-2</v>
      </c>
      <c r="N2346" s="2" t="s">
        <v>40</v>
      </c>
      <c r="O2346" s="81" t="s">
        <v>105</v>
      </c>
    </row>
    <row r="2347" spans="1:15">
      <c r="A2347" s="70">
        <v>2025</v>
      </c>
      <c r="B2347" s="16" t="s">
        <v>178</v>
      </c>
      <c r="C2347" s="63" t="s">
        <v>3258</v>
      </c>
      <c r="D2347" s="56" t="s">
        <v>708</v>
      </c>
      <c r="E2347" s="56" t="s">
        <v>3092</v>
      </c>
      <c r="F2347" s="101">
        <v>2800</v>
      </c>
      <c r="G2347" s="59" t="s">
        <v>37</v>
      </c>
      <c r="H2347" s="492">
        <f t="shared" si="155"/>
        <v>361.69</v>
      </c>
      <c r="I2347" s="511">
        <f t="shared" si="151"/>
        <v>1012732</v>
      </c>
      <c r="J2347" s="532">
        <v>354.69</v>
      </c>
      <c r="K2347" s="532">
        <f t="shared" si="153"/>
        <v>7</v>
      </c>
      <c r="L2347" s="533">
        <f t="shared" si="152"/>
        <v>19600</v>
      </c>
      <c r="M2347" s="537">
        <f t="shared" si="154"/>
        <v>1.9353590090961874E-2</v>
      </c>
      <c r="N2347" s="2" t="s">
        <v>40</v>
      </c>
      <c r="O2347" s="81" t="s">
        <v>105</v>
      </c>
    </row>
    <row r="2348" spans="1:15">
      <c r="A2348" s="70">
        <v>2025</v>
      </c>
      <c r="B2348" s="16" t="s">
        <v>178</v>
      </c>
      <c r="C2348" s="63" t="s">
        <v>3258</v>
      </c>
      <c r="D2348" s="56" t="s">
        <v>708</v>
      </c>
      <c r="E2348" s="56" t="s">
        <v>3092</v>
      </c>
      <c r="F2348" s="101">
        <v>1200</v>
      </c>
      <c r="G2348" s="59" t="s">
        <v>37</v>
      </c>
      <c r="H2348" s="492">
        <f t="shared" si="155"/>
        <v>368.15</v>
      </c>
      <c r="I2348" s="511">
        <f t="shared" si="151"/>
        <v>441780</v>
      </c>
      <c r="J2348" s="532">
        <v>361.15</v>
      </c>
      <c r="K2348" s="532">
        <f t="shared" si="153"/>
        <v>7</v>
      </c>
      <c r="L2348" s="533">
        <f t="shared" si="152"/>
        <v>8400</v>
      </c>
      <c r="M2348" s="537">
        <f t="shared" si="154"/>
        <v>1.9013988863235097E-2</v>
      </c>
      <c r="N2348" s="2" t="s">
        <v>40</v>
      </c>
      <c r="O2348" s="81" t="s">
        <v>105</v>
      </c>
    </row>
    <row r="2349" spans="1:15">
      <c r="A2349" s="70">
        <v>2025</v>
      </c>
      <c r="B2349" s="16" t="s">
        <v>178</v>
      </c>
      <c r="C2349" s="63" t="s">
        <v>3258</v>
      </c>
      <c r="D2349" s="56" t="s">
        <v>708</v>
      </c>
      <c r="E2349" s="56" t="s">
        <v>3092</v>
      </c>
      <c r="F2349" s="101">
        <v>800</v>
      </c>
      <c r="G2349" s="59" t="s">
        <v>37</v>
      </c>
      <c r="H2349" s="492">
        <f t="shared" si="155"/>
        <v>367.57</v>
      </c>
      <c r="I2349" s="511">
        <f t="shared" ref="I2349:I2412" si="156">H2349*F2349</f>
        <v>294056</v>
      </c>
      <c r="J2349" s="532">
        <v>360.57</v>
      </c>
      <c r="K2349" s="532">
        <f t="shared" si="153"/>
        <v>7</v>
      </c>
      <c r="L2349" s="533">
        <f t="shared" si="152"/>
        <v>5600</v>
      </c>
      <c r="M2349" s="537">
        <f t="shared" si="154"/>
        <v>1.9043991620643689E-2</v>
      </c>
      <c r="N2349" s="2" t="s">
        <v>40</v>
      </c>
      <c r="O2349" s="81" t="s">
        <v>105</v>
      </c>
    </row>
    <row r="2350" spans="1:15">
      <c r="A2350" s="70">
        <v>2025</v>
      </c>
      <c r="B2350" s="16" t="s">
        <v>178</v>
      </c>
      <c r="C2350" s="63" t="s">
        <v>3258</v>
      </c>
      <c r="D2350" s="56" t="s">
        <v>708</v>
      </c>
      <c r="E2350" s="56" t="s">
        <v>3092</v>
      </c>
      <c r="F2350" s="101">
        <v>2000</v>
      </c>
      <c r="G2350" s="59" t="s">
        <v>37</v>
      </c>
      <c r="H2350" s="492">
        <f t="shared" si="155"/>
        <v>365.74</v>
      </c>
      <c r="I2350" s="511">
        <f t="shared" si="156"/>
        <v>731480</v>
      </c>
      <c r="J2350" s="532">
        <v>358.74</v>
      </c>
      <c r="K2350" s="532">
        <f t="shared" si="153"/>
        <v>7</v>
      </c>
      <c r="L2350" s="533">
        <f t="shared" si="152"/>
        <v>14000</v>
      </c>
      <c r="M2350" s="537">
        <f t="shared" si="154"/>
        <v>1.9139279269426369E-2</v>
      </c>
      <c r="N2350" s="2" t="s">
        <v>40</v>
      </c>
      <c r="O2350" s="81" t="s">
        <v>105</v>
      </c>
    </row>
    <row r="2351" spans="1:15">
      <c r="A2351" s="70">
        <v>2025</v>
      </c>
      <c r="B2351" s="16" t="s">
        <v>178</v>
      </c>
      <c r="C2351" s="63" t="s">
        <v>3258</v>
      </c>
      <c r="D2351" s="56" t="s">
        <v>708</v>
      </c>
      <c r="E2351" s="56" t="s">
        <v>3092</v>
      </c>
      <c r="F2351" s="101">
        <v>2700</v>
      </c>
      <c r="G2351" s="59" t="s">
        <v>37</v>
      </c>
      <c r="H2351" s="492">
        <f t="shared" si="155"/>
        <v>363.05</v>
      </c>
      <c r="I2351" s="511">
        <f t="shared" si="156"/>
        <v>980235</v>
      </c>
      <c r="J2351" s="532">
        <v>356.05</v>
      </c>
      <c r="K2351" s="532">
        <f t="shared" si="153"/>
        <v>7</v>
      </c>
      <c r="L2351" s="533">
        <f t="shared" si="152"/>
        <v>18900</v>
      </c>
      <c r="M2351" s="537">
        <f t="shared" si="154"/>
        <v>1.9281090758848644E-2</v>
      </c>
      <c r="N2351" s="2" t="s">
        <v>40</v>
      </c>
      <c r="O2351" s="81" t="s">
        <v>105</v>
      </c>
    </row>
    <row r="2352" spans="1:15">
      <c r="A2352" s="70">
        <v>2025</v>
      </c>
      <c r="B2352" s="16" t="s">
        <v>178</v>
      </c>
      <c r="C2352" s="63" t="s">
        <v>3258</v>
      </c>
      <c r="D2352" s="56" t="s">
        <v>708</v>
      </c>
      <c r="E2352" s="56" t="s">
        <v>3092</v>
      </c>
      <c r="F2352" s="101">
        <v>2500</v>
      </c>
      <c r="G2352" s="59" t="s">
        <v>37</v>
      </c>
      <c r="H2352" s="492">
        <f t="shared" si="155"/>
        <v>361.92</v>
      </c>
      <c r="I2352" s="511">
        <f t="shared" si="156"/>
        <v>904800</v>
      </c>
      <c r="J2352" s="532">
        <v>354.92</v>
      </c>
      <c r="K2352" s="532">
        <f t="shared" si="153"/>
        <v>7</v>
      </c>
      <c r="L2352" s="533">
        <f t="shared" si="152"/>
        <v>17500</v>
      </c>
      <c r="M2352" s="537">
        <f t="shared" si="154"/>
        <v>1.9341290893015031E-2</v>
      </c>
      <c r="N2352" s="2" t="s">
        <v>40</v>
      </c>
      <c r="O2352" s="81" t="s">
        <v>105</v>
      </c>
    </row>
    <row r="2353" spans="1:15">
      <c r="A2353" s="70">
        <v>2025</v>
      </c>
      <c r="B2353" s="16" t="s">
        <v>178</v>
      </c>
      <c r="C2353" s="63" t="s">
        <v>3258</v>
      </c>
      <c r="D2353" s="56" t="s">
        <v>708</v>
      </c>
      <c r="E2353" s="56" t="s">
        <v>3092</v>
      </c>
      <c r="F2353" s="101">
        <v>5800</v>
      </c>
      <c r="G2353" s="59" t="s">
        <v>37</v>
      </c>
      <c r="H2353" s="492">
        <f t="shared" si="155"/>
        <v>361.46</v>
      </c>
      <c r="I2353" s="511">
        <f t="shared" si="156"/>
        <v>2096467.9999999998</v>
      </c>
      <c r="J2353" s="532">
        <v>354.46</v>
      </c>
      <c r="K2353" s="532">
        <f t="shared" si="153"/>
        <v>7</v>
      </c>
      <c r="L2353" s="533">
        <f t="shared" si="152"/>
        <v>40600</v>
      </c>
      <c r="M2353" s="537">
        <f t="shared" si="154"/>
        <v>1.9365904941072321E-2</v>
      </c>
      <c r="N2353" s="2" t="s">
        <v>40</v>
      </c>
      <c r="O2353" s="81" t="s">
        <v>105</v>
      </c>
    </row>
    <row r="2354" spans="1:15">
      <c r="A2354" s="70">
        <v>2025</v>
      </c>
      <c r="B2354" s="16" t="s">
        <v>178</v>
      </c>
      <c r="C2354" s="63" t="s">
        <v>3258</v>
      </c>
      <c r="D2354" s="56" t="s">
        <v>708</v>
      </c>
      <c r="E2354" s="56" t="s">
        <v>3092</v>
      </c>
      <c r="F2354" s="101">
        <v>1200</v>
      </c>
      <c r="G2354" s="59" t="s">
        <v>37</v>
      </c>
      <c r="H2354" s="492">
        <f t="shared" si="155"/>
        <v>360.24</v>
      </c>
      <c r="I2354" s="511">
        <f t="shared" si="156"/>
        <v>432288</v>
      </c>
      <c r="J2354" s="532">
        <v>353.24</v>
      </c>
      <c r="K2354" s="532">
        <f t="shared" si="153"/>
        <v>7</v>
      </c>
      <c r="L2354" s="533">
        <f t="shared" si="152"/>
        <v>8400</v>
      </c>
      <c r="M2354" s="537">
        <f t="shared" si="154"/>
        <v>1.9431490117699311E-2</v>
      </c>
      <c r="N2354" s="2" t="s">
        <v>40</v>
      </c>
      <c r="O2354" s="81" t="s">
        <v>105</v>
      </c>
    </row>
    <row r="2355" spans="1:15">
      <c r="A2355" s="70">
        <v>2025</v>
      </c>
      <c r="B2355" s="16" t="s">
        <v>178</v>
      </c>
      <c r="C2355" s="63" t="s">
        <v>3258</v>
      </c>
      <c r="D2355" s="56" t="s">
        <v>708</v>
      </c>
      <c r="E2355" s="56" t="s">
        <v>3092</v>
      </c>
      <c r="F2355" s="101">
        <v>750</v>
      </c>
      <c r="G2355" s="59" t="s">
        <v>37</v>
      </c>
      <c r="H2355" s="492">
        <f t="shared" si="155"/>
        <v>372.42</v>
      </c>
      <c r="I2355" s="511">
        <f t="shared" si="156"/>
        <v>279315</v>
      </c>
      <c r="J2355" s="532">
        <v>365.42</v>
      </c>
      <c r="K2355" s="532">
        <f t="shared" si="153"/>
        <v>7</v>
      </c>
      <c r="L2355" s="533">
        <f t="shared" si="152"/>
        <v>5250</v>
      </c>
      <c r="M2355" s="537">
        <f t="shared" si="154"/>
        <v>1.8795983029912464E-2</v>
      </c>
      <c r="N2355" s="2" t="s">
        <v>40</v>
      </c>
      <c r="O2355" s="81" t="s">
        <v>105</v>
      </c>
    </row>
    <row r="2356" spans="1:15">
      <c r="A2356" s="70">
        <v>2025</v>
      </c>
      <c r="B2356" s="16" t="s">
        <v>178</v>
      </c>
      <c r="C2356" s="63" t="s">
        <v>3258</v>
      </c>
      <c r="D2356" s="56" t="s">
        <v>708</v>
      </c>
      <c r="E2356" s="56" t="s">
        <v>3092</v>
      </c>
      <c r="F2356" s="101">
        <v>800</v>
      </c>
      <c r="G2356" s="59" t="s">
        <v>37</v>
      </c>
      <c r="H2356" s="492">
        <f t="shared" si="155"/>
        <v>364.19</v>
      </c>
      <c r="I2356" s="511">
        <f t="shared" si="156"/>
        <v>291352</v>
      </c>
      <c r="J2356" s="532">
        <v>357.19</v>
      </c>
      <c r="K2356" s="532">
        <f t="shared" si="153"/>
        <v>7</v>
      </c>
      <c r="L2356" s="533">
        <f t="shared" si="152"/>
        <v>5600</v>
      </c>
      <c r="M2356" s="537">
        <f t="shared" si="154"/>
        <v>1.9220736428787171E-2</v>
      </c>
      <c r="N2356" s="2" t="s">
        <v>40</v>
      </c>
      <c r="O2356" s="81" t="s">
        <v>105</v>
      </c>
    </row>
    <row r="2357" spans="1:15">
      <c r="A2357" s="70">
        <v>2025</v>
      </c>
      <c r="B2357" s="16" t="s">
        <v>178</v>
      </c>
      <c r="C2357" s="63" t="s">
        <v>3258</v>
      </c>
      <c r="D2357" s="56" t="s">
        <v>708</v>
      </c>
      <c r="E2357" s="56" t="s">
        <v>3092</v>
      </c>
      <c r="F2357" s="101">
        <v>800</v>
      </c>
      <c r="G2357" s="59" t="s">
        <v>37</v>
      </c>
      <c r="H2357" s="492">
        <f t="shared" si="155"/>
        <v>361.45</v>
      </c>
      <c r="I2357" s="511">
        <f t="shared" si="156"/>
        <v>289160</v>
      </c>
      <c r="J2357" s="532">
        <v>354.45</v>
      </c>
      <c r="K2357" s="532">
        <f t="shared" si="153"/>
        <v>7</v>
      </c>
      <c r="L2357" s="533">
        <f t="shared" si="152"/>
        <v>5600</v>
      </c>
      <c r="M2357" s="537">
        <f t="shared" si="154"/>
        <v>1.936644072485821E-2</v>
      </c>
      <c r="N2357" s="2" t="s">
        <v>40</v>
      </c>
      <c r="O2357" s="81" t="s">
        <v>105</v>
      </c>
    </row>
    <row r="2358" spans="1:15">
      <c r="A2358" s="70">
        <v>2025</v>
      </c>
      <c r="B2358" s="16" t="s">
        <v>178</v>
      </c>
      <c r="C2358" s="63" t="s">
        <v>3258</v>
      </c>
      <c r="D2358" s="56" t="s">
        <v>708</v>
      </c>
      <c r="E2358" s="56" t="s">
        <v>3092</v>
      </c>
      <c r="F2358" s="101">
        <v>1300</v>
      </c>
      <c r="G2358" s="59" t="s">
        <v>37</v>
      </c>
      <c r="H2358" s="492">
        <f t="shared" si="155"/>
        <v>361.44</v>
      </c>
      <c r="I2358" s="511">
        <f t="shared" si="156"/>
        <v>469872</v>
      </c>
      <c r="J2358" s="532">
        <v>354.44</v>
      </c>
      <c r="K2358" s="532">
        <f t="shared" si="153"/>
        <v>7</v>
      </c>
      <c r="L2358" s="533">
        <f t="shared" si="152"/>
        <v>9100</v>
      </c>
      <c r="M2358" s="537">
        <f t="shared" si="154"/>
        <v>1.9366976538291281E-2</v>
      </c>
      <c r="N2358" s="2" t="s">
        <v>40</v>
      </c>
      <c r="O2358" s="81" t="s">
        <v>105</v>
      </c>
    </row>
    <row r="2359" spans="1:15">
      <c r="A2359" s="70">
        <v>2025</v>
      </c>
      <c r="B2359" s="16" t="s">
        <v>178</v>
      </c>
      <c r="C2359" s="63" t="s">
        <v>3259</v>
      </c>
      <c r="D2359" s="56" t="s">
        <v>1042</v>
      </c>
      <c r="E2359" s="56" t="s">
        <v>3260</v>
      </c>
      <c r="F2359" s="101">
        <v>2652</v>
      </c>
      <c r="G2359" s="59" t="s">
        <v>37</v>
      </c>
      <c r="H2359" s="60">
        <v>382</v>
      </c>
      <c r="I2359" s="511">
        <f t="shared" si="156"/>
        <v>1013064</v>
      </c>
      <c r="J2359" s="532">
        <v>350</v>
      </c>
      <c r="K2359" s="532">
        <f t="shared" si="153"/>
        <v>32</v>
      </c>
      <c r="L2359" s="533">
        <f t="shared" si="152"/>
        <v>84864</v>
      </c>
      <c r="M2359" s="537">
        <f t="shared" si="154"/>
        <v>8.3769633507853408E-2</v>
      </c>
      <c r="N2359" s="2" t="s">
        <v>22</v>
      </c>
      <c r="O2359" s="81" t="s">
        <v>105</v>
      </c>
    </row>
    <row r="2360" spans="1:15">
      <c r="A2360" s="70">
        <v>2025</v>
      </c>
      <c r="B2360" s="16" t="s">
        <v>178</v>
      </c>
      <c r="C2360" s="63" t="s">
        <v>3261</v>
      </c>
      <c r="D2360" s="56" t="s">
        <v>192</v>
      </c>
      <c r="E2360" s="56" t="s">
        <v>3262</v>
      </c>
      <c r="F2360" s="101">
        <v>1</v>
      </c>
      <c r="G2360" s="59" t="s">
        <v>19</v>
      </c>
      <c r="H2360" s="60">
        <v>29360</v>
      </c>
      <c r="I2360" s="511">
        <f t="shared" si="156"/>
        <v>29360</v>
      </c>
      <c r="J2360" s="532">
        <v>28480</v>
      </c>
      <c r="K2360" s="532">
        <f t="shared" si="153"/>
        <v>880</v>
      </c>
      <c r="L2360" s="533">
        <f t="shared" si="152"/>
        <v>880</v>
      </c>
      <c r="M2360" s="534">
        <f t="shared" si="154"/>
        <v>2.9972752043596729E-2</v>
      </c>
      <c r="N2360" s="56" t="s">
        <v>40</v>
      </c>
      <c r="O2360" s="81" t="s">
        <v>105</v>
      </c>
    </row>
    <row r="2361" spans="1:15">
      <c r="A2361" s="70">
        <v>2025</v>
      </c>
      <c r="B2361" s="16" t="s">
        <v>178</v>
      </c>
      <c r="C2361" s="63" t="s">
        <v>3263</v>
      </c>
      <c r="D2361" s="56" t="s">
        <v>633</v>
      </c>
      <c r="E2361" s="56" t="s">
        <v>1150</v>
      </c>
      <c r="F2361" s="101">
        <v>100</v>
      </c>
      <c r="G2361" s="59" t="s">
        <v>869</v>
      </c>
      <c r="H2361" s="60">
        <v>320</v>
      </c>
      <c r="I2361" s="511">
        <f t="shared" si="156"/>
        <v>32000</v>
      </c>
      <c r="J2361" s="532">
        <v>300</v>
      </c>
      <c r="K2361" s="532">
        <f t="shared" si="153"/>
        <v>20</v>
      </c>
      <c r="L2361" s="533">
        <f t="shared" si="152"/>
        <v>2000</v>
      </c>
      <c r="M2361" s="537">
        <f t="shared" si="154"/>
        <v>6.25E-2</v>
      </c>
      <c r="N2361" s="56" t="s">
        <v>20</v>
      </c>
      <c r="O2361" s="81" t="s">
        <v>39</v>
      </c>
    </row>
    <row r="2362" spans="1:15">
      <c r="A2362" s="70">
        <v>2025</v>
      </c>
      <c r="B2362" s="16" t="s">
        <v>178</v>
      </c>
      <c r="C2362" s="63" t="s">
        <v>3264</v>
      </c>
      <c r="D2362" s="56" t="s">
        <v>1227</v>
      </c>
      <c r="E2362" s="56" t="s">
        <v>3265</v>
      </c>
      <c r="F2362" s="101">
        <v>4</v>
      </c>
      <c r="G2362" s="59" t="s">
        <v>19</v>
      </c>
      <c r="H2362" s="60">
        <v>4920</v>
      </c>
      <c r="I2362" s="511">
        <f t="shared" si="156"/>
        <v>19680</v>
      </c>
      <c r="J2362" s="532">
        <v>4620</v>
      </c>
      <c r="K2362" s="532">
        <f t="shared" si="153"/>
        <v>300</v>
      </c>
      <c r="L2362" s="533">
        <f t="shared" si="152"/>
        <v>1200</v>
      </c>
      <c r="M2362" s="537">
        <f t="shared" si="154"/>
        <v>6.097560975609756E-2</v>
      </c>
      <c r="N2362" s="56" t="s">
        <v>40</v>
      </c>
      <c r="O2362" s="81" t="s">
        <v>39</v>
      </c>
    </row>
    <row r="2363" spans="1:15">
      <c r="A2363" s="70">
        <v>2025</v>
      </c>
      <c r="B2363" s="16" t="s">
        <v>178</v>
      </c>
      <c r="C2363" s="63" t="s">
        <v>3266</v>
      </c>
      <c r="D2363" s="56" t="s">
        <v>200</v>
      </c>
      <c r="E2363" s="56" t="s">
        <v>3267</v>
      </c>
      <c r="F2363" s="101">
        <v>4</v>
      </c>
      <c r="G2363" s="59" t="s">
        <v>19</v>
      </c>
      <c r="H2363" s="60">
        <v>4000</v>
      </c>
      <c r="I2363" s="511">
        <f t="shared" si="156"/>
        <v>16000</v>
      </c>
      <c r="J2363" s="532">
        <v>3400</v>
      </c>
      <c r="K2363" s="532">
        <f t="shared" si="153"/>
        <v>600</v>
      </c>
      <c r="L2363" s="533">
        <f t="shared" ref="L2363:L2426" si="157">K2363*F2363</f>
        <v>2400</v>
      </c>
      <c r="M2363" s="537">
        <f t="shared" si="154"/>
        <v>0.15</v>
      </c>
      <c r="N2363" s="56" t="s">
        <v>40</v>
      </c>
      <c r="O2363" s="81" t="s">
        <v>39</v>
      </c>
    </row>
    <row r="2364" spans="1:15">
      <c r="A2364" s="70">
        <v>2025</v>
      </c>
      <c r="B2364" s="16" t="s">
        <v>178</v>
      </c>
      <c r="C2364" s="63" t="s">
        <v>3266</v>
      </c>
      <c r="D2364" s="56" t="s">
        <v>200</v>
      </c>
      <c r="E2364" s="56" t="s">
        <v>2506</v>
      </c>
      <c r="F2364" s="101">
        <v>4</v>
      </c>
      <c r="G2364" s="59" t="s">
        <v>302</v>
      </c>
      <c r="H2364" s="60">
        <v>34500</v>
      </c>
      <c r="I2364" s="511">
        <f t="shared" si="156"/>
        <v>138000</v>
      </c>
      <c r="J2364" s="532">
        <v>34000</v>
      </c>
      <c r="K2364" s="532">
        <f t="shared" si="153"/>
        <v>500</v>
      </c>
      <c r="L2364" s="533">
        <f t="shared" si="157"/>
        <v>2000</v>
      </c>
      <c r="M2364" s="537">
        <f t="shared" si="154"/>
        <v>1.4492753623188406E-2</v>
      </c>
      <c r="N2364" s="2" t="s">
        <v>40</v>
      </c>
      <c r="O2364" s="81" t="s">
        <v>39</v>
      </c>
    </row>
    <row r="2365" spans="1:15">
      <c r="A2365" s="70">
        <v>2025</v>
      </c>
      <c r="B2365" s="16" t="s">
        <v>178</v>
      </c>
      <c r="C2365" s="63" t="s">
        <v>3268</v>
      </c>
      <c r="D2365" s="56" t="s">
        <v>200</v>
      </c>
      <c r="E2365" s="56" t="s">
        <v>3267</v>
      </c>
      <c r="F2365" s="101">
        <v>3</v>
      </c>
      <c r="G2365" s="59" t="s">
        <v>19</v>
      </c>
      <c r="H2365" s="60">
        <v>4000</v>
      </c>
      <c r="I2365" s="511">
        <f t="shared" si="156"/>
        <v>12000</v>
      </c>
      <c r="J2365" s="532">
        <v>3400</v>
      </c>
      <c r="K2365" s="532">
        <f t="shared" si="153"/>
        <v>600</v>
      </c>
      <c r="L2365" s="533">
        <f t="shared" si="157"/>
        <v>1800</v>
      </c>
      <c r="M2365" s="537">
        <f t="shared" si="154"/>
        <v>0.15</v>
      </c>
      <c r="N2365" s="2" t="s">
        <v>40</v>
      </c>
      <c r="O2365" s="81" t="s">
        <v>39</v>
      </c>
    </row>
    <row r="2366" spans="1:15">
      <c r="A2366" s="70">
        <v>2025</v>
      </c>
      <c r="B2366" s="16" t="s">
        <v>178</v>
      </c>
      <c r="C2366" s="63" t="s">
        <v>3268</v>
      </c>
      <c r="D2366" s="56" t="s">
        <v>200</v>
      </c>
      <c r="E2366" s="56" t="s">
        <v>2506</v>
      </c>
      <c r="F2366" s="101">
        <v>3</v>
      </c>
      <c r="G2366" s="59" t="s">
        <v>302</v>
      </c>
      <c r="H2366" s="60">
        <v>34500</v>
      </c>
      <c r="I2366" s="511">
        <f t="shared" si="156"/>
        <v>103500</v>
      </c>
      <c r="J2366" s="532">
        <v>34000</v>
      </c>
      <c r="K2366" s="532">
        <f t="shared" si="153"/>
        <v>500</v>
      </c>
      <c r="L2366" s="533">
        <f t="shared" si="157"/>
        <v>1500</v>
      </c>
      <c r="M2366" s="534">
        <f t="shared" si="154"/>
        <v>1.4492753623188406E-2</v>
      </c>
      <c r="N2366" s="2" t="s">
        <v>40</v>
      </c>
      <c r="O2366" s="81" t="s">
        <v>39</v>
      </c>
    </row>
    <row r="2367" spans="1:15">
      <c r="A2367" s="70">
        <v>2025</v>
      </c>
      <c r="B2367" s="16" t="s">
        <v>178</v>
      </c>
      <c r="C2367" s="63" t="s">
        <v>3269</v>
      </c>
      <c r="D2367" s="56" t="s">
        <v>3235</v>
      </c>
      <c r="E2367" s="56" t="s">
        <v>2255</v>
      </c>
      <c r="F2367" s="101">
        <v>3000</v>
      </c>
      <c r="G2367" s="59" t="s">
        <v>1605</v>
      </c>
      <c r="H2367" s="60">
        <v>28</v>
      </c>
      <c r="I2367" s="511">
        <f t="shared" si="156"/>
        <v>84000</v>
      </c>
      <c r="J2367" s="532">
        <v>27.4</v>
      </c>
      <c r="K2367" s="532">
        <f t="shared" si="153"/>
        <v>0.60000000000000142</v>
      </c>
      <c r="L2367" s="533">
        <f t="shared" si="157"/>
        <v>1800.0000000000043</v>
      </c>
      <c r="M2367" s="537">
        <f t="shared" si="154"/>
        <v>2.1428571428571481E-2</v>
      </c>
      <c r="N2367" s="2" t="s">
        <v>22</v>
      </c>
      <c r="O2367" s="81" t="s">
        <v>39</v>
      </c>
    </row>
    <row r="2368" spans="1:15">
      <c r="A2368" s="70">
        <v>2025</v>
      </c>
      <c r="B2368" s="16" t="s">
        <v>178</v>
      </c>
      <c r="C2368" s="63" t="s">
        <v>3269</v>
      </c>
      <c r="D2368" s="56" t="s">
        <v>3235</v>
      </c>
      <c r="E2368" s="56" t="s">
        <v>274</v>
      </c>
      <c r="F2368" s="101">
        <v>3000</v>
      </c>
      <c r="G2368" s="59" t="s">
        <v>1605</v>
      </c>
      <c r="H2368" s="60">
        <v>28</v>
      </c>
      <c r="I2368" s="511">
        <f t="shared" si="156"/>
        <v>84000</v>
      </c>
      <c r="J2368" s="532">
        <v>27.4</v>
      </c>
      <c r="K2368" s="532">
        <f t="shared" si="153"/>
        <v>0.60000000000000142</v>
      </c>
      <c r="L2368" s="533">
        <f t="shared" si="157"/>
        <v>1800.0000000000043</v>
      </c>
      <c r="M2368" s="537">
        <f t="shared" si="154"/>
        <v>2.1428571428571481E-2</v>
      </c>
      <c r="N2368" s="2" t="s">
        <v>22</v>
      </c>
      <c r="O2368" s="81" t="s">
        <v>39</v>
      </c>
    </row>
    <row r="2369" spans="1:15">
      <c r="A2369" s="70">
        <v>2025</v>
      </c>
      <c r="B2369" s="16" t="s">
        <v>178</v>
      </c>
      <c r="C2369" s="63" t="s">
        <v>3269</v>
      </c>
      <c r="D2369" s="56" t="s">
        <v>3235</v>
      </c>
      <c r="E2369" s="56" t="s">
        <v>274</v>
      </c>
      <c r="F2369" s="101">
        <v>3000</v>
      </c>
      <c r="G2369" s="59" t="s">
        <v>1605</v>
      </c>
      <c r="H2369" s="60">
        <v>28</v>
      </c>
      <c r="I2369" s="511">
        <f t="shared" si="156"/>
        <v>84000</v>
      </c>
      <c r="J2369" s="532">
        <v>27.4</v>
      </c>
      <c r="K2369" s="532">
        <f t="shared" si="153"/>
        <v>0.60000000000000142</v>
      </c>
      <c r="L2369" s="533">
        <f t="shared" si="157"/>
        <v>1800.0000000000043</v>
      </c>
      <c r="M2369" s="534">
        <f t="shared" si="154"/>
        <v>2.1428571428571481E-2</v>
      </c>
      <c r="N2369" s="2" t="s">
        <v>22</v>
      </c>
      <c r="O2369" s="81" t="s">
        <v>39</v>
      </c>
    </row>
    <row r="2370" spans="1:15">
      <c r="A2370" s="70">
        <v>2025</v>
      </c>
      <c r="B2370" s="16" t="s">
        <v>178</v>
      </c>
      <c r="C2370" s="63" t="s">
        <v>3269</v>
      </c>
      <c r="D2370" s="56" t="s">
        <v>3235</v>
      </c>
      <c r="E2370" s="56" t="s">
        <v>1729</v>
      </c>
      <c r="F2370" s="101">
        <v>3000</v>
      </c>
      <c r="G2370" s="59" t="s">
        <v>1605</v>
      </c>
      <c r="H2370" s="60">
        <v>28</v>
      </c>
      <c r="I2370" s="511">
        <f t="shared" si="156"/>
        <v>84000</v>
      </c>
      <c r="J2370" s="532">
        <v>27.4</v>
      </c>
      <c r="K2370" s="532">
        <f t="shared" si="153"/>
        <v>0.60000000000000142</v>
      </c>
      <c r="L2370" s="533">
        <f t="shared" si="157"/>
        <v>1800.0000000000043</v>
      </c>
      <c r="M2370" s="537">
        <f t="shared" si="154"/>
        <v>2.1428571428571481E-2</v>
      </c>
      <c r="N2370" s="2" t="s">
        <v>22</v>
      </c>
      <c r="O2370" s="81" t="s">
        <v>39</v>
      </c>
    </row>
    <row r="2371" spans="1:15">
      <c r="A2371" s="70">
        <v>2025</v>
      </c>
      <c r="B2371" s="16" t="s">
        <v>178</v>
      </c>
      <c r="C2371" s="63" t="s">
        <v>3270</v>
      </c>
      <c r="D2371" s="56" t="s">
        <v>3235</v>
      </c>
      <c r="E2371" s="56" t="s">
        <v>274</v>
      </c>
      <c r="F2371" s="101">
        <v>6000</v>
      </c>
      <c r="G2371" s="59" t="s">
        <v>1605</v>
      </c>
      <c r="H2371" s="60">
        <v>28</v>
      </c>
      <c r="I2371" s="511">
        <f t="shared" si="156"/>
        <v>168000</v>
      </c>
      <c r="J2371" s="532">
        <v>27.4</v>
      </c>
      <c r="K2371" s="532">
        <f t="shared" ref="K2371:K2434" si="158">H2371-J2371</f>
        <v>0.60000000000000142</v>
      </c>
      <c r="L2371" s="533">
        <f t="shared" si="157"/>
        <v>3600.0000000000086</v>
      </c>
      <c r="M2371" s="537">
        <f t="shared" ref="M2371:M2434" si="159">K2371/H2371</f>
        <v>2.1428571428571481E-2</v>
      </c>
      <c r="N2371" s="32" t="s">
        <v>22</v>
      </c>
      <c r="O2371" s="81" t="s">
        <v>39</v>
      </c>
    </row>
    <row r="2372" spans="1:15">
      <c r="A2372" s="70">
        <v>2025</v>
      </c>
      <c r="B2372" s="16" t="s">
        <v>178</v>
      </c>
      <c r="C2372" s="63" t="s">
        <v>3270</v>
      </c>
      <c r="D2372" s="56" t="s">
        <v>3235</v>
      </c>
      <c r="E2372" s="56" t="s">
        <v>333</v>
      </c>
      <c r="F2372" s="101">
        <v>3000</v>
      </c>
      <c r="G2372" s="59" t="s">
        <v>1605</v>
      </c>
      <c r="H2372" s="60">
        <v>28</v>
      </c>
      <c r="I2372" s="511">
        <f t="shared" si="156"/>
        <v>84000</v>
      </c>
      <c r="J2372" s="532">
        <v>27.4</v>
      </c>
      <c r="K2372" s="532">
        <f t="shared" si="158"/>
        <v>0.60000000000000142</v>
      </c>
      <c r="L2372" s="533">
        <f t="shared" si="157"/>
        <v>1800.0000000000043</v>
      </c>
      <c r="M2372" s="537">
        <f t="shared" si="159"/>
        <v>2.1428571428571481E-2</v>
      </c>
      <c r="N2372" s="47" t="s">
        <v>22</v>
      </c>
      <c r="O2372" s="81" t="s">
        <v>39</v>
      </c>
    </row>
    <row r="2373" spans="1:15">
      <c r="A2373" s="70">
        <v>2025</v>
      </c>
      <c r="B2373" s="16" t="s">
        <v>178</v>
      </c>
      <c r="C2373" s="63" t="s">
        <v>3270</v>
      </c>
      <c r="D2373" s="56" t="s">
        <v>3235</v>
      </c>
      <c r="E2373" s="56" t="s">
        <v>2345</v>
      </c>
      <c r="F2373" s="101">
        <v>3000</v>
      </c>
      <c r="G2373" s="59" t="s">
        <v>1605</v>
      </c>
      <c r="H2373" s="60">
        <v>28</v>
      </c>
      <c r="I2373" s="511">
        <f t="shared" si="156"/>
        <v>84000</v>
      </c>
      <c r="J2373" s="532">
        <v>27.4</v>
      </c>
      <c r="K2373" s="532">
        <f t="shared" si="158"/>
        <v>0.60000000000000142</v>
      </c>
      <c r="L2373" s="533">
        <f t="shared" si="157"/>
        <v>1800.0000000000043</v>
      </c>
      <c r="M2373" s="537">
        <f t="shared" si="159"/>
        <v>2.1428571428571481E-2</v>
      </c>
      <c r="N2373" s="47" t="s">
        <v>22</v>
      </c>
      <c r="O2373" s="81" t="s">
        <v>39</v>
      </c>
    </row>
    <row r="2374" spans="1:15">
      <c r="A2374" s="70">
        <v>2025</v>
      </c>
      <c r="B2374" s="16" t="s">
        <v>178</v>
      </c>
      <c r="C2374" s="63" t="s">
        <v>3270</v>
      </c>
      <c r="D2374" s="56" t="s">
        <v>3235</v>
      </c>
      <c r="E2374" s="56" t="s">
        <v>2345</v>
      </c>
      <c r="F2374" s="101">
        <v>3000</v>
      </c>
      <c r="G2374" s="59" t="s">
        <v>1605</v>
      </c>
      <c r="H2374" s="60">
        <v>28</v>
      </c>
      <c r="I2374" s="511">
        <f t="shared" si="156"/>
        <v>84000</v>
      </c>
      <c r="J2374" s="532">
        <v>27.4</v>
      </c>
      <c r="K2374" s="532">
        <f t="shared" si="158"/>
        <v>0.60000000000000142</v>
      </c>
      <c r="L2374" s="533">
        <f t="shared" si="157"/>
        <v>1800.0000000000043</v>
      </c>
      <c r="M2374" s="537">
        <f t="shared" si="159"/>
        <v>2.1428571428571481E-2</v>
      </c>
      <c r="N2374" s="47" t="s">
        <v>22</v>
      </c>
      <c r="O2374" s="81" t="s">
        <v>39</v>
      </c>
    </row>
    <row r="2375" spans="1:15">
      <c r="A2375" s="70">
        <v>2025</v>
      </c>
      <c r="B2375" s="16" t="s">
        <v>178</v>
      </c>
      <c r="C2375" s="63" t="s">
        <v>3271</v>
      </c>
      <c r="D2375" s="56" t="s">
        <v>200</v>
      </c>
      <c r="E2375" s="56" t="s">
        <v>3272</v>
      </c>
      <c r="F2375" s="101">
        <v>1</v>
      </c>
      <c r="G2375" s="59" t="s">
        <v>1608</v>
      </c>
      <c r="H2375" s="60">
        <v>19500</v>
      </c>
      <c r="I2375" s="511">
        <f t="shared" si="156"/>
        <v>19500</v>
      </c>
      <c r="J2375" s="547">
        <v>14000</v>
      </c>
      <c r="K2375" s="532">
        <f t="shared" si="158"/>
        <v>5500</v>
      </c>
      <c r="L2375" s="533">
        <f t="shared" si="157"/>
        <v>5500</v>
      </c>
      <c r="M2375" s="537">
        <f t="shared" si="159"/>
        <v>0.28205128205128205</v>
      </c>
      <c r="N2375" s="47" t="s">
        <v>40</v>
      </c>
      <c r="O2375" s="81" t="s">
        <v>39</v>
      </c>
    </row>
    <row r="2376" spans="1:15">
      <c r="A2376" s="70">
        <v>2025</v>
      </c>
      <c r="B2376" s="16" t="s">
        <v>178</v>
      </c>
      <c r="C2376" s="63" t="s">
        <v>3271</v>
      </c>
      <c r="D2376" s="56" t="s">
        <v>200</v>
      </c>
      <c r="E2376" s="56" t="s">
        <v>3273</v>
      </c>
      <c r="F2376" s="101">
        <v>2</v>
      </c>
      <c r="G2376" s="59" t="s">
        <v>1608</v>
      </c>
      <c r="H2376" s="60">
        <v>37500</v>
      </c>
      <c r="I2376" s="511">
        <f t="shared" si="156"/>
        <v>75000</v>
      </c>
      <c r="J2376" s="547">
        <v>36000</v>
      </c>
      <c r="K2376" s="532">
        <f t="shared" si="158"/>
        <v>1500</v>
      </c>
      <c r="L2376" s="533">
        <f t="shared" si="157"/>
        <v>3000</v>
      </c>
      <c r="M2376" s="537">
        <f t="shared" si="159"/>
        <v>0.04</v>
      </c>
      <c r="N2376" s="47" t="s">
        <v>40</v>
      </c>
      <c r="O2376" s="81" t="s">
        <v>39</v>
      </c>
    </row>
    <row r="2377" spans="1:15">
      <c r="A2377" s="70">
        <v>2025</v>
      </c>
      <c r="B2377" s="16" t="s">
        <v>178</v>
      </c>
      <c r="C2377" s="63" t="s">
        <v>3271</v>
      </c>
      <c r="D2377" s="56" t="s">
        <v>200</v>
      </c>
      <c r="E2377" s="56" t="s">
        <v>3274</v>
      </c>
      <c r="F2377" s="101">
        <v>1</v>
      </c>
      <c r="G2377" s="59" t="s">
        <v>1608</v>
      </c>
      <c r="H2377" s="60">
        <v>36500</v>
      </c>
      <c r="I2377" s="511">
        <f t="shared" si="156"/>
        <v>36500</v>
      </c>
      <c r="J2377" s="547">
        <v>34000</v>
      </c>
      <c r="K2377" s="532">
        <f t="shared" si="158"/>
        <v>2500</v>
      </c>
      <c r="L2377" s="533">
        <f t="shared" si="157"/>
        <v>2500</v>
      </c>
      <c r="M2377" s="537">
        <f t="shared" si="159"/>
        <v>6.8493150684931503E-2</v>
      </c>
      <c r="N2377" s="47" t="s">
        <v>40</v>
      </c>
      <c r="O2377" s="81" t="s">
        <v>39</v>
      </c>
    </row>
    <row r="2378" spans="1:15">
      <c r="A2378" s="70">
        <v>2025</v>
      </c>
      <c r="B2378" s="16" t="s">
        <v>178</v>
      </c>
      <c r="C2378" s="63" t="s">
        <v>3275</v>
      </c>
      <c r="D2378" s="56" t="s">
        <v>1119</v>
      </c>
      <c r="E2378" s="56" t="s">
        <v>3276</v>
      </c>
      <c r="F2378" s="101">
        <v>82</v>
      </c>
      <c r="G2378" s="59" t="s">
        <v>19</v>
      </c>
      <c r="H2378" s="60">
        <v>25</v>
      </c>
      <c r="I2378" s="511">
        <f t="shared" si="156"/>
        <v>2050</v>
      </c>
      <c r="J2378" s="547">
        <v>20</v>
      </c>
      <c r="K2378" s="532">
        <f t="shared" si="158"/>
        <v>5</v>
      </c>
      <c r="L2378" s="533">
        <f t="shared" si="157"/>
        <v>410</v>
      </c>
      <c r="M2378" s="537">
        <f t="shared" si="159"/>
        <v>0.2</v>
      </c>
      <c r="N2378" s="47" t="s">
        <v>22</v>
      </c>
      <c r="O2378" s="81" t="s">
        <v>39</v>
      </c>
    </row>
    <row r="2379" spans="1:15">
      <c r="A2379" s="70">
        <v>2025</v>
      </c>
      <c r="B2379" s="16" t="s">
        <v>178</v>
      </c>
      <c r="C2379" s="63" t="s">
        <v>3275</v>
      </c>
      <c r="D2379" s="56" t="s">
        <v>1119</v>
      </c>
      <c r="E2379" s="56" t="s">
        <v>3277</v>
      </c>
      <c r="F2379" s="101">
        <v>82</v>
      </c>
      <c r="G2379" s="59" t="s">
        <v>19</v>
      </c>
      <c r="H2379" s="60">
        <v>40</v>
      </c>
      <c r="I2379" s="511">
        <f t="shared" si="156"/>
        <v>3280</v>
      </c>
      <c r="J2379" s="547">
        <v>30</v>
      </c>
      <c r="K2379" s="532">
        <f t="shared" si="158"/>
        <v>10</v>
      </c>
      <c r="L2379" s="533">
        <f t="shared" si="157"/>
        <v>820</v>
      </c>
      <c r="M2379" s="537">
        <f t="shared" si="159"/>
        <v>0.25</v>
      </c>
      <c r="N2379" s="47" t="s">
        <v>22</v>
      </c>
      <c r="O2379" s="81" t="s">
        <v>39</v>
      </c>
    </row>
    <row r="2380" spans="1:15">
      <c r="A2380" s="70">
        <v>2025</v>
      </c>
      <c r="B2380" s="16" t="s">
        <v>178</v>
      </c>
      <c r="C2380" s="63" t="s">
        <v>3278</v>
      </c>
      <c r="D2380" s="56" t="s">
        <v>599</v>
      </c>
      <c r="E2380" s="56" t="s">
        <v>1208</v>
      </c>
      <c r="F2380" s="101">
        <v>2700</v>
      </c>
      <c r="G2380" s="59" t="s">
        <v>19</v>
      </c>
      <c r="H2380" s="60">
        <v>65</v>
      </c>
      <c r="I2380" s="511">
        <f t="shared" si="156"/>
        <v>175500</v>
      </c>
      <c r="J2380" s="547">
        <v>61</v>
      </c>
      <c r="K2380" s="532">
        <f t="shared" si="158"/>
        <v>4</v>
      </c>
      <c r="L2380" s="533">
        <f t="shared" si="157"/>
        <v>10800</v>
      </c>
      <c r="M2380" s="537">
        <f t="shared" si="159"/>
        <v>6.1538461538461542E-2</v>
      </c>
      <c r="N2380" s="47" t="s">
        <v>22</v>
      </c>
      <c r="O2380" s="81" t="s">
        <v>39</v>
      </c>
    </row>
    <row r="2381" spans="1:15">
      <c r="A2381" s="70">
        <v>2025</v>
      </c>
      <c r="B2381" s="16" t="s">
        <v>178</v>
      </c>
      <c r="C2381" s="63" t="s">
        <v>3279</v>
      </c>
      <c r="D2381" s="56" t="s">
        <v>1948</v>
      </c>
      <c r="E2381" s="56" t="s">
        <v>3280</v>
      </c>
      <c r="F2381" s="101">
        <v>3</v>
      </c>
      <c r="G2381" s="59" t="s">
        <v>1415</v>
      </c>
      <c r="H2381" s="489">
        <v>680</v>
      </c>
      <c r="I2381" s="511">
        <f t="shared" si="156"/>
        <v>2040</v>
      </c>
      <c r="J2381" s="547">
        <v>660</v>
      </c>
      <c r="K2381" s="532">
        <f t="shared" si="158"/>
        <v>20</v>
      </c>
      <c r="L2381" s="533">
        <f t="shared" si="157"/>
        <v>60</v>
      </c>
      <c r="M2381" s="537">
        <f t="shared" si="159"/>
        <v>2.9411764705882353E-2</v>
      </c>
      <c r="N2381" s="47" t="s">
        <v>22</v>
      </c>
      <c r="O2381" s="81" t="s">
        <v>105</v>
      </c>
    </row>
    <row r="2382" spans="1:15">
      <c r="A2382" s="70">
        <v>2025</v>
      </c>
      <c r="B2382" s="16" t="s">
        <v>178</v>
      </c>
      <c r="C2382" s="63" t="s">
        <v>3279</v>
      </c>
      <c r="D2382" s="56" t="s">
        <v>1948</v>
      </c>
      <c r="E2382" s="56" t="s">
        <v>3281</v>
      </c>
      <c r="F2382" s="101">
        <v>1</v>
      </c>
      <c r="G2382" s="59" t="s">
        <v>1415</v>
      </c>
      <c r="H2382" s="489">
        <v>680</v>
      </c>
      <c r="I2382" s="511">
        <f t="shared" si="156"/>
        <v>680</v>
      </c>
      <c r="J2382" s="547">
        <v>660</v>
      </c>
      <c r="K2382" s="532">
        <f t="shared" si="158"/>
        <v>20</v>
      </c>
      <c r="L2382" s="533">
        <f t="shared" si="157"/>
        <v>20</v>
      </c>
      <c r="M2382" s="537">
        <f t="shared" si="159"/>
        <v>2.9411764705882353E-2</v>
      </c>
      <c r="N2382" s="47" t="s">
        <v>22</v>
      </c>
      <c r="O2382" s="81" t="s">
        <v>105</v>
      </c>
    </row>
    <row r="2383" spans="1:15">
      <c r="A2383" s="70">
        <v>2025</v>
      </c>
      <c r="B2383" s="16" t="s">
        <v>178</v>
      </c>
      <c r="C2383" s="63" t="s">
        <v>3279</v>
      </c>
      <c r="D2383" s="56" t="s">
        <v>1948</v>
      </c>
      <c r="E2383" s="56" t="s">
        <v>3282</v>
      </c>
      <c r="F2383" s="101">
        <v>1</v>
      </c>
      <c r="G2383" s="59" t="s">
        <v>1415</v>
      </c>
      <c r="H2383" s="489">
        <v>680</v>
      </c>
      <c r="I2383" s="511">
        <f t="shared" si="156"/>
        <v>680</v>
      </c>
      <c r="J2383" s="547">
        <v>660</v>
      </c>
      <c r="K2383" s="532">
        <f t="shared" si="158"/>
        <v>20</v>
      </c>
      <c r="L2383" s="533">
        <f t="shared" si="157"/>
        <v>20</v>
      </c>
      <c r="M2383" s="537">
        <f t="shared" si="159"/>
        <v>2.9411764705882353E-2</v>
      </c>
      <c r="N2383" s="47" t="s">
        <v>22</v>
      </c>
      <c r="O2383" s="81" t="s">
        <v>105</v>
      </c>
    </row>
    <row r="2384" spans="1:15">
      <c r="A2384" s="70">
        <v>2025</v>
      </c>
      <c r="B2384" s="16" t="s">
        <v>178</v>
      </c>
      <c r="C2384" s="63" t="s">
        <v>3279</v>
      </c>
      <c r="D2384" s="56" t="s">
        <v>1948</v>
      </c>
      <c r="E2384" s="56" t="s">
        <v>3283</v>
      </c>
      <c r="F2384" s="101">
        <v>1</v>
      </c>
      <c r="G2384" s="59" t="s">
        <v>1415</v>
      </c>
      <c r="H2384" s="489">
        <v>570</v>
      </c>
      <c r="I2384" s="511">
        <f t="shared" si="156"/>
        <v>570</v>
      </c>
      <c r="J2384" s="547">
        <v>560</v>
      </c>
      <c r="K2384" s="532">
        <f t="shared" si="158"/>
        <v>10</v>
      </c>
      <c r="L2384" s="533">
        <f t="shared" si="157"/>
        <v>10</v>
      </c>
      <c r="M2384" s="537">
        <f t="shared" si="159"/>
        <v>1.7543859649122806E-2</v>
      </c>
      <c r="N2384" s="47" t="s">
        <v>22</v>
      </c>
      <c r="O2384" s="81" t="s">
        <v>105</v>
      </c>
    </row>
    <row r="2385" spans="1:15">
      <c r="A2385" s="70">
        <v>2025</v>
      </c>
      <c r="B2385" s="16" t="s">
        <v>178</v>
      </c>
      <c r="C2385" s="63" t="s">
        <v>3284</v>
      </c>
      <c r="D2385" s="56" t="s">
        <v>110</v>
      </c>
      <c r="E2385" s="56" t="s">
        <v>3285</v>
      </c>
      <c r="F2385" s="101">
        <v>1</v>
      </c>
      <c r="G2385" s="59" t="s">
        <v>19</v>
      </c>
      <c r="H2385" s="489">
        <v>8600</v>
      </c>
      <c r="I2385" s="511">
        <f t="shared" si="156"/>
        <v>8600</v>
      </c>
      <c r="J2385" s="547">
        <v>8400</v>
      </c>
      <c r="K2385" s="532">
        <f t="shared" si="158"/>
        <v>200</v>
      </c>
      <c r="L2385" s="533">
        <f t="shared" si="157"/>
        <v>200</v>
      </c>
      <c r="M2385" s="537">
        <f t="shared" si="159"/>
        <v>2.3255813953488372E-2</v>
      </c>
      <c r="N2385" s="47" t="s">
        <v>22</v>
      </c>
      <c r="O2385" s="81" t="s">
        <v>105</v>
      </c>
    </row>
    <row r="2386" spans="1:15">
      <c r="A2386" s="70">
        <v>2025</v>
      </c>
      <c r="B2386" s="16" t="s">
        <v>178</v>
      </c>
      <c r="C2386" s="63" t="s">
        <v>3286</v>
      </c>
      <c r="D2386" s="56" t="s">
        <v>94</v>
      </c>
      <c r="E2386" s="56" t="s">
        <v>1038</v>
      </c>
      <c r="F2386" s="101">
        <v>200</v>
      </c>
      <c r="G2386" s="59" t="s">
        <v>19</v>
      </c>
      <c r="H2386" s="489">
        <v>15.5</v>
      </c>
      <c r="I2386" s="511">
        <f t="shared" si="156"/>
        <v>3100</v>
      </c>
      <c r="J2386" s="547">
        <v>14.76</v>
      </c>
      <c r="K2386" s="532">
        <f t="shared" si="158"/>
        <v>0.74000000000000021</v>
      </c>
      <c r="L2386" s="533">
        <f t="shared" si="157"/>
        <v>148.00000000000006</v>
      </c>
      <c r="M2386" s="537">
        <f t="shared" si="159"/>
        <v>4.7741935483870984E-2</v>
      </c>
      <c r="N2386" s="47" t="s">
        <v>22</v>
      </c>
      <c r="O2386" s="81" t="s">
        <v>105</v>
      </c>
    </row>
    <row r="2387" spans="1:15">
      <c r="A2387" s="70">
        <v>2025</v>
      </c>
      <c r="B2387" s="16" t="s">
        <v>178</v>
      </c>
      <c r="C2387" s="63" t="s">
        <v>3286</v>
      </c>
      <c r="D2387" s="56" t="s">
        <v>94</v>
      </c>
      <c r="E2387" s="56" t="s">
        <v>613</v>
      </c>
      <c r="F2387" s="101">
        <v>100</v>
      </c>
      <c r="G2387" s="59" t="s">
        <v>19</v>
      </c>
      <c r="H2387" s="489">
        <v>26</v>
      </c>
      <c r="I2387" s="511">
        <f t="shared" si="156"/>
        <v>2600</v>
      </c>
      <c r="J2387" s="547">
        <v>24.6</v>
      </c>
      <c r="K2387" s="532">
        <f t="shared" si="158"/>
        <v>1.3999999999999986</v>
      </c>
      <c r="L2387" s="533">
        <f t="shared" si="157"/>
        <v>139.99999999999986</v>
      </c>
      <c r="M2387" s="537">
        <f t="shared" si="159"/>
        <v>5.3846153846153794E-2</v>
      </c>
      <c r="N2387" s="47" t="s">
        <v>22</v>
      </c>
      <c r="O2387" s="81" t="s">
        <v>105</v>
      </c>
    </row>
    <row r="2388" spans="1:15">
      <c r="A2388" s="70">
        <v>2025</v>
      </c>
      <c r="B2388" s="16" t="s">
        <v>178</v>
      </c>
      <c r="C2388" s="63" t="s">
        <v>3286</v>
      </c>
      <c r="D2388" s="56" t="s">
        <v>94</v>
      </c>
      <c r="E2388" s="56" t="s">
        <v>550</v>
      </c>
      <c r="F2388" s="101">
        <v>300</v>
      </c>
      <c r="G2388" s="59" t="s">
        <v>19</v>
      </c>
      <c r="H2388" s="489">
        <v>50</v>
      </c>
      <c r="I2388" s="511">
        <f t="shared" si="156"/>
        <v>15000</v>
      </c>
      <c r="J2388" s="547">
        <v>47.56</v>
      </c>
      <c r="K2388" s="532">
        <f t="shared" si="158"/>
        <v>2.4399999999999977</v>
      </c>
      <c r="L2388" s="533">
        <f t="shared" si="157"/>
        <v>731.99999999999932</v>
      </c>
      <c r="M2388" s="537">
        <f t="shared" si="159"/>
        <v>4.8799999999999955E-2</v>
      </c>
      <c r="N2388" s="47" t="s">
        <v>22</v>
      </c>
      <c r="O2388" s="81" t="s">
        <v>105</v>
      </c>
    </row>
    <row r="2389" spans="1:15">
      <c r="A2389" s="70">
        <v>2025</v>
      </c>
      <c r="B2389" s="16" t="s">
        <v>178</v>
      </c>
      <c r="C2389" s="63" t="s">
        <v>3286</v>
      </c>
      <c r="D2389" s="56" t="s">
        <v>94</v>
      </c>
      <c r="E2389" s="56" t="s">
        <v>546</v>
      </c>
      <c r="F2389" s="101">
        <v>100</v>
      </c>
      <c r="G2389" s="59" t="s">
        <v>19</v>
      </c>
      <c r="H2389" s="489">
        <v>190</v>
      </c>
      <c r="I2389" s="511">
        <f t="shared" si="156"/>
        <v>19000</v>
      </c>
      <c r="J2389" s="547">
        <v>182.25</v>
      </c>
      <c r="K2389" s="532">
        <f t="shared" si="158"/>
        <v>7.75</v>
      </c>
      <c r="L2389" s="533">
        <f t="shared" si="157"/>
        <v>775</v>
      </c>
      <c r="M2389" s="537">
        <f t="shared" si="159"/>
        <v>4.0789473684210528E-2</v>
      </c>
      <c r="N2389" s="47" t="s">
        <v>22</v>
      </c>
      <c r="O2389" s="81" t="s">
        <v>105</v>
      </c>
    </row>
    <row r="2390" spans="1:15">
      <c r="A2390" s="70">
        <v>2025</v>
      </c>
      <c r="B2390" s="16" t="s">
        <v>178</v>
      </c>
      <c r="C2390" s="63" t="s">
        <v>3286</v>
      </c>
      <c r="D2390" s="56" t="s">
        <v>94</v>
      </c>
      <c r="E2390" s="56" t="s">
        <v>457</v>
      </c>
      <c r="F2390" s="101">
        <v>100</v>
      </c>
      <c r="G2390" s="59" t="s">
        <v>19</v>
      </c>
      <c r="H2390" s="489">
        <v>5.25</v>
      </c>
      <c r="I2390" s="511">
        <f t="shared" si="156"/>
        <v>525</v>
      </c>
      <c r="J2390" s="547">
        <v>5.0999999999999996</v>
      </c>
      <c r="K2390" s="532">
        <f t="shared" si="158"/>
        <v>0.15000000000000036</v>
      </c>
      <c r="L2390" s="533">
        <f t="shared" si="157"/>
        <v>15.000000000000036</v>
      </c>
      <c r="M2390" s="537">
        <f t="shared" si="159"/>
        <v>2.857142857142864E-2</v>
      </c>
      <c r="N2390" s="47" t="s">
        <v>22</v>
      </c>
      <c r="O2390" s="81" t="s">
        <v>105</v>
      </c>
    </row>
    <row r="2391" spans="1:15">
      <c r="A2391" s="70">
        <v>2025</v>
      </c>
      <c r="B2391" s="16" t="s">
        <v>178</v>
      </c>
      <c r="C2391" s="63" t="s">
        <v>3287</v>
      </c>
      <c r="D2391" s="56" t="s">
        <v>1042</v>
      </c>
      <c r="E2391" s="56" t="s">
        <v>3288</v>
      </c>
      <c r="F2391" s="101">
        <v>100</v>
      </c>
      <c r="G2391" s="59" t="s">
        <v>3289</v>
      </c>
      <c r="H2391" s="489">
        <v>239.7</v>
      </c>
      <c r="I2391" s="511">
        <f t="shared" si="156"/>
        <v>23970</v>
      </c>
      <c r="J2391" s="547">
        <v>227</v>
      </c>
      <c r="K2391" s="532">
        <f t="shared" si="158"/>
        <v>12.699999999999989</v>
      </c>
      <c r="L2391" s="533">
        <f t="shared" si="157"/>
        <v>1269.9999999999989</v>
      </c>
      <c r="M2391" s="537">
        <f t="shared" si="159"/>
        <v>5.2982895285773837E-2</v>
      </c>
      <c r="N2391" s="47" t="s">
        <v>22</v>
      </c>
      <c r="O2391" s="81" t="s">
        <v>105</v>
      </c>
    </row>
    <row r="2392" spans="1:15">
      <c r="A2392" s="70">
        <v>2025</v>
      </c>
      <c r="B2392" s="16" t="s">
        <v>178</v>
      </c>
      <c r="C2392" s="63" t="s">
        <v>3287</v>
      </c>
      <c r="D2392" s="56" t="s">
        <v>1042</v>
      </c>
      <c r="E2392" s="56" t="s">
        <v>621</v>
      </c>
      <c r="F2392" s="101">
        <v>100</v>
      </c>
      <c r="G2392" s="59" t="s">
        <v>3289</v>
      </c>
      <c r="H2392" s="489">
        <v>419.09</v>
      </c>
      <c r="I2392" s="511">
        <f t="shared" si="156"/>
        <v>41909</v>
      </c>
      <c r="J2392" s="547">
        <v>395</v>
      </c>
      <c r="K2392" s="532">
        <f t="shared" si="158"/>
        <v>24.089999999999975</v>
      </c>
      <c r="L2392" s="533">
        <f t="shared" si="157"/>
        <v>2408.9999999999973</v>
      </c>
      <c r="M2392" s="537">
        <f t="shared" si="159"/>
        <v>5.7481686511250511E-2</v>
      </c>
      <c r="N2392" s="47" t="s">
        <v>22</v>
      </c>
      <c r="O2392" s="81" t="s">
        <v>105</v>
      </c>
    </row>
    <row r="2393" spans="1:15">
      <c r="A2393" s="70">
        <v>2025</v>
      </c>
      <c r="B2393" s="16" t="s">
        <v>178</v>
      </c>
      <c r="C2393" s="63" t="s">
        <v>3290</v>
      </c>
      <c r="D2393" s="56" t="s">
        <v>1840</v>
      </c>
      <c r="E2393" s="56" t="s">
        <v>3291</v>
      </c>
      <c r="F2393" s="101">
        <v>1</v>
      </c>
      <c r="G2393" s="59" t="s">
        <v>19</v>
      </c>
      <c r="H2393" s="489">
        <v>210000</v>
      </c>
      <c r="I2393" s="511">
        <f t="shared" si="156"/>
        <v>210000</v>
      </c>
      <c r="J2393" s="547">
        <v>200000</v>
      </c>
      <c r="K2393" s="532">
        <f t="shared" si="158"/>
        <v>10000</v>
      </c>
      <c r="L2393" s="533">
        <f t="shared" si="157"/>
        <v>10000</v>
      </c>
      <c r="M2393" s="537">
        <f t="shared" si="159"/>
        <v>4.7619047619047616E-2</v>
      </c>
      <c r="N2393" s="47" t="s">
        <v>40</v>
      </c>
      <c r="O2393" s="81" t="s">
        <v>105</v>
      </c>
    </row>
    <row r="2394" spans="1:15">
      <c r="A2394" s="70">
        <v>2025</v>
      </c>
      <c r="B2394" s="16" t="s">
        <v>178</v>
      </c>
      <c r="C2394" s="63" t="s">
        <v>3292</v>
      </c>
      <c r="D2394" s="56" t="s">
        <v>2294</v>
      </c>
      <c r="E2394" s="56" t="s">
        <v>3293</v>
      </c>
      <c r="F2394" s="101">
        <v>1</v>
      </c>
      <c r="G2394" s="59" t="s">
        <v>285</v>
      </c>
      <c r="H2394" s="489">
        <v>27005</v>
      </c>
      <c r="I2394" s="511">
        <f t="shared" si="156"/>
        <v>27005</v>
      </c>
      <c r="J2394" s="547">
        <v>26000</v>
      </c>
      <c r="K2394" s="532">
        <f t="shared" si="158"/>
        <v>1005</v>
      </c>
      <c r="L2394" s="533">
        <f t="shared" si="157"/>
        <v>1005</v>
      </c>
      <c r="M2394" s="537">
        <f t="shared" si="159"/>
        <v>3.7215330494352897E-2</v>
      </c>
      <c r="N2394" s="47" t="s">
        <v>40</v>
      </c>
      <c r="O2394" s="81" t="s">
        <v>105</v>
      </c>
    </row>
    <row r="2395" spans="1:15">
      <c r="A2395" s="70">
        <v>2025</v>
      </c>
      <c r="B2395" s="16" t="s">
        <v>178</v>
      </c>
      <c r="C2395" s="63" t="s">
        <v>3294</v>
      </c>
      <c r="D2395" s="56" t="s">
        <v>304</v>
      </c>
      <c r="E2395" s="56" t="s">
        <v>3295</v>
      </c>
      <c r="F2395" s="101">
        <v>3</v>
      </c>
      <c r="G2395" s="59" t="s">
        <v>19</v>
      </c>
      <c r="H2395" s="489">
        <v>2500</v>
      </c>
      <c r="I2395" s="511">
        <f t="shared" si="156"/>
        <v>7500</v>
      </c>
      <c r="J2395" s="547">
        <v>2300</v>
      </c>
      <c r="K2395" s="532">
        <f t="shared" si="158"/>
        <v>200</v>
      </c>
      <c r="L2395" s="533">
        <f t="shared" si="157"/>
        <v>600</v>
      </c>
      <c r="M2395" s="537">
        <f t="shared" si="159"/>
        <v>0.08</v>
      </c>
      <c r="N2395" s="47" t="s">
        <v>22</v>
      </c>
      <c r="O2395" s="81" t="s">
        <v>105</v>
      </c>
    </row>
    <row r="2396" spans="1:15">
      <c r="A2396" s="70">
        <v>2025</v>
      </c>
      <c r="B2396" s="16" t="s">
        <v>178</v>
      </c>
      <c r="C2396" s="63" t="s">
        <v>3296</v>
      </c>
      <c r="D2396" s="56" t="s">
        <v>107</v>
      </c>
      <c r="E2396" s="56" t="s">
        <v>564</v>
      </c>
      <c r="F2396" s="101">
        <v>40</v>
      </c>
      <c r="G2396" s="59" t="s">
        <v>19</v>
      </c>
      <c r="H2396" s="489">
        <v>1200</v>
      </c>
      <c r="I2396" s="511">
        <f t="shared" si="156"/>
        <v>48000</v>
      </c>
      <c r="J2396" s="547">
        <v>910</v>
      </c>
      <c r="K2396" s="532">
        <f t="shared" si="158"/>
        <v>290</v>
      </c>
      <c r="L2396" s="533">
        <f t="shared" si="157"/>
        <v>11600</v>
      </c>
      <c r="M2396" s="537">
        <f t="shared" si="159"/>
        <v>0.24166666666666667</v>
      </c>
      <c r="N2396" s="47" t="s">
        <v>22</v>
      </c>
      <c r="O2396" s="81" t="s">
        <v>105</v>
      </c>
    </row>
    <row r="2397" spans="1:15">
      <c r="A2397" s="70">
        <v>2025</v>
      </c>
      <c r="B2397" s="16" t="s">
        <v>178</v>
      </c>
      <c r="C2397" s="63" t="s">
        <v>3297</v>
      </c>
      <c r="D2397" s="56" t="s">
        <v>1042</v>
      </c>
      <c r="E2397" s="56" t="s">
        <v>711</v>
      </c>
      <c r="F2397" s="101">
        <v>7219.02</v>
      </c>
      <c r="G2397" s="59" t="s">
        <v>37</v>
      </c>
      <c r="H2397" s="489">
        <v>351</v>
      </c>
      <c r="I2397" s="511">
        <f t="shared" si="156"/>
        <v>2533876.02</v>
      </c>
      <c r="J2397" s="547">
        <v>350</v>
      </c>
      <c r="K2397" s="532">
        <f t="shared" si="158"/>
        <v>1</v>
      </c>
      <c r="L2397" s="533">
        <f t="shared" si="157"/>
        <v>7219.02</v>
      </c>
      <c r="M2397" s="537">
        <f t="shared" si="159"/>
        <v>2.8490028490028491E-3</v>
      </c>
      <c r="N2397" s="47" t="s">
        <v>40</v>
      </c>
      <c r="O2397" s="81" t="s">
        <v>105</v>
      </c>
    </row>
    <row r="2398" spans="1:15">
      <c r="A2398" s="70">
        <v>2025</v>
      </c>
      <c r="B2398" s="16" t="s">
        <v>178</v>
      </c>
      <c r="C2398" s="63" t="s">
        <v>3298</v>
      </c>
      <c r="D2398" s="56" t="s">
        <v>68</v>
      </c>
      <c r="E2398" s="56" t="s">
        <v>962</v>
      </c>
      <c r="F2398" s="101">
        <v>1640</v>
      </c>
      <c r="G2398" s="59" t="s">
        <v>37</v>
      </c>
      <c r="H2398" s="489">
        <v>385</v>
      </c>
      <c r="I2398" s="511">
        <f t="shared" si="156"/>
        <v>631400</v>
      </c>
      <c r="J2398" s="547">
        <v>360</v>
      </c>
      <c r="K2398" s="532">
        <f t="shared" si="158"/>
        <v>25</v>
      </c>
      <c r="L2398" s="533">
        <f t="shared" si="157"/>
        <v>41000</v>
      </c>
      <c r="M2398" s="537">
        <f t="shared" si="159"/>
        <v>6.4935064935064929E-2</v>
      </c>
      <c r="N2398" s="47" t="s">
        <v>22</v>
      </c>
      <c r="O2398" s="81" t="s">
        <v>105</v>
      </c>
    </row>
    <row r="2399" spans="1:15">
      <c r="A2399" s="70">
        <v>2025</v>
      </c>
      <c r="B2399" s="16" t="s">
        <v>178</v>
      </c>
      <c r="C2399" s="63" t="s">
        <v>3299</v>
      </c>
      <c r="D2399" s="56" t="s">
        <v>44</v>
      </c>
      <c r="E2399" s="56" t="s">
        <v>3300</v>
      </c>
      <c r="F2399" s="101">
        <v>3000</v>
      </c>
      <c r="G2399" s="59" t="s">
        <v>37</v>
      </c>
      <c r="H2399" s="489">
        <v>375</v>
      </c>
      <c r="I2399" s="511">
        <f t="shared" si="156"/>
        <v>1125000</v>
      </c>
      <c r="J2399" s="547">
        <v>370</v>
      </c>
      <c r="K2399" s="532">
        <f t="shared" si="158"/>
        <v>5</v>
      </c>
      <c r="L2399" s="533">
        <f t="shared" si="157"/>
        <v>15000</v>
      </c>
      <c r="M2399" s="537">
        <f t="shared" si="159"/>
        <v>1.3333333333333334E-2</v>
      </c>
      <c r="N2399" s="47" t="s">
        <v>40</v>
      </c>
      <c r="O2399" s="81" t="s">
        <v>105</v>
      </c>
    </row>
    <row r="2400" spans="1:15">
      <c r="A2400" s="70">
        <v>2025</v>
      </c>
      <c r="B2400" s="16" t="s">
        <v>178</v>
      </c>
      <c r="C2400" s="63" t="s">
        <v>3301</v>
      </c>
      <c r="D2400" s="56" t="s">
        <v>94</v>
      </c>
      <c r="E2400" s="56" t="s">
        <v>1038</v>
      </c>
      <c r="F2400" s="101">
        <v>400</v>
      </c>
      <c r="G2400" s="59" t="s">
        <v>19</v>
      </c>
      <c r="H2400" s="489">
        <v>15.5</v>
      </c>
      <c r="I2400" s="511">
        <f t="shared" si="156"/>
        <v>6200</v>
      </c>
      <c r="J2400" s="547">
        <v>14.76</v>
      </c>
      <c r="K2400" s="532">
        <f t="shared" si="158"/>
        <v>0.74000000000000021</v>
      </c>
      <c r="L2400" s="533">
        <f t="shared" si="157"/>
        <v>296.00000000000011</v>
      </c>
      <c r="M2400" s="537">
        <f t="shared" si="159"/>
        <v>4.7741935483870984E-2</v>
      </c>
      <c r="N2400" s="47" t="s">
        <v>22</v>
      </c>
      <c r="O2400" s="81" t="s">
        <v>105</v>
      </c>
    </row>
    <row r="2401" spans="1:15">
      <c r="A2401" s="70">
        <v>2025</v>
      </c>
      <c r="B2401" s="16" t="s">
        <v>178</v>
      </c>
      <c r="C2401" s="63" t="s">
        <v>3301</v>
      </c>
      <c r="D2401" s="56" t="s">
        <v>94</v>
      </c>
      <c r="E2401" s="56" t="s">
        <v>613</v>
      </c>
      <c r="F2401" s="101">
        <v>400</v>
      </c>
      <c r="G2401" s="59" t="s">
        <v>19</v>
      </c>
      <c r="H2401" s="489">
        <v>26</v>
      </c>
      <c r="I2401" s="511">
        <f t="shared" si="156"/>
        <v>10400</v>
      </c>
      <c r="J2401" s="547">
        <v>24.6</v>
      </c>
      <c r="K2401" s="532">
        <f t="shared" si="158"/>
        <v>1.3999999999999986</v>
      </c>
      <c r="L2401" s="533">
        <f t="shared" si="157"/>
        <v>559.99999999999943</v>
      </c>
      <c r="M2401" s="537">
        <f t="shared" si="159"/>
        <v>5.3846153846153794E-2</v>
      </c>
      <c r="N2401" s="47" t="s">
        <v>22</v>
      </c>
      <c r="O2401" s="81" t="s">
        <v>105</v>
      </c>
    </row>
    <row r="2402" spans="1:15">
      <c r="A2402" s="70">
        <v>2025</v>
      </c>
      <c r="B2402" s="16" t="s">
        <v>178</v>
      </c>
      <c r="C2402" s="63" t="s">
        <v>3302</v>
      </c>
      <c r="D2402" s="56" t="s">
        <v>27</v>
      </c>
      <c r="E2402" s="56" t="s">
        <v>772</v>
      </c>
      <c r="F2402" s="101">
        <v>6</v>
      </c>
      <c r="G2402" s="59" t="s">
        <v>1259</v>
      </c>
      <c r="H2402" s="489">
        <v>2296</v>
      </c>
      <c r="I2402" s="511">
        <f t="shared" si="156"/>
        <v>13776</v>
      </c>
      <c r="J2402" s="547">
        <v>2200</v>
      </c>
      <c r="K2402" s="532">
        <f t="shared" si="158"/>
        <v>96</v>
      </c>
      <c r="L2402" s="533">
        <f t="shared" si="157"/>
        <v>576</v>
      </c>
      <c r="M2402" s="537">
        <f t="shared" si="159"/>
        <v>4.1811846689895474E-2</v>
      </c>
      <c r="N2402" s="47" t="s">
        <v>22</v>
      </c>
      <c r="O2402" s="81" t="s">
        <v>105</v>
      </c>
    </row>
    <row r="2403" spans="1:15">
      <c r="A2403" s="70">
        <v>2025</v>
      </c>
      <c r="B2403" s="16" t="s">
        <v>178</v>
      </c>
      <c r="C2403" s="63" t="s">
        <v>3302</v>
      </c>
      <c r="D2403" s="56" t="s">
        <v>27</v>
      </c>
      <c r="E2403" s="56" t="s">
        <v>2978</v>
      </c>
      <c r="F2403" s="101">
        <v>20</v>
      </c>
      <c r="G2403" s="59" t="s">
        <v>19</v>
      </c>
      <c r="H2403" s="489">
        <v>82</v>
      </c>
      <c r="I2403" s="511">
        <f t="shared" si="156"/>
        <v>1640</v>
      </c>
      <c r="J2403" s="547">
        <v>72</v>
      </c>
      <c r="K2403" s="532">
        <f t="shared" si="158"/>
        <v>10</v>
      </c>
      <c r="L2403" s="533">
        <f t="shared" si="157"/>
        <v>200</v>
      </c>
      <c r="M2403" s="537">
        <f t="shared" si="159"/>
        <v>0.12195121951219512</v>
      </c>
      <c r="N2403" s="47" t="s">
        <v>22</v>
      </c>
      <c r="O2403" s="81" t="s">
        <v>105</v>
      </c>
    </row>
    <row r="2404" spans="1:15">
      <c r="A2404" s="70">
        <v>2025</v>
      </c>
      <c r="B2404" s="16" t="s">
        <v>178</v>
      </c>
      <c r="C2404" s="63" t="s">
        <v>3303</v>
      </c>
      <c r="D2404" s="56" t="s">
        <v>270</v>
      </c>
      <c r="E2404" s="56" t="s">
        <v>3304</v>
      </c>
      <c r="F2404" s="101">
        <v>2</v>
      </c>
      <c r="G2404" s="59" t="s">
        <v>302</v>
      </c>
      <c r="H2404" s="489">
        <v>168774</v>
      </c>
      <c r="I2404" s="511">
        <f t="shared" si="156"/>
        <v>337548</v>
      </c>
      <c r="J2404" s="547">
        <v>165402</v>
      </c>
      <c r="K2404" s="532">
        <f t="shared" si="158"/>
        <v>3372</v>
      </c>
      <c r="L2404" s="533">
        <f t="shared" si="157"/>
        <v>6744</v>
      </c>
      <c r="M2404" s="537">
        <f t="shared" si="159"/>
        <v>1.9979380710298981E-2</v>
      </c>
      <c r="N2404" s="47" t="s">
        <v>40</v>
      </c>
      <c r="O2404" s="81" t="s">
        <v>105</v>
      </c>
    </row>
    <row r="2405" spans="1:15">
      <c r="A2405" s="70">
        <v>2025</v>
      </c>
      <c r="B2405" s="16" t="s">
        <v>178</v>
      </c>
      <c r="C2405" s="63" t="s">
        <v>3305</v>
      </c>
      <c r="D2405" s="56" t="s">
        <v>110</v>
      </c>
      <c r="E2405" s="56" t="s">
        <v>3285</v>
      </c>
      <c r="F2405" s="101">
        <v>1</v>
      </c>
      <c r="G2405" s="59" t="s">
        <v>19</v>
      </c>
      <c r="H2405" s="489">
        <v>8600</v>
      </c>
      <c r="I2405" s="511">
        <f t="shared" si="156"/>
        <v>8600</v>
      </c>
      <c r="J2405" s="547">
        <v>8400</v>
      </c>
      <c r="K2405" s="532">
        <f t="shared" si="158"/>
        <v>200</v>
      </c>
      <c r="L2405" s="533">
        <f t="shared" si="157"/>
        <v>200</v>
      </c>
      <c r="M2405" s="537">
        <f t="shared" si="159"/>
        <v>2.3255813953488372E-2</v>
      </c>
      <c r="N2405" s="47" t="s">
        <v>40</v>
      </c>
      <c r="O2405" s="81" t="s">
        <v>105</v>
      </c>
    </row>
    <row r="2406" spans="1:15">
      <c r="A2406" s="70">
        <v>2025</v>
      </c>
      <c r="B2406" s="16" t="s">
        <v>178</v>
      </c>
      <c r="C2406" s="63" t="s">
        <v>3306</v>
      </c>
      <c r="D2406" s="56" t="s">
        <v>3138</v>
      </c>
      <c r="E2406" s="56" t="s">
        <v>3307</v>
      </c>
      <c r="F2406" s="101">
        <v>100</v>
      </c>
      <c r="G2406" s="59" t="s">
        <v>869</v>
      </c>
      <c r="H2406" s="489">
        <v>230</v>
      </c>
      <c r="I2406" s="511">
        <f t="shared" si="156"/>
        <v>23000</v>
      </c>
      <c r="J2406" s="547">
        <v>71</v>
      </c>
      <c r="K2406" s="532">
        <f t="shared" si="158"/>
        <v>159</v>
      </c>
      <c r="L2406" s="533">
        <f t="shared" si="157"/>
        <v>15900</v>
      </c>
      <c r="M2406" s="537">
        <f t="shared" si="159"/>
        <v>0.69130434782608696</v>
      </c>
      <c r="N2406" s="47" t="s">
        <v>22</v>
      </c>
      <c r="O2406" s="81" t="s">
        <v>105</v>
      </c>
    </row>
    <row r="2407" spans="1:15">
      <c r="A2407" s="70">
        <v>2025</v>
      </c>
      <c r="B2407" s="16" t="s">
        <v>178</v>
      </c>
      <c r="C2407" s="63" t="s">
        <v>3308</v>
      </c>
      <c r="D2407" s="56" t="s">
        <v>1948</v>
      </c>
      <c r="E2407" s="56" t="s">
        <v>3309</v>
      </c>
      <c r="F2407" s="101">
        <v>12</v>
      </c>
      <c r="G2407" s="59" t="s">
        <v>19</v>
      </c>
      <c r="H2407" s="489">
        <v>165</v>
      </c>
      <c r="I2407" s="511">
        <f t="shared" si="156"/>
        <v>1980</v>
      </c>
      <c r="J2407" s="547">
        <v>135</v>
      </c>
      <c r="K2407" s="532">
        <f t="shared" si="158"/>
        <v>30</v>
      </c>
      <c r="L2407" s="533">
        <f t="shared" si="157"/>
        <v>360</v>
      </c>
      <c r="M2407" s="537">
        <f t="shared" si="159"/>
        <v>0.18181818181818182</v>
      </c>
      <c r="N2407" s="47" t="s">
        <v>22</v>
      </c>
      <c r="O2407" s="81" t="s">
        <v>105</v>
      </c>
    </row>
    <row r="2408" spans="1:15">
      <c r="A2408" s="70">
        <v>2025</v>
      </c>
      <c r="B2408" s="16" t="s">
        <v>178</v>
      </c>
      <c r="C2408" s="63" t="s">
        <v>3308</v>
      </c>
      <c r="D2408" s="56" t="s">
        <v>1948</v>
      </c>
      <c r="E2408" s="56" t="s">
        <v>3310</v>
      </c>
      <c r="F2408" s="101">
        <v>1</v>
      </c>
      <c r="G2408" s="59" t="s">
        <v>3311</v>
      </c>
      <c r="H2408" s="489">
        <v>12500</v>
      </c>
      <c r="I2408" s="511">
        <f t="shared" si="156"/>
        <v>12500</v>
      </c>
      <c r="J2408" s="547">
        <v>11887.5</v>
      </c>
      <c r="K2408" s="532">
        <f t="shared" si="158"/>
        <v>612.5</v>
      </c>
      <c r="L2408" s="533">
        <f t="shared" si="157"/>
        <v>612.5</v>
      </c>
      <c r="M2408" s="537">
        <f t="shared" si="159"/>
        <v>4.9000000000000002E-2</v>
      </c>
      <c r="N2408" s="47" t="s">
        <v>22</v>
      </c>
      <c r="O2408" s="81" t="s">
        <v>105</v>
      </c>
    </row>
    <row r="2409" spans="1:15">
      <c r="A2409" s="70">
        <v>2025</v>
      </c>
      <c r="B2409" s="16" t="s">
        <v>178</v>
      </c>
      <c r="C2409" s="63" t="s">
        <v>3308</v>
      </c>
      <c r="D2409" s="56" t="s">
        <v>1948</v>
      </c>
      <c r="E2409" s="56" t="s">
        <v>3312</v>
      </c>
      <c r="F2409" s="101">
        <v>1</v>
      </c>
      <c r="G2409" s="59" t="s">
        <v>3311</v>
      </c>
      <c r="H2409" s="489">
        <v>8500</v>
      </c>
      <c r="I2409" s="511">
        <f t="shared" si="156"/>
        <v>8500</v>
      </c>
      <c r="J2409" s="547">
        <v>8175</v>
      </c>
      <c r="K2409" s="532">
        <f t="shared" si="158"/>
        <v>325</v>
      </c>
      <c r="L2409" s="533">
        <f t="shared" si="157"/>
        <v>325</v>
      </c>
      <c r="M2409" s="537">
        <f t="shared" si="159"/>
        <v>3.8235294117647062E-2</v>
      </c>
      <c r="N2409" s="47" t="s">
        <v>22</v>
      </c>
      <c r="O2409" s="81" t="s">
        <v>105</v>
      </c>
    </row>
    <row r="2410" spans="1:15">
      <c r="A2410" s="70">
        <v>2025</v>
      </c>
      <c r="B2410" s="16" t="s">
        <v>178</v>
      </c>
      <c r="C2410" s="63" t="s">
        <v>3313</v>
      </c>
      <c r="D2410" s="56" t="s">
        <v>68</v>
      </c>
      <c r="E2410" s="56" t="s">
        <v>962</v>
      </c>
      <c r="F2410" s="101">
        <v>933.1</v>
      </c>
      <c r="G2410" s="59" t="s">
        <v>37</v>
      </c>
      <c r="H2410" s="489">
        <v>385</v>
      </c>
      <c r="I2410" s="511">
        <f t="shared" si="156"/>
        <v>359243.5</v>
      </c>
      <c r="J2410" s="547">
        <v>360</v>
      </c>
      <c r="K2410" s="532">
        <f t="shared" si="158"/>
        <v>25</v>
      </c>
      <c r="L2410" s="533">
        <f t="shared" si="157"/>
        <v>23327.5</v>
      </c>
      <c r="M2410" s="537">
        <f t="shared" si="159"/>
        <v>6.4935064935064929E-2</v>
      </c>
      <c r="N2410" s="47" t="s">
        <v>22</v>
      </c>
      <c r="O2410" s="81" t="s">
        <v>105</v>
      </c>
    </row>
    <row r="2411" spans="1:15">
      <c r="A2411" s="70">
        <v>2025</v>
      </c>
      <c r="B2411" s="16" t="s">
        <v>178</v>
      </c>
      <c r="C2411" s="63" t="s">
        <v>3314</v>
      </c>
      <c r="D2411" s="56" t="s">
        <v>94</v>
      </c>
      <c r="E2411" s="56" t="s">
        <v>550</v>
      </c>
      <c r="F2411" s="101">
        <v>600</v>
      </c>
      <c r="G2411" s="59" t="s">
        <v>19</v>
      </c>
      <c r="H2411" s="489">
        <v>50</v>
      </c>
      <c r="I2411" s="511">
        <f t="shared" si="156"/>
        <v>30000</v>
      </c>
      <c r="J2411" s="547">
        <v>47.56</v>
      </c>
      <c r="K2411" s="532">
        <f t="shared" si="158"/>
        <v>2.4399999999999977</v>
      </c>
      <c r="L2411" s="533">
        <f t="shared" si="157"/>
        <v>1463.9999999999986</v>
      </c>
      <c r="M2411" s="537">
        <f t="shared" si="159"/>
        <v>4.8799999999999955E-2</v>
      </c>
      <c r="N2411" s="47" t="s">
        <v>22</v>
      </c>
      <c r="O2411" s="81" t="s">
        <v>105</v>
      </c>
    </row>
    <row r="2412" spans="1:15">
      <c r="A2412" s="70">
        <v>2025</v>
      </c>
      <c r="B2412" s="16" t="s">
        <v>178</v>
      </c>
      <c r="C2412" s="63" t="s">
        <v>3315</v>
      </c>
      <c r="D2412" s="56" t="s">
        <v>17</v>
      </c>
      <c r="E2412" s="56" t="s">
        <v>3316</v>
      </c>
      <c r="F2412" s="101">
        <v>1</v>
      </c>
      <c r="G2412" s="59" t="s">
        <v>3317</v>
      </c>
      <c r="H2412" s="489">
        <v>2490</v>
      </c>
      <c r="I2412" s="511">
        <f t="shared" si="156"/>
        <v>2490</v>
      </c>
      <c r="J2412" s="547">
        <v>2350</v>
      </c>
      <c r="K2412" s="532">
        <f t="shared" si="158"/>
        <v>140</v>
      </c>
      <c r="L2412" s="533">
        <f t="shared" si="157"/>
        <v>140</v>
      </c>
      <c r="M2412" s="537">
        <f t="shared" si="159"/>
        <v>5.6224899598393573E-2</v>
      </c>
      <c r="N2412" s="47" t="s">
        <v>22</v>
      </c>
      <c r="O2412" s="81" t="s">
        <v>105</v>
      </c>
    </row>
    <row r="2413" spans="1:15">
      <c r="A2413" s="70">
        <v>2025</v>
      </c>
      <c r="B2413" s="16" t="s">
        <v>178</v>
      </c>
      <c r="C2413" s="63" t="s">
        <v>3318</v>
      </c>
      <c r="D2413" s="56" t="s">
        <v>35</v>
      </c>
      <c r="E2413" s="56" t="s">
        <v>889</v>
      </c>
      <c r="F2413" s="101">
        <v>2658</v>
      </c>
      <c r="G2413" s="59" t="s">
        <v>37</v>
      </c>
      <c r="H2413" s="489">
        <v>382</v>
      </c>
      <c r="I2413" s="511">
        <f t="shared" ref="I2413:I2476" si="160">H2413*F2413</f>
        <v>1015356</v>
      </c>
      <c r="J2413" s="547">
        <v>380</v>
      </c>
      <c r="K2413" s="532">
        <f t="shared" si="158"/>
        <v>2</v>
      </c>
      <c r="L2413" s="533">
        <f t="shared" si="157"/>
        <v>5316</v>
      </c>
      <c r="M2413" s="537">
        <f t="shared" si="159"/>
        <v>5.235602094240838E-3</v>
      </c>
      <c r="N2413" s="47" t="s">
        <v>40</v>
      </c>
      <c r="O2413" s="81" t="s">
        <v>105</v>
      </c>
    </row>
    <row r="2414" spans="1:15">
      <c r="A2414" s="70">
        <v>2025</v>
      </c>
      <c r="B2414" s="16" t="s">
        <v>178</v>
      </c>
      <c r="C2414" s="63" t="s">
        <v>3319</v>
      </c>
      <c r="D2414" s="56" t="s">
        <v>3320</v>
      </c>
      <c r="E2414" s="56" t="s">
        <v>3321</v>
      </c>
      <c r="F2414" s="101">
        <v>24</v>
      </c>
      <c r="G2414" s="59" t="s">
        <v>19</v>
      </c>
      <c r="H2414" s="489">
        <v>220</v>
      </c>
      <c r="I2414" s="511">
        <f t="shared" si="160"/>
        <v>5280</v>
      </c>
      <c r="J2414" s="547">
        <v>143</v>
      </c>
      <c r="K2414" s="532">
        <f t="shared" si="158"/>
        <v>77</v>
      </c>
      <c r="L2414" s="533">
        <f t="shared" si="157"/>
        <v>1848</v>
      </c>
      <c r="M2414" s="537">
        <f t="shared" si="159"/>
        <v>0.35</v>
      </c>
      <c r="N2414" s="47" t="s">
        <v>22</v>
      </c>
      <c r="O2414" s="81" t="s">
        <v>39</v>
      </c>
    </row>
    <row r="2415" spans="1:15">
      <c r="A2415" s="70">
        <v>2025</v>
      </c>
      <c r="B2415" s="16" t="s">
        <v>178</v>
      </c>
      <c r="C2415" s="63" t="s">
        <v>3319</v>
      </c>
      <c r="D2415" s="56" t="s">
        <v>3320</v>
      </c>
      <c r="E2415" s="56" t="s">
        <v>3322</v>
      </c>
      <c r="F2415" s="101">
        <v>1080</v>
      </c>
      <c r="G2415" s="59" t="s">
        <v>19</v>
      </c>
      <c r="H2415" s="489">
        <v>250</v>
      </c>
      <c r="I2415" s="511">
        <f t="shared" si="160"/>
        <v>270000</v>
      </c>
      <c r="J2415" s="547">
        <v>162.5</v>
      </c>
      <c r="K2415" s="532">
        <f t="shared" si="158"/>
        <v>87.5</v>
      </c>
      <c r="L2415" s="533">
        <f t="shared" si="157"/>
        <v>94500</v>
      </c>
      <c r="M2415" s="537">
        <f t="shared" si="159"/>
        <v>0.35</v>
      </c>
      <c r="N2415" s="47" t="s">
        <v>22</v>
      </c>
      <c r="O2415" s="81" t="s">
        <v>39</v>
      </c>
    </row>
    <row r="2416" spans="1:15">
      <c r="A2416" s="70">
        <v>2025</v>
      </c>
      <c r="B2416" s="16" t="s">
        <v>178</v>
      </c>
      <c r="C2416" s="63" t="s">
        <v>3323</v>
      </c>
      <c r="D2416" s="56" t="s">
        <v>3324</v>
      </c>
      <c r="E2416" s="56" t="s">
        <v>3325</v>
      </c>
      <c r="F2416" s="101">
        <v>40</v>
      </c>
      <c r="G2416" s="59" t="s">
        <v>19</v>
      </c>
      <c r="H2416" s="489">
        <v>960</v>
      </c>
      <c r="I2416" s="511">
        <f t="shared" si="160"/>
        <v>38400</v>
      </c>
      <c r="J2416" s="547">
        <v>940</v>
      </c>
      <c r="K2416" s="532">
        <f t="shared" si="158"/>
        <v>20</v>
      </c>
      <c r="L2416" s="533">
        <f t="shared" si="157"/>
        <v>800</v>
      </c>
      <c r="M2416" s="537">
        <f t="shared" si="159"/>
        <v>2.0833333333333332E-2</v>
      </c>
      <c r="N2416" s="47" t="s">
        <v>40</v>
      </c>
      <c r="O2416" s="81" t="s">
        <v>39</v>
      </c>
    </row>
    <row r="2417" spans="1:15">
      <c r="A2417" s="70">
        <v>2025</v>
      </c>
      <c r="B2417" s="16" t="s">
        <v>178</v>
      </c>
      <c r="C2417" s="63" t="s">
        <v>3323</v>
      </c>
      <c r="D2417" s="56" t="s">
        <v>3324</v>
      </c>
      <c r="E2417" s="56" t="s">
        <v>3326</v>
      </c>
      <c r="F2417" s="101">
        <v>40</v>
      </c>
      <c r="G2417" s="59" t="s">
        <v>19</v>
      </c>
      <c r="H2417" s="489">
        <v>440</v>
      </c>
      <c r="I2417" s="511">
        <f t="shared" si="160"/>
        <v>17600</v>
      </c>
      <c r="J2417" s="547">
        <v>430</v>
      </c>
      <c r="K2417" s="532">
        <f t="shared" si="158"/>
        <v>10</v>
      </c>
      <c r="L2417" s="533">
        <f t="shared" si="157"/>
        <v>400</v>
      </c>
      <c r="M2417" s="537">
        <f t="shared" si="159"/>
        <v>2.2727272727272728E-2</v>
      </c>
      <c r="N2417" s="47" t="s">
        <v>40</v>
      </c>
      <c r="O2417" s="81" t="s">
        <v>39</v>
      </c>
    </row>
    <row r="2418" spans="1:15">
      <c r="A2418" s="70">
        <v>2025</v>
      </c>
      <c r="B2418" s="16" t="s">
        <v>178</v>
      </c>
      <c r="C2418" s="63" t="s">
        <v>3323</v>
      </c>
      <c r="D2418" s="56" t="s">
        <v>3324</v>
      </c>
      <c r="E2418" s="56" t="s">
        <v>3327</v>
      </c>
      <c r="F2418" s="101">
        <v>40</v>
      </c>
      <c r="G2418" s="59" t="s">
        <v>19</v>
      </c>
      <c r="H2418" s="489">
        <v>2330</v>
      </c>
      <c r="I2418" s="511">
        <f t="shared" si="160"/>
        <v>93200</v>
      </c>
      <c r="J2418" s="547">
        <v>2270</v>
      </c>
      <c r="K2418" s="532">
        <f t="shared" si="158"/>
        <v>60</v>
      </c>
      <c r="L2418" s="533">
        <f t="shared" si="157"/>
        <v>2400</v>
      </c>
      <c r="M2418" s="537">
        <f t="shared" si="159"/>
        <v>2.575107296137339E-2</v>
      </c>
      <c r="N2418" s="47" t="s">
        <v>40</v>
      </c>
      <c r="O2418" s="81" t="s">
        <v>39</v>
      </c>
    </row>
    <row r="2419" spans="1:15">
      <c r="A2419" s="70">
        <v>2025</v>
      </c>
      <c r="B2419" s="16" t="s">
        <v>178</v>
      </c>
      <c r="C2419" s="63" t="s">
        <v>3328</v>
      </c>
      <c r="D2419" s="56" t="s">
        <v>192</v>
      </c>
      <c r="E2419" s="56" t="s">
        <v>813</v>
      </c>
      <c r="F2419" s="101">
        <v>280000</v>
      </c>
      <c r="G2419" s="59" t="s">
        <v>1605</v>
      </c>
      <c r="H2419" s="489">
        <v>56</v>
      </c>
      <c r="I2419" s="511">
        <f t="shared" si="160"/>
        <v>15680000</v>
      </c>
      <c r="J2419" s="547">
        <v>53</v>
      </c>
      <c r="K2419" s="532">
        <f t="shared" si="158"/>
        <v>3</v>
      </c>
      <c r="L2419" s="533">
        <f t="shared" si="157"/>
        <v>840000</v>
      </c>
      <c r="M2419" s="537">
        <f t="shared" si="159"/>
        <v>5.3571428571428568E-2</v>
      </c>
      <c r="N2419" s="47" t="s">
        <v>22</v>
      </c>
      <c r="O2419" s="81" t="s">
        <v>39</v>
      </c>
    </row>
    <row r="2420" spans="1:15">
      <c r="A2420" s="70">
        <v>2025</v>
      </c>
      <c r="B2420" s="16" t="s">
        <v>178</v>
      </c>
      <c r="C2420" s="63" t="s">
        <v>3329</v>
      </c>
      <c r="D2420" s="56" t="s">
        <v>1375</v>
      </c>
      <c r="E2420" s="56" t="s">
        <v>502</v>
      </c>
      <c r="F2420" s="101">
        <v>330000</v>
      </c>
      <c r="G2420" s="59" t="s">
        <v>1605</v>
      </c>
      <c r="H2420" s="489">
        <v>56</v>
      </c>
      <c r="I2420" s="511">
        <f t="shared" si="160"/>
        <v>18480000</v>
      </c>
      <c r="J2420" s="547">
        <v>54</v>
      </c>
      <c r="K2420" s="532">
        <f t="shared" si="158"/>
        <v>2</v>
      </c>
      <c r="L2420" s="533">
        <f t="shared" si="157"/>
        <v>660000</v>
      </c>
      <c r="M2420" s="537">
        <f t="shared" si="159"/>
        <v>3.5714285714285712E-2</v>
      </c>
      <c r="N2420" s="47" t="s">
        <v>22</v>
      </c>
      <c r="O2420" s="81" t="s">
        <v>39</v>
      </c>
    </row>
    <row r="2421" spans="1:15">
      <c r="A2421" s="70">
        <v>2025</v>
      </c>
      <c r="B2421" s="16" t="s">
        <v>178</v>
      </c>
      <c r="C2421" s="63" t="s">
        <v>3330</v>
      </c>
      <c r="D2421" s="56" t="s">
        <v>617</v>
      </c>
      <c r="E2421" s="56" t="s">
        <v>275</v>
      </c>
      <c r="F2421" s="101">
        <v>3000</v>
      </c>
      <c r="G2421" s="59" t="s">
        <v>1605</v>
      </c>
      <c r="H2421" s="489">
        <v>29.8</v>
      </c>
      <c r="I2421" s="511">
        <f t="shared" si="160"/>
        <v>89400</v>
      </c>
      <c r="J2421" s="547">
        <v>27.5</v>
      </c>
      <c r="K2421" s="532">
        <f t="shared" si="158"/>
        <v>2.3000000000000007</v>
      </c>
      <c r="L2421" s="533">
        <f t="shared" si="157"/>
        <v>6900.0000000000018</v>
      </c>
      <c r="M2421" s="537">
        <f t="shared" si="159"/>
        <v>7.7181208053691303E-2</v>
      </c>
      <c r="N2421" s="47" t="s">
        <v>22</v>
      </c>
      <c r="O2421" s="81" t="s">
        <v>39</v>
      </c>
    </row>
    <row r="2422" spans="1:15">
      <c r="A2422" s="70">
        <v>2025</v>
      </c>
      <c r="B2422" s="16" t="s">
        <v>178</v>
      </c>
      <c r="C2422" s="63" t="s">
        <v>3330</v>
      </c>
      <c r="D2422" s="56" t="s">
        <v>617</v>
      </c>
      <c r="E2422" s="56" t="s">
        <v>233</v>
      </c>
      <c r="F2422" s="101">
        <v>6000</v>
      </c>
      <c r="G2422" s="59" t="s">
        <v>1605</v>
      </c>
      <c r="H2422" s="489">
        <v>29.8</v>
      </c>
      <c r="I2422" s="511">
        <f t="shared" si="160"/>
        <v>178800</v>
      </c>
      <c r="J2422" s="547">
        <v>27.5</v>
      </c>
      <c r="K2422" s="532">
        <f t="shared" si="158"/>
        <v>2.3000000000000007</v>
      </c>
      <c r="L2422" s="533">
        <f t="shared" si="157"/>
        <v>13800.000000000004</v>
      </c>
      <c r="M2422" s="537">
        <f t="shared" si="159"/>
        <v>7.7181208053691303E-2</v>
      </c>
      <c r="N2422" s="47" t="s">
        <v>22</v>
      </c>
      <c r="O2422" s="81" t="s">
        <v>39</v>
      </c>
    </row>
    <row r="2423" spans="1:15">
      <c r="A2423" s="70">
        <v>2025</v>
      </c>
      <c r="B2423" s="16" t="s">
        <v>178</v>
      </c>
      <c r="C2423" s="63" t="s">
        <v>3331</v>
      </c>
      <c r="D2423" s="56" t="s">
        <v>3235</v>
      </c>
      <c r="E2423" s="56" t="s">
        <v>333</v>
      </c>
      <c r="F2423" s="101">
        <v>3000</v>
      </c>
      <c r="G2423" s="59" t="s">
        <v>1605</v>
      </c>
      <c r="H2423" s="489">
        <v>28</v>
      </c>
      <c r="I2423" s="511">
        <f t="shared" si="160"/>
        <v>84000</v>
      </c>
      <c r="J2423" s="547">
        <v>27.4</v>
      </c>
      <c r="K2423" s="532">
        <f t="shared" si="158"/>
        <v>0.60000000000000142</v>
      </c>
      <c r="L2423" s="533">
        <f t="shared" si="157"/>
        <v>1800.0000000000043</v>
      </c>
      <c r="M2423" s="537">
        <f t="shared" si="159"/>
        <v>2.1428571428571481E-2</v>
      </c>
      <c r="N2423" s="47" t="s">
        <v>22</v>
      </c>
      <c r="O2423" s="81" t="s">
        <v>39</v>
      </c>
    </row>
    <row r="2424" spans="1:15">
      <c r="A2424" s="70">
        <v>2025</v>
      </c>
      <c r="B2424" s="16" t="s">
        <v>178</v>
      </c>
      <c r="C2424" s="63" t="s">
        <v>3331</v>
      </c>
      <c r="D2424" s="56" t="s">
        <v>3235</v>
      </c>
      <c r="E2424" s="56" t="s">
        <v>274</v>
      </c>
      <c r="F2424" s="101">
        <v>3000</v>
      </c>
      <c r="G2424" s="59" t="s">
        <v>1605</v>
      </c>
      <c r="H2424" s="489">
        <v>28</v>
      </c>
      <c r="I2424" s="511">
        <f t="shared" si="160"/>
        <v>84000</v>
      </c>
      <c r="J2424" s="547">
        <v>27.4</v>
      </c>
      <c r="K2424" s="532">
        <f t="shared" si="158"/>
        <v>0.60000000000000142</v>
      </c>
      <c r="L2424" s="533">
        <f t="shared" si="157"/>
        <v>1800.0000000000043</v>
      </c>
      <c r="M2424" s="537">
        <f t="shared" si="159"/>
        <v>2.1428571428571481E-2</v>
      </c>
      <c r="N2424" s="47" t="s">
        <v>22</v>
      </c>
      <c r="O2424" s="81" t="s">
        <v>39</v>
      </c>
    </row>
    <row r="2425" spans="1:15">
      <c r="A2425" s="70">
        <v>2025</v>
      </c>
      <c r="B2425" s="16" t="s">
        <v>178</v>
      </c>
      <c r="C2425" s="63" t="s">
        <v>3332</v>
      </c>
      <c r="D2425" s="56" t="s">
        <v>283</v>
      </c>
      <c r="E2425" s="56" t="s">
        <v>3333</v>
      </c>
      <c r="F2425" s="101">
        <v>1</v>
      </c>
      <c r="G2425" s="59" t="s">
        <v>285</v>
      </c>
      <c r="H2425" s="489">
        <v>45000</v>
      </c>
      <c r="I2425" s="511">
        <f t="shared" si="160"/>
        <v>45000</v>
      </c>
      <c r="J2425" s="547">
        <v>44500</v>
      </c>
      <c r="K2425" s="532">
        <f t="shared" si="158"/>
        <v>500</v>
      </c>
      <c r="L2425" s="533">
        <f t="shared" si="157"/>
        <v>500</v>
      </c>
      <c r="M2425" s="537">
        <f t="shared" si="159"/>
        <v>1.1111111111111112E-2</v>
      </c>
      <c r="N2425" s="47" t="s">
        <v>40</v>
      </c>
      <c r="O2425" s="81" t="s">
        <v>105</v>
      </c>
    </row>
    <row r="2426" spans="1:15">
      <c r="A2426" s="70">
        <v>2025</v>
      </c>
      <c r="B2426" s="16" t="s">
        <v>178</v>
      </c>
      <c r="C2426" s="63" t="s">
        <v>3334</v>
      </c>
      <c r="D2426" s="56" t="s">
        <v>892</v>
      </c>
      <c r="E2426" s="56" t="s">
        <v>894</v>
      </c>
      <c r="F2426" s="101">
        <v>147</v>
      </c>
      <c r="G2426" s="59" t="s">
        <v>19</v>
      </c>
      <c r="H2426" s="489">
        <v>1460</v>
      </c>
      <c r="I2426" s="511">
        <f t="shared" si="160"/>
        <v>214620</v>
      </c>
      <c r="J2426" s="547">
        <v>1450</v>
      </c>
      <c r="K2426" s="532">
        <f t="shared" si="158"/>
        <v>10</v>
      </c>
      <c r="L2426" s="533">
        <f t="shared" si="157"/>
        <v>1470</v>
      </c>
      <c r="M2426" s="537">
        <f t="shared" si="159"/>
        <v>6.8493150684931503E-3</v>
      </c>
      <c r="N2426" s="47" t="s">
        <v>40</v>
      </c>
      <c r="O2426" s="81" t="s">
        <v>105</v>
      </c>
    </row>
    <row r="2427" spans="1:15">
      <c r="A2427" s="70">
        <v>2025</v>
      </c>
      <c r="B2427" s="16" t="s">
        <v>178</v>
      </c>
      <c r="C2427" s="63" t="s">
        <v>3334</v>
      </c>
      <c r="D2427" s="56" t="s">
        <v>892</v>
      </c>
      <c r="E2427" s="56" t="s">
        <v>3335</v>
      </c>
      <c r="F2427" s="101">
        <v>1764</v>
      </c>
      <c r="G2427" s="59" t="s">
        <v>19</v>
      </c>
      <c r="H2427" s="489">
        <v>750</v>
      </c>
      <c r="I2427" s="511">
        <f t="shared" si="160"/>
        <v>1323000</v>
      </c>
      <c r="J2427" s="547">
        <v>740</v>
      </c>
      <c r="K2427" s="532">
        <f t="shared" si="158"/>
        <v>10</v>
      </c>
      <c r="L2427" s="533">
        <f t="shared" ref="L2427:L2490" si="161">K2427*F2427</f>
        <v>17640</v>
      </c>
      <c r="M2427" s="537">
        <f t="shared" si="159"/>
        <v>1.3333333333333334E-2</v>
      </c>
      <c r="N2427" s="47" t="s">
        <v>40</v>
      </c>
      <c r="O2427" s="81" t="s">
        <v>105</v>
      </c>
    </row>
    <row r="2428" spans="1:15">
      <c r="A2428" s="70">
        <v>2025</v>
      </c>
      <c r="B2428" s="16" t="s">
        <v>178</v>
      </c>
      <c r="C2428" s="63" t="s">
        <v>3336</v>
      </c>
      <c r="D2428" s="56" t="s">
        <v>2294</v>
      </c>
      <c r="E2428" s="56" t="s">
        <v>3337</v>
      </c>
      <c r="F2428" s="101">
        <v>1</v>
      </c>
      <c r="G2428" s="59" t="s">
        <v>285</v>
      </c>
      <c r="H2428" s="489">
        <v>34342</v>
      </c>
      <c r="I2428" s="511">
        <f t="shared" si="160"/>
        <v>34342</v>
      </c>
      <c r="J2428" s="547">
        <v>33000</v>
      </c>
      <c r="K2428" s="532">
        <f t="shared" si="158"/>
        <v>1342</v>
      </c>
      <c r="L2428" s="533">
        <f t="shared" si="161"/>
        <v>1342</v>
      </c>
      <c r="M2428" s="537">
        <f t="shared" si="159"/>
        <v>3.9077514413837285E-2</v>
      </c>
      <c r="N2428" s="47" t="s">
        <v>40</v>
      </c>
      <c r="O2428" s="81" t="s">
        <v>105</v>
      </c>
    </row>
    <row r="2429" spans="1:15">
      <c r="A2429" s="70">
        <v>2025</v>
      </c>
      <c r="B2429" s="16" t="s">
        <v>178</v>
      </c>
      <c r="C2429" s="63" t="s">
        <v>3338</v>
      </c>
      <c r="D2429" s="56" t="s">
        <v>270</v>
      </c>
      <c r="E2429" s="56" t="s">
        <v>962</v>
      </c>
      <c r="F2429" s="101">
        <v>695</v>
      </c>
      <c r="G2429" s="59" t="s">
        <v>37</v>
      </c>
      <c r="H2429" s="489">
        <v>380</v>
      </c>
      <c r="I2429" s="511">
        <f t="shared" si="160"/>
        <v>264100</v>
      </c>
      <c r="J2429" s="547">
        <v>373</v>
      </c>
      <c r="K2429" s="532">
        <f t="shared" si="158"/>
        <v>7</v>
      </c>
      <c r="L2429" s="533">
        <f t="shared" si="161"/>
        <v>4865</v>
      </c>
      <c r="M2429" s="537">
        <f t="shared" si="159"/>
        <v>1.8421052631578946E-2</v>
      </c>
      <c r="N2429" s="47" t="s">
        <v>22</v>
      </c>
      <c r="O2429" s="81" t="s">
        <v>105</v>
      </c>
    </row>
    <row r="2430" spans="1:15">
      <c r="A2430" s="70">
        <v>2025</v>
      </c>
      <c r="B2430" s="16" t="s">
        <v>178</v>
      </c>
      <c r="C2430" s="63" t="s">
        <v>3339</v>
      </c>
      <c r="D2430" s="56" t="s">
        <v>398</v>
      </c>
      <c r="E2430" s="56" t="s">
        <v>3340</v>
      </c>
      <c r="F2430" s="101">
        <v>1</v>
      </c>
      <c r="G2430" s="59" t="s">
        <v>285</v>
      </c>
      <c r="H2430" s="489">
        <v>78000</v>
      </c>
      <c r="I2430" s="511">
        <f t="shared" si="160"/>
        <v>78000</v>
      </c>
      <c r="J2430" s="547">
        <v>75000</v>
      </c>
      <c r="K2430" s="532">
        <f t="shared" si="158"/>
        <v>3000</v>
      </c>
      <c r="L2430" s="533">
        <f t="shared" si="161"/>
        <v>3000</v>
      </c>
      <c r="M2430" s="537">
        <f t="shared" si="159"/>
        <v>3.8461538461538464E-2</v>
      </c>
      <c r="N2430" s="47" t="s">
        <v>40</v>
      </c>
      <c r="O2430" s="81" t="s">
        <v>105</v>
      </c>
    </row>
    <row r="2431" spans="1:15">
      <c r="A2431" s="70">
        <v>2025</v>
      </c>
      <c r="B2431" s="16" t="s">
        <v>178</v>
      </c>
      <c r="C2431" s="63" t="s">
        <v>3341</v>
      </c>
      <c r="D2431" s="56" t="s">
        <v>1119</v>
      </c>
      <c r="E2431" s="56" t="s">
        <v>3342</v>
      </c>
      <c r="F2431" s="101">
        <v>24</v>
      </c>
      <c r="G2431" s="59" t="s">
        <v>19</v>
      </c>
      <c r="H2431" s="489">
        <v>1250</v>
      </c>
      <c r="I2431" s="511">
        <f t="shared" si="160"/>
        <v>30000</v>
      </c>
      <c r="J2431" s="547">
        <v>1020</v>
      </c>
      <c r="K2431" s="532">
        <f t="shared" si="158"/>
        <v>230</v>
      </c>
      <c r="L2431" s="533">
        <f t="shared" si="161"/>
        <v>5520</v>
      </c>
      <c r="M2431" s="537">
        <f t="shared" si="159"/>
        <v>0.184</v>
      </c>
      <c r="N2431" s="47" t="s">
        <v>22</v>
      </c>
      <c r="O2431" s="81" t="s">
        <v>39</v>
      </c>
    </row>
    <row r="2432" spans="1:15">
      <c r="A2432" s="70">
        <v>2025</v>
      </c>
      <c r="B2432" s="16" t="s">
        <v>178</v>
      </c>
      <c r="C2432" s="63" t="s">
        <v>3341</v>
      </c>
      <c r="D2432" s="56" t="s">
        <v>1119</v>
      </c>
      <c r="E2432" s="56" t="s">
        <v>3343</v>
      </c>
      <c r="F2432" s="101">
        <v>180</v>
      </c>
      <c r="G2432" s="59" t="s">
        <v>19</v>
      </c>
      <c r="H2432" s="489">
        <v>1300</v>
      </c>
      <c r="I2432" s="511">
        <f t="shared" si="160"/>
        <v>234000</v>
      </c>
      <c r="J2432" s="547">
        <v>1050</v>
      </c>
      <c r="K2432" s="532">
        <f t="shared" si="158"/>
        <v>250</v>
      </c>
      <c r="L2432" s="533">
        <f t="shared" si="161"/>
        <v>45000</v>
      </c>
      <c r="M2432" s="537">
        <f t="shared" si="159"/>
        <v>0.19230769230769232</v>
      </c>
      <c r="N2432" s="47" t="s">
        <v>22</v>
      </c>
      <c r="O2432" s="81" t="s">
        <v>39</v>
      </c>
    </row>
    <row r="2433" spans="1:15">
      <c r="A2433" s="70">
        <v>2025</v>
      </c>
      <c r="B2433" s="16" t="s">
        <v>178</v>
      </c>
      <c r="C2433" s="63" t="s">
        <v>3344</v>
      </c>
      <c r="D2433" s="56" t="s">
        <v>590</v>
      </c>
      <c r="E2433" s="56" t="s">
        <v>3345</v>
      </c>
      <c r="F2433" s="101">
        <v>1</v>
      </c>
      <c r="G2433" s="59" t="s">
        <v>1608</v>
      </c>
      <c r="H2433" s="489">
        <v>48500</v>
      </c>
      <c r="I2433" s="511">
        <f t="shared" si="160"/>
        <v>48500</v>
      </c>
      <c r="J2433" s="547">
        <v>45000</v>
      </c>
      <c r="K2433" s="532">
        <f t="shared" si="158"/>
        <v>3500</v>
      </c>
      <c r="L2433" s="533">
        <f t="shared" si="161"/>
        <v>3500</v>
      </c>
      <c r="M2433" s="537">
        <f t="shared" si="159"/>
        <v>7.2164948453608241E-2</v>
      </c>
      <c r="N2433" s="47" t="s">
        <v>22</v>
      </c>
      <c r="O2433" s="81" t="s">
        <v>39</v>
      </c>
    </row>
    <row r="2434" spans="1:15">
      <c r="A2434" s="70">
        <v>2025</v>
      </c>
      <c r="B2434" s="16" t="s">
        <v>178</v>
      </c>
      <c r="C2434" s="63" t="s">
        <v>3344</v>
      </c>
      <c r="D2434" s="56" t="s">
        <v>590</v>
      </c>
      <c r="E2434" s="56" t="s">
        <v>3346</v>
      </c>
      <c r="F2434" s="101">
        <v>1</v>
      </c>
      <c r="G2434" s="59" t="s">
        <v>1608</v>
      </c>
      <c r="H2434" s="489">
        <v>18000</v>
      </c>
      <c r="I2434" s="511">
        <f t="shared" si="160"/>
        <v>18000</v>
      </c>
      <c r="J2434" s="547">
        <v>15000</v>
      </c>
      <c r="K2434" s="532">
        <f t="shared" si="158"/>
        <v>3000</v>
      </c>
      <c r="L2434" s="533">
        <f t="shared" si="161"/>
        <v>3000</v>
      </c>
      <c r="M2434" s="537">
        <f t="shared" si="159"/>
        <v>0.16666666666666666</v>
      </c>
      <c r="N2434" s="47" t="s">
        <v>22</v>
      </c>
      <c r="O2434" s="81" t="s">
        <v>39</v>
      </c>
    </row>
    <row r="2435" spans="1:15">
      <c r="A2435" s="70">
        <v>2025</v>
      </c>
      <c r="B2435" s="16" t="s">
        <v>178</v>
      </c>
      <c r="C2435" s="63" t="s">
        <v>3344</v>
      </c>
      <c r="D2435" s="56" t="s">
        <v>590</v>
      </c>
      <c r="E2435" s="56" t="s">
        <v>3347</v>
      </c>
      <c r="F2435" s="101">
        <v>1</v>
      </c>
      <c r="G2435" s="59" t="s">
        <v>1608</v>
      </c>
      <c r="H2435" s="489">
        <v>22000</v>
      </c>
      <c r="I2435" s="511">
        <f t="shared" si="160"/>
        <v>22000</v>
      </c>
      <c r="J2435" s="547">
        <v>18400</v>
      </c>
      <c r="K2435" s="532">
        <f t="shared" ref="K2435:K2498" si="162">H2435-J2435</f>
        <v>3600</v>
      </c>
      <c r="L2435" s="533">
        <f t="shared" si="161"/>
        <v>3600</v>
      </c>
      <c r="M2435" s="537">
        <f t="shared" ref="M2435:M2498" si="163">K2435/H2435</f>
        <v>0.16363636363636364</v>
      </c>
      <c r="N2435" s="47" t="s">
        <v>22</v>
      </c>
      <c r="O2435" s="81" t="s">
        <v>39</v>
      </c>
    </row>
    <row r="2436" spans="1:15">
      <c r="A2436" s="70">
        <v>2025</v>
      </c>
      <c r="B2436" s="16" t="s">
        <v>178</v>
      </c>
      <c r="C2436" s="63" t="s">
        <v>3348</v>
      </c>
      <c r="D2436" s="56" t="s">
        <v>590</v>
      </c>
      <c r="E2436" s="56" t="s">
        <v>3346</v>
      </c>
      <c r="F2436" s="101">
        <v>1</v>
      </c>
      <c r="G2436" s="59" t="s">
        <v>1608</v>
      </c>
      <c r="H2436" s="489">
        <v>18000</v>
      </c>
      <c r="I2436" s="511">
        <f t="shared" si="160"/>
        <v>18000</v>
      </c>
      <c r="J2436" s="547">
        <v>15000</v>
      </c>
      <c r="K2436" s="532">
        <f t="shared" si="162"/>
        <v>3000</v>
      </c>
      <c r="L2436" s="533">
        <f t="shared" si="161"/>
        <v>3000</v>
      </c>
      <c r="M2436" s="537">
        <f t="shared" si="163"/>
        <v>0.16666666666666666</v>
      </c>
      <c r="N2436" s="47" t="s">
        <v>22</v>
      </c>
      <c r="O2436" s="81" t="s">
        <v>39</v>
      </c>
    </row>
    <row r="2437" spans="1:15">
      <c r="A2437" s="70">
        <v>2025</v>
      </c>
      <c r="B2437" s="16" t="s">
        <v>178</v>
      </c>
      <c r="C2437" s="63" t="s">
        <v>3348</v>
      </c>
      <c r="D2437" s="56" t="s">
        <v>590</v>
      </c>
      <c r="E2437" s="56" t="s">
        <v>3347</v>
      </c>
      <c r="F2437" s="101">
        <v>1</v>
      </c>
      <c r="G2437" s="59" t="s">
        <v>1608</v>
      </c>
      <c r="H2437" s="489">
        <v>22000</v>
      </c>
      <c r="I2437" s="511">
        <f t="shared" si="160"/>
        <v>22000</v>
      </c>
      <c r="J2437" s="547">
        <v>18400</v>
      </c>
      <c r="K2437" s="532">
        <f t="shared" si="162"/>
        <v>3600</v>
      </c>
      <c r="L2437" s="533">
        <f t="shared" si="161"/>
        <v>3600</v>
      </c>
      <c r="M2437" s="537">
        <f t="shared" si="163"/>
        <v>0.16363636363636364</v>
      </c>
      <c r="N2437" s="47" t="s">
        <v>22</v>
      </c>
      <c r="O2437" s="81" t="s">
        <v>39</v>
      </c>
    </row>
    <row r="2438" spans="1:15">
      <c r="A2438" s="70">
        <v>2025</v>
      </c>
      <c r="B2438" s="16" t="s">
        <v>178</v>
      </c>
      <c r="C2438" s="63" t="s">
        <v>3348</v>
      </c>
      <c r="D2438" s="56" t="s">
        <v>590</v>
      </c>
      <c r="E2438" s="56" t="s">
        <v>3225</v>
      </c>
      <c r="F2438" s="101">
        <v>1</v>
      </c>
      <c r="G2438" s="59" t="s">
        <v>19</v>
      </c>
      <c r="H2438" s="489">
        <v>6000</v>
      </c>
      <c r="I2438" s="511">
        <f t="shared" si="160"/>
        <v>6000</v>
      </c>
      <c r="J2438" s="547">
        <v>5700</v>
      </c>
      <c r="K2438" s="532">
        <f t="shared" si="162"/>
        <v>300</v>
      </c>
      <c r="L2438" s="533">
        <f t="shared" si="161"/>
        <v>300</v>
      </c>
      <c r="M2438" s="537">
        <f t="shared" si="163"/>
        <v>0.05</v>
      </c>
      <c r="N2438" s="47" t="s">
        <v>22</v>
      </c>
      <c r="O2438" s="81" t="s">
        <v>39</v>
      </c>
    </row>
    <row r="2439" spans="1:15">
      <c r="A2439" s="70">
        <v>2025</v>
      </c>
      <c r="B2439" s="16" t="s">
        <v>178</v>
      </c>
      <c r="C2439" s="63" t="s">
        <v>3349</v>
      </c>
      <c r="D2439" s="56" t="s">
        <v>107</v>
      </c>
      <c r="E2439" s="56" t="s">
        <v>1652</v>
      </c>
      <c r="F2439" s="101">
        <v>186</v>
      </c>
      <c r="G2439" s="59" t="s">
        <v>19</v>
      </c>
      <c r="H2439" s="489">
        <v>1380</v>
      </c>
      <c r="I2439" s="511">
        <f t="shared" si="160"/>
        <v>256680</v>
      </c>
      <c r="J2439" s="547">
        <v>1037</v>
      </c>
      <c r="K2439" s="532">
        <f t="shared" si="162"/>
        <v>343</v>
      </c>
      <c r="L2439" s="533">
        <f t="shared" si="161"/>
        <v>63798</v>
      </c>
      <c r="M2439" s="537">
        <f t="shared" si="163"/>
        <v>0.24855072463768116</v>
      </c>
      <c r="N2439" s="47" t="s">
        <v>22</v>
      </c>
      <c r="O2439" s="81" t="s">
        <v>105</v>
      </c>
    </row>
    <row r="2440" spans="1:15">
      <c r="A2440" s="70">
        <v>2025</v>
      </c>
      <c r="B2440" s="424" t="s">
        <v>327</v>
      </c>
      <c r="C2440" s="63" t="s">
        <v>3350</v>
      </c>
      <c r="D2440" s="56" t="s">
        <v>505</v>
      </c>
      <c r="E2440" s="56" t="s">
        <v>3351</v>
      </c>
      <c r="F2440" s="101">
        <v>25</v>
      </c>
      <c r="G2440" s="59" t="s">
        <v>1616</v>
      </c>
      <c r="H2440" s="60">
        <v>1700</v>
      </c>
      <c r="I2440" s="49">
        <f t="shared" si="160"/>
        <v>42500</v>
      </c>
      <c r="J2440" s="532">
        <v>1650</v>
      </c>
      <c r="K2440" s="532">
        <f t="shared" si="162"/>
        <v>50</v>
      </c>
      <c r="L2440" s="533">
        <f t="shared" si="161"/>
        <v>1250</v>
      </c>
      <c r="M2440" s="537">
        <f t="shared" si="163"/>
        <v>2.9411764705882353E-2</v>
      </c>
      <c r="N2440" s="47" t="s">
        <v>22</v>
      </c>
      <c r="O2440" s="81" t="s">
        <v>105</v>
      </c>
    </row>
    <row r="2441" spans="1:15">
      <c r="A2441" s="70">
        <v>2025</v>
      </c>
      <c r="B2441" s="16" t="s">
        <v>327</v>
      </c>
      <c r="C2441" s="63" t="s">
        <v>3352</v>
      </c>
      <c r="D2441" s="56" t="s">
        <v>590</v>
      </c>
      <c r="E2441" s="56" t="s">
        <v>3353</v>
      </c>
      <c r="F2441" s="101">
        <v>140</v>
      </c>
      <c r="G2441" s="59" t="s">
        <v>1616</v>
      </c>
      <c r="H2441" s="60">
        <v>300</v>
      </c>
      <c r="I2441" s="49">
        <f t="shared" si="160"/>
        <v>42000</v>
      </c>
      <c r="J2441" s="532">
        <v>280</v>
      </c>
      <c r="K2441" s="532">
        <f t="shared" si="162"/>
        <v>20</v>
      </c>
      <c r="L2441" s="533">
        <f t="shared" si="161"/>
        <v>2800</v>
      </c>
      <c r="M2441" s="537">
        <f t="shared" si="163"/>
        <v>6.6666666666666666E-2</v>
      </c>
      <c r="N2441" s="47" t="s">
        <v>40</v>
      </c>
      <c r="O2441" s="81" t="s">
        <v>39</v>
      </c>
    </row>
    <row r="2442" spans="1:15">
      <c r="A2442" s="70">
        <v>2025</v>
      </c>
      <c r="B2442" s="16" t="s">
        <v>327</v>
      </c>
      <c r="C2442" s="63" t="s">
        <v>3354</v>
      </c>
      <c r="D2442" s="56" t="s">
        <v>1119</v>
      </c>
      <c r="E2442" s="56" t="s">
        <v>3355</v>
      </c>
      <c r="F2442" s="101">
        <v>51</v>
      </c>
      <c r="G2442" s="59" t="s">
        <v>1616</v>
      </c>
      <c r="H2442" s="60">
        <v>1900</v>
      </c>
      <c r="I2442" s="49">
        <f t="shared" si="160"/>
        <v>96900</v>
      </c>
      <c r="J2442" s="532">
        <v>1850</v>
      </c>
      <c r="K2442" s="532">
        <f t="shared" si="162"/>
        <v>50</v>
      </c>
      <c r="L2442" s="533">
        <f t="shared" si="161"/>
        <v>2550</v>
      </c>
      <c r="M2442" s="537">
        <f t="shared" si="163"/>
        <v>2.6315789473684209E-2</v>
      </c>
      <c r="N2442" s="47" t="s">
        <v>22</v>
      </c>
      <c r="O2442" s="81" t="s">
        <v>39</v>
      </c>
    </row>
    <row r="2443" spans="1:15">
      <c r="A2443" s="70">
        <v>2025</v>
      </c>
      <c r="B2443" s="16" t="s">
        <v>327</v>
      </c>
      <c r="C2443" s="63" t="s">
        <v>3356</v>
      </c>
      <c r="D2443" s="56" t="s">
        <v>617</v>
      </c>
      <c r="E2443" s="56" t="s">
        <v>996</v>
      </c>
      <c r="F2443" s="101">
        <v>3000</v>
      </c>
      <c r="G2443" s="59" t="s">
        <v>1605</v>
      </c>
      <c r="H2443" s="60">
        <v>28</v>
      </c>
      <c r="I2443" s="49">
        <f t="shared" si="160"/>
        <v>84000</v>
      </c>
      <c r="J2443" s="532">
        <v>27.5</v>
      </c>
      <c r="K2443" s="532">
        <f t="shared" si="162"/>
        <v>0.5</v>
      </c>
      <c r="L2443" s="533">
        <f t="shared" si="161"/>
        <v>1500</v>
      </c>
      <c r="M2443" s="537">
        <f t="shared" si="163"/>
        <v>1.7857142857142856E-2</v>
      </c>
      <c r="N2443" s="47" t="s">
        <v>22</v>
      </c>
      <c r="O2443" s="81" t="s">
        <v>39</v>
      </c>
    </row>
    <row r="2444" spans="1:15">
      <c r="A2444" s="70">
        <v>2025</v>
      </c>
      <c r="B2444" s="16" t="s">
        <v>327</v>
      </c>
      <c r="C2444" s="63" t="s">
        <v>3357</v>
      </c>
      <c r="D2444" s="56" t="s">
        <v>776</v>
      </c>
      <c r="E2444" s="56" t="s">
        <v>3358</v>
      </c>
      <c r="F2444" s="101">
        <v>20000</v>
      </c>
      <c r="G2444" s="59" t="s">
        <v>1605</v>
      </c>
      <c r="H2444" s="60">
        <f>(2.59*34)+1</f>
        <v>89.06</v>
      </c>
      <c r="I2444" s="49">
        <f t="shared" si="160"/>
        <v>1781200</v>
      </c>
      <c r="J2444" s="532">
        <f>(2.55*34)+1</f>
        <v>87.699999999999989</v>
      </c>
      <c r="K2444" s="532">
        <f t="shared" si="162"/>
        <v>1.3600000000000136</v>
      </c>
      <c r="L2444" s="533">
        <f t="shared" si="161"/>
        <v>27200.000000000273</v>
      </c>
      <c r="M2444" s="537">
        <f t="shared" si="163"/>
        <v>1.5270604087132423E-2</v>
      </c>
      <c r="N2444" s="47" t="s">
        <v>22</v>
      </c>
      <c r="O2444" s="81" t="s">
        <v>39</v>
      </c>
    </row>
    <row r="2445" spans="1:15">
      <c r="A2445" s="70">
        <v>2025</v>
      </c>
      <c r="B2445" s="16" t="s">
        <v>327</v>
      </c>
      <c r="C2445" s="63" t="s">
        <v>3359</v>
      </c>
      <c r="D2445" s="56" t="s">
        <v>3360</v>
      </c>
      <c r="E2445" s="56" t="s">
        <v>503</v>
      </c>
      <c r="F2445" s="101">
        <v>200000</v>
      </c>
      <c r="G2445" s="59" t="s">
        <v>1605</v>
      </c>
      <c r="H2445" s="60">
        <v>80.900000000000006</v>
      </c>
      <c r="I2445" s="49">
        <f t="shared" si="160"/>
        <v>16180000.000000002</v>
      </c>
      <c r="J2445" s="532">
        <v>74.162000000000006</v>
      </c>
      <c r="K2445" s="532">
        <f t="shared" si="162"/>
        <v>6.7379999999999995</v>
      </c>
      <c r="L2445" s="533">
        <f t="shared" si="161"/>
        <v>1347600</v>
      </c>
      <c r="M2445" s="537">
        <f t="shared" si="163"/>
        <v>8.3288009888751527E-2</v>
      </c>
      <c r="N2445" s="47" t="s">
        <v>22</v>
      </c>
      <c r="O2445" s="81" t="s">
        <v>39</v>
      </c>
    </row>
    <row r="2446" spans="1:15">
      <c r="A2446" s="70">
        <v>2025</v>
      </c>
      <c r="B2446" s="16" t="s">
        <v>327</v>
      </c>
      <c r="C2446" s="63" t="s">
        <v>3361</v>
      </c>
      <c r="D2446" s="56" t="s">
        <v>590</v>
      </c>
      <c r="E2446" s="56" t="s">
        <v>3225</v>
      </c>
      <c r="F2446" s="101">
        <v>11</v>
      </c>
      <c r="G2446" s="59" t="s">
        <v>1616</v>
      </c>
      <c r="H2446" s="60">
        <v>6000</v>
      </c>
      <c r="I2446" s="49">
        <f t="shared" si="160"/>
        <v>66000</v>
      </c>
      <c r="J2446" s="532">
        <v>5700</v>
      </c>
      <c r="K2446" s="532">
        <f t="shared" si="162"/>
        <v>300</v>
      </c>
      <c r="L2446" s="533">
        <f t="shared" si="161"/>
        <v>3300</v>
      </c>
      <c r="M2446" s="537">
        <f t="shared" si="163"/>
        <v>0.05</v>
      </c>
      <c r="N2446" s="47" t="s">
        <v>22</v>
      </c>
      <c r="O2446" s="81" t="s">
        <v>39</v>
      </c>
    </row>
    <row r="2447" spans="1:15">
      <c r="A2447" s="70">
        <v>2025</v>
      </c>
      <c r="B2447" s="16" t="s">
        <v>327</v>
      </c>
      <c r="C2447" s="63" t="s">
        <v>3361</v>
      </c>
      <c r="D2447" s="56" t="s">
        <v>590</v>
      </c>
      <c r="E2447" s="56" t="s">
        <v>3362</v>
      </c>
      <c r="F2447" s="101">
        <v>7</v>
      </c>
      <c r="G2447" s="59" t="s">
        <v>1608</v>
      </c>
      <c r="H2447" s="60">
        <v>48500</v>
      </c>
      <c r="I2447" s="49">
        <f t="shared" si="160"/>
        <v>339500</v>
      </c>
      <c r="J2447" s="532">
        <v>45000</v>
      </c>
      <c r="K2447" s="532">
        <f t="shared" si="162"/>
        <v>3500</v>
      </c>
      <c r="L2447" s="533">
        <f t="shared" si="161"/>
        <v>24500</v>
      </c>
      <c r="M2447" s="537">
        <f t="shared" si="163"/>
        <v>7.2164948453608241E-2</v>
      </c>
      <c r="N2447" s="47" t="s">
        <v>22</v>
      </c>
      <c r="O2447" s="81" t="s">
        <v>39</v>
      </c>
    </row>
    <row r="2448" spans="1:15">
      <c r="A2448" s="70">
        <v>2025</v>
      </c>
      <c r="B2448" s="16" t="s">
        <v>327</v>
      </c>
      <c r="C2448" s="63" t="s">
        <v>3361</v>
      </c>
      <c r="D2448" s="56" t="s">
        <v>590</v>
      </c>
      <c r="E2448" s="56" t="s">
        <v>3363</v>
      </c>
      <c r="F2448" s="101">
        <v>8</v>
      </c>
      <c r="G2448" s="59" t="s">
        <v>1608</v>
      </c>
      <c r="H2448" s="60">
        <v>18000</v>
      </c>
      <c r="I2448" s="49">
        <f t="shared" si="160"/>
        <v>144000</v>
      </c>
      <c r="J2448" s="532">
        <v>15000</v>
      </c>
      <c r="K2448" s="532">
        <f t="shared" si="162"/>
        <v>3000</v>
      </c>
      <c r="L2448" s="533">
        <f t="shared" si="161"/>
        <v>24000</v>
      </c>
      <c r="M2448" s="537">
        <f t="shared" si="163"/>
        <v>0.16666666666666666</v>
      </c>
      <c r="N2448" s="47" t="s">
        <v>22</v>
      </c>
      <c r="O2448" s="81" t="s">
        <v>39</v>
      </c>
    </row>
    <row r="2449" spans="1:15">
      <c r="A2449" s="70">
        <v>2025</v>
      </c>
      <c r="B2449" s="16" t="s">
        <v>327</v>
      </c>
      <c r="C2449" s="63" t="s">
        <v>3361</v>
      </c>
      <c r="D2449" s="56" t="s">
        <v>590</v>
      </c>
      <c r="E2449" s="56" t="s">
        <v>3364</v>
      </c>
      <c r="F2449" s="101">
        <v>8</v>
      </c>
      <c r="G2449" s="59" t="s">
        <v>1608</v>
      </c>
      <c r="H2449" s="60">
        <v>22000</v>
      </c>
      <c r="I2449" s="49">
        <f t="shared" si="160"/>
        <v>176000</v>
      </c>
      <c r="J2449" s="532">
        <v>18400</v>
      </c>
      <c r="K2449" s="532">
        <f t="shared" si="162"/>
        <v>3600</v>
      </c>
      <c r="L2449" s="533">
        <f t="shared" si="161"/>
        <v>28800</v>
      </c>
      <c r="M2449" s="537">
        <f t="shared" si="163"/>
        <v>0.16363636363636364</v>
      </c>
      <c r="N2449" s="47" t="s">
        <v>22</v>
      </c>
      <c r="O2449" s="81" t="s">
        <v>39</v>
      </c>
    </row>
    <row r="2450" spans="1:15">
      <c r="A2450" s="70">
        <v>2025</v>
      </c>
      <c r="B2450" s="16" t="s">
        <v>327</v>
      </c>
      <c r="C2450" s="63" t="s">
        <v>3365</v>
      </c>
      <c r="D2450" s="56" t="s">
        <v>590</v>
      </c>
      <c r="E2450" s="56" t="s">
        <v>3363</v>
      </c>
      <c r="F2450" s="101">
        <v>17</v>
      </c>
      <c r="G2450" s="59" t="s">
        <v>1608</v>
      </c>
      <c r="H2450" s="60">
        <v>18000</v>
      </c>
      <c r="I2450" s="49">
        <f t="shared" si="160"/>
        <v>306000</v>
      </c>
      <c r="J2450" s="532">
        <v>15000</v>
      </c>
      <c r="K2450" s="532">
        <f t="shared" si="162"/>
        <v>3000</v>
      </c>
      <c r="L2450" s="533">
        <f t="shared" si="161"/>
        <v>51000</v>
      </c>
      <c r="M2450" s="537">
        <f t="shared" si="163"/>
        <v>0.16666666666666666</v>
      </c>
      <c r="N2450" s="47" t="s">
        <v>22</v>
      </c>
      <c r="O2450" s="81" t="s">
        <v>39</v>
      </c>
    </row>
    <row r="2451" spans="1:15">
      <c r="A2451" s="70">
        <v>2025</v>
      </c>
      <c r="B2451" s="16" t="s">
        <v>327</v>
      </c>
      <c r="C2451" s="63" t="s">
        <v>3365</v>
      </c>
      <c r="D2451" s="56" t="s">
        <v>590</v>
      </c>
      <c r="E2451" s="56" t="s">
        <v>3364</v>
      </c>
      <c r="F2451" s="101">
        <v>17</v>
      </c>
      <c r="G2451" s="59" t="s">
        <v>1608</v>
      </c>
      <c r="H2451" s="60">
        <v>22000</v>
      </c>
      <c r="I2451" s="49">
        <f t="shared" si="160"/>
        <v>374000</v>
      </c>
      <c r="J2451" s="532">
        <v>18400</v>
      </c>
      <c r="K2451" s="532">
        <f t="shared" si="162"/>
        <v>3600</v>
      </c>
      <c r="L2451" s="533">
        <f t="shared" si="161"/>
        <v>61200</v>
      </c>
      <c r="M2451" s="537">
        <f t="shared" si="163"/>
        <v>0.16363636363636364</v>
      </c>
      <c r="N2451" s="47" t="s">
        <v>22</v>
      </c>
      <c r="O2451" s="81" t="s">
        <v>39</v>
      </c>
    </row>
    <row r="2452" spans="1:15">
      <c r="A2452" s="70">
        <v>2025</v>
      </c>
      <c r="B2452" s="16" t="s">
        <v>327</v>
      </c>
      <c r="C2452" s="63" t="s">
        <v>3365</v>
      </c>
      <c r="D2452" s="82" t="s">
        <v>590</v>
      </c>
      <c r="E2452" s="56" t="s">
        <v>3345</v>
      </c>
      <c r="F2452" s="459">
        <v>14</v>
      </c>
      <c r="G2452" s="59" t="s">
        <v>1608</v>
      </c>
      <c r="H2452" s="60">
        <v>48500</v>
      </c>
      <c r="I2452" s="49">
        <f t="shared" si="160"/>
        <v>679000</v>
      </c>
      <c r="J2452" s="538">
        <v>45000</v>
      </c>
      <c r="K2452" s="532">
        <f t="shared" si="162"/>
        <v>3500</v>
      </c>
      <c r="L2452" s="533">
        <f t="shared" si="161"/>
        <v>49000</v>
      </c>
      <c r="M2452" s="537">
        <f t="shared" si="163"/>
        <v>7.2164948453608241E-2</v>
      </c>
      <c r="N2452" s="47" t="s">
        <v>22</v>
      </c>
      <c r="O2452" s="81" t="s">
        <v>39</v>
      </c>
    </row>
    <row r="2453" spans="1:15">
      <c r="A2453" s="70">
        <v>2025</v>
      </c>
      <c r="B2453" s="16" t="s">
        <v>327</v>
      </c>
      <c r="C2453" s="63" t="s">
        <v>3365</v>
      </c>
      <c r="D2453" s="82" t="s">
        <v>590</v>
      </c>
      <c r="E2453" s="56" t="s">
        <v>3225</v>
      </c>
      <c r="F2453" s="459">
        <v>18</v>
      </c>
      <c r="G2453" s="59" t="s">
        <v>1616</v>
      </c>
      <c r="H2453" s="60">
        <v>6000</v>
      </c>
      <c r="I2453" s="49">
        <f t="shared" si="160"/>
        <v>108000</v>
      </c>
      <c r="J2453" s="538">
        <v>5700</v>
      </c>
      <c r="K2453" s="532">
        <f t="shared" si="162"/>
        <v>300</v>
      </c>
      <c r="L2453" s="533">
        <f t="shared" si="161"/>
        <v>5400</v>
      </c>
      <c r="M2453" s="537">
        <f t="shared" si="163"/>
        <v>0.05</v>
      </c>
      <c r="N2453" s="47" t="s">
        <v>22</v>
      </c>
      <c r="O2453" s="81" t="s">
        <v>39</v>
      </c>
    </row>
    <row r="2454" spans="1:15">
      <c r="A2454" s="70">
        <v>2025</v>
      </c>
      <c r="B2454" s="16" t="s">
        <v>327</v>
      </c>
      <c r="C2454" s="56" t="s">
        <v>3366</v>
      </c>
      <c r="D2454" s="82" t="s">
        <v>200</v>
      </c>
      <c r="E2454" s="56" t="s">
        <v>3367</v>
      </c>
      <c r="F2454" s="459">
        <v>2</v>
      </c>
      <c r="G2454" s="59" t="s">
        <v>1608</v>
      </c>
      <c r="H2454" s="60">
        <v>46500</v>
      </c>
      <c r="I2454" s="49">
        <f t="shared" si="160"/>
        <v>93000</v>
      </c>
      <c r="J2454" s="538">
        <v>45500</v>
      </c>
      <c r="K2454" s="532">
        <f t="shared" si="162"/>
        <v>1000</v>
      </c>
      <c r="L2454" s="533">
        <f t="shared" si="161"/>
        <v>2000</v>
      </c>
      <c r="M2454" s="537">
        <f t="shared" si="163"/>
        <v>2.1505376344086023E-2</v>
      </c>
      <c r="N2454" s="47" t="s">
        <v>40</v>
      </c>
      <c r="O2454" s="81" t="s">
        <v>39</v>
      </c>
    </row>
    <row r="2455" spans="1:15">
      <c r="A2455" s="70">
        <v>2025</v>
      </c>
      <c r="B2455" s="16" t="s">
        <v>327</v>
      </c>
      <c r="C2455" s="56" t="s">
        <v>3368</v>
      </c>
      <c r="D2455" s="56" t="s">
        <v>200</v>
      </c>
      <c r="E2455" s="56" t="s">
        <v>3369</v>
      </c>
      <c r="F2455" s="459">
        <v>11</v>
      </c>
      <c r="G2455" s="59" t="s">
        <v>1608</v>
      </c>
      <c r="H2455" s="60">
        <v>34500</v>
      </c>
      <c r="I2455" s="49">
        <f t="shared" si="160"/>
        <v>379500</v>
      </c>
      <c r="J2455" s="538">
        <v>33500</v>
      </c>
      <c r="K2455" s="532">
        <f t="shared" si="162"/>
        <v>1000</v>
      </c>
      <c r="L2455" s="533">
        <f t="shared" si="161"/>
        <v>11000</v>
      </c>
      <c r="M2455" s="537">
        <f t="shared" si="163"/>
        <v>2.8985507246376812E-2</v>
      </c>
      <c r="N2455" s="47" t="s">
        <v>40</v>
      </c>
      <c r="O2455" s="81" t="s">
        <v>39</v>
      </c>
    </row>
    <row r="2456" spans="1:15">
      <c r="A2456" s="70">
        <v>2025</v>
      </c>
      <c r="B2456" s="16" t="s">
        <v>327</v>
      </c>
      <c r="C2456" s="63" t="s">
        <v>3370</v>
      </c>
      <c r="D2456" s="56" t="s">
        <v>3235</v>
      </c>
      <c r="E2456" s="56" t="s">
        <v>274</v>
      </c>
      <c r="F2456" s="459">
        <v>9000</v>
      </c>
      <c r="G2456" s="59" t="s">
        <v>1605</v>
      </c>
      <c r="H2456" s="60">
        <v>27.4</v>
      </c>
      <c r="I2456" s="49">
        <f t="shared" si="160"/>
        <v>246600</v>
      </c>
      <c r="J2456" s="538">
        <v>27</v>
      </c>
      <c r="K2456" s="532">
        <f t="shared" si="162"/>
        <v>0.39999999999999858</v>
      </c>
      <c r="L2456" s="533">
        <f t="shared" si="161"/>
        <v>3599.9999999999873</v>
      </c>
      <c r="M2456" s="537">
        <f t="shared" si="163"/>
        <v>1.4598540145985351E-2</v>
      </c>
      <c r="N2456" s="47" t="s">
        <v>22</v>
      </c>
      <c r="O2456" s="81" t="s">
        <v>39</v>
      </c>
    </row>
    <row r="2457" spans="1:15">
      <c r="A2457" s="70">
        <v>2025</v>
      </c>
      <c r="B2457" s="16" t="s">
        <v>327</v>
      </c>
      <c r="C2457" s="63" t="s">
        <v>3370</v>
      </c>
      <c r="D2457" s="56" t="s">
        <v>3235</v>
      </c>
      <c r="E2457" s="56" t="s">
        <v>333</v>
      </c>
      <c r="F2457" s="459">
        <v>3000</v>
      </c>
      <c r="G2457" s="59" t="s">
        <v>1605</v>
      </c>
      <c r="H2457" s="60">
        <v>27.4</v>
      </c>
      <c r="I2457" s="49">
        <f t="shared" si="160"/>
        <v>82200</v>
      </c>
      <c r="J2457" s="538">
        <v>27</v>
      </c>
      <c r="K2457" s="532">
        <f t="shared" si="162"/>
        <v>0.39999999999999858</v>
      </c>
      <c r="L2457" s="533">
        <f t="shared" si="161"/>
        <v>1199.9999999999957</v>
      </c>
      <c r="M2457" s="537">
        <f t="shared" si="163"/>
        <v>1.4598540145985351E-2</v>
      </c>
      <c r="N2457" s="47" t="s">
        <v>22</v>
      </c>
      <c r="O2457" s="81" t="s">
        <v>39</v>
      </c>
    </row>
    <row r="2458" spans="1:15">
      <c r="A2458" s="70">
        <v>2025</v>
      </c>
      <c r="B2458" s="16" t="s">
        <v>327</v>
      </c>
      <c r="C2458" s="63" t="s">
        <v>3371</v>
      </c>
      <c r="D2458" s="82" t="s">
        <v>590</v>
      </c>
      <c r="E2458" s="56" t="s">
        <v>3372</v>
      </c>
      <c r="F2458" s="459">
        <v>546</v>
      </c>
      <c r="G2458" s="59" t="s">
        <v>1616</v>
      </c>
      <c r="H2458" s="60">
        <v>221</v>
      </c>
      <c r="I2458" s="49">
        <f t="shared" si="160"/>
        <v>120666</v>
      </c>
      <c r="J2458" s="538">
        <v>200</v>
      </c>
      <c r="K2458" s="532">
        <f t="shared" si="162"/>
        <v>21</v>
      </c>
      <c r="L2458" s="533">
        <f t="shared" si="161"/>
        <v>11466</v>
      </c>
      <c r="M2458" s="537">
        <f t="shared" si="163"/>
        <v>9.5022624434389136E-2</v>
      </c>
      <c r="N2458" s="47" t="s">
        <v>40</v>
      </c>
      <c r="O2458" s="81" t="s">
        <v>39</v>
      </c>
    </row>
    <row r="2459" spans="1:15">
      <c r="A2459" s="70">
        <v>2025</v>
      </c>
      <c r="B2459" s="16" t="s">
        <v>327</v>
      </c>
      <c r="C2459" s="63" t="s">
        <v>3371</v>
      </c>
      <c r="D2459" s="82" t="s">
        <v>590</v>
      </c>
      <c r="E2459" s="56" t="s">
        <v>3373</v>
      </c>
      <c r="F2459" s="459">
        <v>1640</v>
      </c>
      <c r="G2459" s="59" t="s">
        <v>1616</v>
      </c>
      <c r="H2459" s="60">
        <v>740</v>
      </c>
      <c r="I2459" s="49">
        <f t="shared" si="160"/>
        <v>1213600</v>
      </c>
      <c r="J2459" s="538">
        <v>660</v>
      </c>
      <c r="K2459" s="532">
        <f t="shared" si="162"/>
        <v>80</v>
      </c>
      <c r="L2459" s="533">
        <f t="shared" si="161"/>
        <v>131200</v>
      </c>
      <c r="M2459" s="537">
        <f t="shared" si="163"/>
        <v>0.10810810810810811</v>
      </c>
      <c r="N2459" s="47" t="s">
        <v>40</v>
      </c>
      <c r="O2459" s="81" t="s">
        <v>39</v>
      </c>
    </row>
    <row r="2460" spans="1:15">
      <c r="A2460" s="70">
        <v>2025</v>
      </c>
      <c r="B2460" s="16" t="s">
        <v>327</v>
      </c>
      <c r="C2460" s="63" t="s">
        <v>3371</v>
      </c>
      <c r="D2460" s="82" t="s">
        <v>590</v>
      </c>
      <c r="E2460" s="56" t="s">
        <v>3374</v>
      </c>
      <c r="F2460" s="459">
        <v>216</v>
      </c>
      <c r="G2460" s="59" t="s">
        <v>1616</v>
      </c>
      <c r="H2460" s="60">
        <v>1020</v>
      </c>
      <c r="I2460" s="49">
        <f t="shared" si="160"/>
        <v>220320</v>
      </c>
      <c r="J2460" s="538">
        <v>920</v>
      </c>
      <c r="K2460" s="532">
        <f t="shared" si="162"/>
        <v>100</v>
      </c>
      <c r="L2460" s="533">
        <f t="shared" si="161"/>
        <v>21600</v>
      </c>
      <c r="M2460" s="537">
        <f t="shared" si="163"/>
        <v>9.8039215686274508E-2</v>
      </c>
      <c r="N2460" s="47" t="s">
        <v>40</v>
      </c>
      <c r="O2460" s="81" t="s">
        <v>39</v>
      </c>
    </row>
    <row r="2461" spans="1:15">
      <c r="A2461" s="70">
        <v>2025</v>
      </c>
      <c r="B2461" s="16" t="s">
        <v>327</v>
      </c>
      <c r="C2461" s="63" t="s">
        <v>3365</v>
      </c>
      <c r="D2461" s="82" t="s">
        <v>590</v>
      </c>
      <c r="E2461" s="56" t="s">
        <v>3345</v>
      </c>
      <c r="F2461" s="459">
        <v>14</v>
      </c>
      <c r="G2461" s="59" t="s">
        <v>1608</v>
      </c>
      <c r="H2461" s="60">
        <v>48500</v>
      </c>
      <c r="I2461" s="49">
        <f t="shared" si="160"/>
        <v>679000</v>
      </c>
      <c r="J2461" s="538">
        <v>45000</v>
      </c>
      <c r="K2461" s="532">
        <f t="shared" si="162"/>
        <v>3500</v>
      </c>
      <c r="L2461" s="533">
        <f t="shared" si="161"/>
        <v>49000</v>
      </c>
      <c r="M2461" s="537">
        <f t="shared" si="163"/>
        <v>7.2164948453608241E-2</v>
      </c>
      <c r="N2461" s="47" t="s">
        <v>22</v>
      </c>
      <c r="O2461" s="81" t="s">
        <v>39</v>
      </c>
    </row>
    <row r="2462" spans="1:15">
      <c r="A2462" s="70">
        <v>2025</v>
      </c>
      <c r="B2462" s="16" t="s">
        <v>327</v>
      </c>
      <c r="C2462" s="63" t="s">
        <v>3365</v>
      </c>
      <c r="D2462" s="82" t="s">
        <v>590</v>
      </c>
      <c r="E2462" s="56" t="s">
        <v>3363</v>
      </c>
      <c r="F2462" s="459">
        <v>17</v>
      </c>
      <c r="G2462" s="59" t="s">
        <v>1608</v>
      </c>
      <c r="H2462" s="60">
        <v>18000</v>
      </c>
      <c r="I2462" s="49">
        <f t="shared" si="160"/>
        <v>306000</v>
      </c>
      <c r="J2462" s="532">
        <v>15000</v>
      </c>
      <c r="K2462" s="532">
        <f t="shared" si="162"/>
        <v>3000</v>
      </c>
      <c r="L2462" s="533">
        <f t="shared" si="161"/>
        <v>51000</v>
      </c>
      <c r="M2462" s="534">
        <f t="shared" si="163"/>
        <v>0.16666666666666666</v>
      </c>
      <c r="N2462" s="47" t="s">
        <v>22</v>
      </c>
      <c r="O2462" s="81" t="s">
        <v>39</v>
      </c>
    </row>
    <row r="2463" spans="1:15">
      <c r="A2463" s="70">
        <v>2025</v>
      </c>
      <c r="B2463" s="16" t="s">
        <v>327</v>
      </c>
      <c r="C2463" s="63" t="s">
        <v>3365</v>
      </c>
      <c r="D2463" s="82" t="s">
        <v>590</v>
      </c>
      <c r="E2463" s="56" t="s">
        <v>3364</v>
      </c>
      <c r="F2463" s="459">
        <v>17</v>
      </c>
      <c r="G2463" s="59" t="s">
        <v>1608</v>
      </c>
      <c r="H2463" s="60">
        <v>22000</v>
      </c>
      <c r="I2463" s="49">
        <f t="shared" si="160"/>
        <v>374000</v>
      </c>
      <c r="J2463" s="532">
        <v>18400</v>
      </c>
      <c r="K2463" s="532">
        <f t="shared" si="162"/>
        <v>3600</v>
      </c>
      <c r="L2463" s="533">
        <f t="shared" si="161"/>
        <v>61200</v>
      </c>
      <c r="M2463" s="537">
        <f t="shared" si="163"/>
        <v>0.16363636363636364</v>
      </c>
      <c r="N2463" s="47" t="s">
        <v>22</v>
      </c>
      <c r="O2463" s="81" t="s">
        <v>39</v>
      </c>
    </row>
    <row r="2464" spans="1:15">
      <c r="A2464" s="70">
        <v>2025</v>
      </c>
      <c r="B2464" s="16" t="s">
        <v>327</v>
      </c>
      <c r="C2464" s="63" t="s">
        <v>3365</v>
      </c>
      <c r="D2464" s="82" t="s">
        <v>590</v>
      </c>
      <c r="E2464" s="57" t="s">
        <v>3225</v>
      </c>
      <c r="F2464" s="459">
        <v>18</v>
      </c>
      <c r="G2464" s="59" t="s">
        <v>1616</v>
      </c>
      <c r="H2464" s="60">
        <v>6000</v>
      </c>
      <c r="I2464" s="49">
        <f t="shared" si="160"/>
        <v>108000</v>
      </c>
      <c r="J2464" s="532">
        <v>5700</v>
      </c>
      <c r="K2464" s="532">
        <f t="shared" si="162"/>
        <v>300</v>
      </c>
      <c r="L2464" s="533">
        <f t="shared" si="161"/>
        <v>5400</v>
      </c>
      <c r="M2464" s="534">
        <f t="shared" si="163"/>
        <v>0.05</v>
      </c>
      <c r="N2464" s="47" t="s">
        <v>22</v>
      </c>
      <c r="O2464" s="81" t="s">
        <v>39</v>
      </c>
    </row>
    <row r="2465" spans="1:15">
      <c r="A2465" s="70">
        <v>2025</v>
      </c>
      <c r="B2465" s="16" t="s">
        <v>327</v>
      </c>
      <c r="C2465" s="63" t="s">
        <v>3375</v>
      </c>
      <c r="D2465" s="82" t="s">
        <v>590</v>
      </c>
      <c r="E2465" s="57" t="s">
        <v>3345</v>
      </c>
      <c r="F2465" s="459">
        <v>4</v>
      </c>
      <c r="G2465" s="59" t="s">
        <v>1608</v>
      </c>
      <c r="H2465" s="60">
        <v>48500</v>
      </c>
      <c r="I2465" s="49">
        <f t="shared" si="160"/>
        <v>194000</v>
      </c>
      <c r="J2465" s="538">
        <v>45000</v>
      </c>
      <c r="K2465" s="532">
        <f t="shared" si="162"/>
        <v>3500</v>
      </c>
      <c r="L2465" s="533">
        <f t="shared" si="161"/>
        <v>14000</v>
      </c>
      <c r="M2465" s="537">
        <f t="shared" si="163"/>
        <v>7.2164948453608241E-2</v>
      </c>
      <c r="N2465" s="47" t="s">
        <v>22</v>
      </c>
      <c r="O2465" s="81" t="s">
        <v>39</v>
      </c>
    </row>
    <row r="2466" spans="1:15">
      <c r="A2466" s="70">
        <v>2025</v>
      </c>
      <c r="B2466" s="16" t="s">
        <v>327</v>
      </c>
      <c r="C2466" s="63" t="s">
        <v>3375</v>
      </c>
      <c r="D2466" s="82" t="s">
        <v>590</v>
      </c>
      <c r="E2466" s="57" t="s">
        <v>3363</v>
      </c>
      <c r="F2466" s="459">
        <v>4</v>
      </c>
      <c r="G2466" s="59" t="s">
        <v>1608</v>
      </c>
      <c r="H2466" s="60">
        <v>18000</v>
      </c>
      <c r="I2466" s="49">
        <f t="shared" si="160"/>
        <v>72000</v>
      </c>
      <c r="J2466" s="538">
        <v>15000</v>
      </c>
      <c r="K2466" s="532">
        <f t="shared" si="162"/>
        <v>3000</v>
      </c>
      <c r="L2466" s="533">
        <f t="shared" si="161"/>
        <v>12000</v>
      </c>
      <c r="M2466" s="537">
        <f t="shared" si="163"/>
        <v>0.16666666666666666</v>
      </c>
      <c r="N2466" s="47" t="s">
        <v>22</v>
      </c>
      <c r="O2466" s="81" t="s">
        <v>39</v>
      </c>
    </row>
    <row r="2467" spans="1:15">
      <c r="A2467" s="70">
        <v>2025</v>
      </c>
      <c r="B2467" s="16" t="s">
        <v>327</v>
      </c>
      <c r="C2467" s="63" t="s">
        <v>3375</v>
      </c>
      <c r="D2467" s="82" t="s">
        <v>590</v>
      </c>
      <c r="E2467" s="57" t="s">
        <v>3364</v>
      </c>
      <c r="F2467" s="459">
        <v>4</v>
      </c>
      <c r="G2467" s="59" t="s">
        <v>1608</v>
      </c>
      <c r="H2467" s="60">
        <v>22000</v>
      </c>
      <c r="I2467" s="49">
        <f t="shared" si="160"/>
        <v>88000</v>
      </c>
      <c r="J2467" s="532">
        <v>18400</v>
      </c>
      <c r="K2467" s="532">
        <f t="shared" si="162"/>
        <v>3600</v>
      </c>
      <c r="L2467" s="533">
        <f t="shared" si="161"/>
        <v>14400</v>
      </c>
      <c r="M2467" s="534">
        <f t="shared" si="163"/>
        <v>0.16363636363636364</v>
      </c>
      <c r="N2467" s="47" t="s">
        <v>22</v>
      </c>
      <c r="O2467" s="81" t="s">
        <v>39</v>
      </c>
    </row>
    <row r="2468" spans="1:15">
      <c r="A2468" s="70">
        <v>2025</v>
      </c>
      <c r="B2468" s="16" t="s">
        <v>327</v>
      </c>
      <c r="C2468" s="63" t="s">
        <v>3375</v>
      </c>
      <c r="D2468" s="82" t="s">
        <v>590</v>
      </c>
      <c r="E2468" s="57" t="s">
        <v>3225</v>
      </c>
      <c r="F2468" s="459">
        <v>4</v>
      </c>
      <c r="G2468" s="59" t="s">
        <v>1616</v>
      </c>
      <c r="H2468" s="60">
        <v>6000</v>
      </c>
      <c r="I2468" s="49">
        <f t="shared" si="160"/>
        <v>24000</v>
      </c>
      <c r="J2468" s="532">
        <v>5700</v>
      </c>
      <c r="K2468" s="532">
        <f t="shared" si="162"/>
        <v>300</v>
      </c>
      <c r="L2468" s="533">
        <f t="shared" si="161"/>
        <v>1200</v>
      </c>
      <c r="M2468" s="537">
        <f t="shared" si="163"/>
        <v>0.05</v>
      </c>
      <c r="N2468" s="47" t="s">
        <v>22</v>
      </c>
      <c r="O2468" s="81" t="s">
        <v>39</v>
      </c>
    </row>
    <row r="2469" spans="1:15">
      <c r="A2469" s="70">
        <v>2025</v>
      </c>
      <c r="B2469" s="16" t="s">
        <v>327</v>
      </c>
      <c r="C2469" s="63" t="s">
        <v>3376</v>
      </c>
      <c r="D2469" s="82" t="s">
        <v>192</v>
      </c>
      <c r="E2469" s="56" t="s">
        <v>3377</v>
      </c>
      <c r="F2469" s="459">
        <v>14</v>
      </c>
      <c r="G2469" s="59" t="s">
        <v>1616</v>
      </c>
      <c r="H2469" s="60">
        <v>13258.81</v>
      </c>
      <c r="I2469" s="49">
        <f t="shared" si="160"/>
        <v>185623.34</v>
      </c>
      <c r="J2469" s="532">
        <v>5390</v>
      </c>
      <c r="K2469" s="532">
        <f t="shared" si="162"/>
        <v>7868.8099999999995</v>
      </c>
      <c r="L2469" s="533">
        <f t="shared" si="161"/>
        <v>110163.34</v>
      </c>
      <c r="M2469" s="534">
        <f t="shared" si="163"/>
        <v>0.59347784605104081</v>
      </c>
      <c r="N2469" s="47" t="s">
        <v>22</v>
      </c>
      <c r="O2469" s="81" t="s">
        <v>105</v>
      </c>
    </row>
    <row r="2470" spans="1:15">
      <c r="A2470" s="70">
        <v>2025</v>
      </c>
      <c r="B2470" s="16" t="s">
        <v>327</v>
      </c>
      <c r="C2470" s="430" t="s">
        <v>3378</v>
      </c>
      <c r="D2470" s="82" t="s">
        <v>892</v>
      </c>
      <c r="E2470" s="83" t="s">
        <v>3379</v>
      </c>
      <c r="F2470" s="459">
        <f>280*2</f>
        <v>560</v>
      </c>
      <c r="G2470" s="59" t="s">
        <v>1616</v>
      </c>
      <c r="H2470" s="60">
        <v>500</v>
      </c>
      <c r="I2470" s="49">
        <f t="shared" si="160"/>
        <v>280000</v>
      </c>
      <c r="J2470" s="532">
        <v>480</v>
      </c>
      <c r="K2470" s="532">
        <f t="shared" si="162"/>
        <v>20</v>
      </c>
      <c r="L2470" s="533">
        <f t="shared" si="161"/>
        <v>11200</v>
      </c>
      <c r="M2470" s="534">
        <f t="shared" si="163"/>
        <v>0.04</v>
      </c>
      <c r="N2470" s="47" t="s">
        <v>40</v>
      </c>
      <c r="O2470" s="81" t="s">
        <v>105</v>
      </c>
    </row>
    <row r="2471" spans="1:15">
      <c r="A2471" s="70">
        <v>2025</v>
      </c>
      <c r="B2471" s="16" t="s">
        <v>327</v>
      </c>
      <c r="C2471" s="430" t="s">
        <v>3380</v>
      </c>
      <c r="D2471" s="82" t="s">
        <v>94</v>
      </c>
      <c r="E2471" s="48" t="s">
        <v>613</v>
      </c>
      <c r="F2471" s="459">
        <v>200</v>
      </c>
      <c r="G2471" s="59" t="s">
        <v>1616</v>
      </c>
      <c r="H2471" s="60">
        <v>26</v>
      </c>
      <c r="I2471" s="49">
        <f t="shared" si="160"/>
        <v>5200</v>
      </c>
      <c r="J2471" s="532">
        <v>24.6</v>
      </c>
      <c r="K2471" s="532">
        <f t="shared" si="162"/>
        <v>1.3999999999999986</v>
      </c>
      <c r="L2471" s="533">
        <f t="shared" si="161"/>
        <v>279.99999999999972</v>
      </c>
      <c r="M2471" s="537">
        <f t="shared" si="163"/>
        <v>5.3846153846153794E-2</v>
      </c>
      <c r="N2471" s="47" t="s">
        <v>22</v>
      </c>
      <c r="O2471" s="81" t="s">
        <v>105</v>
      </c>
    </row>
    <row r="2472" spans="1:15">
      <c r="A2472" s="70">
        <v>2025</v>
      </c>
      <c r="B2472" s="16" t="s">
        <v>327</v>
      </c>
      <c r="C2472" s="430" t="s">
        <v>3381</v>
      </c>
      <c r="D2472" s="82" t="s">
        <v>166</v>
      </c>
      <c r="E2472" s="47" t="s">
        <v>3062</v>
      </c>
      <c r="F2472" s="459">
        <v>18780</v>
      </c>
      <c r="G2472" s="59" t="s">
        <v>1605</v>
      </c>
      <c r="H2472" s="60">
        <v>30.51</v>
      </c>
      <c r="I2472" s="49">
        <f t="shared" si="160"/>
        <v>572977.80000000005</v>
      </c>
      <c r="J2472" s="532">
        <v>26.28</v>
      </c>
      <c r="K2472" s="532">
        <f t="shared" si="162"/>
        <v>4.2300000000000004</v>
      </c>
      <c r="L2472" s="533">
        <f t="shared" si="161"/>
        <v>79439.400000000009</v>
      </c>
      <c r="M2472" s="534">
        <f t="shared" si="163"/>
        <v>0.13864306784660768</v>
      </c>
      <c r="N2472" s="47" t="s">
        <v>40</v>
      </c>
      <c r="O2472" s="56" t="s">
        <v>105</v>
      </c>
    </row>
    <row r="2473" spans="1:15">
      <c r="A2473" s="70">
        <v>2025</v>
      </c>
      <c r="B2473" s="16" t="s">
        <v>327</v>
      </c>
      <c r="C2473" s="430" t="s">
        <v>3382</v>
      </c>
      <c r="D2473" s="82" t="s">
        <v>118</v>
      </c>
      <c r="E2473" s="48" t="s">
        <v>3383</v>
      </c>
      <c r="F2473" s="459">
        <v>2</v>
      </c>
      <c r="G2473" s="59" t="s">
        <v>1616</v>
      </c>
      <c r="H2473" s="60">
        <v>375</v>
      </c>
      <c r="I2473" s="49">
        <f t="shared" si="160"/>
        <v>750</v>
      </c>
      <c r="J2473" s="518">
        <v>347</v>
      </c>
      <c r="K2473" s="532">
        <f t="shared" si="162"/>
        <v>28</v>
      </c>
      <c r="L2473" s="533">
        <f t="shared" si="161"/>
        <v>56</v>
      </c>
      <c r="M2473" s="534">
        <f t="shared" si="163"/>
        <v>7.4666666666666673E-2</v>
      </c>
      <c r="N2473" s="47" t="s">
        <v>22</v>
      </c>
      <c r="O2473" s="56" t="s">
        <v>105</v>
      </c>
    </row>
    <row r="2474" spans="1:15">
      <c r="A2474" s="70">
        <v>2025</v>
      </c>
      <c r="B2474" s="16" t="s">
        <v>327</v>
      </c>
      <c r="C2474" s="430" t="s">
        <v>3382</v>
      </c>
      <c r="D2474" s="82" t="s">
        <v>118</v>
      </c>
      <c r="E2474" s="449" t="s">
        <v>3384</v>
      </c>
      <c r="F2474" s="459">
        <v>2</v>
      </c>
      <c r="G2474" s="59" t="s">
        <v>1616</v>
      </c>
      <c r="H2474" s="60">
        <v>420</v>
      </c>
      <c r="I2474" s="49">
        <f t="shared" si="160"/>
        <v>840</v>
      </c>
      <c r="J2474" s="518">
        <v>402</v>
      </c>
      <c r="K2474" s="532">
        <f t="shared" si="162"/>
        <v>18</v>
      </c>
      <c r="L2474" s="533">
        <f t="shared" si="161"/>
        <v>36</v>
      </c>
      <c r="M2474" s="534">
        <f t="shared" si="163"/>
        <v>4.2857142857142858E-2</v>
      </c>
      <c r="N2474" s="47" t="s">
        <v>22</v>
      </c>
      <c r="O2474" s="56" t="s">
        <v>105</v>
      </c>
    </row>
    <row r="2475" spans="1:15">
      <c r="A2475" s="70">
        <v>2025</v>
      </c>
      <c r="B2475" s="16" t="s">
        <v>327</v>
      </c>
      <c r="C2475" s="430" t="s">
        <v>3382</v>
      </c>
      <c r="D2475" s="82" t="s">
        <v>118</v>
      </c>
      <c r="E2475" s="48" t="s">
        <v>3385</v>
      </c>
      <c r="F2475" s="459">
        <v>2</v>
      </c>
      <c r="G2475" s="59" t="s">
        <v>1616</v>
      </c>
      <c r="H2475" s="60">
        <v>520</v>
      </c>
      <c r="I2475" s="49">
        <f t="shared" si="160"/>
        <v>1040</v>
      </c>
      <c r="J2475" s="518">
        <v>502</v>
      </c>
      <c r="K2475" s="532">
        <f t="shared" si="162"/>
        <v>18</v>
      </c>
      <c r="L2475" s="533">
        <f t="shared" si="161"/>
        <v>36</v>
      </c>
      <c r="M2475" s="534">
        <f t="shared" si="163"/>
        <v>3.4615384615384617E-2</v>
      </c>
      <c r="N2475" s="47" t="s">
        <v>22</v>
      </c>
      <c r="O2475" s="56" t="s">
        <v>105</v>
      </c>
    </row>
    <row r="2476" spans="1:15">
      <c r="A2476" s="70">
        <v>2025</v>
      </c>
      <c r="B2476" s="16" t="s">
        <v>327</v>
      </c>
      <c r="C2476" s="430" t="s">
        <v>3382</v>
      </c>
      <c r="D2476" s="82" t="s">
        <v>118</v>
      </c>
      <c r="E2476" s="48" t="s">
        <v>3386</v>
      </c>
      <c r="F2476" s="459">
        <v>1</v>
      </c>
      <c r="G2476" s="59" t="s">
        <v>1616</v>
      </c>
      <c r="H2476" s="60">
        <v>785</v>
      </c>
      <c r="I2476" s="49">
        <f t="shared" si="160"/>
        <v>785</v>
      </c>
      <c r="J2476" s="518">
        <v>780</v>
      </c>
      <c r="K2476" s="532">
        <f t="shared" si="162"/>
        <v>5</v>
      </c>
      <c r="L2476" s="533">
        <f t="shared" si="161"/>
        <v>5</v>
      </c>
      <c r="M2476" s="534">
        <f t="shared" si="163"/>
        <v>6.369426751592357E-3</v>
      </c>
      <c r="N2476" s="47" t="s">
        <v>22</v>
      </c>
      <c r="O2476" s="56" t="s">
        <v>105</v>
      </c>
    </row>
    <row r="2477" spans="1:15">
      <c r="A2477" s="70">
        <v>2025</v>
      </c>
      <c r="B2477" s="16" t="s">
        <v>327</v>
      </c>
      <c r="C2477" s="430" t="s">
        <v>3387</v>
      </c>
      <c r="D2477" s="82" t="s">
        <v>94</v>
      </c>
      <c r="E2477" s="47" t="s">
        <v>546</v>
      </c>
      <c r="F2477" s="459">
        <v>100</v>
      </c>
      <c r="G2477" s="59" t="s">
        <v>1616</v>
      </c>
      <c r="H2477" s="60">
        <v>190</v>
      </c>
      <c r="I2477" s="49">
        <f t="shared" ref="I2477:I2540" si="164">H2477*F2477</f>
        <v>19000</v>
      </c>
      <c r="J2477" s="532">
        <v>182.25</v>
      </c>
      <c r="K2477" s="532">
        <f t="shared" si="162"/>
        <v>7.75</v>
      </c>
      <c r="L2477" s="533">
        <f t="shared" si="161"/>
        <v>775</v>
      </c>
      <c r="M2477" s="534">
        <f t="shared" si="163"/>
        <v>4.0789473684210528E-2</v>
      </c>
      <c r="N2477" s="47" t="s">
        <v>22</v>
      </c>
      <c r="O2477" s="56" t="s">
        <v>105</v>
      </c>
    </row>
    <row r="2478" spans="1:15">
      <c r="A2478" s="70">
        <v>2025</v>
      </c>
      <c r="B2478" s="16" t="s">
        <v>327</v>
      </c>
      <c r="C2478" s="430" t="s">
        <v>3388</v>
      </c>
      <c r="D2478" s="82" t="s">
        <v>17</v>
      </c>
      <c r="E2478" s="48" t="s">
        <v>3389</v>
      </c>
      <c r="F2478" s="459">
        <v>3</v>
      </c>
      <c r="G2478" s="59" t="s">
        <v>1616</v>
      </c>
      <c r="H2478" s="60">
        <v>8250</v>
      </c>
      <c r="I2478" s="49">
        <f t="shared" si="164"/>
        <v>24750</v>
      </c>
      <c r="J2478" s="532">
        <v>8100</v>
      </c>
      <c r="K2478" s="532">
        <f t="shared" si="162"/>
        <v>150</v>
      </c>
      <c r="L2478" s="533">
        <f t="shared" si="161"/>
        <v>450</v>
      </c>
      <c r="M2478" s="534">
        <f t="shared" si="163"/>
        <v>1.8181818181818181E-2</v>
      </c>
      <c r="N2478" s="47" t="s">
        <v>40</v>
      </c>
      <c r="O2478" s="56" t="s">
        <v>105</v>
      </c>
    </row>
    <row r="2479" spans="1:15">
      <c r="A2479" s="70">
        <v>2025</v>
      </c>
      <c r="B2479" s="16" t="s">
        <v>327</v>
      </c>
      <c r="C2479" s="430" t="s">
        <v>3390</v>
      </c>
      <c r="D2479" s="82" t="s">
        <v>2294</v>
      </c>
      <c r="E2479" s="48" t="s">
        <v>3391</v>
      </c>
      <c r="F2479" s="459">
        <v>1</v>
      </c>
      <c r="G2479" s="59" t="s">
        <v>1616</v>
      </c>
      <c r="H2479" s="60">
        <v>11657</v>
      </c>
      <c r="I2479" s="49">
        <f t="shared" si="164"/>
        <v>11657</v>
      </c>
      <c r="J2479" s="532">
        <v>3430</v>
      </c>
      <c r="K2479" s="532">
        <f t="shared" si="162"/>
        <v>8227</v>
      </c>
      <c r="L2479" s="533">
        <f t="shared" si="161"/>
        <v>8227</v>
      </c>
      <c r="M2479" s="534">
        <f t="shared" si="163"/>
        <v>0.70575619799262246</v>
      </c>
      <c r="N2479" s="47" t="s">
        <v>40</v>
      </c>
      <c r="O2479" s="56" t="s">
        <v>105</v>
      </c>
    </row>
    <row r="2480" spans="1:15">
      <c r="A2480" s="70">
        <v>2025</v>
      </c>
      <c r="B2480" s="16" t="s">
        <v>327</v>
      </c>
      <c r="C2480" s="430" t="s">
        <v>3392</v>
      </c>
      <c r="D2480" s="82" t="s">
        <v>17</v>
      </c>
      <c r="E2480" s="48" t="s">
        <v>3393</v>
      </c>
      <c r="F2480" s="459">
        <v>1</v>
      </c>
      <c r="G2480" s="59" t="s">
        <v>1616</v>
      </c>
      <c r="H2480" s="60">
        <v>36500</v>
      </c>
      <c r="I2480" s="49">
        <f t="shared" si="164"/>
        <v>36500</v>
      </c>
      <c r="J2480" s="532">
        <v>36300</v>
      </c>
      <c r="K2480" s="532">
        <f t="shared" si="162"/>
        <v>200</v>
      </c>
      <c r="L2480" s="533">
        <f t="shared" si="161"/>
        <v>200</v>
      </c>
      <c r="M2480" s="534">
        <f t="shared" si="163"/>
        <v>5.4794520547945206E-3</v>
      </c>
      <c r="N2480" s="47" t="s">
        <v>40</v>
      </c>
      <c r="O2480" s="56" t="s">
        <v>105</v>
      </c>
    </row>
    <row r="2481" spans="1:15">
      <c r="A2481" s="70">
        <v>2025</v>
      </c>
      <c r="B2481" s="16" t="s">
        <v>327</v>
      </c>
      <c r="C2481" s="430" t="s">
        <v>3394</v>
      </c>
      <c r="D2481" s="82" t="s">
        <v>578</v>
      </c>
      <c r="E2481" s="48" t="s">
        <v>3395</v>
      </c>
      <c r="F2481" s="459">
        <v>1</v>
      </c>
      <c r="G2481" s="59" t="s">
        <v>1616</v>
      </c>
      <c r="H2481" s="60">
        <v>158000</v>
      </c>
      <c r="I2481" s="49">
        <f t="shared" si="164"/>
        <v>158000</v>
      </c>
      <c r="J2481" s="532">
        <v>150000</v>
      </c>
      <c r="K2481" s="532">
        <f t="shared" si="162"/>
        <v>8000</v>
      </c>
      <c r="L2481" s="533">
        <f t="shared" si="161"/>
        <v>8000</v>
      </c>
      <c r="M2481" s="534">
        <f t="shared" si="163"/>
        <v>5.0632911392405063E-2</v>
      </c>
      <c r="N2481" s="47" t="s">
        <v>40</v>
      </c>
      <c r="O2481" s="56" t="s">
        <v>105</v>
      </c>
    </row>
    <row r="2482" spans="1:15">
      <c r="A2482" s="70">
        <v>2025</v>
      </c>
      <c r="B2482" s="16" t="s">
        <v>327</v>
      </c>
      <c r="C2482" s="405" t="s">
        <v>3396</v>
      </c>
      <c r="D2482" s="47" t="s">
        <v>1488</v>
      </c>
      <c r="E2482" s="48" t="s">
        <v>962</v>
      </c>
      <c r="F2482" s="99">
        <v>1023.6</v>
      </c>
      <c r="G2482" s="42" t="s">
        <v>1605</v>
      </c>
      <c r="H2482" s="44">
        <v>385</v>
      </c>
      <c r="I2482" s="87">
        <f t="shared" si="164"/>
        <v>394086</v>
      </c>
      <c r="J2482" s="538">
        <v>375</v>
      </c>
      <c r="K2482" s="532">
        <f t="shared" si="162"/>
        <v>10</v>
      </c>
      <c r="L2482" s="533">
        <f t="shared" si="161"/>
        <v>10236</v>
      </c>
      <c r="M2482" s="537">
        <f t="shared" si="163"/>
        <v>2.5974025974025976E-2</v>
      </c>
      <c r="N2482" s="47" t="s">
        <v>22</v>
      </c>
      <c r="O2482" s="47" t="s">
        <v>105</v>
      </c>
    </row>
    <row r="2483" spans="1:15">
      <c r="A2483" s="70">
        <v>2025</v>
      </c>
      <c r="B2483" s="16" t="s">
        <v>327</v>
      </c>
      <c r="C2483" s="430" t="s">
        <v>3397</v>
      </c>
      <c r="D2483" s="440" t="s">
        <v>24</v>
      </c>
      <c r="E2483" s="57" t="s">
        <v>3398</v>
      </c>
      <c r="F2483" s="459">
        <v>5</v>
      </c>
      <c r="G2483" s="59" t="s">
        <v>1616</v>
      </c>
      <c r="H2483" s="60">
        <v>185</v>
      </c>
      <c r="I2483" s="87">
        <f t="shared" si="164"/>
        <v>925</v>
      </c>
      <c r="J2483" s="538">
        <v>149</v>
      </c>
      <c r="K2483" s="532">
        <f t="shared" si="162"/>
        <v>36</v>
      </c>
      <c r="L2483" s="533">
        <f t="shared" si="161"/>
        <v>180</v>
      </c>
      <c r="M2483" s="537">
        <f t="shared" si="163"/>
        <v>0.19459459459459461</v>
      </c>
      <c r="N2483" s="56" t="s">
        <v>22</v>
      </c>
      <c r="O2483" s="56" t="s">
        <v>105</v>
      </c>
    </row>
    <row r="2484" spans="1:15">
      <c r="A2484" s="70">
        <v>2025</v>
      </c>
      <c r="B2484" s="16" t="s">
        <v>327</v>
      </c>
      <c r="C2484" s="438" t="s">
        <v>3397</v>
      </c>
      <c r="D2484" s="440" t="s">
        <v>24</v>
      </c>
      <c r="E2484" s="57" t="s">
        <v>3399</v>
      </c>
      <c r="F2484" s="459">
        <v>5</v>
      </c>
      <c r="G2484" s="59" t="s">
        <v>1616</v>
      </c>
      <c r="H2484" s="60">
        <v>199</v>
      </c>
      <c r="I2484" s="87">
        <f t="shared" si="164"/>
        <v>995</v>
      </c>
      <c r="J2484" s="538">
        <v>180</v>
      </c>
      <c r="K2484" s="532">
        <f t="shared" si="162"/>
        <v>19</v>
      </c>
      <c r="L2484" s="533">
        <f t="shared" si="161"/>
        <v>95</v>
      </c>
      <c r="M2484" s="537">
        <f t="shared" si="163"/>
        <v>9.5477386934673364E-2</v>
      </c>
      <c r="N2484" s="56" t="s">
        <v>22</v>
      </c>
      <c r="O2484" s="56" t="s">
        <v>105</v>
      </c>
    </row>
    <row r="2485" spans="1:15">
      <c r="A2485" s="70">
        <v>2025</v>
      </c>
      <c r="B2485" s="16" t="s">
        <v>327</v>
      </c>
      <c r="C2485" s="430" t="s">
        <v>3397</v>
      </c>
      <c r="D2485" s="440" t="s">
        <v>24</v>
      </c>
      <c r="E2485" s="57" t="s">
        <v>3400</v>
      </c>
      <c r="F2485" s="459">
        <v>3</v>
      </c>
      <c r="G2485" s="59" t="s">
        <v>1616</v>
      </c>
      <c r="H2485" s="60">
        <v>145</v>
      </c>
      <c r="I2485" s="87">
        <f t="shared" si="164"/>
        <v>435</v>
      </c>
      <c r="J2485" s="538">
        <v>106</v>
      </c>
      <c r="K2485" s="532">
        <f t="shared" si="162"/>
        <v>39</v>
      </c>
      <c r="L2485" s="533">
        <f t="shared" si="161"/>
        <v>117</v>
      </c>
      <c r="M2485" s="537">
        <f t="shared" si="163"/>
        <v>0.26896551724137929</v>
      </c>
      <c r="N2485" s="56" t="s">
        <v>22</v>
      </c>
      <c r="O2485" s="56" t="s">
        <v>105</v>
      </c>
    </row>
    <row r="2486" spans="1:15">
      <c r="A2486" s="70">
        <v>2025</v>
      </c>
      <c r="B2486" s="16" t="s">
        <v>327</v>
      </c>
      <c r="C2486" s="430" t="s">
        <v>3397</v>
      </c>
      <c r="D2486" s="440" t="s">
        <v>24</v>
      </c>
      <c r="E2486" s="57" t="s">
        <v>3401</v>
      </c>
      <c r="F2486" s="459">
        <v>3</v>
      </c>
      <c r="G2486" s="59" t="s">
        <v>1616</v>
      </c>
      <c r="H2486" s="60">
        <v>155</v>
      </c>
      <c r="I2486" s="87">
        <f t="shared" si="164"/>
        <v>465</v>
      </c>
      <c r="J2486" s="538">
        <v>117</v>
      </c>
      <c r="K2486" s="532">
        <f t="shared" si="162"/>
        <v>38</v>
      </c>
      <c r="L2486" s="533">
        <f t="shared" si="161"/>
        <v>114</v>
      </c>
      <c r="M2486" s="537">
        <f t="shared" si="163"/>
        <v>0.24516129032258063</v>
      </c>
      <c r="N2486" s="56" t="s">
        <v>22</v>
      </c>
      <c r="O2486" s="56" t="s">
        <v>105</v>
      </c>
    </row>
    <row r="2487" spans="1:15">
      <c r="A2487" s="70">
        <v>2025</v>
      </c>
      <c r="B2487" s="16" t="s">
        <v>327</v>
      </c>
      <c r="C2487" s="430" t="s">
        <v>3397</v>
      </c>
      <c r="D2487" s="440" t="s">
        <v>24</v>
      </c>
      <c r="E2487" s="57" t="s">
        <v>3402</v>
      </c>
      <c r="F2487" s="459">
        <v>3</v>
      </c>
      <c r="G2487" s="59" t="s">
        <v>1616</v>
      </c>
      <c r="H2487" s="60">
        <v>135</v>
      </c>
      <c r="I2487" s="87">
        <f t="shared" si="164"/>
        <v>405</v>
      </c>
      <c r="J2487" s="538">
        <v>89</v>
      </c>
      <c r="K2487" s="532">
        <f t="shared" si="162"/>
        <v>46</v>
      </c>
      <c r="L2487" s="533">
        <f t="shared" si="161"/>
        <v>138</v>
      </c>
      <c r="M2487" s="537">
        <f t="shared" si="163"/>
        <v>0.34074074074074073</v>
      </c>
      <c r="N2487" s="56" t="s">
        <v>22</v>
      </c>
      <c r="O2487" s="56" t="s">
        <v>105</v>
      </c>
    </row>
    <row r="2488" spans="1:15">
      <c r="A2488" s="70">
        <v>2025</v>
      </c>
      <c r="B2488" s="16" t="s">
        <v>327</v>
      </c>
      <c r="C2488" s="430" t="s">
        <v>3403</v>
      </c>
      <c r="D2488" s="82" t="s">
        <v>17</v>
      </c>
      <c r="E2488" s="57" t="s">
        <v>3404</v>
      </c>
      <c r="F2488" s="459">
        <v>24</v>
      </c>
      <c r="G2488" s="59" t="s">
        <v>3405</v>
      </c>
      <c r="H2488" s="60">
        <v>900</v>
      </c>
      <c r="I2488" s="87">
        <f t="shared" si="164"/>
        <v>21600</v>
      </c>
      <c r="J2488" s="538">
        <v>890</v>
      </c>
      <c r="K2488" s="532">
        <f t="shared" si="162"/>
        <v>10</v>
      </c>
      <c r="L2488" s="533">
        <f t="shared" si="161"/>
        <v>240</v>
      </c>
      <c r="M2488" s="537">
        <f t="shared" si="163"/>
        <v>1.1111111111111112E-2</v>
      </c>
      <c r="N2488" s="56" t="s">
        <v>40</v>
      </c>
      <c r="O2488" s="56" t="s">
        <v>105</v>
      </c>
    </row>
    <row r="2489" spans="1:15">
      <c r="A2489" s="70">
        <v>2025</v>
      </c>
      <c r="B2489" s="16" t="s">
        <v>327</v>
      </c>
      <c r="C2489" s="430" t="s">
        <v>3403</v>
      </c>
      <c r="D2489" s="82" t="s">
        <v>17</v>
      </c>
      <c r="E2489" s="57" t="s">
        <v>3406</v>
      </c>
      <c r="F2489" s="459">
        <v>5</v>
      </c>
      <c r="G2489" s="59" t="s">
        <v>1616</v>
      </c>
      <c r="H2489" s="60">
        <v>195</v>
      </c>
      <c r="I2489" s="87">
        <f t="shared" si="164"/>
        <v>975</v>
      </c>
      <c r="J2489" s="538">
        <v>194</v>
      </c>
      <c r="K2489" s="532">
        <f t="shared" si="162"/>
        <v>1</v>
      </c>
      <c r="L2489" s="533">
        <f t="shared" si="161"/>
        <v>5</v>
      </c>
      <c r="M2489" s="537">
        <f t="shared" si="163"/>
        <v>5.1282051282051282E-3</v>
      </c>
      <c r="N2489" s="56" t="s">
        <v>40</v>
      </c>
      <c r="O2489" s="56" t="s">
        <v>105</v>
      </c>
    </row>
    <row r="2490" spans="1:15">
      <c r="A2490" s="70">
        <v>2025</v>
      </c>
      <c r="B2490" s="16" t="s">
        <v>327</v>
      </c>
      <c r="C2490" s="430" t="s">
        <v>3403</v>
      </c>
      <c r="D2490" s="82" t="s">
        <v>17</v>
      </c>
      <c r="E2490" s="57" t="s">
        <v>3407</v>
      </c>
      <c r="F2490" s="459">
        <v>12</v>
      </c>
      <c r="G2490" s="59" t="s">
        <v>1616</v>
      </c>
      <c r="H2490" s="60">
        <v>59</v>
      </c>
      <c r="I2490" s="87">
        <f t="shared" si="164"/>
        <v>708</v>
      </c>
      <c r="J2490" s="538">
        <v>58</v>
      </c>
      <c r="K2490" s="532">
        <f t="shared" si="162"/>
        <v>1</v>
      </c>
      <c r="L2490" s="533">
        <f t="shared" si="161"/>
        <v>12</v>
      </c>
      <c r="M2490" s="537">
        <f t="shared" si="163"/>
        <v>1.6949152542372881E-2</v>
      </c>
      <c r="N2490" s="56" t="s">
        <v>40</v>
      </c>
      <c r="O2490" s="56" t="s">
        <v>105</v>
      </c>
    </row>
    <row r="2491" spans="1:15">
      <c r="A2491" s="70">
        <v>2025</v>
      </c>
      <c r="B2491" s="16" t="s">
        <v>327</v>
      </c>
      <c r="C2491" s="430" t="s">
        <v>3403</v>
      </c>
      <c r="D2491" s="82" t="s">
        <v>17</v>
      </c>
      <c r="E2491" s="57" t="s">
        <v>3408</v>
      </c>
      <c r="F2491" s="459">
        <v>3</v>
      </c>
      <c r="G2491" s="59" t="s">
        <v>1616</v>
      </c>
      <c r="H2491" s="60">
        <v>118</v>
      </c>
      <c r="I2491" s="87">
        <f t="shared" si="164"/>
        <v>354</v>
      </c>
      <c r="J2491" s="538">
        <v>115</v>
      </c>
      <c r="K2491" s="532">
        <f t="shared" si="162"/>
        <v>3</v>
      </c>
      <c r="L2491" s="533">
        <f t="shared" ref="L2491:L2554" si="165">K2491*F2491</f>
        <v>9</v>
      </c>
      <c r="M2491" s="537">
        <f t="shared" si="163"/>
        <v>2.5423728813559324E-2</v>
      </c>
      <c r="N2491" s="56" t="s">
        <v>40</v>
      </c>
      <c r="O2491" s="56" t="s">
        <v>105</v>
      </c>
    </row>
    <row r="2492" spans="1:15">
      <c r="A2492" s="70">
        <v>2025</v>
      </c>
      <c r="B2492" s="16" t="s">
        <v>327</v>
      </c>
      <c r="C2492" s="430" t="s">
        <v>3403</v>
      </c>
      <c r="D2492" s="82" t="s">
        <v>17</v>
      </c>
      <c r="E2492" s="57" t="s">
        <v>3409</v>
      </c>
      <c r="F2492" s="459">
        <v>12</v>
      </c>
      <c r="G2492" s="59" t="s">
        <v>1616</v>
      </c>
      <c r="H2492" s="60">
        <v>190</v>
      </c>
      <c r="I2492" s="87">
        <f t="shared" si="164"/>
        <v>2280</v>
      </c>
      <c r="J2492" s="538">
        <v>189</v>
      </c>
      <c r="K2492" s="532">
        <f t="shared" si="162"/>
        <v>1</v>
      </c>
      <c r="L2492" s="533">
        <f t="shared" si="165"/>
        <v>12</v>
      </c>
      <c r="M2492" s="537">
        <f t="shared" si="163"/>
        <v>5.263157894736842E-3</v>
      </c>
      <c r="N2492" s="56" t="s">
        <v>40</v>
      </c>
      <c r="O2492" s="56" t="s">
        <v>105</v>
      </c>
    </row>
    <row r="2493" spans="1:15">
      <c r="A2493" s="70">
        <v>2025</v>
      </c>
      <c r="B2493" s="16" t="s">
        <v>327</v>
      </c>
      <c r="C2493" s="430" t="s">
        <v>3403</v>
      </c>
      <c r="D2493" s="82" t="s">
        <v>17</v>
      </c>
      <c r="E2493" s="57" t="s">
        <v>3410</v>
      </c>
      <c r="F2493" s="459">
        <v>6</v>
      </c>
      <c r="G2493" s="59" t="s">
        <v>1616</v>
      </c>
      <c r="H2493" s="60">
        <v>350</v>
      </c>
      <c r="I2493" s="87">
        <f t="shared" si="164"/>
        <v>2100</v>
      </c>
      <c r="J2493" s="538">
        <v>330</v>
      </c>
      <c r="K2493" s="532">
        <f t="shared" si="162"/>
        <v>20</v>
      </c>
      <c r="L2493" s="533">
        <f t="shared" si="165"/>
        <v>120</v>
      </c>
      <c r="M2493" s="537">
        <f t="shared" si="163"/>
        <v>5.7142857142857141E-2</v>
      </c>
      <c r="N2493" s="56" t="s">
        <v>40</v>
      </c>
      <c r="O2493" s="56" t="s">
        <v>105</v>
      </c>
    </row>
    <row r="2494" spans="1:15">
      <c r="A2494" s="70">
        <v>2025</v>
      </c>
      <c r="B2494" s="16" t="s">
        <v>327</v>
      </c>
      <c r="C2494" s="430" t="s">
        <v>3411</v>
      </c>
      <c r="D2494" s="82" t="s">
        <v>17</v>
      </c>
      <c r="E2494" s="57" t="s">
        <v>3412</v>
      </c>
      <c r="F2494" s="459">
        <v>4</v>
      </c>
      <c r="G2494" s="59" t="s">
        <v>1616</v>
      </c>
      <c r="H2494" s="60">
        <v>6850</v>
      </c>
      <c r="I2494" s="87">
        <f t="shared" si="164"/>
        <v>27400</v>
      </c>
      <c r="J2494" s="538">
        <v>6190</v>
      </c>
      <c r="K2494" s="532">
        <f t="shared" si="162"/>
        <v>660</v>
      </c>
      <c r="L2494" s="533">
        <f t="shared" si="165"/>
        <v>2640</v>
      </c>
      <c r="M2494" s="537">
        <f t="shared" si="163"/>
        <v>9.6350364963503646E-2</v>
      </c>
      <c r="N2494" s="56" t="s">
        <v>40</v>
      </c>
      <c r="O2494" s="56" t="s">
        <v>105</v>
      </c>
    </row>
    <row r="2495" spans="1:15">
      <c r="A2495" s="70">
        <v>2025</v>
      </c>
      <c r="B2495" s="16" t="s">
        <v>327</v>
      </c>
      <c r="C2495" s="430" t="s">
        <v>3411</v>
      </c>
      <c r="D2495" s="82" t="s">
        <v>17</v>
      </c>
      <c r="E2495" s="57" t="s">
        <v>3413</v>
      </c>
      <c r="F2495" s="459">
        <v>7</v>
      </c>
      <c r="G2495" s="59" t="s">
        <v>1616</v>
      </c>
      <c r="H2495" s="60">
        <v>2150</v>
      </c>
      <c r="I2495" s="87">
        <f t="shared" si="164"/>
        <v>15050</v>
      </c>
      <c r="J2495" s="538">
        <v>1990</v>
      </c>
      <c r="K2495" s="532">
        <f t="shared" si="162"/>
        <v>160</v>
      </c>
      <c r="L2495" s="533">
        <f t="shared" si="165"/>
        <v>1120</v>
      </c>
      <c r="M2495" s="537">
        <f t="shared" si="163"/>
        <v>7.441860465116279E-2</v>
      </c>
      <c r="N2495" s="56" t="s">
        <v>40</v>
      </c>
      <c r="O2495" s="56" t="s">
        <v>105</v>
      </c>
    </row>
    <row r="2496" spans="1:15">
      <c r="A2496" s="70">
        <v>2025</v>
      </c>
      <c r="B2496" s="16" t="s">
        <v>327</v>
      </c>
      <c r="C2496" s="430" t="s">
        <v>3414</v>
      </c>
      <c r="D2496" s="440" t="s">
        <v>1042</v>
      </c>
      <c r="E2496" s="57" t="s">
        <v>711</v>
      </c>
      <c r="F2496" s="459">
        <v>4241</v>
      </c>
      <c r="G2496" s="59" t="s">
        <v>1605</v>
      </c>
      <c r="H2496" s="60">
        <v>390</v>
      </c>
      <c r="I2496" s="87">
        <f t="shared" si="164"/>
        <v>1653990</v>
      </c>
      <c r="J2496" s="538">
        <v>358</v>
      </c>
      <c r="K2496" s="532">
        <f t="shared" si="162"/>
        <v>32</v>
      </c>
      <c r="L2496" s="533">
        <f t="shared" si="165"/>
        <v>135712</v>
      </c>
      <c r="M2496" s="537">
        <f t="shared" si="163"/>
        <v>8.2051282051282051E-2</v>
      </c>
      <c r="N2496" s="56" t="s">
        <v>22</v>
      </c>
      <c r="O2496" s="56" t="s">
        <v>105</v>
      </c>
    </row>
    <row r="2497" spans="1:15">
      <c r="A2497" s="70">
        <v>2025</v>
      </c>
      <c r="B2497" s="16" t="s">
        <v>327</v>
      </c>
      <c r="C2497" s="430" t="s">
        <v>3415</v>
      </c>
      <c r="D2497" s="82" t="s">
        <v>94</v>
      </c>
      <c r="E2497" s="56" t="s">
        <v>1038</v>
      </c>
      <c r="F2497" s="459">
        <v>200</v>
      </c>
      <c r="G2497" s="59" t="s">
        <v>1616</v>
      </c>
      <c r="H2497" s="60">
        <v>15.5</v>
      </c>
      <c r="I2497" s="87">
        <f t="shared" si="164"/>
        <v>3100</v>
      </c>
      <c r="J2497" s="538">
        <v>14.76</v>
      </c>
      <c r="K2497" s="532">
        <f t="shared" si="162"/>
        <v>0.74000000000000021</v>
      </c>
      <c r="L2497" s="533">
        <f t="shared" si="165"/>
        <v>148.00000000000006</v>
      </c>
      <c r="M2497" s="537">
        <f t="shared" si="163"/>
        <v>4.7741935483870984E-2</v>
      </c>
      <c r="N2497" s="56" t="s">
        <v>22</v>
      </c>
      <c r="O2497" s="56" t="s">
        <v>105</v>
      </c>
    </row>
    <row r="2498" spans="1:15">
      <c r="A2498" s="70">
        <v>2025</v>
      </c>
      <c r="B2498" s="16" t="s">
        <v>327</v>
      </c>
      <c r="C2498" s="430" t="s">
        <v>3415</v>
      </c>
      <c r="D2498" s="82" t="s">
        <v>94</v>
      </c>
      <c r="E2498" s="57" t="s">
        <v>550</v>
      </c>
      <c r="F2498" s="459">
        <v>300</v>
      </c>
      <c r="G2498" s="59" t="s">
        <v>1616</v>
      </c>
      <c r="H2498" s="60">
        <v>50</v>
      </c>
      <c r="I2498" s="87">
        <f t="shared" si="164"/>
        <v>15000</v>
      </c>
      <c r="J2498" s="538">
        <v>47.56</v>
      </c>
      <c r="K2498" s="532">
        <f t="shared" si="162"/>
        <v>2.4399999999999977</v>
      </c>
      <c r="L2498" s="533">
        <f t="shared" si="165"/>
        <v>731.99999999999932</v>
      </c>
      <c r="M2498" s="537">
        <f t="shared" si="163"/>
        <v>4.8799999999999955E-2</v>
      </c>
      <c r="N2498" s="56" t="s">
        <v>22</v>
      </c>
      <c r="O2498" s="56" t="s">
        <v>105</v>
      </c>
    </row>
    <row r="2499" spans="1:15">
      <c r="A2499" s="70">
        <v>2025</v>
      </c>
      <c r="B2499" s="16" t="s">
        <v>327</v>
      </c>
      <c r="C2499" s="430" t="s">
        <v>3415</v>
      </c>
      <c r="D2499" s="82" t="s">
        <v>94</v>
      </c>
      <c r="E2499" s="57" t="s">
        <v>546</v>
      </c>
      <c r="F2499" s="459">
        <v>100</v>
      </c>
      <c r="G2499" s="59" t="s">
        <v>1616</v>
      </c>
      <c r="H2499" s="60">
        <v>190</v>
      </c>
      <c r="I2499" s="87">
        <f t="shared" si="164"/>
        <v>19000</v>
      </c>
      <c r="J2499" s="538">
        <v>182.25</v>
      </c>
      <c r="K2499" s="532">
        <f t="shared" ref="K2499:K2562" si="166">H2499-J2499</f>
        <v>7.75</v>
      </c>
      <c r="L2499" s="533">
        <f t="shared" si="165"/>
        <v>775</v>
      </c>
      <c r="M2499" s="537">
        <f t="shared" ref="M2499:M2562" si="167">K2499/H2499</f>
        <v>4.0789473684210528E-2</v>
      </c>
      <c r="N2499" s="56" t="s">
        <v>22</v>
      </c>
      <c r="O2499" s="56" t="s">
        <v>105</v>
      </c>
    </row>
    <row r="2500" spans="1:15">
      <c r="A2500" s="70">
        <v>2025</v>
      </c>
      <c r="B2500" s="16" t="s">
        <v>327</v>
      </c>
      <c r="C2500" s="430" t="s">
        <v>3415</v>
      </c>
      <c r="D2500" s="82" t="s">
        <v>94</v>
      </c>
      <c r="E2500" s="57" t="s">
        <v>457</v>
      </c>
      <c r="F2500" s="459">
        <v>100</v>
      </c>
      <c r="G2500" s="59" t="s">
        <v>1616</v>
      </c>
      <c r="H2500" s="60">
        <v>5.25</v>
      </c>
      <c r="I2500" s="87">
        <f t="shared" si="164"/>
        <v>525</v>
      </c>
      <c r="J2500" s="538">
        <v>5.0999999999999996</v>
      </c>
      <c r="K2500" s="532">
        <f t="shared" si="166"/>
        <v>0.15000000000000036</v>
      </c>
      <c r="L2500" s="533">
        <f t="shared" si="165"/>
        <v>15.000000000000036</v>
      </c>
      <c r="M2500" s="537">
        <f t="shared" si="167"/>
        <v>2.857142857142864E-2</v>
      </c>
      <c r="N2500" s="56" t="s">
        <v>22</v>
      </c>
      <c r="O2500" s="56" t="s">
        <v>105</v>
      </c>
    </row>
    <row r="2501" spans="1:15">
      <c r="A2501" s="70">
        <v>2025</v>
      </c>
      <c r="B2501" s="16" t="s">
        <v>327</v>
      </c>
      <c r="C2501" s="430" t="s">
        <v>3415</v>
      </c>
      <c r="D2501" s="82" t="s">
        <v>94</v>
      </c>
      <c r="E2501" s="57" t="s">
        <v>638</v>
      </c>
      <c r="F2501" s="459">
        <v>100</v>
      </c>
      <c r="G2501" s="59" t="s">
        <v>1616</v>
      </c>
      <c r="H2501" s="60">
        <v>5.25</v>
      </c>
      <c r="I2501" s="87">
        <f t="shared" si="164"/>
        <v>525</v>
      </c>
      <c r="J2501" s="538">
        <v>5.0999999999999996</v>
      </c>
      <c r="K2501" s="532">
        <f t="shared" si="166"/>
        <v>0.15000000000000036</v>
      </c>
      <c r="L2501" s="533">
        <f t="shared" si="165"/>
        <v>15.000000000000036</v>
      </c>
      <c r="M2501" s="537">
        <f t="shared" si="167"/>
        <v>2.857142857142864E-2</v>
      </c>
      <c r="N2501" s="56" t="s">
        <v>22</v>
      </c>
      <c r="O2501" s="56" t="s">
        <v>105</v>
      </c>
    </row>
    <row r="2502" spans="1:15">
      <c r="A2502" s="70">
        <v>2025</v>
      </c>
      <c r="B2502" s="16" t="s">
        <v>327</v>
      </c>
      <c r="C2502" s="430" t="s">
        <v>3416</v>
      </c>
      <c r="D2502" s="82" t="s">
        <v>828</v>
      </c>
      <c r="E2502" s="57" t="s">
        <v>3417</v>
      </c>
      <c r="F2502" s="459">
        <v>3</v>
      </c>
      <c r="G2502" s="59" t="s">
        <v>1608</v>
      </c>
      <c r="H2502" s="60">
        <v>51000</v>
      </c>
      <c r="I2502" s="87">
        <f t="shared" si="164"/>
        <v>153000</v>
      </c>
      <c r="J2502" s="538">
        <v>48000</v>
      </c>
      <c r="K2502" s="532">
        <f t="shared" si="166"/>
        <v>3000</v>
      </c>
      <c r="L2502" s="533">
        <f t="shared" si="165"/>
        <v>9000</v>
      </c>
      <c r="M2502" s="537">
        <f t="shared" si="167"/>
        <v>5.8823529411764705E-2</v>
      </c>
      <c r="N2502" s="56" t="s">
        <v>40</v>
      </c>
      <c r="O2502" s="56" t="s">
        <v>105</v>
      </c>
    </row>
    <row r="2503" spans="1:15">
      <c r="A2503" s="70">
        <v>2025</v>
      </c>
      <c r="B2503" s="16" t="s">
        <v>327</v>
      </c>
      <c r="C2503" s="430" t="s">
        <v>3418</v>
      </c>
      <c r="D2503" s="82" t="s">
        <v>1488</v>
      </c>
      <c r="E2503" s="57" t="s">
        <v>755</v>
      </c>
      <c r="F2503" s="459">
        <v>1172.9000000000001</v>
      </c>
      <c r="G2503" s="59" t="s">
        <v>1605</v>
      </c>
      <c r="H2503" s="60">
        <v>385</v>
      </c>
      <c r="I2503" s="87">
        <f t="shared" si="164"/>
        <v>451566.50000000006</v>
      </c>
      <c r="J2503" s="538">
        <v>375</v>
      </c>
      <c r="K2503" s="532">
        <f t="shared" si="166"/>
        <v>10</v>
      </c>
      <c r="L2503" s="533">
        <f t="shared" si="165"/>
        <v>11729</v>
      </c>
      <c r="M2503" s="537">
        <f t="shared" si="167"/>
        <v>2.5974025974025976E-2</v>
      </c>
      <c r="N2503" s="56" t="s">
        <v>22</v>
      </c>
      <c r="O2503" s="56" t="s">
        <v>105</v>
      </c>
    </row>
    <row r="2504" spans="1:15">
      <c r="A2504" s="70">
        <v>2025</v>
      </c>
      <c r="B2504" s="16" t="s">
        <v>327</v>
      </c>
      <c r="C2504" s="63" t="s">
        <v>3419</v>
      </c>
      <c r="D2504" s="82" t="s">
        <v>590</v>
      </c>
      <c r="E2504" s="57" t="s">
        <v>3420</v>
      </c>
      <c r="F2504" s="459">
        <v>1</v>
      </c>
      <c r="G2504" s="59" t="s">
        <v>1608</v>
      </c>
      <c r="H2504" s="60">
        <v>80500</v>
      </c>
      <c r="I2504" s="87">
        <f t="shared" si="164"/>
        <v>80500</v>
      </c>
      <c r="J2504" s="538">
        <v>78000</v>
      </c>
      <c r="K2504" s="532">
        <f t="shared" si="166"/>
        <v>2500</v>
      </c>
      <c r="L2504" s="533">
        <f t="shared" si="165"/>
        <v>2500</v>
      </c>
      <c r="M2504" s="537">
        <f t="shared" si="167"/>
        <v>3.1055900621118012E-2</v>
      </c>
      <c r="N2504" s="56" t="s">
        <v>40</v>
      </c>
      <c r="O2504" s="56" t="s">
        <v>39</v>
      </c>
    </row>
    <row r="2505" spans="1:15">
      <c r="A2505" s="70">
        <v>2025</v>
      </c>
      <c r="B2505" s="16" t="s">
        <v>327</v>
      </c>
      <c r="C2505" s="63" t="s">
        <v>3419</v>
      </c>
      <c r="D2505" s="82" t="s">
        <v>590</v>
      </c>
      <c r="E2505" s="57" t="s">
        <v>3421</v>
      </c>
      <c r="F2505" s="459">
        <v>2</v>
      </c>
      <c r="G2505" s="59" t="s">
        <v>1608</v>
      </c>
      <c r="H2505" s="60">
        <v>80500</v>
      </c>
      <c r="I2505" s="87">
        <f t="shared" si="164"/>
        <v>161000</v>
      </c>
      <c r="J2505" s="538">
        <v>78000</v>
      </c>
      <c r="K2505" s="532">
        <f t="shared" si="166"/>
        <v>2500</v>
      </c>
      <c r="L2505" s="533">
        <f t="shared" si="165"/>
        <v>5000</v>
      </c>
      <c r="M2505" s="537">
        <f t="shared" si="167"/>
        <v>3.1055900621118012E-2</v>
      </c>
      <c r="N2505" s="56" t="s">
        <v>40</v>
      </c>
      <c r="O2505" s="56" t="s">
        <v>39</v>
      </c>
    </row>
    <row r="2506" spans="1:15">
      <c r="A2506" s="70">
        <v>2025</v>
      </c>
      <c r="B2506" s="16" t="s">
        <v>327</v>
      </c>
      <c r="C2506" s="63" t="s">
        <v>3422</v>
      </c>
      <c r="D2506" s="82" t="s">
        <v>1840</v>
      </c>
      <c r="E2506" s="90" t="s">
        <v>3423</v>
      </c>
      <c r="F2506" s="459">
        <v>1</v>
      </c>
      <c r="G2506" s="59" t="s">
        <v>1608</v>
      </c>
      <c r="H2506" s="501">
        <v>129000</v>
      </c>
      <c r="I2506" s="87">
        <f t="shared" si="164"/>
        <v>129000</v>
      </c>
      <c r="J2506" s="538">
        <v>120000</v>
      </c>
      <c r="K2506" s="532">
        <f t="shared" si="166"/>
        <v>9000</v>
      </c>
      <c r="L2506" s="533">
        <f t="shared" si="165"/>
        <v>9000</v>
      </c>
      <c r="M2506" s="537">
        <f t="shared" si="167"/>
        <v>6.9767441860465115E-2</v>
      </c>
      <c r="N2506" s="56" t="s">
        <v>40</v>
      </c>
      <c r="O2506" s="56" t="s">
        <v>3424</v>
      </c>
    </row>
    <row r="2507" spans="1:15">
      <c r="A2507" s="70">
        <v>2025</v>
      </c>
      <c r="B2507" s="16" t="s">
        <v>327</v>
      </c>
      <c r="C2507" s="63" t="s">
        <v>3425</v>
      </c>
      <c r="D2507" s="82" t="s">
        <v>2294</v>
      </c>
      <c r="E2507" s="90" t="s">
        <v>3426</v>
      </c>
      <c r="F2507" s="455">
        <v>1</v>
      </c>
      <c r="G2507" s="59" t="s">
        <v>2259</v>
      </c>
      <c r="H2507" s="452">
        <v>330351.3</v>
      </c>
      <c r="I2507" s="87">
        <f t="shared" si="164"/>
        <v>330351.3</v>
      </c>
      <c r="J2507" s="550">
        <v>310000</v>
      </c>
      <c r="K2507" s="532">
        <f t="shared" si="166"/>
        <v>20351.299999999988</v>
      </c>
      <c r="L2507" s="533">
        <f t="shared" si="165"/>
        <v>20351.299999999988</v>
      </c>
      <c r="M2507" s="537">
        <f t="shared" si="167"/>
        <v>6.1605024711572164E-2</v>
      </c>
      <c r="N2507" s="56" t="s">
        <v>40</v>
      </c>
      <c r="O2507" s="56" t="s">
        <v>3424</v>
      </c>
    </row>
    <row r="2508" spans="1:15">
      <c r="A2508" s="70">
        <v>2025</v>
      </c>
      <c r="B2508" s="16" t="s">
        <v>327</v>
      </c>
      <c r="C2508" s="63" t="s">
        <v>3427</v>
      </c>
      <c r="D2508" s="82" t="s">
        <v>192</v>
      </c>
      <c r="E2508" s="90" t="s">
        <v>3428</v>
      </c>
      <c r="F2508" s="455">
        <v>1000</v>
      </c>
      <c r="G2508" s="59" t="s">
        <v>231</v>
      </c>
      <c r="H2508" s="452">
        <v>170</v>
      </c>
      <c r="I2508" s="87">
        <f t="shared" si="164"/>
        <v>170000</v>
      </c>
      <c r="J2508" s="550">
        <v>167</v>
      </c>
      <c r="K2508" s="532">
        <f t="shared" si="166"/>
        <v>3</v>
      </c>
      <c r="L2508" s="533">
        <f t="shared" si="165"/>
        <v>3000</v>
      </c>
      <c r="M2508" s="537">
        <f t="shared" si="167"/>
        <v>1.7647058823529412E-2</v>
      </c>
      <c r="N2508" s="56" t="s">
        <v>40</v>
      </c>
      <c r="O2508" s="56" t="s">
        <v>39</v>
      </c>
    </row>
    <row r="2509" spans="1:15">
      <c r="A2509" s="70">
        <v>2025</v>
      </c>
      <c r="B2509" s="16" t="s">
        <v>327</v>
      </c>
      <c r="C2509" s="63" t="s">
        <v>3427</v>
      </c>
      <c r="D2509" s="82" t="s">
        <v>192</v>
      </c>
      <c r="E2509" s="56" t="s">
        <v>3429</v>
      </c>
      <c r="F2509" s="455">
        <v>1000</v>
      </c>
      <c r="G2509" s="59" t="s">
        <v>231</v>
      </c>
      <c r="H2509" s="452">
        <v>198</v>
      </c>
      <c r="I2509" s="87">
        <f t="shared" si="164"/>
        <v>198000</v>
      </c>
      <c r="J2509" s="550">
        <v>195</v>
      </c>
      <c r="K2509" s="532">
        <f t="shared" si="166"/>
        <v>3</v>
      </c>
      <c r="L2509" s="533">
        <f t="shared" si="165"/>
        <v>3000</v>
      </c>
      <c r="M2509" s="537">
        <f t="shared" si="167"/>
        <v>1.5151515151515152E-2</v>
      </c>
      <c r="N2509" s="56" t="s">
        <v>40</v>
      </c>
      <c r="O2509" s="56" t="s">
        <v>39</v>
      </c>
    </row>
    <row r="2510" spans="1:15">
      <c r="A2510" s="70">
        <v>2025</v>
      </c>
      <c r="B2510" s="16" t="s">
        <v>327</v>
      </c>
      <c r="C2510" s="63" t="s">
        <v>3430</v>
      </c>
      <c r="D2510" s="82" t="s">
        <v>200</v>
      </c>
      <c r="E2510" s="56" t="s">
        <v>3431</v>
      </c>
      <c r="F2510" s="455">
        <v>3</v>
      </c>
      <c r="G2510" s="59" t="s">
        <v>1616</v>
      </c>
      <c r="H2510" s="491">
        <v>3000</v>
      </c>
      <c r="I2510" s="87">
        <f t="shared" si="164"/>
        <v>9000</v>
      </c>
      <c r="J2510" s="550">
        <v>2300</v>
      </c>
      <c r="K2510" s="532">
        <f t="shared" si="166"/>
        <v>700</v>
      </c>
      <c r="L2510" s="533">
        <f t="shared" si="165"/>
        <v>2100</v>
      </c>
      <c r="M2510" s="537">
        <f t="shared" si="167"/>
        <v>0.23333333333333334</v>
      </c>
      <c r="N2510" s="56" t="s">
        <v>22</v>
      </c>
      <c r="O2510" s="56" t="s">
        <v>39</v>
      </c>
    </row>
    <row r="2511" spans="1:15">
      <c r="A2511" s="70">
        <v>2025</v>
      </c>
      <c r="B2511" s="16" t="s">
        <v>327</v>
      </c>
      <c r="C2511" s="63" t="s">
        <v>3432</v>
      </c>
      <c r="D2511" s="82" t="s">
        <v>590</v>
      </c>
      <c r="E2511" s="56" t="s">
        <v>3433</v>
      </c>
      <c r="F2511" s="455">
        <v>7</v>
      </c>
      <c r="G2511" s="59" t="s">
        <v>1608</v>
      </c>
      <c r="H2511" s="491">
        <v>79000</v>
      </c>
      <c r="I2511" s="87">
        <f t="shared" si="164"/>
        <v>553000</v>
      </c>
      <c r="J2511" s="550">
        <v>73000</v>
      </c>
      <c r="K2511" s="532">
        <f t="shared" si="166"/>
        <v>6000</v>
      </c>
      <c r="L2511" s="533">
        <f t="shared" si="165"/>
        <v>42000</v>
      </c>
      <c r="M2511" s="537">
        <f t="shared" si="167"/>
        <v>7.5949367088607597E-2</v>
      </c>
      <c r="N2511" s="56" t="s">
        <v>22</v>
      </c>
      <c r="O2511" s="56" t="s">
        <v>39</v>
      </c>
    </row>
    <row r="2512" spans="1:15">
      <c r="A2512" s="70">
        <v>2025</v>
      </c>
      <c r="B2512" s="16" t="s">
        <v>327</v>
      </c>
      <c r="C2512" s="63" t="s">
        <v>3432</v>
      </c>
      <c r="D2512" s="82" t="s">
        <v>590</v>
      </c>
      <c r="E2512" s="56" t="s">
        <v>3434</v>
      </c>
      <c r="F2512" s="455">
        <v>11</v>
      </c>
      <c r="G2512" s="59" t="s">
        <v>1616</v>
      </c>
      <c r="H2512" s="491">
        <v>4000</v>
      </c>
      <c r="I2512" s="87">
        <f t="shared" si="164"/>
        <v>44000</v>
      </c>
      <c r="J2512" s="550">
        <v>3400</v>
      </c>
      <c r="K2512" s="532">
        <f t="shared" si="166"/>
        <v>600</v>
      </c>
      <c r="L2512" s="533">
        <f t="shared" si="165"/>
        <v>6600</v>
      </c>
      <c r="M2512" s="537">
        <f t="shared" si="167"/>
        <v>0.15</v>
      </c>
      <c r="N2512" s="56" t="s">
        <v>22</v>
      </c>
      <c r="O2512" s="56" t="s">
        <v>39</v>
      </c>
    </row>
    <row r="2513" spans="1:15">
      <c r="A2513" s="70">
        <v>2025</v>
      </c>
      <c r="B2513" s="16" t="s">
        <v>327</v>
      </c>
      <c r="C2513" s="63" t="s">
        <v>3435</v>
      </c>
      <c r="D2513" s="82" t="s">
        <v>1042</v>
      </c>
      <c r="E2513" s="56" t="s">
        <v>3436</v>
      </c>
      <c r="F2513" s="459">
        <v>76700</v>
      </c>
      <c r="G2513" s="59" t="s">
        <v>1605</v>
      </c>
      <c r="H2513" s="60">
        <v>358</v>
      </c>
      <c r="I2513" s="87">
        <f t="shared" si="164"/>
        <v>27458600</v>
      </c>
      <c r="J2513" s="538">
        <v>349</v>
      </c>
      <c r="K2513" s="532">
        <f t="shared" si="166"/>
        <v>9</v>
      </c>
      <c r="L2513" s="533">
        <f t="shared" si="165"/>
        <v>690300</v>
      </c>
      <c r="M2513" s="537">
        <f t="shared" si="167"/>
        <v>2.5139664804469275E-2</v>
      </c>
      <c r="N2513" s="56" t="s">
        <v>20</v>
      </c>
      <c r="O2513" s="56" t="s">
        <v>105</v>
      </c>
    </row>
    <row r="2514" spans="1:15">
      <c r="A2514" s="70">
        <v>2025</v>
      </c>
      <c r="B2514" s="16" t="s">
        <v>327</v>
      </c>
      <c r="C2514" s="63" t="s">
        <v>3437</v>
      </c>
      <c r="D2514" s="82" t="s">
        <v>94</v>
      </c>
      <c r="E2514" s="56" t="s">
        <v>546</v>
      </c>
      <c r="F2514" s="459">
        <v>100</v>
      </c>
      <c r="G2514" s="59" t="s">
        <v>1616</v>
      </c>
      <c r="H2514" s="60">
        <v>190</v>
      </c>
      <c r="I2514" s="87">
        <f t="shared" si="164"/>
        <v>19000</v>
      </c>
      <c r="J2514" s="538">
        <v>182.25</v>
      </c>
      <c r="K2514" s="532">
        <f t="shared" si="166"/>
        <v>7.75</v>
      </c>
      <c r="L2514" s="533">
        <f t="shared" si="165"/>
        <v>775</v>
      </c>
      <c r="M2514" s="537">
        <f t="shared" si="167"/>
        <v>4.0789473684210528E-2</v>
      </c>
      <c r="N2514" s="56" t="s">
        <v>22</v>
      </c>
      <c r="O2514" s="56" t="s">
        <v>105</v>
      </c>
    </row>
    <row r="2515" spans="1:15">
      <c r="A2515" s="70">
        <v>2025</v>
      </c>
      <c r="B2515" s="16" t="s">
        <v>327</v>
      </c>
      <c r="C2515" s="63" t="s">
        <v>3438</v>
      </c>
      <c r="D2515" s="82" t="s">
        <v>27</v>
      </c>
      <c r="E2515" s="56" t="s">
        <v>3439</v>
      </c>
      <c r="F2515" s="459">
        <v>4</v>
      </c>
      <c r="G2515" s="59" t="s">
        <v>1616</v>
      </c>
      <c r="H2515" s="60">
        <v>434</v>
      </c>
      <c r="I2515" s="87">
        <f t="shared" si="164"/>
        <v>1736</v>
      </c>
      <c r="J2515" s="538">
        <v>410</v>
      </c>
      <c r="K2515" s="532">
        <f t="shared" si="166"/>
        <v>24</v>
      </c>
      <c r="L2515" s="533">
        <f t="shared" si="165"/>
        <v>96</v>
      </c>
      <c r="M2515" s="537">
        <f t="shared" si="167"/>
        <v>5.5299539170506916E-2</v>
      </c>
      <c r="N2515" s="56" t="s">
        <v>22</v>
      </c>
      <c r="O2515" s="56" t="s">
        <v>105</v>
      </c>
    </row>
    <row r="2516" spans="1:15">
      <c r="A2516" s="70">
        <v>2025</v>
      </c>
      <c r="B2516" s="16" t="s">
        <v>327</v>
      </c>
      <c r="C2516" s="63" t="s">
        <v>3440</v>
      </c>
      <c r="D2516" s="82" t="s">
        <v>57</v>
      </c>
      <c r="E2516" s="56" t="s">
        <v>3441</v>
      </c>
      <c r="F2516" s="459">
        <v>1</v>
      </c>
      <c r="G2516" s="59" t="s">
        <v>2259</v>
      </c>
      <c r="H2516" s="60">
        <v>732.06</v>
      </c>
      <c r="I2516" s="87">
        <f t="shared" si="164"/>
        <v>732.06</v>
      </c>
      <c r="J2516" s="538">
        <v>0</v>
      </c>
      <c r="K2516" s="532">
        <f t="shared" si="166"/>
        <v>732.06</v>
      </c>
      <c r="L2516" s="533">
        <f t="shared" si="165"/>
        <v>732.06</v>
      </c>
      <c r="M2516" s="537">
        <f t="shared" si="167"/>
        <v>1</v>
      </c>
      <c r="N2516" s="56" t="s">
        <v>30</v>
      </c>
      <c r="O2516" s="56" t="s">
        <v>3424</v>
      </c>
    </row>
    <row r="2517" spans="1:15">
      <c r="A2517" s="70">
        <v>2025</v>
      </c>
      <c r="B2517" s="16" t="s">
        <v>327</v>
      </c>
      <c r="C2517" s="63" t="s">
        <v>3442</v>
      </c>
      <c r="D2517" s="82" t="s">
        <v>57</v>
      </c>
      <c r="E2517" s="56" t="s">
        <v>3443</v>
      </c>
      <c r="F2517" s="459">
        <v>1</v>
      </c>
      <c r="G2517" s="59" t="s">
        <v>2259</v>
      </c>
      <c r="H2517" s="60">
        <v>70.13</v>
      </c>
      <c r="I2517" s="87">
        <f t="shared" si="164"/>
        <v>70.13</v>
      </c>
      <c r="J2517" s="538">
        <v>0</v>
      </c>
      <c r="K2517" s="532">
        <f t="shared" si="166"/>
        <v>70.13</v>
      </c>
      <c r="L2517" s="533">
        <f t="shared" si="165"/>
        <v>70.13</v>
      </c>
      <c r="M2517" s="537">
        <f t="shared" si="167"/>
        <v>1</v>
      </c>
      <c r="N2517" s="56" t="s">
        <v>30</v>
      </c>
      <c r="O2517" s="56" t="s">
        <v>39</v>
      </c>
    </row>
    <row r="2518" spans="1:15">
      <c r="A2518" s="70">
        <v>2025</v>
      </c>
      <c r="B2518" s="16" t="s">
        <v>327</v>
      </c>
      <c r="C2518" s="63" t="s">
        <v>3444</v>
      </c>
      <c r="D2518" s="82" t="s">
        <v>3445</v>
      </c>
      <c r="E2518" s="56" t="s">
        <v>2514</v>
      </c>
      <c r="F2518" s="459">
        <v>1</v>
      </c>
      <c r="G2518" s="59" t="s">
        <v>2259</v>
      </c>
      <c r="H2518" s="60">
        <v>3500</v>
      </c>
      <c r="I2518" s="87">
        <f t="shared" si="164"/>
        <v>3500</v>
      </c>
      <c r="J2518" s="538">
        <v>0</v>
      </c>
      <c r="K2518" s="532">
        <f t="shared" si="166"/>
        <v>3500</v>
      </c>
      <c r="L2518" s="533">
        <f t="shared" si="165"/>
        <v>3500</v>
      </c>
      <c r="M2518" s="537">
        <f t="shared" si="167"/>
        <v>1</v>
      </c>
      <c r="N2518" s="56" t="s">
        <v>40</v>
      </c>
      <c r="O2518" s="56" t="s">
        <v>105</v>
      </c>
    </row>
    <row r="2519" spans="1:15">
      <c r="A2519" s="70">
        <v>2025</v>
      </c>
      <c r="B2519" s="16" t="s">
        <v>327</v>
      </c>
      <c r="C2519" s="63" t="s">
        <v>3446</v>
      </c>
      <c r="D2519" s="82" t="s">
        <v>2043</v>
      </c>
      <c r="E2519" s="56" t="s">
        <v>2514</v>
      </c>
      <c r="F2519" s="459">
        <v>1</v>
      </c>
      <c r="G2519" s="59" t="s">
        <v>2259</v>
      </c>
      <c r="H2519" s="60">
        <v>3500</v>
      </c>
      <c r="I2519" s="87">
        <f t="shared" si="164"/>
        <v>3500</v>
      </c>
      <c r="J2519" s="538">
        <v>0</v>
      </c>
      <c r="K2519" s="532">
        <f t="shared" si="166"/>
        <v>3500</v>
      </c>
      <c r="L2519" s="533">
        <f t="shared" si="165"/>
        <v>3500</v>
      </c>
      <c r="M2519" s="537">
        <f t="shared" si="167"/>
        <v>1</v>
      </c>
      <c r="N2519" s="56" t="s">
        <v>40</v>
      </c>
      <c r="O2519" s="56" t="s">
        <v>105</v>
      </c>
    </row>
    <row r="2520" spans="1:15">
      <c r="A2520" s="70">
        <v>2025</v>
      </c>
      <c r="B2520" s="16" t="s">
        <v>327</v>
      </c>
      <c r="C2520" s="63" t="s">
        <v>3447</v>
      </c>
      <c r="D2520" s="82" t="s">
        <v>3448</v>
      </c>
      <c r="E2520" s="56" t="s">
        <v>3449</v>
      </c>
      <c r="F2520" s="459">
        <v>1</v>
      </c>
      <c r="G2520" s="59" t="s">
        <v>6</v>
      </c>
      <c r="H2520" s="60">
        <v>180000</v>
      </c>
      <c r="I2520" s="87">
        <f t="shared" si="164"/>
        <v>180000</v>
      </c>
      <c r="J2520" s="538">
        <v>165000</v>
      </c>
      <c r="K2520" s="532">
        <f t="shared" si="166"/>
        <v>15000</v>
      </c>
      <c r="L2520" s="533">
        <f t="shared" si="165"/>
        <v>15000</v>
      </c>
      <c r="M2520" s="537">
        <f t="shared" si="167"/>
        <v>8.3333333333333329E-2</v>
      </c>
      <c r="N2520" s="56" t="s">
        <v>40</v>
      </c>
      <c r="O2520" s="56" t="s">
        <v>105</v>
      </c>
    </row>
    <row r="2521" spans="1:15">
      <c r="A2521" s="70">
        <v>2025</v>
      </c>
      <c r="B2521" s="16" t="s">
        <v>327</v>
      </c>
      <c r="C2521" s="63" t="s">
        <v>3450</v>
      </c>
      <c r="D2521" s="82" t="s">
        <v>2294</v>
      </c>
      <c r="E2521" s="56" t="s">
        <v>3451</v>
      </c>
      <c r="F2521" s="459">
        <v>1</v>
      </c>
      <c r="G2521" s="59" t="s">
        <v>2259</v>
      </c>
      <c r="H2521" s="60">
        <v>31298.25</v>
      </c>
      <c r="I2521" s="87">
        <f t="shared" si="164"/>
        <v>31298.25</v>
      </c>
      <c r="J2521" s="538">
        <v>11345</v>
      </c>
      <c r="K2521" s="532">
        <f t="shared" si="166"/>
        <v>19953.25</v>
      </c>
      <c r="L2521" s="533">
        <f t="shared" si="165"/>
        <v>19953.25</v>
      </c>
      <c r="M2521" s="537">
        <f t="shared" si="167"/>
        <v>0.6375196696300911</v>
      </c>
      <c r="N2521" s="56" t="s">
        <v>40</v>
      </c>
      <c r="O2521" s="56" t="s">
        <v>3424</v>
      </c>
    </row>
    <row r="2522" spans="1:15">
      <c r="A2522" s="70">
        <v>2025</v>
      </c>
      <c r="B2522" s="16" t="s">
        <v>327</v>
      </c>
      <c r="C2522" s="63" t="s">
        <v>3452</v>
      </c>
      <c r="D2522" s="82" t="s">
        <v>17</v>
      </c>
      <c r="E2522" s="56" t="s">
        <v>3453</v>
      </c>
      <c r="F2522" s="459">
        <v>1</v>
      </c>
      <c r="G2522" s="59" t="s">
        <v>6</v>
      </c>
      <c r="H2522" s="60">
        <v>2190</v>
      </c>
      <c r="I2522" s="87">
        <f t="shared" si="164"/>
        <v>2190</v>
      </c>
      <c r="J2522" s="538">
        <v>2000</v>
      </c>
      <c r="K2522" s="532">
        <f t="shared" si="166"/>
        <v>190</v>
      </c>
      <c r="L2522" s="533">
        <f t="shared" si="165"/>
        <v>190</v>
      </c>
      <c r="M2522" s="537">
        <f t="shared" si="167"/>
        <v>8.6757990867579904E-2</v>
      </c>
      <c r="N2522" s="56" t="s">
        <v>22</v>
      </c>
      <c r="O2522" s="56" t="s">
        <v>105</v>
      </c>
    </row>
    <row r="2523" spans="1:15">
      <c r="A2523" s="70">
        <v>2025</v>
      </c>
      <c r="B2523" s="16" t="s">
        <v>327</v>
      </c>
      <c r="C2523" s="63" t="s">
        <v>3452</v>
      </c>
      <c r="D2523" s="56" t="s">
        <v>17</v>
      </c>
      <c r="E2523" s="56" t="s">
        <v>3454</v>
      </c>
      <c r="F2523" s="459">
        <v>4</v>
      </c>
      <c r="G2523" s="59" t="s">
        <v>6</v>
      </c>
      <c r="H2523" s="60">
        <v>2595</v>
      </c>
      <c r="I2523" s="87">
        <f t="shared" si="164"/>
        <v>10380</v>
      </c>
      <c r="J2523" s="538">
        <v>2500</v>
      </c>
      <c r="K2523" s="532">
        <f t="shared" si="166"/>
        <v>95</v>
      </c>
      <c r="L2523" s="533">
        <f t="shared" si="165"/>
        <v>380</v>
      </c>
      <c r="M2523" s="537">
        <f t="shared" si="167"/>
        <v>3.6608863198458574E-2</v>
      </c>
      <c r="N2523" s="56" t="s">
        <v>22</v>
      </c>
      <c r="O2523" s="56" t="s">
        <v>105</v>
      </c>
    </row>
    <row r="2524" spans="1:15">
      <c r="A2524" s="70">
        <v>2025</v>
      </c>
      <c r="B2524" s="16" t="s">
        <v>327</v>
      </c>
      <c r="C2524" s="63" t="s">
        <v>3455</v>
      </c>
      <c r="D2524" s="82" t="s">
        <v>1948</v>
      </c>
      <c r="E2524" s="56" t="s">
        <v>3456</v>
      </c>
      <c r="F2524" s="459">
        <v>6</v>
      </c>
      <c r="G2524" s="59" t="s">
        <v>1616</v>
      </c>
      <c r="H2524" s="60">
        <v>2550</v>
      </c>
      <c r="I2524" s="87">
        <f t="shared" si="164"/>
        <v>15300</v>
      </c>
      <c r="J2524" s="538">
        <v>2140</v>
      </c>
      <c r="K2524" s="532">
        <f t="shared" si="166"/>
        <v>410</v>
      </c>
      <c r="L2524" s="533">
        <f t="shared" si="165"/>
        <v>2460</v>
      </c>
      <c r="M2524" s="537">
        <f t="shared" si="167"/>
        <v>0.16078431372549021</v>
      </c>
      <c r="N2524" s="56" t="s">
        <v>22</v>
      </c>
      <c r="O2524" s="56" t="s">
        <v>105</v>
      </c>
    </row>
    <row r="2525" spans="1:15">
      <c r="A2525" s="70">
        <v>2025</v>
      </c>
      <c r="B2525" s="16" t="s">
        <v>327</v>
      </c>
      <c r="C2525" s="63" t="s">
        <v>3455</v>
      </c>
      <c r="D2525" s="82" t="s">
        <v>1948</v>
      </c>
      <c r="E2525" s="56" t="s">
        <v>3457</v>
      </c>
      <c r="F2525" s="459">
        <v>2</v>
      </c>
      <c r="G2525" s="59" t="s">
        <v>1616</v>
      </c>
      <c r="H2525" s="60">
        <v>6250</v>
      </c>
      <c r="I2525" s="87">
        <f t="shared" si="164"/>
        <v>12500</v>
      </c>
      <c r="J2525" s="538">
        <v>5995</v>
      </c>
      <c r="K2525" s="532">
        <f t="shared" si="166"/>
        <v>255</v>
      </c>
      <c r="L2525" s="533">
        <f t="shared" si="165"/>
        <v>510</v>
      </c>
      <c r="M2525" s="537">
        <f t="shared" si="167"/>
        <v>4.0800000000000003E-2</v>
      </c>
      <c r="N2525" s="56" t="s">
        <v>22</v>
      </c>
      <c r="O2525" s="56" t="s">
        <v>105</v>
      </c>
    </row>
    <row r="2526" spans="1:15">
      <c r="A2526" s="70">
        <v>2025</v>
      </c>
      <c r="B2526" s="16" t="s">
        <v>327</v>
      </c>
      <c r="C2526" s="62" t="s">
        <v>3458</v>
      </c>
      <c r="D2526" s="47" t="s">
        <v>17</v>
      </c>
      <c r="E2526" s="47" t="s">
        <v>3459</v>
      </c>
      <c r="F2526" s="99">
        <v>2</v>
      </c>
      <c r="G2526" s="42" t="s">
        <v>1616</v>
      </c>
      <c r="H2526" s="60">
        <v>29800</v>
      </c>
      <c r="I2526" s="87">
        <f t="shared" si="164"/>
        <v>59600</v>
      </c>
      <c r="J2526" s="538">
        <v>8000</v>
      </c>
      <c r="K2526" s="532">
        <f t="shared" si="166"/>
        <v>21800</v>
      </c>
      <c r="L2526" s="533">
        <f t="shared" si="165"/>
        <v>43600</v>
      </c>
      <c r="M2526" s="537">
        <f t="shared" si="167"/>
        <v>0.73154362416107388</v>
      </c>
      <c r="N2526" s="47" t="s">
        <v>22</v>
      </c>
      <c r="O2526" s="47" t="s">
        <v>39</v>
      </c>
    </row>
    <row r="2527" spans="1:15">
      <c r="A2527" s="70">
        <v>2025</v>
      </c>
      <c r="B2527" s="16" t="s">
        <v>327</v>
      </c>
      <c r="C2527" s="63" t="s">
        <v>3460</v>
      </c>
      <c r="D2527" s="82" t="s">
        <v>1948</v>
      </c>
      <c r="E2527" s="56" t="s">
        <v>3461</v>
      </c>
      <c r="F2527" s="459">
        <v>1</v>
      </c>
      <c r="G2527" s="59" t="s">
        <v>3462</v>
      </c>
      <c r="H2527" s="60">
        <v>7990</v>
      </c>
      <c r="I2527" s="87">
        <f t="shared" si="164"/>
        <v>7990</v>
      </c>
      <c r="J2527" s="538">
        <v>5984.9</v>
      </c>
      <c r="K2527" s="532">
        <f t="shared" si="166"/>
        <v>2005.1000000000004</v>
      </c>
      <c r="L2527" s="533">
        <f t="shared" si="165"/>
        <v>2005.1000000000004</v>
      </c>
      <c r="M2527" s="537">
        <f t="shared" si="167"/>
        <v>0.25095118898623281</v>
      </c>
      <c r="N2527" s="56" t="s">
        <v>22</v>
      </c>
      <c r="O2527" s="56" t="s">
        <v>39</v>
      </c>
    </row>
    <row r="2528" spans="1:15">
      <c r="A2528" s="70">
        <v>2025</v>
      </c>
      <c r="B2528" s="16" t="s">
        <v>327</v>
      </c>
      <c r="C2528" s="63" t="s">
        <v>3463</v>
      </c>
      <c r="D2528" s="82" t="s">
        <v>1948</v>
      </c>
      <c r="E2528" s="56" t="s">
        <v>1990</v>
      </c>
      <c r="F2528" s="459">
        <v>1</v>
      </c>
      <c r="G2528" s="59" t="s">
        <v>1616</v>
      </c>
      <c r="H2528" s="60">
        <v>4200</v>
      </c>
      <c r="I2528" s="87">
        <f t="shared" si="164"/>
        <v>4200</v>
      </c>
      <c r="J2528" s="538">
        <v>3676.5</v>
      </c>
      <c r="K2528" s="532">
        <f t="shared" si="166"/>
        <v>523.5</v>
      </c>
      <c r="L2528" s="533">
        <f t="shared" si="165"/>
        <v>523.5</v>
      </c>
      <c r="M2528" s="537">
        <f t="shared" si="167"/>
        <v>0.12464285714285714</v>
      </c>
      <c r="N2528" s="47" t="s">
        <v>22</v>
      </c>
      <c r="O2528" s="47" t="s">
        <v>39</v>
      </c>
    </row>
    <row r="2529" spans="1:15">
      <c r="A2529" s="70">
        <v>2025</v>
      </c>
      <c r="B2529" s="16" t="s">
        <v>327</v>
      </c>
      <c r="C2529" s="63" t="s">
        <v>3425</v>
      </c>
      <c r="D2529" s="82" t="s">
        <v>2294</v>
      </c>
      <c r="E2529" s="56" t="s">
        <v>3464</v>
      </c>
      <c r="F2529" s="459">
        <v>1</v>
      </c>
      <c r="G2529" s="59" t="s">
        <v>2259</v>
      </c>
      <c r="H2529" s="60">
        <v>43089.3</v>
      </c>
      <c r="I2529" s="87">
        <f t="shared" si="164"/>
        <v>43089.3</v>
      </c>
      <c r="J2529" s="538">
        <v>22738</v>
      </c>
      <c r="K2529" s="532">
        <f t="shared" si="166"/>
        <v>20351.300000000003</v>
      </c>
      <c r="L2529" s="533">
        <f t="shared" si="165"/>
        <v>20351.300000000003</v>
      </c>
      <c r="M2529" s="537">
        <f t="shared" si="167"/>
        <v>0.47230518945538685</v>
      </c>
      <c r="N2529" s="47" t="s">
        <v>40</v>
      </c>
      <c r="O2529" s="47" t="s">
        <v>3424</v>
      </c>
    </row>
    <row r="2530" spans="1:15">
      <c r="A2530" s="70">
        <v>2025</v>
      </c>
      <c r="B2530" s="16" t="s">
        <v>327</v>
      </c>
      <c r="C2530" s="63" t="s">
        <v>3465</v>
      </c>
      <c r="D2530" s="82" t="s">
        <v>1252</v>
      </c>
      <c r="E2530" s="56" t="s">
        <v>3062</v>
      </c>
      <c r="F2530" s="459">
        <v>28530</v>
      </c>
      <c r="G2530" s="59" t="s">
        <v>1605</v>
      </c>
      <c r="H2530" s="60">
        <v>30.51</v>
      </c>
      <c r="I2530" s="87">
        <f t="shared" si="164"/>
        <v>870450.3</v>
      </c>
      <c r="J2530" s="538">
        <v>27.29</v>
      </c>
      <c r="K2530" s="532">
        <f t="shared" si="166"/>
        <v>3.2200000000000024</v>
      </c>
      <c r="L2530" s="533">
        <f t="shared" si="165"/>
        <v>91866.600000000064</v>
      </c>
      <c r="M2530" s="537">
        <f t="shared" si="167"/>
        <v>0.10553916748607022</v>
      </c>
      <c r="N2530" s="47" t="s">
        <v>22</v>
      </c>
      <c r="O2530" s="47" t="s">
        <v>105</v>
      </c>
    </row>
    <row r="2531" spans="1:15">
      <c r="A2531" s="70">
        <v>2025</v>
      </c>
      <c r="B2531" s="16" t="s">
        <v>327</v>
      </c>
      <c r="C2531" s="63" t="s">
        <v>3466</v>
      </c>
      <c r="D2531" s="82" t="s">
        <v>335</v>
      </c>
      <c r="E2531" s="47" t="s">
        <v>336</v>
      </c>
      <c r="F2531" s="99">
        <v>84000</v>
      </c>
      <c r="G2531" s="42" t="s">
        <v>337</v>
      </c>
      <c r="H2531" s="60">
        <v>35</v>
      </c>
      <c r="I2531" s="87">
        <f t="shared" si="164"/>
        <v>2940000</v>
      </c>
      <c r="J2531" s="538">
        <v>34.125</v>
      </c>
      <c r="K2531" s="532">
        <f t="shared" si="166"/>
        <v>0.875</v>
      </c>
      <c r="L2531" s="533">
        <f t="shared" si="165"/>
        <v>73500</v>
      </c>
      <c r="M2531" s="537">
        <f t="shared" si="167"/>
        <v>2.5000000000000001E-2</v>
      </c>
      <c r="N2531" s="47" t="s">
        <v>40</v>
      </c>
      <c r="O2531" s="47" t="s">
        <v>39</v>
      </c>
    </row>
    <row r="2532" spans="1:15">
      <c r="A2532" s="70">
        <v>2025</v>
      </c>
      <c r="B2532" s="16" t="s">
        <v>327</v>
      </c>
      <c r="C2532" s="63" t="s">
        <v>3467</v>
      </c>
      <c r="D2532" s="82" t="s">
        <v>617</v>
      </c>
      <c r="E2532" s="56" t="s">
        <v>230</v>
      </c>
      <c r="F2532" s="459">
        <v>3000</v>
      </c>
      <c r="G2532" s="59" t="s">
        <v>37</v>
      </c>
      <c r="H2532" s="60">
        <v>27.8</v>
      </c>
      <c r="I2532" s="87">
        <f t="shared" si="164"/>
        <v>83400</v>
      </c>
      <c r="J2532" s="538">
        <v>27.5</v>
      </c>
      <c r="K2532" s="532">
        <f t="shared" si="166"/>
        <v>0.30000000000000071</v>
      </c>
      <c r="L2532" s="533">
        <f t="shared" si="165"/>
        <v>900.00000000000216</v>
      </c>
      <c r="M2532" s="537">
        <f t="shared" si="167"/>
        <v>1.0791366906474845E-2</v>
      </c>
      <c r="N2532" s="47" t="s">
        <v>40</v>
      </c>
      <c r="O2532" s="47" t="s">
        <v>39</v>
      </c>
    </row>
    <row r="2533" spans="1:15">
      <c r="A2533" s="70">
        <v>2025</v>
      </c>
      <c r="B2533" s="16" t="s">
        <v>327</v>
      </c>
      <c r="C2533" s="63" t="s">
        <v>3467</v>
      </c>
      <c r="D2533" s="82" t="s">
        <v>617</v>
      </c>
      <c r="E2533" s="56" t="s">
        <v>275</v>
      </c>
      <c r="F2533" s="459">
        <v>3000</v>
      </c>
      <c r="G2533" s="59" t="s">
        <v>37</v>
      </c>
      <c r="H2533" s="60">
        <v>27.8</v>
      </c>
      <c r="I2533" s="87">
        <f t="shared" si="164"/>
        <v>83400</v>
      </c>
      <c r="J2533" s="538">
        <v>27.5</v>
      </c>
      <c r="K2533" s="532">
        <f t="shared" si="166"/>
        <v>0.30000000000000071</v>
      </c>
      <c r="L2533" s="533">
        <f t="shared" si="165"/>
        <v>900.00000000000216</v>
      </c>
      <c r="M2533" s="537">
        <f t="shared" si="167"/>
        <v>1.0791366906474845E-2</v>
      </c>
      <c r="N2533" s="47" t="s">
        <v>40</v>
      </c>
      <c r="O2533" s="47" t="s">
        <v>39</v>
      </c>
    </row>
    <row r="2534" spans="1:15">
      <c r="A2534" s="70">
        <v>2025</v>
      </c>
      <c r="B2534" s="16" t="s">
        <v>327</v>
      </c>
      <c r="C2534" s="62" t="s">
        <v>3467</v>
      </c>
      <c r="D2534" s="47" t="s">
        <v>617</v>
      </c>
      <c r="E2534" s="47" t="s">
        <v>333</v>
      </c>
      <c r="F2534" s="99">
        <v>3108</v>
      </c>
      <c r="G2534" s="42" t="s">
        <v>37</v>
      </c>
      <c r="H2534" s="60">
        <v>27.8</v>
      </c>
      <c r="I2534" s="87">
        <f t="shared" si="164"/>
        <v>86402.400000000009</v>
      </c>
      <c r="J2534" s="538">
        <v>27.5</v>
      </c>
      <c r="K2534" s="532">
        <f t="shared" si="166"/>
        <v>0.30000000000000071</v>
      </c>
      <c r="L2534" s="533">
        <f t="shared" si="165"/>
        <v>932.40000000000225</v>
      </c>
      <c r="M2534" s="537">
        <f t="shared" si="167"/>
        <v>1.0791366906474845E-2</v>
      </c>
      <c r="N2534" s="47" t="s">
        <v>40</v>
      </c>
      <c r="O2534" s="47" t="s">
        <v>39</v>
      </c>
    </row>
    <row r="2535" spans="1:15">
      <c r="A2535" s="70">
        <v>2025</v>
      </c>
      <c r="B2535" s="16" t="s">
        <v>327</v>
      </c>
      <c r="C2535" s="63" t="s">
        <v>3468</v>
      </c>
      <c r="D2535" s="82" t="s">
        <v>3235</v>
      </c>
      <c r="E2535" s="56" t="s">
        <v>2345</v>
      </c>
      <c r="F2535" s="459">
        <v>3000</v>
      </c>
      <c r="G2535" s="59" t="s">
        <v>37</v>
      </c>
      <c r="H2535" s="60">
        <v>27.4</v>
      </c>
      <c r="I2535" s="87">
        <f t="shared" si="164"/>
        <v>82200</v>
      </c>
      <c r="J2535" s="538">
        <v>27</v>
      </c>
      <c r="K2535" s="532">
        <f t="shared" si="166"/>
        <v>0.39999999999999858</v>
      </c>
      <c r="L2535" s="533">
        <f t="shared" si="165"/>
        <v>1199.9999999999957</v>
      </c>
      <c r="M2535" s="537">
        <f t="shared" si="167"/>
        <v>1.4598540145985351E-2</v>
      </c>
      <c r="N2535" s="56" t="s">
        <v>40</v>
      </c>
      <c r="O2535" s="56" t="s">
        <v>39</v>
      </c>
    </row>
    <row r="2536" spans="1:15">
      <c r="A2536" s="70">
        <v>2025</v>
      </c>
      <c r="B2536" s="16" t="s">
        <v>327</v>
      </c>
      <c r="C2536" s="63" t="s">
        <v>3468</v>
      </c>
      <c r="D2536" s="82" t="s">
        <v>3235</v>
      </c>
      <c r="E2536" s="56" t="s">
        <v>274</v>
      </c>
      <c r="F2536" s="459">
        <v>9000</v>
      </c>
      <c r="G2536" s="59" t="s">
        <v>37</v>
      </c>
      <c r="H2536" s="60">
        <v>27.4</v>
      </c>
      <c r="I2536" s="87">
        <f t="shared" si="164"/>
        <v>246600</v>
      </c>
      <c r="J2536" s="538">
        <v>27</v>
      </c>
      <c r="K2536" s="532">
        <f t="shared" si="166"/>
        <v>0.39999999999999858</v>
      </c>
      <c r="L2536" s="533">
        <f t="shared" si="165"/>
        <v>3599.9999999999873</v>
      </c>
      <c r="M2536" s="537">
        <f t="shared" si="167"/>
        <v>1.4598540145985351E-2</v>
      </c>
      <c r="N2536" s="47" t="s">
        <v>40</v>
      </c>
      <c r="O2536" s="47" t="s">
        <v>39</v>
      </c>
    </row>
    <row r="2537" spans="1:15">
      <c r="A2537" s="70">
        <v>2025</v>
      </c>
      <c r="B2537" s="424" t="s">
        <v>464</v>
      </c>
      <c r="C2537" s="63" t="s">
        <v>3469</v>
      </c>
      <c r="D2537" s="82" t="s">
        <v>617</v>
      </c>
      <c r="E2537" s="90" t="s">
        <v>996</v>
      </c>
      <c r="F2537" s="455">
        <v>6000</v>
      </c>
      <c r="G2537" s="59" t="s">
        <v>37</v>
      </c>
      <c r="H2537" s="491">
        <v>28</v>
      </c>
      <c r="I2537" s="87">
        <f t="shared" si="164"/>
        <v>168000</v>
      </c>
      <c r="J2537" s="550">
        <v>27.5</v>
      </c>
      <c r="K2537" s="532">
        <f t="shared" si="166"/>
        <v>0.5</v>
      </c>
      <c r="L2537" s="533">
        <f t="shared" si="165"/>
        <v>3000</v>
      </c>
      <c r="M2537" s="537">
        <f t="shared" si="167"/>
        <v>1.7857142857142856E-2</v>
      </c>
      <c r="N2537" s="56" t="s">
        <v>40</v>
      </c>
      <c r="O2537" s="56" t="s">
        <v>39</v>
      </c>
    </row>
    <row r="2538" spans="1:15">
      <c r="A2538" s="70">
        <v>2025</v>
      </c>
      <c r="B2538" s="16" t="s">
        <v>464</v>
      </c>
      <c r="C2538" s="63" t="s">
        <v>3469</v>
      </c>
      <c r="D2538" s="82" t="s">
        <v>617</v>
      </c>
      <c r="E2538" s="90" t="s">
        <v>996</v>
      </c>
      <c r="F2538" s="455">
        <v>3000</v>
      </c>
      <c r="G2538" s="59" t="s">
        <v>37</v>
      </c>
      <c r="H2538" s="491">
        <v>28</v>
      </c>
      <c r="I2538" s="87">
        <f t="shared" si="164"/>
        <v>84000</v>
      </c>
      <c r="J2538" s="550">
        <v>27.5</v>
      </c>
      <c r="K2538" s="532">
        <f t="shared" si="166"/>
        <v>0.5</v>
      </c>
      <c r="L2538" s="533">
        <f t="shared" si="165"/>
        <v>1500</v>
      </c>
      <c r="M2538" s="537">
        <f t="shared" si="167"/>
        <v>1.7857142857142856E-2</v>
      </c>
      <c r="N2538" s="56" t="s">
        <v>40</v>
      </c>
      <c r="O2538" s="56" t="s">
        <v>39</v>
      </c>
    </row>
    <row r="2539" spans="1:15">
      <c r="A2539" s="70">
        <v>2025</v>
      </c>
      <c r="B2539" s="16" t="s">
        <v>464</v>
      </c>
      <c r="C2539" s="62" t="s">
        <v>3469</v>
      </c>
      <c r="D2539" s="47" t="s">
        <v>617</v>
      </c>
      <c r="E2539" s="88" t="s">
        <v>230</v>
      </c>
      <c r="F2539" s="474">
        <v>3000</v>
      </c>
      <c r="G2539" s="42" t="s">
        <v>37</v>
      </c>
      <c r="H2539" s="504">
        <v>28</v>
      </c>
      <c r="I2539" s="87">
        <f t="shared" si="164"/>
        <v>84000</v>
      </c>
      <c r="J2539" s="550">
        <v>27.5</v>
      </c>
      <c r="K2539" s="532">
        <f t="shared" si="166"/>
        <v>0.5</v>
      </c>
      <c r="L2539" s="533">
        <f t="shared" si="165"/>
        <v>1500</v>
      </c>
      <c r="M2539" s="534">
        <f t="shared" si="167"/>
        <v>1.7857142857142856E-2</v>
      </c>
      <c r="N2539" s="47" t="s">
        <v>40</v>
      </c>
      <c r="O2539" s="47" t="s">
        <v>39</v>
      </c>
    </row>
    <row r="2540" spans="1:15">
      <c r="A2540" s="70">
        <v>2025</v>
      </c>
      <c r="B2540" s="16" t="s">
        <v>464</v>
      </c>
      <c r="C2540" s="63" t="s">
        <v>3470</v>
      </c>
      <c r="D2540" s="82" t="s">
        <v>270</v>
      </c>
      <c r="E2540" s="90" t="s">
        <v>3471</v>
      </c>
      <c r="F2540" s="455">
        <v>51</v>
      </c>
      <c r="G2540" s="59" t="s">
        <v>1608</v>
      </c>
      <c r="H2540" s="491">
        <v>175458</v>
      </c>
      <c r="I2540" s="87">
        <f t="shared" si="164"/>
        <v>8948358</v>
      </c>
      <c r="J2540" s="550">
        <v>166692</v>
      </c>
      <c r="K2540" s="532">
        <f t="shared" si="166"/>
        <v>8766</v>
      </c>
      <c r="L2540" s="533">
        <f t="shared" si="165"/>
        <v>447066</v>
      </c>
      <c r="M2540" s="537">
        <f t="shared" si="167"/>
        <v>4.9960674349416957E-2</v>
      </c>
      <c r="N2540" s="47" t="s">
        <v>40</v>
      </c>
      <c r="O2540" s="47" t="s">
        <v>39</v>
      </c>
    </row>
    <row r="2541" spans="1:15">
      <c r="A2541" s="70">
        <v>2025</v>
      </c>
      <c r="B2541" s="16" t="s">
        <v>464</v>
      </c>
      <c r="C2541" s="63" t="s">
        <v>3472</v>
      </c>
      <c r="D2541" s="82" t="s">
        <v>1119</v>
      </c>
      <c r="E2541" s="90" t="s">
        <v>3473</v>
      </c>
      <c r="F2541" s="455">
        <v>94</v>
      </c>
      <c r="G2541" s="59" t="s">
        <v>1616</v>
      </c>
      <c r="H2541" s="491">
        <v>230</v>
      </c>
      <c r="I2541" s="87">
        <f t="shared" ref="I2541:I2604" si="168">H2541*F2541</f>
        <v>21620</v>
      </c>
      <c r="J2541" s="550">
        <v>220</v>
      </c>
      <c r="K2541" s="532">
        <f t="shared" si="166"/>
        <v>10</v>
      </c>
      <c r="L2541" s="533">
        <f t="shared" si="165"/>
        <v>940</v>
      </c>
      <c r="M2541" s="537">
        <f t="shared" si="167"/>
        <v>4.3478260869565216E-2</v>
      </c>
      <c r="N2541" s="47" t="s">
        <v>40</v>
      </c>
      <c r="O2541" s="47" t="s">
        <v>39</v>
      </c>
    </row>
    <row r="2542" spans="1:15">
      <c r="A2542" s="70">
        <v>2025</v>
      </c>
      <c r="B2542" s="16" t="s">
        <v>464</v>
      </c>
      <c r="C2542" s="62" t="s">
        <v>3474</v>
      </c>
      <c r="D2542" s="47" t="s">
        <v>1119</v>
      </c>
      <c r="E2542" s="392" t="s">
        <v>3475</v>
      </c>
      <c r="F2542" s="476">
        <v>652</v>
      </c>
      <c r="G2542" s="59" t="s">
        <v>1616</v>
      </c>
      <c r="H2542" s="507">
        <v>22</v>
      </c>
      <c r="I2542" s="87">
        <f t="shared" si="168"/>
        <v>14344</v>
      </c>
      <c r="J2542" s="550">
        <v>20</v>
      </c>
      <c r="K2542" s="532">
        <f t="shared" si="166"/>
        <v>2</v>
      </c>
      <c r="L2542" s="533">
        <f t="shared" si="165"/>
        <v>1304</v>
      </c>
      <c r="M2542" s="534">
        <f t="shared" si="167"/>
        <v>9.0909090909090912E-2</v>
      </c>
      <c r="N2542" s="47" t="s">
        <v>22</v>
      </c>
      <c r="O2542" s="47" t="s">
        <v>39</v>
      </c>
    </row>
    <row r="2543" spans="1:15">
      <c r="A2543" s="70">
        <v>2025</v>
      </c>
      <c r="B2543" s="16" t="s">
        <v>464</v>
      </c>
      <c r="C2543" s="63" t="s">
        <v>3474</v>
      </c>
      <c r="D2543" s="82" t="s">
        <v>1119</v>
      </c>
      <c r="E2543" s="452" t="s">
        <v>3476</v>
      </c>
      <c r="F2543" s="477">
        <v>1902</v>
      </c>
      <c r="G2543" s="59" t="s">
        <v>1616</v>
      </c>
      <c r="H2543" s="508">
        <v>28</v>
      </c>
      <c r="I2543" s="87">
        <f t="shared" si="168"/>
        <v>53256</v>
      </c>
      <c r="J2543" s="550">
        <v>26</v>
      </c>
      <c r="K2543" s="532">
        <f t="shared" si="166"/>
        <v>2</v>
      </c>
      <c r="L2543" s="533">
        <f t="shared" si="165"/>
        <v>3804</v>
      </c>
      <c r="M2543" s="537">
        <f t="shared" si="167"/>
        <v>7.1428571428571425E-2</v>
      </c>
      <c r="N2543" s="47" t="s">
        <v>22</v>
      </c>
      <c r="O2543" s="47" t="s">
        <v>39</v>
      </c>
    </row>
    <row r="2544" spans="1:15">
      <c r="A2544" s="70">
        <v>2025</v>
      </c>
      <c r="B2544" s="16" t="s">
        <v>464</v>
      </c>
      <c r="C2544" s="63" t="s">
        <v>3474</v>
      </c>
      <c r="D2544" s="82" t="s">
        <v>1119</v>
      </c>
      <c r="E2544" s="454" t="s">
        <v>3477</v>
      </c>
      <c r="F2544" s="480">
        <v>2376</v>
      </c>
      <c r="G2544" s="59" t="s">
        <v>1616</v>
      </c>
      <c r="H2544" s="510">
        <v>32</v>
      </c>
      <c r="I2544" s="87">
        <f t="shared" si="168"/>
        <v>76032</v>
      </c>
      <c r="J2544" s="538">
        <v>30</v>
      </c>
      <c r="K2544" s="532">
        <f t="shared" si="166"/>
        <v>2</v>
      </c>
      <c r="L2544" s="533">
        <f t="shared" si="165"/>
        <v>4752</v>
      </c>
      <c r="M2544" s="537">
        <f t="shared" si="167"/>
        <v>6.25E-2</v>
      </c>
      <c r="N2544" s="47" t="s">
        <v>22</v>
      </c>
      <c r="O2544" s="47" t="s">
        <v>39</v>
      </c>
    </row>
    <row r="2545" spans="1:15">
      <c r="A2545" s="70">
        <v>2025</v>
      </c>
      <c r="B2545" s="16" t="s">
        <v>464</v>
      </c>
      <c r="C2545" s="62" t="s">
        <v>3474</v>
      </c>
      <c r="D2545" s="82" t="s">
        <v>1119</v>
      </c>
      <c r="E2545" s="392" t="s">
        <v>3478</v>
      </c>
      <c r="F2545" s="392">
        <v>160</v>
      </c>
      <c r="G2545" s="59" t="s">
        <v>1616</v>
      </c>
      <c r="H2545" s="499">
        <v>30</v>
      </c>
      <c r="I2545" s="87">
        <f t="shared" si="168"/>
        <v>4800</v>
      </c>
      <c r="J2545" s="538">
        <v>28</v>
      </c>
      <c r="K2545" s="532">
        <f t="shared" si="166"/>
        <v>2</v>
      </c>
      <c r="L2545" s="533">
        <f t="shared" si="165"/>
        <v>320</v>
      </c>
      <c r="M2545" s="534">
        <f t="shared" si="167"/>
        <v>6.6666666666666666E-2</v>
      </c>
      <c r="N2545" s="47" t="s">
        <v>22</v>
      </c>
      <c r="O2545" s="47" t="s">
        <v>39</v>
      </c>
    </row>
    <row r="2546" spans="1:15">
      <c r="A2546" s="70">
        <v>2025</v>
      </c>
      <c r="B2546" s="16" t="s">
        <v>464</v>
      </c>
      <c r="C2546" s="63" t="s">
        <v>3474</v>
      </c>
      <c r="D2546" s="82" t="s">
        <v>1119</v>
      </c>
      <c r="E2546" s="454" t="s">
        <v>3479</v>
      </c>
      <c r="F2546" s="480">
        <v>432</v>
      </c>
      <c r="G2546" s="59" t="s">
        <v>1616</v>
      </c>
      <c r="H2546" s="510">
        <v>37</v>
      </c>
      <c r="I2546" s="87">
        <f t="shared" si="168"/>
        <v>15984</v>
      </c>
      <c r="J2546" s="538">
        <v>35</v>
      </c>
      <c r="K2546" s="532">
        <f t="shared" si="166"/>
        <v>2</v>
      </c>
      <c r="L2546" s="533">
        <f t="shared" si="165"/>
        <v>864</v>
      </c>
      <c r="M2546" s="537">
        <f t="shared" si="167"/>
        <v>5.4054054054054057E-2</v>
      </c>
      <c r="N2546" s="47" t="s">
        <v>22</v>
      </c>
      <c r="O2546" s="47" t="s">
        <v>39</v>
      </c>
    </row>
    <row r="2547" spans="1:15">
      <c r="A2547" s="70">
        <v>2025</v>
      </c>
      <c r="B2547" s="16" t="s">
        <v>464</v>
      </c>
      <c r="C2547" s="63" t="s">
        <v>3480</v>
      </c>
      <c r="D2547" s="82" t="s">
        <v>329</v>
      </c>
      <c r="E2547" s="57" t="s">
        <v>3481</v>
      </c>
      <c r="F2547" s="459">
        <v>120</v>
      </c>
      <c r="G2547" s="59" t="s">
        <v>19</v>
      </c>
      <c r="H2547" s="60">
        <v>540</v>
      </c>
      <c r="I2547" s="87">
        <f t="shared" si="168"/>
        <v>64800</v>
      </c>
      <c r="J2547" s="538">
        <v>520</v>
      </c>
      <c r="K2547" s="532">
        <f t="shared" si="166"/>
        <v>20</v>
      </c>
      <c r="L2547" s="533">
        <f t="shared" si="165"/>
        <v>2400</v>
      </c>
      <c r="M2547" s="537">
        <f t="shared" si="167"/>
        <v>3.7037037037037035E-2</v>
      </c>
      <c r="N2547" s="47" t="s">
        <v>22</v>
      </c>
      <c r="O2547" s="47" t="s">
        <v>39</v>
      </c>
    </row>
    <row r="2548" spans="1:15">
      <c r="A2548" s="70">
        <v>2025</v>
      </c>
      <c r="B2548" s="16" t="s">
        <v>464</v>
      </c>
      <c r="C2548" s="62" t="s">
        <v>3480</v>
      </c>
      <c r="D2548" s="47" t="s">
        <v>329</v>
      </c>
      <c r="E2548" s="48" t="s">
        <v>3482</v>
      </c>
      <c r="F2548" s="459">
        <v>60</v>
      </c>
      <c r="G2548" s="59" t="s">
        <v>19</v>
      </c>
      <c r="H2548" s="44">
        <v>490</v>
      </c>
      <c r="I2548" s="87">
        <f t="shared" si="168"/>
        <v>29400</v>
      </c>
      <c r="J2548" s="538">
        <v>470</v>
      </c>
      <c r="K2548" s="532">
        <f t="shared" si="166"/>
        <v>20</v>
      </c>
      <c r="L2548" s="533">
        <f t="shared" si="165"/>
        <v>1200</v>
      </c>
      <c r="M2548" s="534">
        <f t="shared" si="167"/>
        <v>4.0816326530612242E-2</v>
      </c>
      <c r="N2548" s="47" t="s">
        <v>22</v>
      </c>
      <c r="O2548" s="47" t="s">
        <v>39</v>
      </c>
    </row>
    <row r="2549" spans="1:15">
      <c r="A2549" s="70">
        <v>2025</v>
      </c>
      <c r="B2549" s="16" t="s">
        <v>464</v>
      </c>
      <c r="C2549" s="63" t="s">
        <v>3480</v>
      </c>
      <c r="D2549" s="82" t="s">
        <v>329</v>
      </c>
      <c r="E2549" s="57" t="s">
        <v>3483</v>
      </c>
      <c r="F2549" s="459">
        <v>60</v>
      </c>
      <c r="G2549" s="59" t="s">
        <v>19</v>
      </c>
      <c r="H2549" s="60">
        <v>280</v>
      </c>
      <c r="I2549" s="87">
        <f t="shared" si="168"/>
        <v>16800</v>
      </c>
      <c r="J2549" s="538">
        <v>260</v>
      </c>
      <c r="K2549" s="532">
        <f t="shared" si="166"/>
        <v>20</v>
      </c>
      <c r="L2549" s="533">
        <f t="shared" si="165"/>
        <v>1200</v>
      </c>
      <c r="M2549" s="537">
        <f t="shared" si="167"/>
        <v>7.1428571428571425E-2</v>
      </c>
      <c r="N2549" s="47" t="s">
        <v>22</v>
      </c>
      <c r="O2549" s="47" t="s">
        <v>39</v>
      </c>
    </row>
    <row r="2550" spans="1:15">
      <c r="A2550" s="70">
        <v>2025</v>
      </c>
      <c r="B2550" s="16" t="s">
        <v>464</v>
      </c>
      <c r="C2550" s="63" t="s">
        <v>3484</v>
      </c>
      <c r="D2550" s="82" t="s">
        <v>200</v>
      </c>
      <c r="E2550" s="57" t="s">
        <v>3485</v>
      </c>
      <c r="F2550" s="459">
        <v>5</v>
      </c>
      <c r="G2550" s="59" t="s">
        <v>19</v>
      </c>
      <c r="H2550" s="60">
        <v>3000</v>
      </c>
      <c r="I2550" s="87">
        <f t="shared" si="168"/>
        <v>15000</v>
      </c>
      <c r="J2550" s="538">
        <v>2300</v>
      </c>
      <c r="K2550" s="532">
        <f t="shared" si="166"/>
        <v>700</v>
      </c>
      <c r="L2550" s="533">
        <f t="shared" si="165"/>
        <v>3500</v>
      </c>
      <c r="M2550" s="537">
        <f t="shared" si="167"/>
        <v>0.23333333333333334</v>
      </c>
      <c r="N2550" s="47" t="s">
        <v>22</v>
      </c>
      <c r="O2550" s="47" t="s">
        <v>39</v>
      </c>
    </row>
    <row r="2551" spans="1:15">
      <c r="A2551" s="70">
        <v>2025</v>
      </c>
      <c r="B2551" s="16" t="s">
        <v>464</v>
      </c>
      <c r="C2551" s="62" t="s">
        <v>3486</v>
      </c>
      <c r="D2551" s="47" t="s">
        <v>1119</v>
      </c>
      <c r="E2551" s="48" t="s">
        <v>3487</v>
      </c>
      <c r="F2551" s="99">
        <v>94</v>
      </c>
      <c r="G2551" s="59" t="s">
        <v>19</v>
      </c>
      <c r="H2551" s="44">
        <v>380</v>
      </c>
      <c r="I2551" s="87">
        <f t="shared" si="168"/>
        <v>35720</v>
      </c>
      <c r="J2551" s="538">
        <v>360</v>
      </c>
      <c r="K2551" s="532">
        <f t="shared" si="166"/>
        <v>20</v>
      </c>
      <c r="L2551" s="533">
        <f t="shared" si="165"/>
        <v>1880</v>
      </c>
      <c r="M2551" s="534">
        <f t="shared" si="167"/>
        <v>5.2631578947368418E-2</v>
      </c>
      <c r="N2551" s="47" t="s">
        <v>40</v>
      </c>
      <c r="O2551" s="47" t="s">
        <v>39</v>
      </c>
    </row>
    <row r="2552" spans="1:15">
      <c r="A2552" s="70">
        <v>2025</v>
      </c>
      <c r="B2552" s="16" t="s">
        <v>464</v>
      </c>
      <c r="C2552" s="85" t="s">
        <v>3488</v>
      </c>
      <c r="D2552" s="47" t="s">
        <v>590</v>
      </c>
      <c r="E2552" s="48" t="s">
        <v>3489</v>
      </c>
      <c r="F2552" s="99">
        <v>1</v>
      </c>
      <c r="G2552" s="42" t="s">
        <v>1608</v>
      </c>
      <c r="H2552" s="44">
        <v>58500</v>
      </c>
      <c r="I2552" s="87">
        <f t="shared" si="168"/>
        <v>58500</v>
      </c>
      <c r="J2552" s="538">
        <v>56100</v>
      </c>
      <c r="K2552" s="532">
        <f t="shared" si="166"/>
        <v>2400</v>
      </c>
      <c r="L2552" s="533">
        <f t="shared" si="165"/>
        <v>2400</v>
      </c>
      <c r="M2552" s="537">
        <f t="shared" si="167"/>
        <v>4.1025641025641026E-2</v>
      </c>
      <c r="N2552" s="47" t="s">
        <v>22</v>
      </c>
      <c r="O2552" s="47" t="s">
        <v>39</v>
      </c>
    </row>
    <row r="2553" spans="1:15">
      <c r="A2553" s="70">
        <v>2025</v>
      </c>
      <c r="B2553" s="16" t="s">
        <v>464</v>
      </c>
      <c r="C2553" s="63" t="s">
        <v>3488</v>
      </c>
      <c r="D2553" s="82" t="s">
        <v>590</v>
      </c>
      <c r="E2553" s="57" t="s">
        <v>3490</v>
      </c>
      <c r="F2553" s="459">
        <v>3</v>
      </c>
      <c r="G2553" s="59" t="s">
        <v>1608</v>
      </c>
      <c r="H2553" s="60">
        <v>80000</v>
      </c>
      <c r="I2553" s="87">
        <f t="shared" si="168"/>
        <v>240000</v>
      </c>
      <c r="J2553" s="538">
        <v>77500</v>
      </c>
      <c r="K2553" s="532">
        <f t="shared" si="166"/>
        <v>2500</v>
      </c>
      <c r="L2553" s="533">
        <f t="shared" si="165"/>
        <v>7500</v>
      </c>
      <c r="M2553" s="537">
        <f t="shared" si="167"/>
        <v>3.125E-2</v>
      </c>
      <c r="N2553" s="56" t="s">
        <v>22</v>
      </c>
      <c r="O2553" s="56" t="s">
        <v>39</v>
      </c>
    </row>
    <row r="2554" spans="1:15">
      <c r="A2554" s="70">
        <v>2025</v>
      </c>
      <c r="B2554" s="16" t="s">
        <v>464</v>
      </c>
      <c r="C2554" s="63" t="s">
        <v>3491</v>
      </c>
      <c r="D2554" s="82" t="s">
        <v>329</v>
      </c>
      <c r="E2554" s="57" t="s">
        <v>3492</v>
      </c>
      <c r="F2554" s="459">
        <v>60</v>
      </c>
      <c r="G2554" s="59" t="s">
        <v>19</v>
      </c>
      <c r="H2554" s="60">
        <v>1950</v>
      </c>
      <c r="I2554" s="87">
        <f t="shared" si="168"/>
        <v>117000</v>
      </c>
      <c r="J2554" s="538">
        <v>1920</v>
      </c>
      <c r="K2554" s="532">
        <f t="shared" si="166"/>
        <v>30</v>
      </c>
      <c r="L2554" s="533">
        <f t="shared" si="165"/>
        <v>1800</v>
      </c>
      <c r="M2554" s="537">
        <f t="shared" si="167"/>
        <v>1.5384615384615385E-2</v>
      </c>
      <c r="N2554" s="56" t="s">
        <v>22</v>
      </c>
      <c r="O2554" s="56" t="s">
        <v>39</v>
      </c>
    </row>
    <row r="2555" spans="1:15">
      <c r="A2555" s="70">
        <v>2025</v>
      </c>
      <c r="B2555" s="16" t="s">
        <v>464</v>
      </c>
      <c r="C2555" s="63" t="s">
        <v>3493</v>
      </c>
      <c r="D2555" s="82" t="s">
        <v>94</v>
      </c>
      <c r="E2555" s="57" t="s">
        <v>550</v>
      </c>
      <c r="F2555" s="459">
        <v>200</v>
      </c>
      <c r="G2555" s="59" t="s">
        <v>19</v>
      </c>
      <c r="H2555" s="60">
        <v>50</v>
      </c>
      <c r="I2555" s="87">
        <f t="shared" si="168"/>
        <v>10000</v>
      </c>
      <c r="J2555" s="538">
        <v>47.56</v>
      </c>
      <c r="K2555" s="532">
        <f t="shared" si="166"/>
        <v>2.4399999999999977</v>
      </c>
      <c r="L2555" s="533">
        <f t="shared" ref="L2555:L2618" si="169">K2555*F2555</f>
        <v>487.99999999999955</v>
      </c>
      <c r="M2555" s="537">
        <f t="shared" si="167"/>
        <v>4.8799999999999955E-2</v>
      </c>
      <c r="N2555" s="56" t="s">
        <v>22</v>
      </c>
      <c r="O2555" s="56" t="s">
        <v>105</v>
      </c>
    </row>
    <row r="2556" spans="1:15">
      <c r="A2556" s="70">
        <v>2025</v>
      </c>
      <c r="B2556" s="16" t="s">
        <v>464</v>
      </c>
      <c r="C2556" s="62" t="s">
        <v>3493</v>
      </c>
      <c r="D2556" s="47" t="s">
        <v>94</v>
      </c>
      <c r="E2556" s="48" t="s">
        <v>546</v>
      </c>
      <c r="F2556" s="99">
        <v>200</v>
      </c>
      <c r="G2556" s="42" t="s">
        <v>19</v>
      </c>
      <c r="H2556" s="44">
        <v>190</v>
      </c>
      <c r="I2556" s="44">
        <f t="shared" si="168"/>
        <v>38000</v>
      </c>
      <c r="J2556" s="538">
        <v>185.25</v>
      </c>
      <c r="K2556" s="532">
        <f t="shared" si="166"/>
        <v>4.75</v>
      </c>
      <c r="L2556" s="533">
        <f t="shared" si="169"/>
        <v>950</v>
      </c>
      <c r="M2556" s="534">
        <f t="shared" si="167"/>
        <v>2.5000000000000001E-2</v>
      </c>
      <c r="N2556" s="47" t="s">
        <v>22</v>
      </c>
      <c r="O2556" s="56" t="s">
        <v>105</v>
      </c>
    </row>
    <row r="2557" spans="1:15">
      <c r="A2557" s="70">
        <v>2025</v>
      </c>
      <c r="B2557" s="16" t="s">
        <v>464</v>
      </c>
      <c r="C2557" s="63" t="s">
        <v>3493</v>
      </c>
      <c r="D2557" s="47" t="s">
        <v>94</v>
      </c>
      <c r="E2557" s="48" t="s">
        <v>457</v>
      </c>
      <c r="F2557" s="99">
        <v>200</v>
      </c>
      <c r="G2557" s="42" t="s">
        <v>19</v>
      </c>
      <c r="H2557" s="44">
        <v>5.25</v>
      </c>
      <c r="I2557" s="87">
        <f t="shared" si="168"/>
        <v>1050</v>
      </c>
      <c r="J2557" s="538">
        <v>5.0999999999999996</v>
      </c>
      <c r="K2557" s="532">
        <f t="shared" si="166"/>
        <v>0.15000000000000036</v>
      </c>
      <c r="L2557" s="533">
        <f t="shared" si="169"/>
        <v>30.000000000000071</v>
      </c>
      <c r="M2557" s="537">
        <f t="shared" si="167"/>
        <v>2.857142857142864E-2</v>
      </c>
      <c r="N2557" s="47" t="s">
        <v>22</v>
      </c>
      <c r="O2557" s="56" t="s">
        <v>105</v>
      </c>
    </row>
    <row r="2558" spans="1:15">
      <c r="A2558" s="70">
        <v>2025</v>
      </c>
      <c r="B2558" s="16" t="s">
        <v>464</v>
      </c>
      <c r="C2558" s="63" t="s">
        <v>3493</v>
      </c>
      <c r="D2558" s="82" t="s">
        <v>94</v>
      </c>
      <c r="E2558" s="57" t="s">
        <v>456</v>
      </c>
      <c r="F2558" s="459">
        <v>300</v>
      </c>
      <c r="G2558" s="59" t="s">
        <v>19</v>
      </c>
      <c r="H2558" s="60">
        <v>2.6</v>
      </c>
      <c r="I2558" s="87">
        <f t="shared" si="168"/>
        <v>780</v>
      </c>
      <c r="J2558" s="538">
        <v>2.5499999999999998</v>
      </c>
      <c r="K2558" s="532">
        <f t="shared" si="166"/>
        <v>5.0000000000000266E-2</v>
      </c>
      <c r="L2558" s="533">
        <f t="shared" si="169"/>
        <v>15.00000000000008</v>
      </c>
      <c r="M2558" s="537">
        <f t="shared" si="167"/>
        <v>1.9230769230769332E-2</v>
      </c>
      <c r="N2558" s="56" t="s">
        <v>22</v>
      </c>
      <c r="O2558" s="56" t="s">
        <v>105</v>
      </c>
    </row>
    <row r="2559" spans="1:15">
      <c r="A2559" s="70">
        <v>2025</v>
      </c>
      <c r="B2559" s="16" t="s">
        <v>464</v>
      </c>
      <c r="C2559" s="63" t="s">
        <v>3494</v>
      </c>
      <c r="D2559" s="82" t="s">
        <v>270</v>
      </c>
      <c r="E2559" s="57" t="s">
        <v>1244</v>
      </c>
      <c r="F2559" s="459">
        <v>1</v>
      </c>
      <c r="G2559" s="59" t="s">
        <v>1608</v>
      </c>
      <c r="H2559" s="60">
        <v>149679</v>
      </c>
      <c r="I2559" s="87">
        <f t="shared" si="168"/>
        <v>149679</v>
      </c>
      <c r="J2559" s="538">
        <v>146691</v>
      </c>
      <c r="K2559" s="532">
        <f t="shared" si="166"/>
        <v>2988</v>
      </c>
      <c r="L2559" s="533">
        <f t="shared" si="169"/>
        <v>2988</v>
      </c>
      <c r="M2559" s="537">
        <f t="shared" si="167"/>
        <v>1.9962720221273527E-2</v>
      </c>
      <c r="N2559" s="56" t="s">
        <v>40</v>
      </c>
      <c r="O2559" s="56" t="s">
        <v>105</v>
      </c>
    </row>
    <row r="2560" spans="1:15">
      <c r="A2560" s="70">
        <v>2025</v>
      </c>
      <c r="B2560" s="16" t="s">
        <v>464</v>
      </c>
      <c r="C2560" s="63" t="s">
        <v>3495</v>
      </c>
      <c r="D2560" s="82" t="s">
        <v>192</v>
      </c>
      <c r="E2560" s="48" t="s">
        <v>3496</v>
      </c>
      <c r="F2560" s="99">
        <v>1</v>
      </c>
      <c r="G2560" s="42" t="s">
        <v>19</v>
      </c>
      <c r="H2560" s="44">
        <v>29900</v>
      </c>
      <c r="I2560" s="87">
        <f t="shared" si="168"/>
        <v>29900</v>
      </c>
      <c r="J2560" s="538">
        <v>17970</v>
      </c>
      <c r="K2560" s="532">
        <f t="shared" si="166"/>
        <v>11930</v>
      </c>
      <c r="L2560" s="533">
        <f t="shared" si="169"/>
        <v>11930</v>
      </c>
      <c r="M2560" s="534">
        <f t="shared" si="167"/>
        <v>0.39899665551839464</v>
      </c>
      <c r="N2560" s="47" t="s">
        <v>40</v>
      </c>
      <c r="O2560" s="47" t="s">
        <v>105</v>
      </c>
    </row>
    <row r="2561" spans="1:15">
      <c r="A2561" s="70">
        <v>2025</v>
      </c>
      <c r="B2561" s="16" t="s">
        <v>464</v>
      </c>
      <c r="C2561" s="63" t="s">
        <v>3497</v>
      </c>
      <c r="D2561" s="82" t="s">
        <v>68</v>
      </c>
      <c r="E2561" s="57" t="s">
        <v>962</v>
      </c>
      <c r="F2561" s="459">
        <v>976.8</v>
      </c>
      <c r="G2561" s="59" t="s">
        <v>37</v>
      </c>
      <c r="H2561" s="60">
        <v>375</v>
      </c>
      <c r="I2561" s="87">
        <f t="shared" si="168"/>
        <v>366300</v>
      </c>
      <c r="J2561" s="538">
        <v>370</v>
      </c>
      <c r="K2561" s="532">
        <f t="shared" si="166"/>
        <v>5</v>
      </c>
      <c r="L2561" s="533">
        <f t="shared" si="169"/>
        <v>4884</v>
      </c>
      <c r="M2561" s="537">
        <f t="shared" si="167"/>
        <v>1.3333333333333334E-2</v>
      </c>
      <c r="N2561" s="47" t="s">
        <v>40</v>
      </c>
      <c r="O2561" s="47" t="s">
        <v>105</v>
      </c>
    </row>
    <row r="2562" spans="1:15">
      <c r="A2562" s="70">
        <v>2025</v>
      </c>
      <c r="B2562" s="16" t="s">
        <v>464</v>
      </c>
      <c r="C2562" s="63" t="s">
        <v>3498</v>
      </c>
      <c r="D2562" s="134" t="s">
        <v>1042</v>
      </c>
      <c r="E2562" s="57" t="s">
        <v>1141</v>
      </c>
      <c r="F2562" s="459">
        <v>100</v>
      </c>
      <c r="G2562" s="59" t="s">
        <v>37</v>
      </c>
      <c r="H2562" s="60">
        <v>417</v>
      </c>
      <c r="I2562" s="87">
        <f t="shared" si="168"/>
        <v>41700</v>
      </c>
      <c r="J2562" s="538">
        <v>389</v>
      </c>
      <c r="K2562" s="532">
        <f t="shared" si="166"/>
        <v>28</v>
      </c>
      <c r="L2562" s="533">
        <f t="shared" si="169"/>
        <v>2800</v>
      </c>
      <c r="M2562" s="537">
        <f t="shared" si="167"/>
        <v>6.7146282973621102E-2</v>
      </c>
      <c r="N2562" s="47" t="s">
        <v>22</v>
      </c>
      <c r="O2562" s="47" t="s">
        <v>105</v>
      </c>
    </row>
    <row r="2563" spans="1:15">
      <c r="A2563" s="70">
        <v>2025</v>
      </c>
      <c r="B2563" s="16" t="s">
        <v>464</v>
      </c>
      <c r="C2563" s="63" t="s">
        <v>3498</v>
      </c>
      <c r="D2563" s="134" t="s">
        <v>1042</v>
      </c>
      <c r="E2563" s="57" t="s">
        <v>1319</v>
      </c>
      <c r="F2563" s="459">
        <v>100</v>
      </c>
      <c r="G2563" s="59" t="s">
        <v>37</v>
      </c>
      <c r="H2563" s="60">
        <v>417</v>
      </c>
      <c r="I2563" s="87">
        <f t="shared" si="168"/>
        <v>41700</v>
      </c>
      <c r="J2563" s="538">
        <v>394</v>
      </c>
      <c r="K2563" s="532">
        <f t="shared" ref="K2563:K2626" si="170">H2563-J2563</f>
        <v>23</v>
      </c>
      <c r="L2563" s="533">
        <f t="shared" si="169"/>
        <v>2300</v>
      </c>
      <c r="M2563" s="537">
        <f t="shared" ref="M2563:M2626" si="171">K2563/H2563</f>
        <v>5.5155875299760189E-2</v>
      </c>
      <c r="N2563" s="47" t="s">
        <v>22</v>
      </c>
      <c r="O2563" s="47" t="s">
        <v>105</v>
      </c>
    </row>
    <row r="2564" spans="1:15">
      <c r="A2564" s="70">
        <v>2025</v>
      </c>
      <c r="B2564" s="16" t="s">
        <v>464</v>
      </c>
      <c r="C2564" s="62" t="s">
        <v>3499</v>
      </c>
      <c r="D2564" s="134" t="s">
        <v>1042</v>
      </c>
      <c r="E2564" s="48" t="s">
        <v>3500</v>
      </c>
      <c r="F2564" s="99">
        <v>1427</v>
      </c>
      <c r="G2564" s="59" t="s">
        <v>37</v>
      </c>
      <c r="H2564" s="44">
        <v>404</v>
      </c>
      <c r="I2564" s="87">
        <f t="shared" si="168"/>
        <v>576508</v>
      </c>
      <c r="J2564" s="538">
        <v>372</v>
      </c>
      <c r="K2564" s="532">
        <f t="shared" si="170"/>
        <v>32</v>
      </c>
      <c r="L2564" s="533">
        <f t="shared" si="169"/>
        <v>45664</v>
      </c>
      <c r="M2564" s="534">
        <f t="shared" si="171"/>
        <v>7.9207920792079209E-2</v>
      </c>
      <c r="N2564" s="47" t="s">
        <v>22</v>
      </c>
      <c r="O2564" s="47" t="s">
        <v>105</v>
      </c>
    </row>
    <row r="2565" spans="1:15">
      <c r="A2565" s="70">
        <v>2025</v>
      </c>
      <c r="B2565" s="16" t="s">
        <v>464</v>
      </c>
      <c r="C2565" s="63" t="s">
        <v>3501</v>
      </c>
      <c r="D2565" s="82" t="s">
        <v>892</v>
      </c>
      <c r="E2565" s="57" t="s">
        <v>3379</v>
      </c>
      <c r="F2565" s="459">
        <v>188</v>
      </c>
      <c r="G2565" s="59" t="s">
        <v>19</v>
      </c>
      <c r="H2565" s="87">
        <v>490</v>
      </c>
      <c r="I2565" s="87">
        <f t="shared" si="168"/>
        <v>92120</v>
      </c>
      <c r="J2565" s="538">
        <v>480</v>
      </c>
      <c r="K2565" s="532">
        <f t="shared" si="170"/>
        <v>10</v>
      </c>
      <c r="L2565" s="533">
        <f t="shared" si="169"/>
        <v>1880</v>
      </c>
      <c r="M2565" s="537">
        <f t="shared" si="171"/>
        <v>2.0408163265306121E-2</v>
      </c>
      <c r="N2565" s="47" t="s">
        <v>40</v>
      </c>
      <c r="O2565" s="47" t="s">
        <v>105</v>
      </c>
    </row>
    <row r="2566" spans="1:15">
      <c r="A2566" s="70">
        <v>2025</v>
      </c>
      <c r="B2566" s="16" t="s">
        <v>464</v>
      </c>
      <c r="C2566" s="63" t="s">
        <v>3502</v>
      </c>
      <c r="D2566" s="134" t="s">
        <v>1042</v>
      </c>
      <c r="E2566" s="48" t="s">
        <v>3500</v>
      </c>
      <c r="F2566" s="99">
        <v>3337</v>
      </c>
      <c r="G2566" s="59" t="s">
        <v>37</v>
      </c>
      <c r="H2566" s="44">
        <v>404</v>
      </c>
      <c r="I2566" s="87">
        <f t="shared" si="168"/>
        <v>1348148</v>
      </c>
      <c r="J2566" s="538">
        <v>372</v>
      </c>
      <c r="K2566" s="532">
        <f t="shared" si="170"/>
        <v>32</v>
      </c>
      <c r="L2566" s="533">
        <f t="shared" si="169"/>
        <v>106784</v>
      </c>
      <c r="M2566" s="534">
        <f t="shared" si="171"/>
        <v>7.9207920792079209E-2</v>
      </c>
      <c r="N2566" s="47" t="s">
        <v>22</v>
      </c>
      <c r="O2566" s="47" t="s">
        <v>105</v>
      </c>
    </row>
    <row r="2567" spans="1:15">
      <c r="A2567" s="70">
        <v>2025</v>
      </c>
      <c r="B2567" s="16" t="s">
        <v>464</v>
      </c>
      <c r="C2567" s="63" t="s">
        <v>3503</v>
      </c>
      <c r="D2567" s="82" t="s">
        <v>68</v>
      </c>
      <c r="E2567" s="57" t="s">
        <v>962</v>
      </c>
      <c r="F2567" s="459">
        <v>2372.1</v>
      </c>
      <c r="G2567" s="59" t="s">
        <v>37</v>
      </c>
      <c r="H2567" s="91">
        <v>370</v>
      </c>
      <c r="I2567" s="87">
        <f t="shared" si="168"/>
        <v>877677</v>
      </c>
      <c r="J2567" s="538">
        <v>367</v>
      </c>
      <c r="K2567" s="532">
        <f t="shared" si="170"/>
        <v>3</v>
      </c>
      <c r="L2567" s="533">
        <f t="shared" si="169"/>
        <v>7116.2999999999993</v>
      </c>
      <c r="M2567" s="537">
        <f t="shared" si="171"/>
        <v>8.1081081081081086E-3</v>
      </c>
      <c r="N2567" s="47" t="s">
        <v>22</v>
      </c>
      <c r="O2567" s="47" t="s">
        <v>105</v>
      </c>
    </row>
    <row r="2568" spans="1:15">
      <c r="A2568" s="70">
        <v>2025</v>
      </c>
      <c r="B2568" s="16" t="s">
        <v>464</v>
      </c>
      <c r="C2568" s="63" t="s">
        <v>3504</v>
      </c>
      <c r="D2568" s="82" t="s">
        <v>1042</v>
      </c>
      <c r="E2568" s="57" t="s">
        <v>631</v>
      </c>
      <c r="F2568" s="459">
        <v>1300</v>
      </c>
      <c r="G2568" s="59" t="s">
        <v>37</v>
      </c>
      <c r="H2568" s="60">
        <v>372</v>
      </c>
      <c r="I2568" s="87">
        <f t="shared" si="168"/>
        <v>483600</v>
      </c>
      <c r="J2568" s="538">
        <v>349</v>
      </c>
      <c r="K2568" s="532">
        <f t="shared" si="170"/>
        <v>23</v>
      </c>
      <c r="L2568" s="533">
        <f t="shared" si="169"/>
        <v>29900</v>
      </c>
      <c r="M2568" s="537">
        <f t="shared" si="171"/>
        <v>6.1827956989247312E-2</v>
      </c>
      <c r="N2568" s="47" t="s">
        <v>40</v>
      </c>
      <c r="O2568" s="47" t="s">
        <v>105</v>
      </c>
    </row>
    <row r="2569" spans="1:15">
      <c r="A2569" s="70">
        <v>2025</v>
      </c>
      <c r="B2569" s="16" t="s">
        <v>464</v>
      </c>
      <c r="C2569" s="63" t="s">
        <v>3505</v>
      </c>
      <c r="D2569" s="82" t="s">
        <v>270</v>
      </c>
      <c r="E2569" s="57" t="s">
        <v>3506</v>
      </c>
      <c r="F2569" s="459">
        <v>1</v>
      </c>
      <c r="G2569" s="59" t="s">
        <v>1608</v>
      </c>
      <c r="H2569" s="60">
        <v>102876</v>
      </c>
      <c r="I2569" s="87">
        <f t="shared" si="168"/>
        <v>102876</v>
      </c>
      <c r="J2569" s="538">
        <v>100824</v>
      </c>
      <c r="K2569" s="532">
        <f t="shared" si="170"/>
        <v>2052</v>
      </c>
      <c r="L2569" s="533">
        <f t="shared" si="169"/>
        <v>2052</v>
      </c>
      <c r="M2569" s="537">
        <f t="shared" si="171"/>
        <v>1.9946343170418757E-2</v>
      </c>
      <c r="N2569" s="56" t="s">
        <v>40</v>
      </c>
      <c r="O2569" s="56" t="s">
        <v>105</v>
      </c>
    </row>
    <row r="2570" spans="1:15">
      <c r="A2570" s="70">
        <v>2025</v>
      </c>
      <c r="B2570" s="16" t="s">
        <v>464</v>
      </c>
      <c r="C2570" s="63" t="s">
        <v>3507</v>
      </c>
      <c r="D2570" s="82" t="s">
        <v>1042</v>
      </c>
      <c r="E2570" s="48" t="s">
        <v>3508</v>
      </c>
      <c r="F2570" s="99">
        <v>18000</v>
      </c>
      <c r="G2570" s="42" t="s">
        <v>37</v>
      </c>
      <c r="H2570" s="44">
        <v>372</v>
      </c>
      <c r="I2570" s="44">
        <f t="shared" si="168"/>
        <v>6696000</v>
      </c>
      <c r="J2570" s="538">
        <v>349</v>
      </c>
      <c r="K2570" s="532">
        <f t="shared" si="170"/>
        <v>23</v>
      </c>
      <c r="L2570" s="533">
        <f t="shared" si="169"/>
        <v>414000</v>
      </c>
      <c r="M2570" s="534">
        <f t="shared" si="171"/>
        <v>6.1827956989247312E-2</v>
      </c>
      <c r="N2570" s="56" t="s">
        <v>40</v>
      </c>
      <c r="O2570" s="56" t="s">
        <v>105</v>
      </c>
    </row>
    <row r="2571" spans="1:15">
      <c r="A2571" s="70">
        <v>2025</v>
      </c>
      <c r="B2571" s="16" t="s">
        <v>464</v>
      </c>
      <c r="C2571" s="63" t="s">
        <v>3509</v>
      </c>
      <c r="D2571" s="82" t="s">
        <v>192</v>
      </c>
      <c r="E2571" s="57" t="s">
        <v>3510</v>
      </c>
      <c r="F2571" s="459">
        <v>2</v>
      </c>
      <c r="G2571" s="59" t="s">
        <v>19</v>
      </c>
      <c r="H2571" s="60">
        <v>52790</v>
      </c>
      <c r="I2571" s="87">
        <f t="shared" si="168"/>
        <v>105580</v>
      </c>
      <c r="J2571" s="538">
        <v>51190</v>
      </c>
      <c r="K2571" s="532">
        <f t="shared" si="170"/>
        <v>1600</v>
      </c>
      <c r="L2571" s="533">
        <f t="shared" si="169"/>
        <v>3200</v>
      </c>
      <c r="M2571" s="537">
        <f t="shared" si="171"/>
        <v>3.0308770600492519E-2</v>
      </c>
      <c r="N2571" s="56" t="s">
        <v>40</v>
      </c>
      <c r="O2571" s="56" t="s">
        <v>105</v>
      </c>
    </row>
    <row r="2572" spans="1:15">
      <c r="A2572" s="70">
        <v>2025</v>
      </c>
      <c r="B2572" s="16" t="s">
        <v>464</v>
      </c>
      <c r="C2572" s="63" t="s">
        <v>3511</v>
      </c>
      <c r="D2572" s="82" t="s">
        <v>590</v>
      </c>
      <c r="E2572" s="57" t="s">
        <v>3512</v>
      </c>
      <c r="F2572" s="459">
        <v>3</v>
      </c>
      <c r="G2572" s="59" t="s">
        <v>19</v>
      </c>
      <c r="H2572" s="60">
        <v>6000</v>
      </c>
      <c r="I2572" s="87">
        <f t="shared" si="168"/>
        <v>18000</v>
      </c>
      <c r="J2572" s="538">
        <v>5700</v>
      </c>
      <c r="K2572" s="532">
        <f t="shared" si="170"/>
        <v>300</v>
      </c>
      <c r="L2572" s="533">
        <f t="shared" si="169"/>
        <v>900</v>
      </c>
      <c r="M2572" s="537">
        <f t="shared" si="171"/>
        <v>0.05</v>
      </c>
      <c r="N2572" s="56" t="s">
        <v>22</v>
      </c>
      <c r="O2572" s="56" t="s">
        <v>39</v>
      </c>
    </row>
    <row r="2573" spans="1:15">
      <c r="A2573" s="70">
        <v>2025</v>
      </c>
      <c r="B2573" s="16" t="s">
        <v>464</v>
      </c>
      <c r="C2573" s="63" t="s">
        <v>3513</v>
      </c>
      <c r="D2573" s="82" t="s">
        <v>590</v>
      </c>
      <c r="E2573" s="57" t="s">
        <v>3363</v>
      </c>
      <c r="F2573" s="459">
        <v>35</v>
      </c>
      <c r="G2573" s="59" t="s">
        <v>302</v>
      </c>
      <c r="H2573" s="60">
        <v>18000</v>
      </c>
      <c r="I2573" s="87">
        <f t="shared" si="168"/>
        <v>630000</v>
      </c>
      <c r="J2573" s="538">
        <v>15000</v>
      </c>
      <c r="K2573" s="532">
        <f t="shared" si="170"/>
        <v>3000</v>
      </c>
      <c r="L2573" s="533">
        <f t="shared" si="169"/>
        <v>105000</v>
      </c>
      <c r="M2573" s="537">
        <f t="shared" si="171"/>
        <v>0.16666666666666666</v>
      </c>
      <c r="N2573" s="56" t="s">
        <v>22</v>
      </c>
      <c r="O2573" s="56" t="s">
        <v>39</v>
      </c>
    </row>
    <row r="2574" spans="1:15">
      <c r="A2574" s="70">
        <v>2025</v>
      </c>
      <c r="B2574" s="16" t="s">
        <v>464</v>
      </c>
      <c r="C2574" s="63" t="s">
        <v>3513</v>
      </c>
      <c r="D2574" s="82" t="s">
        <v>590</v>
      </c>
      <c r="E2574" s="57" t="s">
        <v>3364</v>
      </c>
      <c r="F2574" s="459">
        <v>35</v>
      </c>
      <c r="G2574" s="59" t="s">
        <v>302</v>
      </c>
      <c r="H2574" s="60">
        <v>22000</v>
      </c>
      <c r="I2574" s="87">
        <f t="shared" si="168"/>
        <v>770000</v>
      </c>
      <c r="J2574" s="538">
        <v>18400</v>
      </c>
      <c r="K2574" s="532">
        <f t="shared" si="170"/>
        <v>3600</v>
      </c>
      <c r="L2574" s="533">
        <f t="shared" si="169"/>
        <v>126000</v>
      </c>
      <c r="M2574" s="537">
        <f t="shared" si="171"/>
        <v>0.16363636363636364</v>
      </c>
      <c r="N2574" s="56" t="s">
        <v>22</v>
      </c>
      <c r="O2574" s="56" t="s">
        <v>39</v>
      </c>
    </row>
    <row r="2575" spans="1:15">
      <c r="A2575" s="70">
        <v>2025</v>
      </c>
      <c r="B2575" s="16" t="s">
        <v>464</v>
      </c>
      <c r="C2575" s="63" t="s">
        <v>3513</v>
      </c>
      <c r="D2575" s="82" t="s">
        <v>590</v>
      </c>
      <c r="E2575" s="57" t="s">
        <v>3514</v>
      </c>
      <c r="F2575" s="459">
        <v>9</v>
      </c>
      <c r="G2575" s="59" t="s">
        <v>302</v>
      </c>
      <c r="H2575" s="60">
        <v>48500</v>
      </c>
      <c r="I2575" s="87">
        <f t="shared" si="168"/>
        <v>436500</v>
      </c>
      <c r="J2575" s="538">
        <v>45000</v>
      </c>
      <c r="K2575" s="532">
        <f t="shared" si="170"/>
        <v>3500</v>
      </c>
      <c r="L2575" s="533">
        <f t="shared" si="169"/>
        <v>31500</v>
      </c>
      <c r="M2575" s="537">
        <f t="shared" si="171"/>
        <v>7.2164948453608241E-2</v>
      </c>
      <c r="N2575" s="56" t="s">
        <v>22</v>
      </c>
      <c r="O2575" s="56" t="s">
        <v>39</v>
      </c>
    </row>
    <row r="2576" spans="1:15">
      <c r="A2576" s="70">
        <v>2025</v>
      </c>
      <c r="B2576" s="16" t="s">
        <v>464</v>
      </c>
      <c r="C2576" s="62" t="s">
        <v>3513</v>
      </c>
      <c r="D2576" s="82" t="s">
        <v>590</v>
      </c>
      <c r="E2576" s="48" t="s">
        <v>3225</v>
      </c>
      <c r="F2576" s="99">
        <v>30</v>
      </c>
      <c r="G2576" s="42" t="s">
        <v>19</v>
      </c>
      <c r="H2576" s="44">
        <v>6000</v>
      </c>
      <c r="I2576" s="87">
        <f t="shared" si="168"/>
        <v>180000</v>
      </c>
      <c r="J2576" s="538">
        <v>5700</v>
      </c>
      <c r="K2576" s="532">
        <f t="shared" si="170"/>
        <v>300</v>
      </c>
      <c r="L2576" s="533">
        <f t="shared" si="169"/>
        <v>9000</v>
      </c>
      <c r="M2576" s="534">
        <f t="shared" si="171"/>
        <v>0.05</v>
      </c>
      <c r="N2576" s="47" t="s">
        <v>22</v>
      </c>
      <c r="O2576" s="56" t="s">
        <v>39</v>
      </c>
    </row>
    <row r="2577" spans="1:15">
      <c r="A2577" s="70">
        <v>2025</v>
      </c>
      <c r="B2577" s="16" t="s">
        <v>464</v>
      </c>
      <c r="C2577" s="63" t="s">
        <v>3515</v>
      </c>
      <c r="D2577" s="82" t="s">
        <v>270</v>
      </c>
      <c r="E2577" s="57" t="s">
        <v>3516</v>
      </c>
      <c r="F2577" s="459">
        <v>14</v>
      </c>
      <c r="G2577" s="59" t="s">
        <v>302</v>
      </c>
      <c r="H2577" s="60">
        <v>188766</v>
      </c>
      <c r="I2577" s="87">
        <f t="shared" si="168"/>
        <v>2642724</v>
      </c>
      <c r="J2577" s="538">
        <v>184998</v>
      </c>
      <c r="K2577" s="532">
        <f t="shared" si="170"/>
        <v>3768</v>
      </c>
      <c r="L2577" s="533">
        <f t="shared" si="169"/>
        <v>52752</v>
      </c>
      <c r="M2577" s="537">
        <f t="shared" si="171"/>
        <v>1.9961221830202474E-2</v>
      </c>
      <c r="N2577" s="56" t="s">
        <v>40</v>
      </c>
      <c r="O2577" s="56" t="s">
        <v>105</v>
      </c>
    </row>
    <row r="2578" spans="1:15">
      <c r="A2578" s="70">
        <v>2025</v>
      </c>
      <c r="B2578" s="16" t="s">
        <v>464</v>
      </c>
      <c r="C2578" s="63" t="s">
        <v>3517</v>
      </c>
      <c r="D2578" s="82" t="s">
        <v>1042</v>
      </c>
      <c r="E2578" s="57" t="s">
        <v>3260</v>
      </c>
      <c r="F2578" s="459">
        <v>6395</v>
      </c>
      <c r="G2578" s="59" t="s">
        <v>37</v>
      </c>
      <c r="H2578" s="60">
        <v>372</v>
      </c>
      <c r="I2578" s="87">
        <f t="shared" si="168"/>
        <v>2378940</v>
      </c>
      <c r="J2578" s="538">
        <v>370</v>
      </c>
      <c r="K2578" s="532">
        <f t="shared" si="170"/>
        <v>2</v>
      </c>
      <c r="L2578" s="533">
        <f t="shared" si="169"/>
        <v>12790</v>
      </c>
      <c r="M2578" s="537">
        <f t="shared" si="171"/>
        <v>5.3763440860215058E-3</v>
      </c>
      <c r="N2578" s="47" t="s">
        <v>40</v>
      </c>
      <c r="O2578" s="56" t="s">
        <v>105</v>
      </c>
    </row>
    <row r="2579" spans="1:15">
      <c r="A2579" s="70">
        <v>2025</v>
      </c>
      <c r="B2579" s="16" t="s">
        <v>464</v>
      </c>
      <c r="C2579" s="63" t="s">
        <v>3518</v>
      </c>
      <c r="D2579" s="82" t="s">
        <v>166</v>
      </c>
      <c r="E2579" s="57" t="s">
        <v>3062</v>
      </c>
      <c r="F2579" s="459">
        <v>7600</v>
      </c>
      <c r="G2579" s="59" t="s">
        <v>37</v>
      </c>
      <c r="H2579" s="60">
        <v>30.51</v>
      </c>
      <c r="I2579" s="87">
        <f t="shared" si="168"/>
        <v>231876</v>
      </c>
      <c r="J2579" s="538">
        <v>26.28</v>
      </c>
      <c r="K2579" s="532">
        <f t="shared" si="170"/>
        <v>4.2300000000000004</v>
      </c>
      <c r="L2579" s="533">
        <f t="shared" si="169"/>
        <v>32148.000000000004</v>
      </c>
      <c r="M2579" s="537">
        <f t="shared" si="171"/>
        <v>0.13864306784660768</v>
      </c>
      <c r="N2579" s="56" t="s">
        <v>40</v>
      </c>
      <c r="O2579" s="56" t="s">
        <v>105</v>
      </c>
    </row>
    <row r="2580" spans="1:15">
      <c r="A2580" s="70">
        <v>2025</v>
      </c>
      <c r="B2580" s="16" t="s">
        <v>464</v>
      </c>
      <c r="C2580" s="90" t="s">
        <v>3519</v>
      </c>
      <c r="D2580" s="89" t="s">
        <v>17</v>
      </c>
      <c r="E2580" s="90" t="s">
        <v>3520</v>
      </c>
      <c r="F2580" s="408">
        <v>5</v>
      </c>
      <c r="G2580" s="487" t="s">
        <v>19</v>
      </c>
      <c r="H2580" s="90">
        <v>670</v>
      </c>
      <c r="I2580" s="87">
        <f t="shared" si="168"/>
        <v>3350</v>
      </c>
      <c r="J2580" s="550">
        <v>650</v>
      </c>
      <c r="K2580" s="532">
        <f t="shared" si="170"/>
        <v>20</v>
      </c>
      <c r="L2580" s="533">
        <f t="shared" si="169"/>
        <v>100</v>
      </c>
      <c r="M2580" s="537">
        <f t="shared" si="171"/>
        <v>2.9850746268656716E-2</v>
      </c>
      <c r="N2580" s="90" t="s">
        <v>40</v>
      </c>
      <c r="O2580" s="56" t="s">
        <v>3424</v>
      </c>
    </row>
    <row r="2581" spans="1:15">
      <c r="A2581" s="70">
        <v>2025</v>
      </c>
      <c r="B2581" s="16" t="s">
        <v>464</v>
      </c>
      <c r="C2581" s="150" t="s">
        <v>3519</v>
      </c>
      <c r="D2581" s="150" t="s">
        <v>17</v>
      </c>
      <c r="E2581" s="150" t="s">
        <v>3521</v>
      </c>
      <c r="F2581" s="150">
        <v>10</v>
      </c>
      <c r="G2581" s="484" t="s">
        <v>19</v>
      </c>
      <c r="H2581" s="150">
        <v>670</v>
      </c>
      <c r="I2581" s="8">
        <f t="shared" si="168"/>
        <v>6700</v>
      </c>
      <c r="J2581" s="539">
        <v>650</v>
      </c>
      <c r="K2581" s="521">
        <f t="shared" si="170"/>
        <v>20</v>
      </c>
      <c r="L2581" s="522">
        <f t="shared" si="169"/>
        <v>200</v>
      </c>
      <c r="M2581" s="523">
        <f t="shared" si="171"/>
        <v>2.9850746268656716E-2</v>
      </c>
      <c r="N2581" s="150" t="s">
        <v>40</v>
      </c>
      <c r="O2581" s="15" t="s">
        <v>3424</v>
      </c>
    </row>
    <row r="2582" spans="1:15">
      <c r="A2582" s="70">
        <v>2025</v>
      </c>
      <c r="B2582" s="16" t="s">
        <v>464</v>
      </c>
      <c r="C2582" s="150" t="s">
        <v>3522</v>
      </c>
      <c r="D2582" s="150" t="s">
        <v>505</v>
      </c>
      <c r="E2582" s="150" t="s">
        <v>3523</v>
      </c>
      <c r="F2582" s="150">
        <v>14</v>
      </c>
      <c r="G2582" s="484" t="s">
        <v>19</v>
      </c>
      <c r="H2582" s="92">
        <v>2000</v>
      </c>
      <c r="I2582" s="8">
        <f t="shared" si="168"/>
        <v>28000</v>
      </c>
      <c r="J2582" s="539">
        <v>1700</v>
      </c>
      <c r="K2582" s="521">
        <f t="shared" si="170"/>
        <v>300</v>
      </c>
      <c r="L2582" s="522">
        <f t="shared" si="169"/>
        <v>4200</v>
      </c>
      <c r="M2582" s="523">
        <f t="shared" si="171"/>
        <v>0.15</v>
      </c>
      <c r="N2582" s="150" t="s">
        <v>40</v>
      </c>
      <c r="O2582" s="15" t="s">
        <v>3424</v>
      </c>
    </row>
    <row r="2583" spans="1:15">
      <c r="A2583" s="70">
        <v>2025</v>
      </c>
      <c r="B2583" s="16" t="s">
        <v>464</v>
      </c>
      <c r="C2583" s="150" t="s">
        <v>3524</v>
      </c>
      <c r="D2583" s="150" t="s">
        <v>3525</v>
      </c>
      <c r="E2583" s="445" t="s">
        <v>3526</v>
      </c>
      <c r="F2583" s="150">
        <v>1</v>
      </c>
      <c r="G2583" s="484" t="s">
        <v>285</v>
      </c>
      <c r="H2583" s="150">
        <v>306.95999999999998</v>
      </c>
      <c r="I2583" s="8">
        <f t="shared" si="168"/>
        <v>306.95999999999998</v>
      </c>
      <c r="J2583" s="539">
        <v>0</v>
      </c>
      <c r="K2583" s="521">
        <f t="shared" si="170"/>
        <v>306.95999999999998</v>
      </c>
      <c r="L2583" s="522">
        <f t="shared" si="169"/>
        <v>306.95999999999998</v>
      </c>
      <c r="M2583" s="523">
        <f t="shared" si="171"/>
        <v>1</v>
      </c>
      <c r="N2583" s="150" t="s">
        <v>30</v>
      </c>
      <c r="O2583" s="15" t="s">
        <v>3424</v>
      </c>
    </row>
    <row r="2584" spans="1:15">
      <c r="A2584" s="70">
        <v>2025</v>
      </c>
      <c r="B2584" s="16" t="s">
        <v>464</v>
      </c>
      <c r="C2584" s="150" t="s">
        <v>3527</v>
      </c>
      <c r="D2584" s="150" t="s">
        <v>1935</v>
      </c>
      <c r="E2584" s="150" t="s">
        <v>3528</v>
      </c>
      <c r="F2584" s="150">
        <v>72</v>
      </c>
      <c r="G2584" s="484" t="s">
        <v>19</v>
      </c>
      <c r="H2584" s="150">
        <v>147</v>
      </c>
      <c r="I2584" s="8">
        <f t="shared" si="168"/>
        <v>10584</v>
      </c>
      <c r="J2584" s="539">
        <v>127</v>
      </c>
      <c r="K2584" s="521">
        <f t="shared" si="170"/>
        <v>20</v>
      </c>
      <c r="L2584" s="522">
        <f t="shared" si="169"/>
        <v>1440</v>
      </c>
      <c r="M2584" s="523">
        <f t="shared" si="171"/>
        <v>0.1360544217687075</v>
      </c>
      <c r="N2584" s="150" t="s">
        <v>40</v>
      </c>
      <c r="O2584" s="15" t="s">
        <v>3424</v>
      </c>
    </row>
    <row r="2585" spans="1:15">
      <c r="A2585" s="70">
        <v>2025</v>
      </c>
      <c r="B2585" s="16" t="s">
        <v>464</v>
      </c>
      <c r="C2585" s="150" t="s">
        <v>3529</v>
      </c>
      <c r="D2585" s="150" t="s">
        <v>171</v>
      </c>
      <c r="E2585" s="445" t="s">
        <v>3530</v>
      </c>
      <c r="F2585" s="150">
        <v>1</v>
      </c>
      <c r="G2585" s="484" t="s">
        <v>3531</v>
      </c>
      <c r="H2585" s="92">
        <v>60208.33</v>
      </c>
      <c r="I2585" s="8">
        <f t="shared" si="168"/>
        <v>60208.33</v>
      </c>
      <c r="J2585" s="539">
        <v>0</v>
      </c>
      <c r="K2585" s="521">
        <f t="shared" si="170"/>
        <v>60208.33</v>
      </c>
      <c r="L2585" s="522">
        <f t="shared" si="169"/>
        <v>60208.33</v>
      </c>
      <c r="M2585" s="523">
        <f t="shared" si="171"/>
        <v>1</v>
      </c>
      <c r="N2585" s="150" t="s">
        <v>30</v>
      </c>
      <c r="O2585" s="15" t="s">
        <v>3424</v>
      </c>
    </row>
    <row r="2586" spans="1:15">
      <c r="A2586" s="70">
        <v>2025</v>
      </c>
      <c r="B2586" s="16" t="s">
        <v>464</v>
      </c>
      <c r="C2586" s="150" t="s">
        <v>3532</v>
      </c>
      <c r="D2586" s="150" t="s">
        <v>522</v>
      </c>
      <c r="E2586" s="150" t="s">
        <v>3533</v>
      </c>
      <c r="F2586" s="150">
        <v>1</v>
      </c>
      <c r="G2586" s="484" t="s">
        <v>285</v>
      </c>
      <c r="H2586" s="150">
        <v>92.08</v>
      </c>
      <c r="I2586" s="8">
        <f t="shared" si="168"/>
        <v>92.08</v>
      </c>
      <c r="J2586" s="539">
        <v>0</v>
      </c>
      <c r="K2586" s="521">
        <f t="shared" si="170"/>
        <v>92.08</v>
      </c>
      <c r="L2586" s="522">
        <f t="shared" si="169"/>
        <v>92.08</v>
      </c>
      <c r="M2586" s="523">
        <f t="shared" si="171"/>
        <v>1</v>
      </c>
      <c r="N2586" s="150" t="s">
        <v>30</v>
      </c>
      <c r="O2586" s="15" t="s">
        <v>3424</v>
      </c>
    </row>
    <row r="2587" spans="1:15">
      <c r="A2587" s="70">
        <v>2025</v>
      </c>
      <c r="B2587" s="16" t="s">
        <v>464</v>
      </c>
      <c r="C2587" s="150" t="s">
        <v>3534</v>
      </c>
      <c r="D2587" s="150" t="s">
        <v>17</v>
      </c>
      <c r="E2587" s="150" t="s">
        <v>3535</v>
      </c>
      <c r="F2587" s="150">
        <v>40</v>
      </c>
      <c r="G2587" s="484" t="s">
        <v>3311</v>
      </c>
      <c r="H2587" s="150">
        <v>57</v>
      </c>
      <c r="I2587" s="8">
        <f t="shared" si="168"/>
        <v>2280</v>
      </c>
      <c r="J2587" s="539">
        <v>35</v>
      </c>
      <c r="K2587" s="521">
        <f t="shared" si="170"/>
        <v>22</v>
      </c>
      <c r="L2587" s="522">
        <f t="shared" si="169"/>
        <v>880</v>
      </c>
      <c r="M2587" s="523">
        <f t="shared" si="171"/>
        <v>0.38596491228070173</v>
      </c>
      <c r="N2587" s="150" t="s">
        <v>40</v>
      </c>
      <c r="O2587" s="15" t="s">
        <v>3424</v>
      </c>
    </row>
    <row r="2588" spans="1:15">
      <c r="A2588" s="70">
        <v>2025</v>
      </c>
      <c r="B2588" s="16" t="s">
        <v>464</v>
      </c>
      <c r="C2588" s="150" t="s">
        <v>3536</v>
      </c>
      <c r="D2588" s="150" t="s">
        <v>1948</v>
      </c>
      <c r="E2588" s="150" t="s">
        <v>3537</v>
      </c>
      <c r="F2588" s="150">
        <v>3</v>
      </c>
      <c r="G2588" s="484" t="s">
        <v>19</v>
      </c>
      <c r="H2588" s="150">
        <v>640</v>
      </c>
      <c r="I2588" s="8">
        <f t="shared" si="168"/>
        <v>1920</v>
      </c>
      <c r="J2588" s="539">
        <v>485</v>
      </c>
      <c r="K2588" s="521">
        <f t="shared" si="170"/>
        <v>155</v>
      </c>
      <c r="L2588" s="522">
        <f t="shared" si="169"/>
        <v>465</v>
      </c>
      <c r="M2588" s="523">
        <f t="shared" si="171"/>
        <v>0.2421875</v>
      </c>
      <c r="N2588" s="150" t="s">
        <v>40</v>
      </c>
      <c r="O2588" s="15" t="s">
        <v>3424</v>
      </c>
    </row>
    <row r="2589" spans="1:15">
      <c r="A2589" s="70">
        <v>2025</v>
      </c>
      <c r="B2589" s="16" t="s">
        <v>464</v>
      </c>
      <c r="C2589" s="150" t="s">
        <v>3538</v>
      </c>
      <c r="D2589" s="150" t="s">
        <v>1094</v>
      </c>
      <c r="E2589" s="150" t="s">
        <v>3539</v>
      </c>
      <c r="F2589" s="150">
        <v>3</v>
      </c>
      <c r="G2589" s="484" t="s">
        <v>19</v>
      </c>
      <c r="H2589" s="92">
        <v>2880</v>
      </c>
      <c r="I2589" s="8">
        <f t="shared" si="168"/>
        <v>8640</v>
      </c>
      <c r="J2589" s="539">
        <v>1940</v>
      </c>
      <c r="K2589" s="521">
        <f t="shared" si="170"/>
        <v>940</v>
      </c>
      <c r="L2589" s="522">
        <f t="shared" si="169"/>
        <v>2820</v>
      </c>
      <c r="M2589" s="523">
        <f t="shared" si="171"/>
        <v>0.3263888888888889</v>
      </c>
      <c r="N2589" s="150" t="s">
        <v>40</v>
      </c>
      <c r="O2589" s="15" t="s">
        <v>3424</v>
      </c>
    </row>
    <row r="2590" spans="1:15">
      <c r="A2590" s="70">
        <v>2025</v>
      </c>
      <c r="B2590" s="16" t="s">
        <v>464</v>
      </c>
      <c r="C2590" s="150" t="s">
        <v>3540</v>
      </c>
      <c r="D2590" s="150" t="s">
        <v>1390</v>
      </c>
      <c r="E2590" s="150" t="s">
        <v>3541</v>
      </c>
      <c r="F2590" s="150">
        <v>1</v>
      </c>
      <c r="G2590" s="484" t="s">
        <v>3542</v>
      </c>
      <c r="H2590" s="150">
        <v>280</v>
      </c>
      <c r="I2590" s="8">
        <f t="shared" si="168"/>
        <v>280</v>
      </c>
      <c r="J2590" s="539">
        <v>191.28</v>
      </c>
      <c r="K2590" s="521">
        <f t="shared" si="170"/>
        <v>88.72</v>
      </c>
      <c r="L2590" s="522">
        <f t="shared" si="169"/>
        <v>88.72</v>
      </c>
      <c r="M2590" s="523">
        <f t="shared" si="171"/>
        <v>0.31685714285714284</v>
      </c>
      <c r="N2590" s="150" t="s">
        <v>40</v>
      </c>
      <c r="O2590" s="15" t="s">
        <v>3424</v>
      </c>
    </row>
    <row r="2591" spans="1:15">
      <c r="A2591" s="70">
        <v>2025</v>
      </c>
      <c r="B2591" s="16" t="s">
        <v>464</v>
      </c>
      <c r="C2591" s="150" t="s">
        <v>3543</v>
      </c>
      <c r="D2591" s="150" t="s">
        <v>1948</v>
      </c>
      <c r="E2591" s="150" t="s">
        <v>3544</v>
      </c>
      <c r="F2591" s="150">
        <v>1</v>
      </c>
      <c r="G2591" s="484" t="s">
        <v>19</v>
      </c>
      <c r="H2591" s="92">
        <v>3290</v>
      </c>
      <c r="I2591" s="8">
        <f t="shared" si="168"/>
        <v>3290</v>
      </c>
      <c r="J2591" s="539">
        <v>1530</v>
      </c>
      <c r="K2591" s="521">
        <f t="shared" si="170"/>
        <v>1760</v>
      </c>
      <c r="L2591" s="522">
        <f t="shared" si="169"/>
        <v>1760</v>
      </c>
      <c r="M2591" s="523">
        <f t="shared" si="171"/>
        <v>0.53495440729483279</v>
      </c>
      <c r="N2591" s="150" t="s">
        <v>40</v>
      </c>
      <c r="O2591" s="15" t="s">
        <v>3424</v>
      </c>
    </row>
    <row r="2592" spans="1:15">
      <c r="A2592" s="70">
        <v>2025</v>
      </c>
      <c r="B2592" s="16" t="s">
        <v>464</v>
      </c>
      <c r="C2592" s="150" t="s">
        <v>3545</v>
      </c>
      <c r="D2592" s="150" t="s">
        <v>24</v>
      </c>
      <c r="E2592" s="150" t="s">
        <v>3546</v>
      </c>
      <c r="F2592" s="150">
        <v>6</v>
      </c>
      <c r="G2592" s="484" t="s">
        <v>19</v>
      </c>
      <c r="H2592" s="150">
        <v>165</v>
      </c>
      <c r="I2592" s="8">
        <f t="shared" si="168"/>
        <v>990</v>
      </c>
      <c r="J2592" s="539">
        <v>42</v>
      </c>
      <c r="K2592" s="521">
        <f t="shared" si="170"/>
        <v>123</v>
      </c>
      <c r="L2592" s="522">
        <f t="shared" si="169"/>
        <v>738</v>
      </c>
      <c r="M2592" s="523">
        <f t="shared" si="171"/>
        <v>0.74545454545454548</v>
      </c>
      <c r="N2592" s="150" t="s">
        <v>40</v>
      </c>
      <c r="O2592" s="15" t="s">
        <v>3424</v>
      </c>
    </row>
    <row r="2593" spans="1:15">
      <c r="A2593" s="70">
        <v>2025</v>
      </c>
      <c r="B2593" s="16" t="s">
        <v>464</v>
      </c>
      <c r="C2593" s="150" t="s">
        <v>3545</v>
      </c>
      <c r="D2593" s="150" t="s">
        <v>24</v>
      </c>
      <c r="E2593" s="150" t="s">
        <v>3547</v>
      </c>
      <c r="F2593" s="150">
        <v>6</v>
      </c>
      <c r="G2593" s="484" t="s">
        <v>19</v>
      </c>
      <c r="H2593" s="150">
        <v>44</v>
      </c>
      <c r="I2593" s="8">
        <f t="shared" si="168"/>
        <v>264</v>
      </c>
      <c r="J2593" s="539">
        <v>19</v>
      </c>
      <c r="K2593" s="521">
        <f t="shared" si="170"/>
        <v>25</v>
      </c>
      <c r="L2593" s="522">
        <f t="shared" si="169"/>
        <v>150</v>
      </c>
      <c r="M2593" s="523">
        <f t="shared" si="171"/>
        <v>0.56818181818181823</v>
      </c>
      <c r="N2593" s="150" t="s">
        <v>40</v>
      </c>
      <c r="O2593" s="15" t="s">
        <v>3424</v>
      </c>
    </row>
    <row r="2594" spans="1:15">
      <c r="A2594" s="70">
        <v>2025</v>
      </c>
      <c r="B2594" s="16" t="s">
        <v>464</v>
      </c>
      <c r="C2594" s="150" t="s">
        <v>3545</v>
      </c>
      <c r="D2594" s="150" t="s">
        <v>24</v>
      </c>
      <c r="E2594" s="150" t="s">
        <v>3548</v>
      </c>
      <c r="F2594" s="150">
        <v>4</v>
      </c>
      <c r="G2594" s="484" t="s">
        <v>1415</v>
      </c>
      <c r="H2594" s="150">
        <v>730</v>
      </c>
      <c r="I2594" s="8">
        <f t="shared" si="168"/>
        <v>2920</v>
      </c>
      <c r="J2594" s="539">
        <v>650</v>
      </c>
      <c r="K2594" s="521">
        <f t="shared" si="170"/>
        <v>80</v>
      </c>
      <c r="L2594" s="522">
        <f t="shared" si="169"/>
        <v>320</v>
      </c>
      <c r="M2594" s="523">
        <f t="shared" si="171"/>
        <v>0.1095890410958904</v>
      </c>
      <c r="N2594" s="150" t="s">
        <v>40</v>
      </c>
      <c r="O2594" s="15" t="s">
        <v>3424</v>
      </c>
    </row>
    <row r="2595" spans="1:15">
      <c r="A2595" s="70">
        <v>2025</v>
      </c>
      <c r="B2595" s="16" t="s">
        <v>464</v>
      </c>
      <c r="C2595" s="150" t="s">
        <v>3545</v>
      </c>
      <c r="D2595" s="150" t="s">
        <v>24</v>
      </c>
      <c r="E2595" s="150" t="s">
        <v>3549</v>
      </c>
      <c r="F2595" s="150">
        <v>2</v>
      </c>
      <c r="G2595" s="484" t="s">
        <v>1415</v>
      </c>
      <c r="H2595" s="150">
        <v>730</v>
      </c>
      <c r="I2595" s="8">
        <f t="shared" si="168"/>
        <v>1460</v>
      </c>
      <c r="J2595" s="539">
        <v>650</v>
      </c>
      <c r="K2595" s="521">
        <f t="shared" si="170"/>
        <v>80</v>
      </c>
      <c r="L2595" s="522">
        <f t="shared" si="169"/>
        <v>160</v>
      </c>
      <c r="M2595" s="523">
        <f t="shared" si="171"/>
        <v>0.1095890410958904</v>
      </c>
      <c r="N2595" s="150" t="s">
        <v>40</v>
      </c>
      <c r="O2595" s="15" t="s">
        <v>3424</v>
      </c>
    </row>
    <row r="2596" spans="1:15">
      <c r="A2596" s="70">
        <v>2025</v>
      </c>
      <c r="B2596" s="16" t="s">
        <v>464</v>
      </c>
      <c r="C2596" s="150" t="s">
        <v>3550</v>
      </c>
      <c r="D2596" s="150" t="s">
        <v>1409</v>
      </c>
      <c r="E2596" s="150" t="s">
        <v>3551</v>
      </c>
      <c r="F2596" s="150">
        <v>2</v>
      </c>
      <c r="G2596" s="484" t="s">
        <v>19</v>
      </c>
      <c r="H2596" s="92">
        <v>4750</v>
      </c>
      <c r="I2596" s="8">
        <f t="shared" si="168"/>
        <v>9500</v>
      </c>
      <c r="J2596" s="539">
        <v>4500</v>
      </c>
      <c r="K2596" s="521">
        <f t="shared" si="170"/>
        <v>250</v>
      </c>
      <c r="L2596" s="522">
        <f t="shared" si="169"/>
        <v>500</v>
      </c>
      <c r="M2596" s="523">
        <f t="shared" si="171"/>
        <v>5.2631578947368418E-2</v>
      </c>
      <c r="N2596" s="150" t="s">
        <v>40</v>
      </c>
      <c r="O2596" s="15" t="s">
        <v>3424</v>
      </c>
    </row>
    <row r="2597" spans="1:15">
      <c r="A2597" s="70">
        <v>2025</v>
      </c>
      <c r="B2597" s="16" t="s">
        <v>464</v>
      </c>
      <c r="C2597" s="150" t="s">
        <v>3552</v>
      </c>
      <c r="D2597" s="150" t="s">
        <v>24</v>
      </c>
      <c r="E2597" s="150" t="s">
        <v>3553</v>
      </c>
      <c r="F2597" s="150">
        <v>1</v>
      </c>
      <c r="G2597" s="484" t="s">
        <v>19</v>
      </c>
      <c r="H2597" s="92">
        <v>1039.05</v>
      </c>
      <c r="I2597" s="8">
        <f t="shared" si="168"/>
        <v>1039.05</v>
      </c>
      <c r="J2597" s="539">
        <v>790</v>
      </c>
      <c r="K2597" s="521">
        <f t="shared" si="170"/>
        <v>249.04999999999995</v>
      </c>
      <c r="L2597" s="522">
        <f t="shared" si="169"/>
        <v>249.04999999999995</v>
      </c>
      <c r="M2597" s="523">
        <f t="shared" si="171"/>
        <v>0.23969010153505602</v>
      </c>
      <c r="N2597" s="150" t="s">
        <v>40</v>
      </c>
      <c r="O2597" s="15" t="s">
        <v>3424</v>
      </c>
    </row>
    <row r="2598" spans="1:15">
      <c r="A2598" s="70">
        <v>2025</v>
      </c>
      <c r="B2598" s="16" t="s">
        <v>464</v>
      </c>
      <c r="C2598" s="150" t="s">
        <v>3554</v>
      </c>
      <c r="D2598" s="150" t="s">
        <v>1948</v>
      </c>
      <c r="E2598" s="150" t="s">
        <v>3555</v>
      </c>
      <c r="F2598" s="150">
        <v>1</v>
      </c>
      <c r="G2598" s="484" t="s">
        <v>19</v>
      </c>
      <c r="H2598" s="150">
        <v>640</v>
      </c>
      <c r="I2598" s="8">
        <f t="shared" si="168"/>
        <v>640</v>
      </c>
      <c r="J2598" s="539">
        <v>335</v>
      </c>
      <c r="K2598" s="521">
        <f t="shared" si="170"/>
        <v>305</v>
      </c>
      <c r="L2598" s="522">
        <f t="shared" si="169"/>
        <v>305</v>
      </c>
      <c r="M2598" s="523">
        <f t="shared" si="171"/>
        <v>0.4765625</v>
      </c>
      <c r="N2598" s="150" t="s">
        <v>40</v>
      </c>
      <c r="O2598" s="15" t="s">
        <v>3424</v>
      </c>
    </row>
    <row r="2599" spans="1:15">
      <c r="A2599" s="70">
        <v>2025</v>
      </c>
      <c r="B2599" s="16" t="s">
        <v>464</v>
      </c>
      <c r="C2599" s="150" t="s">
        <v>3556</v>
      </c>
      <c r="D2599" s="150" t="s">
        <v>3557</v>
      </c>
      <c r="E2599" s="150" t="s">
        <v>3558</v>
      </c>
      <c r="F2599" s="150">
        <v>1</v>
      </c>
      <c r="G2599" s="484" t="s">
        <v>285</v>
      </c>
      <c r="H2599" s="150">
        <v>49.58</v>
      </c>
      <c r="I2599" s="8">
        <f t="shared" si="168"/>
        <v>49.58</v>
      </c>
      <c r="J2599" s="539">
        <v>0</v>
      </c>
      <c r="K2599" s="521">
        <f t="shared" si="170"/>
        <v>49.58</v>
      </c>
      <c r="L2599" s="522">
        <f t="shared" si="169"/>
        <v>49.58</v>
      </c>
      <c r="M2599" s="523">
        <f t="shared" si="171"/>
        <v>1</v>
      </c>
      <c r="N2599" s="150" t="s">
        <v>30</v>
      </c>
      <c r="O2599" s="15" t="s">
        <v>3424</v>
      </c>
    </row>
    <row r="2600" spans="1:15">
      <c r="A2600" s="70">
        <v>2025</v>
      </c>
      <c r="B2600" s="16" t="s">
        <v>464</v>
      </c>
      <c r="C2600" s="150" t="s">
        <v>3559</v>
      </c>
      <c r="D2600" s="150" t="s">
        <v>24</v>
      </c>
      <c r="E2600" s="150" t="s">
        <v>3560</v>
      </c>
      <c r="F2600" s="150">
        <v>20</v>
      </c>
      <c r="G2600" s="484" t="s">
        <v>19</v>
      </c>
      <c r="H2600" s="150">
        <v>915</v>
      </c>
      <c r="I2600" s="8">
        <f t="shared" si="168"/>
        <v>18300</v>
      </c>
      <c r="J2600" s="539">
        <v>720</v>
      </c>
      <c r="K2600" s="521">
        <f t="shared" si="170"/>
        <v>195</v>
      </c>
      <c r="L2600" s="522">
        <f t="shared" si="169"/>
        <v>3900</v>
      </c>
      <c r="M2600" s="523">
        <f t="shared" si="171"/>
        <v>0.21311475409836064</v>
      </c>
      <c r="N2600" s="150" t="s">
        <v>40</v>
      </c>
      <c r="O2600" s="15" t="s">
        <v>3424</v>
      </c>
    </row>
    <row r="2601" spans="1:15">
      <c r="A2601" s="70">
        <v>2025</v>
      </c>
      <c r="B2601" s="16" t="s">
        <v>464</v>
      </c>
      <c r="C2601" s="150" t="s">
        <v>3561</v>
      </c>
      <c r="D2601" s="150" t="s">
        <v>1948</v>
      </c>
      <c r="E2601" s="150" t="s">
        <v>3562</v>
      </c>
      <c r="F2601" s="150">
        <v>20</v>
      </c>
      <c r="G2601" s="484" t="s">
        <v>19</v>
      </c>
      <c r="H2601" s="150">
        <v>240</v>
      </c>
      <c r="I2601" s="8">
        <f t="shared" si="168"/>
        <v>4800</v>
      </c>
      <c r="J2601" s="539">
        <v>195</v>
      </c>
      <c r="K2601" s="521">
        <f t="shared" si="170"/>
        <v>45</v>
      </c>
      <c r="L2601" s="522">
        <f t="shared" si="169"/>
        <v>900</v>
      </c>
      <c r="M2601" s="523">
        <f t="shared" si="171"/>
        <v>0.1875</v>
      </c>
      <c r="N2601" s="150" t="s">
        <v>40</v>
      </c>
      <c r="O2601" s="15" t="s">
        <v>3424</v>
      </c>
    </row>
    <row r="2602" spans="1:15">
      <c r="A2602" s="70">
        <v>2025</v>
      </c>
      <c r="B2602" s="16" t="s">
        <v>464</v>
      </c>
      <c r="C2602" s="150" t="s">
        <v>3561</v>
      </c>
      <c r="D2602" s="150" t="s">
        <v>1948</v>
      </c>
      <c r="E2602" s="150" t="s">
        <v>1673</v>
      </c>
      <c r="F2602" s="150">
        <v>30</v>
      </c>
      <c r="G2602" s="484" t="s">
        <v>19</v>
      </c>
      <c r="H2602" s="150">
        <v>215</v>
      </c>
      <c r="I2602" s="8">
        <f t="shared" si="168"/>
        <v>6450</v>
      </c>
      <c r="J2602" s="539">
        <v>185</v>
      </c>
      <c r="K2602" s="521">
        <f t="shared" si="170"/>
        <v>30</v>
      </c>
      <c r="L2602" s="522">
        <f t="shared" si="169"/>
        <v>900</v>
      </c>
      <c r="M2602" s="523">
        <f t="shared" si="171"/>
        <v>0.13953488372093023</v>
      </c>
      <c r="N2602" s="150" t="s">
        <v>40</v>
      </c>
      <c r="O2602" s="15" t="s">
        <v>3424</v>
      </c>
    </row>
    <row r="2603" spans="1:15">
      <c r="A2603" s="70">
        <v>2025</v>
      </c>
      <c r="B2603" s="16" t="s">
        <v>464</v>
      </c>
      <c r="C2603" s="71" t="s">
        <v>3563</v>
      </c>
      <c r="D2603" s="2" t="s">
        <v>27</v>
      </c>
      <c r="E2603" s="39" t="s">
        <v>3564</v>
      </c>
      <c r="F2603" s="96">
        <v>20</v>
      </c>
      <c r="G2603" s="484" t="s">
        <v>19</v>
      </c>
      <c r="H2603" s="8">
        <v>272</v>
      </c>
      <c r="I2603" s="8">
        <f t="shared" si="168"/>
        <v>5440</v>
      </c>
      <c r="J2603" s="521">
        <v>260</v>
      </c>
      <c r="K2603" s="521">
        <f t="shared" si="170"/>
        <v>12</v>
      </c>
      <c r="L2603" s="522">
        <f t="shared" si="169"/>
        <v>240</v>
      </c>
      <c r="M2603" s="523">
        <f t="shared" si="171"/>
        <v>4.4117647058823532E-2</v>
      </c>
      <c r="N2603" s="2" t="s">
        <v>40</v>
      </c>
      <c r="O2603" s="15" t="s">
        <v>105</v>
      </c>
    </row>
    <row r="2604" spans="1:15">
      <c r="A2604" s="70">
        <v>2025</v>
      </c>
      <c r="B2604" s="16" t="s">
        <v>464</v>
      </c>
      <c r="C2604" s="71" t="s">
        <v>3565</v>
      </c>
      <c r="D2604" s="2" t="s">
        <v>3566</v>
      </c>
      <c r="E2604" s="39" t="s">
        <v>3567</v>
      </c>
      <c r="F2604" s="96">
        <v>10</v>
      </c>
      <c r="G2604" s="1" t="s">
        <v>1608</v>
      </c>
      <c r="H2604" s="8">
        <v>269640</v>
      </c>
      <c r="I2604" s="8">
        <f t="shared" si="168"/>
        <v>2696400</v>
      </c>
      <c r="J2604" s="521">
        <v>261936</v>
      </c>
      <c r="K2604" s="521">
        <f t="shared" si="170"/>
        <v>7704</v>
      </c>
      <c r="L2604" s="522">
        <f t="shared" si="169"/>
        <v>77040</v>
      </c>
      <c r="M2604" s="523">
        <f t="shared" si="171"/>
        <v>2.8571428571428571E-2</v>
      </c>
      <c r="N2604" s="2" t="s">
        <v>40</v>
      </c>
      <c r="O2604" s="15" t="s">
        <v>39</v>
      </c>
    </row>
    <row r="2605" spans="1:15">
      <c r="A2605" s="70">
        <v>2025</v>
      </c>
      <c r="B2605" s="16" t="s">
        <v>464</v>
      </c>
      <c r="C2605" s="71" t="s">
        <v>3568</v>
      </c>
      <c r="D2605" s="2" t="s">
        <v>590</v>
      </c>
      <c r="E2605" s="39" t="s">
        <v>3225</v>
      </c>
      <c r="F2605" s="96">
        <v>3</v>
      </c>
      <c r="G2605" s="1" t="s">
        <v>1616</v>
      </c>
      <c r="H2605" s="8">
        <v>6000</v>
      </c>
      <c r="I2605" s="8">
        <f t="shared" ref="I2605:I2668" si="172">H2605*F2605</f>
        <v>18000</v>
      </c>
      <c r="J2605" s="521">
        <v>5700</v>
      </c>
      <c r="K2605" s="521">
        <f t="shared" si="170"/>
        <v>300</v>
      </c>
      <c r="L2605" s="522">
        <f t="shared" si="169"/>
        <v>900</v>
      </c>
      <c r="M2605" s="523">
        <f t="shared" si="171"/>
        <v>0.05</v>
      </c>
      <c r="N2605" s="2" t="s">
        <v>22</v>
      </c>
      <c r="O2605" s="15" t="s">
        <v>39</v>
      </c>
    </row>
    <row r="2606" spans="1:15">
      <c r="A2606" s="70">
        <v>2025</v>
      </c>
      <c r="B2606" s="16" t="s">
        <v>464</v>
      </c>
      <c r="C2606" s="71" t="s">
        <v>3569</v>
      </c>
      <c r="D2606" s="2" t="s">
        <v>335</v>
      </c>
      <c r="E2606" s="2" t="s">
        <v>336</v>
      </c>
      <c r="F2606" s="96">
        <v>126000</v>
      </c>
      <c r="G2606" s="1" t="s">
        <v>337</v>
      </c>
      <c r="H2606" s="8">
        <v>36</v>
      </c>
      <c r="I2606" s="8">
        <f t="shared" si="172"/>
        <v>4536000</v>
      </c>
      <c r="J2606" s="521">
        <v>35</v>
      </c>
      <c r="K2606" s="521">
        <f t="shared" si="170"/>
        <v>1</v>
      </c>
      <c r="L2606" s="522">
        <f t="shared" si="169"/>
        <v>126000</v>
      </c>
      <c r="M2606" s="523">
        <f t="shared" si="171"/>
        <v>2.7777777777777776E-2</v>
      </c>
      <c r="N2606" s="2" t="s">
        <v>20</v>
      </c>
      <c r="O2606" s="15" t="s">
        <v>39</v>
      </c>
    </row>
    <row r="2607" spans="1:15">
      <c r="A2607" s="70">
        <v>2025</v>
      </c>
      <c r="B2607" s="16" t="s">
        <v>464</v>
      </c>
      <c r="C2607" s="71" t="s">
        <v>3570</v>
      </c>
      <c r="D2607" s="2" t="s">
        <v>617</v>
      </c>
      <c r="E2607" s="39" t="s">
        <v>233</v>
      </c>
      <c r="F2607" s="96">
        <v>6000</v>
      </c>
      <c r="G2607" s="1" t="s">
        <v>37</v>
      </c>
      <c r="H2607" s="8">
        <v>27.8</v>
      </c>
      <c r="I2607" s="8">
        <f t="shared" si="172"/>
        <v>166800</v>
      </c>
      <c r="J2607" s="521">
        <v>27.5</v>
      </c>
      <c r="K2607" s="521">
        <f t="shared" si="170"/>
        <v>0.30000000000000071</v>
      </c>
      <c r="L2607" s="522">
        <f t="shared" si="169"/>
        <v>1800.0000000000043</v>
      </c>
      <c r="M2607" s="523">
        <f t="shared" si="171"/>
        <v>1.0791366906474845E-2</v>
      </c>
      <c r="N2607" s="2" t="s">
        <v>40</v>
      </c>
      <c r="O2607" s="15" t="s">
        <v>39</v>
      </c>
    </row>
    <row r="2608" spans="1:15">
      <c r="A2608" s="70">
        <v>2025</v>
      </c>
      <c r="B2608" s="16" t="s">
        <v>464</v>
      </c>
      <c r="C2608" s="71" t="s">
        <v>3571</v>
      </c>
      <c r="D2608" s="2" t="s">
        <v>617</v>
      </c>
      <c r="E2608" s="39" t="s">
        <v>275</v>
      </c>
      <c r="F2608" s="96">
        <v>3156</v>
      </c>
      <c r="G2608" s="1" t="s">
        <v>37</v>
      </c>
      <c r="H2608" s="8">
        <v>27.8</v>
      </c>
      <c r="I2608" s="8">
        <f t="shared" si="172"/>
        <v>87736.8</v>
      </c>
      <c r="J2608" s="521">
        <v>27.5</v>
      </c>
      <c r="K2608" s="521">
        <f t="shared" si="170"/>
        <v>0.30000000000000071</v>
      </c>
      <c r="L2608" s="522">
        <f t="shared" si="169"/>
        <v>946.80000000000223</v>
      </c>
      <c r="M2608" s="523">
        <f t="shared" si="171"/>
        <v>1.0791366906474845E-2</v>
      </c>
      <c r="N2608" s="2" t="s">
        <v>40</v>
      </c>
      <c r="O2608" s="15" t="s">
        <v>39</v>
      </c>
    </row>
    <row r="2609" spans="1:15">
      <c r="A2609" s="70">
        <v>2025</v>
      </c>
      <c r="B2609" s="16" t="s">
        <v>464</v>
      </c>
      <c r="C2609" s="71" t="s">
        <v>3572</v>
      </c>
      <c r="D2609" s="2" t="s">
        <v>617</v>
      </c>
      <c r="E2609" s="39" t="s">
        <v>275</v>
      </c>
      <c r="F2609" s="96">
        <v>3246</v>
      </c>
      <c r="G2609" s="1" t="s">
        <v>37</v>
      </c>
      <c r="H2609" s="8">
        <v>27.8</v>
      </c>
      <c r="I2609" s="8">
        <f t="shared" si="172"/>
        <v>90238.8</v>
      </c>
      <c r="J2609" s="521">
        <v>27.5</v>
      </c>
      <c r="K2609" s="521">
        <f t="shared" si="170"/>
        <v>0.30000000000000071</v>
      </c>
      <c r="L2609" s="522">
        <f t="shared" si="169"/>
        <v>973.80000000000234</v>
      </c>
      <c r="M2609" s="523">
        <f t="shared" si="171"/>
        <v>1.0791366906474845E-2</v>
      </c>
      <c r="N2609" s="2" t="s">
        <v>40</v>
      </c>
      <c r="O2609" s="15" t="s">
        <v>39</v>
      </c>
    </row>
    <row r="2610" spans="1:15">
      <c r="A2610" s="70">
        <v>2025</v>
      </c>
      <c r="B2610" s="424" t="s">
        <v>562</v>
      </c>
      <c r="C2610" s="71" t="s">
        <v>3573</v>
      </c>
      <c r="D2610" s="2" t="s">
        <v>107</v>
      </c>
      <c r="E2610" s="2" t="s">
        <v>564</v>
      </c>
      <c r="F2610" s="96">
        <v>20</v>
      </c>
      <c r="G2610" s="1" t="s">
        <v>1616</v>
      </c>
      <c r="H2610" s="8">
        <v>1400</v>
      </c>
      <c r="I2610" s="8">
        <f t="shared" si="172"/>
        <v>28000</v>
      </c>
      <c r="J2610" s="521">
        <v>980</v>
      </c>
      <c r="K2610" s="521">
        <f t="shared" si="170"/>
        <v>420</v>
      </c>
      <c r="L2610" s="522">
        <f t="shared" si="169"/>
        <v>8400</v>
      </c>
      <c r="M2610" s="523">
        <f t="shared" si="171"/>
        <v>0.3</v>
      </c>
      <c r="N2610" s="2" t="s">
        <v>22</v>
      </c>
      <c r="O2610" s="15" t="s">
        <v>105</v>
      </c>
    </row>
    <row r="2611" spans="1:15">
      <c r="A2611" s="70">
        <v>2025</v>
      </c>
      <c r="B2611" s="16" t="s">
        <v>562</v>
      </c>
      <c r="C2611" s="71" t="s">
        <v>3574</v>
      </c>
      <c r="D2611" s="2" t="s">
        <v>68</v>
      </c>
      <c r="E2611" s="2" t="s">
        <v>962</v>
      </c>
      <c r="F2611" s="96">
        <v>1802.2</v>
      </c>
      <c r="G2611" s="1" t="s">
        <v>37</v>
      </c>
      <c r="H2611" s="8">
        <v>380</v>
      </c>
      <c r="I2611" s="8">
        <f t="shared" si="172"/>
        <v>684836</v>
      </c>
      <c r="J2611" s="521">
        <v>365</v>
      </c>
      <c r="K2611" s="521">
        <f t="shared" si="170"/>
        <v>15</v>
      </c>
      <c r="L2611" s="522">
        <f t="shared" si="169"/>
        <v>27033</v>
      </c>
      <c r="M2611" s="523">
        <f t="shared" si="171"/>
        <v>3.9473684210526314E-2</v>
      </c>
      <c r="N2611" s="2" t="s">
        <v>22</v>
      </c>
      <c r="O2611" s="15" t="s">
        <v>105</v>
      </c>
    </row>
    <row r="2612" spans="1:15">
      <c r="A2612" s="70">
        <v>2025</v>
      </c>
      <c r="B2612" s="16" t="s">
        <v>562</v>
      </c>
      <c r="C2612" s="71" t="s">
        <v>3575</v>
      </c>
      <c r="D2612" s="2" t="s">
        <v>1042</v>
      </c>
      <c r="E2612" s="39" t="s">
        <v>2988</v>
      </c>
      <c r="F2612" s="96">
        <v>2846</v>
      </c>
      <c r="G2612" s="1" t="s">
        <v>37</v>
      </c>
      <c r="H2612" s="8">
        <v>385</v>
      </c>
      <c r="I2612" s="8">
        <f t="shared" si="172"/>
        <v>1095710</v>
      </c>
      <c r="J2612" s="521">
        <v>353</v>
      </c>
      <c r="K2612" s="521">
        <f t="shared" si="170"/>
        <v>32</v>
      </c>
      <c r="L2612" s="522">
        <f t="shared" si="169"/>
        <v>91072</v>
      </c>
      <c r="M2612" s="523">
        <f t="shared" si="171"/>
        <v>8.3116883116883117E-2</v>
      </c>
      <c r="N2612" s="2" t="s">
        <v>22</v>
      </c>
      <c r="O2612" s="15" t="s">
        <v>105</v>
      </c>
    </row>
    <row r="2613" spans="1:15">
      <c r="A2613" s="70">
        <v>2025</v>
      </c>
      <c r="B2613" s="16" t="s">
        <v>562</v>
      </c>
      <c r="C2613" s="71" t="s">
        <v>3576</v>
      </c>
      <c r="D2613" s="2" t="s">
        <v>1042</v>
      </c>
      <c r="E2613" s="39" t="s">
        <v>3577</v>
      </c>
      <c r="F2613" s="96">
        <v>11390</v>
      </c>
      <c r="G2613" s="1" t="s">
        <v>37</v>
      </c>
      <c r="H2613" s="8">
        <v>353</v>
      </c>
      <c r="I2613" s="8">
        <f t="shared" si="172"/>
        <v>4020670</v>
      </c>
      <c r="J2613" s="521">
        <v>349</v>
      </c>
      <c r="K2613" s="521">
        <f t="shared" si="170"/>
        <v>4</v>
      </c>
      <c r="L2613" s="522">
        <f t="shared" si="169"/>
        <v>45560</v>
      </c>
      <c r="M2613" s="523">
        <f t="shared" si="171"/>
        <v>1.1331444759206799E-2</v>
      </c>
      <c r="N2613" s="2" t="s">
        <v>20</v>
      </c>
      <c r="O2613" s="15" t="s">
        <v>105</v>
      </c>
    </row>
    <row r="2614" spans="1:15">
      <c r="A2614" s="70">
        <v>2025</v>
      </c>
      <c r="B2614" s="16" t="s">
        <v>562</v>
      </c>
      <c r="C2614" s="393" t="s">
        <v>3578</v>
      </c>
      <c r="D2614" s="2" t="s">
        <v>94</v>
      </c>
      <c r="E2614" s="39" t="s">
        <v>456</v>
      </c>
      <c r="F2614" s="96">
        <v>300</v>
      </c>
      <c r="G2614" s="1" t="s">
        <v>1616</v>
      </c>
      <c r="H2614" s="8">
        <v>2.6</v>
      </c>
      <c r="I2614" s="8">
        <f t="shared" si="172"/>
        <v>780</v>
      </c>
      <c r="J2614" s="521">
        <v>2.5499999999999998</v>
      </c>
      <c r="K2614" s="521">
        <f t="shared" si="170"/>
        <v>5.0000000000000266E-2</v>
      </c>
      <c r="L2614" s="522">
        <f t="shared" si="169"/>
        <v>15.00000000000008</v>
      </c>
      <c r="M2614" s="523">
        <f t="shared" si="171"/>
        <v>1.9230769230769332E-2</v>
      </c>
      <c r="N2614" s="2" t="s">
        <v>22</v>
      </c>
      <c r="O2614" s="15" t="s">
        <v>105</v>
      </c>
    </row>
    <row r="2615" spans="1:15">
      <c r="A2615" s="70">
        <v>2025</v>
      </c>
      <c r="B2615" s="16" t="s">
        <v>562</v>
      </c>
      <c r="C2615" s="393" t="s">
        <v>3579</v>
      </c>
      <c r="D2615" s="2" t="s">
        <v>94</v>
      </c>
      <c r="E2615" s="39" t="s">
        <v>458</v>
      </c>
      <c r="F2615" s="96">
        <v>100</v>
      </c>
      <c r="G2615" s="1" t="s">
        <v>1616</v>
      </c>
      <c r="H2615" s="8">
        <v>9.5</v>
      </c>
      <c r="I2615" s="8">
        <f t="shared" si="172"/>
        <v>950</v>
      </c>
      <c r="J2615" s="521">
        <v>9.35</v>
      </c>
      <c r="K2615" s="521">
        <f t="shared" si="170"/>
        <v>0.15000000000000036</v>
      </c>
      <c r="L2615" s="522">
        <f t="shared" si="169"/>
        <v>15.000000000000036</v>
      </c>
      <c r="M2615" s="523">
        <f t="shared" si="171"/>
        <v>1.5789473684210565E-2</v>
      </c>
      <c r="N2615" s="2" t="s">
        <v>22</v>
      </c>
      <c r="O2615" s="15" t="s">
        <v>105</v>
      </c>
    </row>
    <row r="2616" spans="1:15">
      <c r="A2616" s="70">
        <v>2025</v>
      </c>
      <c r="B2616" s="16" t="s">
        <v>562</v>
      </c>
      <c r="C2616" s="71" t="s">
        <v>3580</v>
      </c>
      <c r="D2616" s="2" t="s">
        <v>3581</v>
      </c>
      <c r="E2616" s="39" t="s">
        <v>3582</v>
      </c>
      <c r="F2616" s="96">
        <v>5</v>
      </c>
      <c r="G2616" s="1" t="s">
        <v>1608</v>
      </c>
      <c r="H2616" s="8">
        <v>25500</v>
      </c>
      <c r="I2616" s="8">
        <f t="shared" si="172"/>
        <v>127500</v>
      </c>
      <c r="J2616" s="521">
        <v>24500</v>
      </c>
      <c r="K2616" s="521">
        <f t="shared" si="170"/>
        <v>1000</v>
      </c>
      <c r="L2616" s="522">
        <f t="shared" si="169"/>
        <v>5000</v>
      </c>
      <c r="M2616" s="523">
        <f t="shared" si="171"/>
        <v>3.9215686274509803E-2</v>
      </c>
      <c r="N2616" s="2" t="s">
        <v>22</v>
      </c>
      <c r="O2616" s="15" t="s">
        <v>39</v>
      </c>
    </row>
    <row r="2617" spans="1:15">
      <c r="A2617" s="70">
        <v>2025</v>
      </c>
      <c r="B2617" s="16" t="s">
        <v>562</v>
      </c>
      <c r="C2617" s="71" t="s">
        <v>3580</v>
      </c>
      <c r="D2617" s="2" t="s">
        <v>3581</v>
      </c>
      <c r="E2617" s="39" t="s">
        <v>3583</v>
      </c>
      <c r="F2617" s="96">
        <v>5</v>
      </c>
      <c r="G2617" s="1" t="s">
        <v>1608</v>
      </c>
      <c r="H2617" s="8">
        <v>122000</v>
      </c>
      <c r="I2617" s="8">
        <f t="shared" si="172"/>
        <v>610000</v>
      </c>
      <c r="J2617" s="521">
        <v>120000</v>
      </c>
      <c r="K2617" s="521">
        <f t="shared" si="170"/>
        <v>2000</v>
      </c>
      <c r="L2617" s="522">
        <f t="shared" si="169"/>
        <v>10000</v>
      </c>
      <c r="M2617" s="523">
        <f t="shared" si="171"/>
        <v>1.6393442622950821E-2</v>
      </c>
      <c r="N2617" s="2" t="s">
        <v>22</v>
      </c>
      <c r="O2617" s="15" t="s">
        <v>39</v>
      </c>
    </row>
    <row r="2618" spans="1:15">
      <c r="A2618" s="70">
        <v>2025</v>
      </c>
      <c r="B2618" s="16" t="s">
        <v>562</v>
      </c>
      <c r="C2618" s="71" t="s">
        <v>3584</v>
      </c>
      <c r="D2618" s="2" t="s">
        <v>3581</v>
      </c>
      <c r="E2618" s="39" t="s">
        <v>3582</v>
      </c>
      <c r="F2618" s="96">
        <v>8</v>
      </c>
      <c r="G2618" s="1" t="s">
        <v>1608</v>
      </c>
      <c r="H2618" s="8">
        <v>25500</v>
      </c>
      <c r="I2618" s="8">
        <f t="shared" si="172"/>
        <v>204000</v>
      </c>
      <c r="J2618" s="521">
        <v>24500</v>
      </c>
      <c r="K2618" s="521">
        <f t="shared" si="170"/>
        <v>1000</v>
      </c>
      <c r="L2618" s="522">
        <f t="shared" si="169"/>
        <v>8000</v>
      </c>
      <c r="M2618" s="523">
        <f t="shared" si="171"/>
        <v>3.9215686274509803E-2</v>
      </c>
      <c r="N2618" s="2" t="s">
        <v>22</v>
      </c>
      <c r="O2618" s="15" t="s">
        <v>39</v>
      </c>
    </row>
    <row r="2619" spans="1:15">
      <c r="A2619" s="70">
        <v>2025</v>
      </c>
      <c r="B2619" s="16" t="s">
        <v>562</v>
      </c>
      <c r="C2619" s="71" t="s">
        <v>3584</v>
      </c>
      <c r="D2619" s="2" t="s">
        <v>3581</v>
      </c>
      <c r="E2619" s="39" t="s">
        <v>3583</v>
      </c>
      <c r="F2619" s="96">
        <v>8</v>
      </c>
      <c r="G2619" s="1" t="s">
        <v>1608</v>
      </c>
      <c r="H2619" s="8">
        <v>122000</v>
      </c>
      <c r="I2619" s="8">
        <f t="shared" si="172"/>
        <v>976000</v>
      </c>
      <c r="J2619" s="521">
        <v>120000</v>
      </c>
      <c r="K2619" s="521">
        <f t="shared" si="170"/>
        <v>2000</v>
      </c>
      <c r="L2619" s="522">
        <f t="shared" ref="L2619:L2682" si="173">K2619*F2619</f>
        <v>16000</v>
      </c>
      <c r="M2619" s="523">
        <f t="shared" si="171"/>
        <v>1.6393442622950821E-2</v>
      </c>
      <c r="N2619" s="2" t="s">
        <v>22</v>
      </c>
      <c r="O2619" s="15" t="s">
        <v>39</v>
      </c>
    </row>
    <row r="2620" spans="1:15">
      <c r="A2620" s="70">
        <v>2025</v>
      </c>
      <c r="B2620" s="16" t="s">
        <v>562</v>
      </c>
      <c r="C2620" s="393" t="s">
        <v>3585</v>
      </c>
      <c r="D2620" s="2" t="s">
        <v>68</v>
      </c>
      <c r="E2620" s="39" t="s">
        <v>73</v>
      </c>
      <c r="F2620" s="96">
        <v>1948.5</v>
      </c>
      <c r="G2620" s="1" t="s">
        <v>37</v>
      </c>
      <c r="H2620" s="8">
        <v>363</v>
      </c>
      <c r="I2620" s="8">
        <f t="shared" si="172"/>
        <v>707305.5</v>
      </c>
      <c r="J2620" s="521">
        <v>360</v>
      </c>
      <c r="K2620" s="521">
        <f t="shared" si="170"/>
        <v>3</v>
      </c>
      <c r="L2620" s="522">
        <f t="shared" si="173"/>
        <v>5845.5</v>
      </c>
      <c r="M2620" s="523">
        <f t="shared" si="171"/>
        <v>8.2644628099173556E-3</v>
      </c>
      <c r="N2620" s="2" t="s">
        <v>22</v>
      </c>
      <c r="O2620" s="15" t="s">
        <v>105</v>
      </c>
    </row>
    <row r="2621" spans="1:15">
      <c r="A2621" s="70">
        <v>2025</v>
      </c>
      <c r="B2621" s="16" t="s">
        <v>562</v>
      </c>
      <c r="C2621" s="71" t="s">
        <v>3586</v>
      </c>
      <c r="D2621" s="2" t="s">
        <v>1375</v>
      </c>
      <c r="E2621" s="39" t="s">
        <v>1575</v>
      </c>
      <c r="F2621" s="96">
        <v>19000</v>
      </c>
      <c r="G2621" s="1" t="s">
        <v>337</v>
      </c>
      <c r="H2621" s="8">
        <v>305</v>
      </c>
      <c r="I2621" s="8">
        <f t="shared" si="172"/>
        <v>5795000</v>
      </c>
      <c r="J2621" s="521">
        <v>304</v>
      </c>
      <c r="K2621" s="521">
        <f t="shared" si="170"/>
        <v>1</v>
      </c>
      <c r="L2621" s="522">
        <f t="shared" si="173"/>
        <v>19000</v>
      </c>
      <c r="M2621" s="523">
        <f t="shared" si="171"/>
        <v>3.2786885245901639E-3</v>
      </c>
      <c r="N2621" s="2" t="s">
        <v>40</v>
      </c>
      <c r="O2621" s="15" t="s">
        <v>105</v>
      </c>
    </row>
    <row r="2622" spans="1:15">
      <c r="A2622" s="70">
        <v>2025</v>
      </c>
      <c r="B2622" s="16" t="s">
        <v>562</v>
      </c>
      <c r="C2622" s="71" t="s">
        <v>3587</v>
      </c>
      <c r="D2622" s="2" t="s">
        <v>3320</v>
      </c>
      <c r="E2622" s="39" t="s">
        <v>3322</v>
      </c>
      <c r="F2622" s="96">
        <v>720</v>
      </c>
      <c r="G2622" s="1" t="s">
        <v>1616</v>
      </c>
      <c r="H2622" s="8">
        <v>162.5</v>
      </c>
      <c r="I2622" s="8">
        <f t="shared" si="172"/>
        <v>117000</v>
      </c>
      <c r="J2622" s="521">
        <v>155</v>
      </c>
      <c r="K2622" s="521">
        <f t="shared" si="170"/>
        <v>7.5</v>
      </c>
      <c r="L2622" s="522">
        <f t="shared" si="173"/>
        <v>5400</v>
      </c>
      <c r="M2622" s="523">
        <f t="shared" si="171"/>
        <v>4.6153846153846156E-2</v>
      </c>
      <c r="N2622" s="2" t="s">
        <v>40</v>
      </c>
      <c r="O2622" s="15" t="s">
        <v>39</v>
      </c>
    </row>
    <row r="2623" spans="1:15">
      <c r="A2623" s="70">
        <v>2025</v>
      </c>
      <c r="B2623" s="16" t="s">
        <v>562</v>
      </c>
      <c r="C2623" s="71" t="s">
        <v>3588</v>
      </c>
      <c r="D2623" s="2" t="s">
        <v>590</v>
      </c>
      <c r="E2623" s="39" t="s">
        <v>3225</v>
      </c>
      <c r="F2623" s="96">
        <v>2</v>
      </c>
      <c r="G2623" s="1" t="s">
        <v>1616</v>
      </c>
      <c r="H2623" s="8">
        <v>6000</v>
      </c>
      <c r="I2623" s="8">
        <f t="shared" si="172"/>
        <v>12000</v>
      </c>
      <c r="J2623" s="521">
        <v>5700</v>
      </c>
      <c r="K2623" s="521">
        <f t="shared" si="170"/>
        <v>300</v>
      </c>
      <c r="L2623" s="522">
        <f t="shared" si="173"/>
        <v>600</v>
      </c>
      <c r="M2623" s="523">
        <f t="shared" si="171"/>
        <v>0.05</v>
      </c>
      <c r="N2623" s="2" t="s">
        <v>22</v>
      </c>
      <c r="O2623" s="15" t="s">
        <v>39</v>
      </c>
    </row>
    <row r="2624" spans="1:15">
      <c r="A2624" s="70">
        <v>2025</v>
      </c>
      <c r="B2624" s="16" t="s">
        <v>562</v>
      </c>
      <c r="C2624" s="71" t="s">
        <v>3589</v>
      </c>
      <c r="D2624" s="2" t="s">
        <v>1042</v>
      </c>
      <c r="E2624" s="39" t="s">
        <v>216</v>
      </c>
      <c r="F2624" s="96">
        <v>3913</v>
      </c>
      <c r="G2624" s="1" t="s">
        <v>37</v>
      </c>
      <c r="H2624" s="8">
        <v>353</v>
      </c>
      <c r="I2624" s="8">
        <f t="shared" si="172"/>
        <v>1381289</v>
      </c>
      <c r="J2624" s="521">
        <v>352</v>
      </c>
      <c r="K2624" s="521">
        <f t="shared" si="170"/>
        <v>1</v>
      </c>
      <c r="L2624" s="522">
        <f t="shared" si="173"/>
        <v>3913</v>
      </c>
      <c r="M2624" s="523">
        <f t="shared" si="171"/>
        <v>2.8328611898016999E-3</v>
      </c>
      <c r="N2624" s="2" t="s">
        <v>40</v>
      </c>
      <c r="O2624" s="15" t="s">
        <v>105</v>
      </c>
    </row>
    <row r="2625" spans="1:15">
      <c r="A2625" s="70">
        <v>2025</v>
      </c>
      <c r="B2625" s="16" t="s">
        <v>562</v>
      </c>
      <c r="C2625" s="71" t="s">
        <v>3590</v>
      </c>
      <c r="D2625" s="2" t="s">
        <v>200</v>
      </c>
      <c r="E2625" s="39" t="s">
        <v>3485</v>
      </c>
      <c r="F2625" s="96">
        <v>9</v>
      </c>
      <c r="G2625" s="1" t="s">
        <v>1616</v>
      </c>
      <c r="H2625" s="8">
        <v>3000</v>
      </c>
      <c r="I2625" s="8">
        <f t="shared" si="172"/>
        <v>27000</v>
      </c>
      <c r="J2625" s="521">
        <v>2300</v>
      </c>
      <c r="K2625" s="521">
        <f t="shared" si="170"/>
        <v>700</v>
      </c>
      <c r="L2625" s="522">
        <f t="shared" si="173"/>
        <v>6300</v>
      </c>
      <c r="M2625" s="523">
        <f t="shared" si="171"/>
        <v>0.23333333333333334</v>
      </c>
      <c r="N2625" s="2" t="s">
        <v>22</v>
      </c>
      <c r="O2625" s="15" t="s">
        <v>39</v>
      </c>
    </row>
    <row r="2626" spans="1:15">
      <c r="A2626" s="70">
        <v>2025</v>
      </c>
      <c r="B2626" s="16" t="s">
        <v>562</v>
      </c>
      <c r="C2626" s="71" t="s">
        <v>3591</v>
      </c>
      <c r="D2626" s="2" t="s">
        <v>590</v>
      </c>
      <c r="E2626" s="39" t="s">
        <v>3225</v>
      </c>
      <c r="F2626" s="96">
        <v>17</v>
      </c>
      <c r="G2626" s="1" t="s">
        <v>1616</v>
      </c>
      <c r="H2626" s="8">
        <v>6000</v>
      </c>
      <c r="I2626" s="8">
        <f t="shared" si="172"/>
        <v>102000</v>
      </c>
      <c r="J2626" s="521">
        <v>5700</v>
      </c>
      <c r="K2626" s="521">
        <f t="shared" si="170"/>
        <v>300</v>
      </c>
      <c r="L2626" s="522">
        <f t="shared" si="173"/>
        <v>5100</v>
      </c>
      <c r="M2626" s="523">
        <f t="shared" si="171"/>
        <v>0.05</v>
      </c>
      <c r="N2626" s="2" t="s">
        <v>22</v>
      </c>
      <c r="O2626" s="15" t="s">
        <v>39</v>
      </c>
    </row>
    <row r="2627" spans="1:15">
      <c r="A2627" s="70">
        <v>2025</v>
      </c>
      <c r="B2627" s="16" t="s">
        <v>562</v>
      </c>
      <c r="C2627" s="71" t="s">
        <v>3591</v>
      </c>
      <c r="D2627" s="2" t="s">
        <v>590</v>
      </c>
      <c r="E2627" s="39" t="s">
        <v>3592</v>
      </c>
      <c r="F2627" s="96">
        <v>17</v>
      </c>
      <c r="G2627" s="1" t="s">
        <v>1608</v>
      </c>
      <c r="H2627" s="8">
        <v>82000</v>
      </c>
      <c r="I2627" s="8">
        <f t="shared" si="172"/>
        <v>1394000</v>
      </c>
      <c r="J2627" s="521">
        <v>79500</v>
      </c>
      <c r="K2627" s="521">
        <f t="shared" ref="K2627:K2690" si="174">H2627-J2627</f>
        <v>2500</v>
      </c>
      <c r="L2627" s="522">
        <f t="shared" si="173"/>
        <v>42500</v>
      </c>
      <c r="M2627" s="523">
        <f t="shared" ref="M2627:M2690" si="175">K2627/H2627</f>
        <v>3.048780487804878E-2</v>
      </c>
      <c r="N2627" s="2" t="s">
        <v>22</v>
      </c>
      <c r="O2627" s="15" t="s">
        <v>39</v>
      </c>
    </row>
    <row r="2628" spans="1:15">
      <c r="A2628" s="70">
        <v>2025</v>
      </c>
      <c r="B2628" s="16" t="s">
        <v>562</v>
      </c>
      <c r="C2628" s="71" t="s">
        <v>3593</v>
      </c>
      <c r="D2628" s="2" t="s">
        <v>1840</v>
      </c>
      <c r="E2628" s="39" t="s">
        <v>3594</v>
      </c>
      <c r="F2628" s="96">
        <v>1</v>
      </c>
      <c r="G2628" s="1" t="s">
        <v>3531</v>
      </c>
      <c r="H2628" s="8">
        <v>55981.31</v>
      </c>
      <c r="I2628" s="8">
        <f t="shared" si="172"/>
        <v>55981.31</v>
      </c>
      <c r="J2628" s="521">
        <v>55140.18</v>
      </c>
      <c r="K2628" s="521">
        <f t="shared" si="174"/>
        <v>841.12999999999738</v>
      </c>
      <c r="L2628" s="522">
        <f t="shared" si="173"/>
        <v>841.12999999999738</v>
      </c>
      <c r="M2628" s="523">
        <f t="shared" si="175"/>
        <v>1.5025193229668927E-2</v>
      </c>
      <c r="N2628" s="2" t="s">
        <v>40</v>
      </c>
      <c r="O2628" s="15" t="s">
        <v>3424</v>
      </c>
    </row>
    <row r="2629" spans="1:15">
      <c r="A2629" s="70">
        <v>2025</v>
      </c>
      <c r="B2629" s="16" t="s">
        <v>562</v>
      </c>
      <c r="C2629" s="71" t="s">
        <v>3595</v>
      </c>
      <c r="D2629" s="2" t="s">
        <v>1375</v>
      </c>
      <c r="E2629" s="39" t="s">
        <v>502</v>
      </c>
      <c r="F2629" s="96">
        <v>160000</v>
      </c>
      <c r="G2629" s="1" t="s">
        <v>37</v>
      </c>
      <c r="H2629" s="8">
        <v>52.8</v>
      </c>
      <c r="I2629" s="8">
        <f t="shared" si="172"/>
        <v>8448000</v>
      </c>
      <c r="J2629" s="521">
        <v>52.5</v>
      </c>
      <c r="K2629" s="521">
        <f t="shared" si="174"/>
        <v>0.29999999999999716</v>
      </c>
      <c r="L2629" s="522">
        <f t="shared" si="173"/>
        <v>47999.999999999549</v>
      </c>
      <c r="M2629" s="523">
        <f t="shared" si="175"/>
        <v>5.6818181818181282E-3</v>
      </c>
      <c r="N2629" s="2" t="s">
        <v>22</v>
      </c>
      <c r="O2629" s="15" t="s">
        <v>39</v>
      </c>
    </row>
    <row r="2630" spans="1:15">
      <c r="A2630" s="70">
        <v>2025</v>
      </c>
      <c r="B2630" s="16" t="s">
        <v>562</v>
      </c>
      <c r="C2630" s="71" t="s">
        <v>3596</v>
      </c>
      <c r="D2630" s="2" t="s">
        <v>192</v>
      </c>
      <c r="E2630" s="39" t="s">
        <v>813</v>
      </c>
      <c r="F2630" s="96">
        <v>120000</v>
      </c>
      <c r="G2630" s="1" t="s">
        <v>37</v>
      </c>
      <c r="H2630" s="8">
        <v>55</v>
      </c>
      <c r="I2630" s="8">
        <f t="shared" si="172"/>
        <v>6600000</v>
      </c>
      <c r="J2630" s="521">
        <v>51.25</v>
      </c>
      <c r="K2630" s="521">
        <f t="shared" si="174"/>
        <v>3.75</v>
      </c>
      <c r="L2630" s="522">
        <f t="shared" si="173"/>
        <v>450000</v>
      </c>
      <c r="M2630" s="523">
        <f t="shared" si="175"/>
        <v>6.8181818181818177E-2</v>
      </c>
      <c r="N2630" s="2" t="s">
        <v>22</v>
      </c>
      <c r="O2630" s="15" t="s">
        <v>39</v>
      </c>
    </row>
    <row r="2631" spans="1:15">
      <c r="A2631" s="70">
        <v>2025</v>
      </c>
      <c r="B2631" s="16" t="s">
        <v>562</v>
      </c>
      <c r="C2631" s="71" t="s">
        <v>3597</v>
      </c>
      <c r="D2631" s="2" t="s">
        <v>1375</v>
      </c>
      <c r="E2631" s="39" t="s">
        <v>503</v>
      </c>
      <c r="F2631" s="96">
        <v>180000</v>
      </c>
      <c r="G2631" s="1" t="s">
        <v>37</v>
      </c>
      <c r="H2631" s="8">
        <v>77</v>
      </c>
      <c r="I2631" s="8">
        <f t="shared" si="172"/>
        <v>13860000</v>
      </c>
      <c r="J2631" s="521">
        <v>75.45</v>
      </c>
      <c r="K2631" s="521">
        <f t="shared" si="174"/>
        <v>1.5499999999999972</v>
      </c>
      <c r="L2631" s="522">
        <f t="shared" si="173"/>
        <v>278999.99999999948</v>
      </c>
      <c r="M2631" s="523">
        <f t="shared" si="175"/>
        <v>2.0129870129870091E-2</v>
      </c>
      <c r="N2631" s="2" t="s">
        <v>22</v>
      </c>
      <c r="O2631" s="15" t="s">
        <v>39</v>
      </c>
    </row>
    <row r="2632" spans="1:15">
      <c r="A2632" s="70">
        <v>2025</v>
      </c>
      <c r="B2632" s="16" t="s">
        <v>562</v>
      </c>
      <c r="C2632" s="71" t="s">
        <v>3598</v>
      </c>
      <c r="D2632" s="2" t="s">
        <v>270</v>
      </c>
      <c r="E2632" s="39" t="s">
        <v>3599</v>
      </c>
      <c r="F2632" s="96">
        <v>4</v>
      </c>
      <c r="G2632" s="1" t="s">
        <v>1616</v>
      </c>
      <c r="H2632" s="8">
        <v>3865</v>
      </c>
      <c r="I2632" s="8">
        <f t="shared" si="172"/>
        <v>15460</v>
      </c>
      <c r="J2632" s="521">
        <v>3827</v>
      </c>
      <c r="K2632" s="521">
        <f t="shared" si="174"/>
        <v>38</v>
      </c>
      <c r="L2632" s="522">
        <f t="shared" si="173"/>
        <v>152</v>
      </c>
      <c r="M2632" s="523">
        <f t="shared" si="175"/>
        <v>9.8318240620957308E-3</v>
      </c>
      <c r="N2632" s="2" t="s">
        <v>40</v>
      </c>
      <c r="O2632" s="15" t="s">
        <v>105</v>
      </c>
    </row>
    <row r="2633" spans="1:15">
      <c r="A2633" s="70">
        <v>2025</v>
      </c>
      <c r="B2633" s="16" t="s">
        <v>562</v>
      </c>
      <c r="C2633" s="71" t="s">
        <v>3600</v>
      </c>
      <c r="D2633" s="39" t="s">
        <v>270</v>
      </c>
      <c r="E2633" s="39" t="s">
        <v>1244</v>
      </c>
      <c r="F2633" s="96">
        <v>17</v>
      </c>
      <c r="G2633" s="1" t="s">
        <v>1608</v>
      </c>
      <c r="H2633" s="8">
        <v>146691</v>
      </c>
      <c r="I2633" s="8">
        <f t="shared" si="172"/>
        <v>2493747</v>
      </c>
      <c r="J2633" s="521">
        <v>145227</v>
      </c>
      <c r="K2633" s="521">
        <f t="shared" si="174"/>
        <v>1464</v>
      </c>
      <c r="L2633" s="522">
        <f t="shared" si="173"/>
        <v>24888</v>
      </c>
      <c r="M2633" s="523">
        <f t="shared" si="175"/>
        <v>9.9801623821502341E-3</v>
      </c>
      <c r="N2633" s="2" t="s">
        <v>40</v>
      </c>
      <c r="O2633" s="15" t="s">
        <v>105</v>
      </c>
    </row>
    <row r="2634" spans="1:15">
      <c r="A2634" s="70">
        <v>2025</v>
      </c>
      <c r="B2634" s="16" t="s">
        <v>562</v>
      </c>
      <c r="C2634" s="71" t="s">
        <v>3601</v>
      </c>
      <c r="D2634" s="39" t="s">
        <v>304</v>
      </c>
      <c r="E2634" s="39" t="s">
        <v>3602</v>
      </c>
      <c r="F2634" s="96">
        <v>1</v>
      </c>
      <c r="G2634" s="1" t="s">
        <v>1616</v>
      </c>
      <c r="H2634" s="8">
        <v>16000</v>
      </c>
      <c r="I2634" s="8">
        <f t="shared" si="172"/>
        <v>16000</v>
      </c>
      <c r="J2634" s="521">
        <v>10000</v>
      </c>
      <c r="K2634" s="521">
        <f t="shared" si="174"/>
        <v>6000</v>
      </c>
      <c r="L2634" s="522">
        <f t="shared" si="173"/>
        <v>6000</v>
      </c>
      <c r="M2634" s="523">
        <f t="shared" si="175"/>
        <v>0.375</v>
      </c>
      <c r="N2634" s="2" t="s">
        <v>22</v>
      </c>
      <c r="O2634" s="15" t="s">
        <v>105</v>
      </c>
    </row>
    <row r="2635" spans="1:15">
      <c r="A2635" s="70">
        <v>2025</v>
      </c>
      <c r="B2635" s="16" t="s">
        <v>562</v>
      </c>
      <c r="C2635" s="71" t="s">
        <v>3603</v>
      </c>
      <c r="D2635" s="39" t="s">
        <v>1042</v>
      </c>
      <c r="E2635" s="39" t="s">
        <v>287</v>
      </c>
      <c r="F2635" s="96">
        <v>610</v>
      </c>
      <c r="G2635" s="1" t="s">
        <v>37</v>
      </c>
      <c r="H2635" s="8">
        <v>385</v>
      </c>
      <c r="I2635" s="8">
        <f t="shared" si="172"/>
        <v>234850</v>
      </c>
      <c r="J2635" s="521">
        <v>353</v>
      </c>
      <c r="K2635" s="521">
        <f t="shared" si="174"/>
        <v>32</v>
      </c>
      <c r="L2635" s="522">
        <f t="shared" si="173"/>
        <v>19520</v>
      </c>
      <c r="M2635" s="523">
        <f t="shared" si="175"/>
        <v>8.3116883116883117E-2</v>
      </c>
      <c r="N2635" s="2" t="s">
        <v>22</v>
      </c>
      <c r="O2635" s="15" t="s">
        <v>105</v>
      </c>
    </row>
    <row r="2636" spans="1:15">
      <c r="A2636" s="70">
        <v>2025</v>
      </c>
      <c r="B2636" s="16" t="s">
        <v>562</v>
      </c>
      <c r="C2636" s="71" t="s">
        <v>3604</v>
      </c>
      <c r="D2636" s="39" t="s">
        <v>94</v>
      </c>
      <c r="E2636" s="39" t="s">
        <v>3605</v>
      </c>
      <c r="F2636" s="96">
        <v>400</v>
      </c>
      <c r="G2636" s="1" t="s">
        <v>1616</v>
      </c>
      <c r="H2636" s="8">
        <v>15.5</v>
      </c>
      <c r="I2636" s="8">
        <f t="shared" si="172"/>
        <v>6200</v>
      </c>
      <c r="J2636" s="521">
        <v>14.76</v>
      </c>
      <c r="K2636" s="521">
        <f t="shared" si="174"/>
        <v>0.74000000000000021</v>
      </c>
      <c r="L2636" s="522">
        <f t="shared" si="173"/>
        <v>296.00000000000011</v>
      </c>
      <c r="M2636" s="523">
        <f t="shared" si="175"/>
        <v>4.7741935483870984E-2</v>
      </c>
      <c r="N2636" s="2" t="s">
        <v>22</v>
      </c>
      <c r="O2636" s="15" t="s">
        <v>105</v>
      </c>
    </row>
    <row r="2637" spans="1:15">
      <c r="A2637" s="70">
        <v>2025</v>
      </c>
      <c r="B2637" s="16" t="s">
        <v>562</v>
      </c>
      <c r="C2637" s="71" t="s">
        <v>3604</v>
      </c>
      <c r="D2637" s="39" t="s">
        <v>94</v>
      </c>
      <c r="E2637" s="39" t="s">
        <v>613</v>
      </c>
      <c r="F2637" s="96">
        <v>100</v>
      </c>
      <c r="G2637" s="1" t="s">
        <v>1616</v>
      </c>
      <c r="H2637" s="8">
        <v>26</v>
      </c>
      <c r="I2637" s="8">
        <f t="shared" si="172"/>
        <v>2600</v>
      </c>
      <c r="J2637" s="521">
        <v>24.6</v>
      </c>
      <c r="K2637" s="521">
        <f t="shared" si="174"/>
        <v>1.3999999999999986</v>
      </c>
      <c r="L2637" s="522">
        <f t="shared" si="173"/>
        <v>139.99999999999986</v>
      </c>
      <c r="M2637" s="523">
        <f t="shared" si="175"/>
        <v>5.3846153846153794E-2</v>
      </c>
      <c r="N2637" s="2" t="s">
        <v>22</v>
      </c>
      <c r="O2637" s="15" t="s">
        <v>105</v>
      </c>
    </row>
    <row r="2638" spans="1:15">
      <c r="A2638" s="70">
        <v>2025</v>
      </c>
      <c r="B2638" s="16" t="s">
        <v>562</v>
      </c>
      <c r="C2638" s="71" t="s">
        <v>3604</v>
      </c>
      <c r="D2638" s="39" t="s">
        <v>94</v>
      </c>
      <c r="E2638" s="39" t="s">
        <v>550</v>
      </c>
      <c r="F2638" s="96">
        <v>400</v>
      </c>
      <c r="G2638" s="1" t="s">
        <v>1616</v>
      </c>
      <c r="H2638" s="8">
        <v>50</v>
      </c>
      <c r="I2638" s="8">
        <f t="shared" si="172"/>
        <v>20000</v>
      </c>
      <c r="J2638" s="521">
        <v>47.56</v>
      </c>
      <c r="K2638" s="521">
        <f t="shared" si="174"/>
        <v>2.4399999999999977</v>
      </c>
      <c r="L2638" s="522">
        <f t="shared" si="173"/>
        <v>975.99999999999909</v>
      </c>
      <c r="M2638" s="523">
        <f t="shared" si="175"/>
        <v>4.8799999999999955E-2</v>
      </c>
      <c r="N2638" s="2" t="s">
        <v>22</v>
      </c>
      <c r="O2638" s="15" t="s">
        <v>105</v>
      </c>
    </row>
    <row r="2639" spans="1:15">
      <c r="A2639" s="70">
        <v>2025</v>
      </c>
      <c r="B2639" s="16" t="s">
        <v>562</v>
      </c>
      <c r="C2639" s="71" t="s">
        <v>3604</v>
      </c>
      <c r="D2639" s="39" t="s">
        <v>94</v>
      </c>
      <c r="E2639" s="39" t="s">
        <v>546</v>
      </c>
      <c r="F2639" s="96">
        <v>100</v>
      </c>
      <c r="G2639" s="1" t="s">
        <v>1616</v>
      </c>
      <c r="H2639" s="8">
        <v>190</v>
      </c>
      <c r="I2639" s="8">
        <f t="shared" si="172"/>
        <v>19000</v>
      </c>
      <c r="J2639" s="521">
        <v>182.25</v>
      </c>
      <c r="K2639" s="521">
        <f t="shared" si="174"/>
        <v>7.75</v>
      </c>
      <c r="L2639" s="522">
        <f t="shared" si="173"/>
        <v>775</v>
      </c>
      <c r="M2639" s="523">
        <f t="shared" si="175"/>
        <v>4.0789473684210528E-2</v>
      </c>
      <c r="N2639" s="2" t="s">
        <v>22</v>
      </c>
      <c r="O2639" s="15" t="s">
        <v>105</v>
      </c>
    </row>
    <row r="2640" spans="1:15">
      <c r="A2640" s="70">
        <v>2025</v>
      </c>
      <c r="B2640" s="16" t="s">
        <v>562</v>
      </c>
      <c r="C2640" s="71" t="s">
        <v>3604</v>
      </c>
      <c r="D2640" s="39" t="s">
        <v>94</v>
      </c>
      <c r="E2640" s="39" t="s">
        <v>457</v>
      </c>
      <c r="F2640" s="96">
        <v>200</v>
      </c>
      <c r="G2640" s="1" t="s">
        <v>1616</v>
      </c>
      <c r="H2640" s="8">
        <v>5.25</v>
      </c>
      <c r="I2640" s="8">
        <f t="shared" si="172"/>
        <v>1050</v>
      </c>
      <c r="J2640" s="521">
        <v>5.0999999999999996</v>
      </c>
      <c r="K2640" s="521">
        <f t="shared" si="174"/>
        <v>0.15000000000000036</v>
      </c>
      <c r="L2640" s="522">
        <f t="shared" si="173"/>
        <v>30.000000000000071</v>
      </c>
      <c r="M2640" s="523">
        <f t="shared" si="175"/>
        <v>2.857142857142864E-2</v>
      </c>
      <c r="N2640" s="2" t="s">
        <v>22</v>
      </c>
      <c r="O2640" s="15" t="s">
        <v>105</v>
      </c>
    </row>
    <row r="2641" spans="1:15">
      <c r="A2641" s="70">
        <v>2025</v>
      </c>
      <c r="B2641" s="16" t="s">
        <v>562</v>
      </c>
      <c r="C2641" s="71" t="s">
        <v>3606</v>
      </c>
      <c r="D2641" s="2" t="s">
        <v>35</v>
      </c>
      <c r="E2641" s="39" t="s">
        <v>3260</v>
      </c>
      <c r="F2641" s="96">
        <v>5303</v>
      </c>
      <c r="G2641" s="1" t="s">
        <v>37</v>
      </c>
      <c r="H2641" s="8">
        <v>385</v>
      </c>
      <c r="I2641" s="8">
        <f t="shared" si="172"/>
        <v>2041655</v>
      </c>
      <c r="J2641" s="521">
        <v>380</v>
      </c>
      <c r="K2641" s="521">
        <f t="shared" si="174"/>
        <v>5</v>
      </c>
      <c r="L2641" s="522">
        <f t="shared" si="173"/>
        <v>26515</v>
      </c>
      <c r="M2641" s="523">
        <f t="shared" si="175"/>
        <v>1.2987012987012988E-2</v>
      </c>
      <c r="N2641" s="2" t="s">
        <v>40</v>
      </c>
      <c r="O2641" s="15" t="s">
        <v>105</v>
      </c>
    </row>
    <row r="2642" spans="1:15">
      <c r="A2642" s="70">
        <v>2025</v>
      </c>
      <c r="B2642" s="16" t="s">
        <v>562</v>
      </c>
      <c r="C2642" s="393" t="s">
        <v>3607</v>
      </c>
      <c r="D2642" s="2" t="s">
        <v>68</v>
      </c>
      <c r="E2642" s="39" t="s">
        <v>962</v>
      </c>
      <c r="F2642" s="96">
        <v>1512.2</v>
      </c>
      <c r="G2642" s="1" t="s">
        <v>37</v>
      </c>
      <c r="H2642" s="8">
        <v>375</v>
      </c>
      <c r="I2642" s="8">
        <f t="shared" si="172"/>
        <v>567075</v>
      </c>
      <c r="J2642" s="521">
        <v>365</v>
      </c>
      <c r="K2642" s="521">
        <f t="shared" si="174"/>
        <v>10</v>
      </c>
      <c r="L2642" s="522">
        <f t="shared" si="173"/>
        <v>15122</v>
      </c>
      <c r="M2642" s="523">
        <f t="shared" si="175"/>
        <v>2.6666666666666668E-2</v>
      </c>
      <c r="N2642" s="2" t="s">
        <v>22</v>
      </c>
      <c r="O2642" s="15" t="s">
        <v>105</v>
      </c>
    </row>
    <row r="2643" spans="1:15">
      <c r="A2643" s="70">
        <v>2025</v>
      </c>
      <c r="B2643" s="16" t="s">
        <v>562</v>
      </c>
      <c r="C2643" s="393" t="s">
        <v>3608</v>
      </c>
      <c r="D2643" s="39" t="s">
        <v>892</v>
      </c>
      <c r="E2643" s="39" t="s">
        <v>894</v>
      </c>
      <c r="F2643" s="96">
        <v>75</v>
      </c>
      <c r="G2643" s="1" t="s">
        <v>1616</v>
      </c>
      <c r="H2643" s="8">
        <v>1460</v>
      </c>
      <c r="I2643" s="8">
        <f t="shared" si="172"/>
        <v>109500</v>
      </c>
      <c r="J2643" s="521">
        <v>1450</v>
      </c>
      <c r="K2643" s="521">
        <f t="shared" si="174"/>
        <v>10</v>
      </c>
      <c r="L2643" s="522">
        <f t="shared" si="173"/>
        <v>750</v>
      </c>
      <c r="M2643" s="523">
        <f t="shared" si="175"/>
        <v>6.8493150684931503E-3</v>
      </c>
      <c r="N2643" s="2" t="s">
        <v>40</v>
      </c>
      <c r="O2643" s="15" t="s">
        <v>105</v>
      </c>
    </row>
    <row r="2644" spans="1:15">
      <c r="A2644" s="70">
        <v>2025</v>
      </c>
      <c r="B2644" s="16" t="s">
        <v>562</v>
      </c>
      <c r="C2644" s="393" t="s">
        <v>3608</v>
      </c>
      <c r="D2644" s="39" t="s">
        <v>892</v>
      </c>
      <c r="E2644" s="39" t="s">
        <v>3335</v>
      </c>
      <c r="F2644" s="96">
        <v>1405</v>
      </c>
      <c r="G2644" s="1" t="s">
        <v>1616</v>
      </c>
      <c r="H2644" s="8">
        <v>750</v>
      </c>
      <c r="I2644" s="8">
        <f t="shared" si="172"/>
        <v>1053750</v>
      </c>
      <c r="J2644" s="521">
        <v>740</v>
      </c>
      <c r="K2644" s="521">
        <f t="shared" si="174"/>
        <v>10</v>
      </c>
      <c r="L2644" s="522">
        <f t="shared" si="173"/>
        <v>14050</v>
      </c>
      <c r="M2644" s="523">
        <f t="shared" si="175"/>
        <v>1.3333333333333334E-2</v>
      </c>
      <c r="N2644" s="2" t="s">
        <v>40</v>
      </c>
      <c r="O2644" s="15" t="s">
        <v>105</v>
      </c>
    </row>
    <row r="2645" spans="1:15">
      <c r="A2645" s="70">
        <v>2025</v>
      </c>
      <c r="B2645" s="16" t="s">
        <v>562</v>
      </c>
      <c r="C2645" s="393" t="s">
        <v>3609</v>
      </c>
      <c r="D2645" s="39" t="s">
        <v>3610</v>
      </c>
      <c r="E2645" s="39" t="s">
        <v>3611</v>
      </c>
      <c r="F2645" s="96">
        <v>28</v>
      </c>
      <c r="G2645" s="1" t="s">
        <v>1616</v>
      </c>
      <c r="H2645" s="8">
        <v>5500</v>
      </c>
      <c r="I2645" s="8">
        <f t="shared" si="172"/>
        <v>154000</v>
      </c>
      <c r="J2645" s="521">
        <v>5200</v>
      </c>
      <c r="K2645" s="521">
        <f t="shared" si="174"/>
        <v>300</v>
      </c>
      <c r="L2645" s="522">
        <f t="shared" si="173"/>
        <v>8400</v>
      </c>
      <c r="M2645" s="523">
        <f t="shared" si="175"/>
        <v>5.4545454545454543E-2</v>
      </c>
      <c r="N2645" s="2" t="s">
        <v>22</v>
      </c>
      <c r="O2645" s="15" t="s">
        <v>105</v>
      </c>
    </row>
    <row r="2646" spans="1:15">
      <c r="A2646" s="70">
        <v>2025</v>
      </c>
      <c r="B2646" s="16" t="s">
        <v>562</v>
      </c>
      <c r="C2646" s="393" t="s">
        <v>3609</v>
      </c>
      <c r="D2646" s="39" t="s">
        <v>3610</v>
      </c>
      <c r="E2646" s="39" t="s">
        <v>3612</v>
      </c>
      <c r="F2646" s="96">
        <v>28</v>
      </c>
      <c r="G2646" s="1" t="s">
        <v>1616</v>
      </c>
      <c r="H2646" s="8">
        <v>5500</v>
      </c>
      <c r="I2646" s="8">
        <f t="shared" si="172"/>
        <v>154000</v>
      </c>
      <c r="J2646" s="521">
        <v>5200</v>
      </c>
      <c r="K2646" s="521">
        <f t="shared" si="174"/>
        <v>300</v>
      </c>
      <c r="L2646" s="522">
        <f t="shared" si="173"/>
        <v>8400</v>
      </c>
      <c r="M2646" s="523">
        <f t="shared" si="175"/>
        <v>5.4545454545454543E-2</v>
      </c>
      <c r="N2646" s="2" t="s">
        <v>22</v>
      </c>
      <c r="O2646" s="15" t="s">
        <v>105</v>
      </c>
    </row>
    <row r="2647" spans="1:15">
      <c r="A2647" s="70">
        <v>2025</v>
      </c>
      <c r="B2647" s="16" t="s">
        <v>562</v>
      </c>
      <c r="C2647" s="393" t="s">
        <v>3613</v>
      </c>
      <c r="D2647" s="2" t="s">
        <v>708</v>
      </c>
      <c r="E2647" s="39" t="s">
        <v>45</v>
      </c>
      <c r="F2647" s="96">
        <v>1300</v>
      </c>
      <c r="G2647" s="1" t="s">
        <v>37</v>
      </c>
      <c r="H2647" s="8">
        <v>365.3</v>
      </c>
      <c r="I2647" s="8">
        <f t="shared" si="172"/>
        <v>474890</v>
      </c>
      <c r="J2647" s="521">
        <v>362.3</v>
      </c>
      <c r="K2647" s="521">
        <f t="shared" si="174"/>
        <v>3</v>
      </c>
      <c r="L2647" s="522">
        <f t="shared" si="173"/>
        <v>3900</v>
      </c>
      <c r="M2647" s="523">
        <f t="shared" si="175"/>
        <v>8.2124281412537629E-3</v>
      </c>
      <c r="N2647" s="2" t="s">
        <v>40</v>
      </c>
      <c r="O2647" s="15" t="s">
        <v>105</v>
      </c>
    </row>
    <row r="2648" spans="1:15">
      <c r="A2648" s="70">
        <v>2025</v>
      </c>
      <c r="B2648" s="16" t="s">
        <v>562</v>
      </c>
      <c r="C2648" s="393" t="s">
        <v>3613</v>
      </c>
      <c r="D2648" s="2" t="s">
        <v>708</v>
      </c>
      <c r="E2648" s="39" t="s">
        <v>46</v>
      </c>
      <c r="F2648" s="96">
        <v>500</v>
      </c>
      <c r="G2648" s="1" t="s">
        <v>37</v>
      </c>
      <c r="H2648" s="8">
        <v>365.46</v>
      </c>
      <c r="I2648" s="8">
        <f t="shared" si="172"/>
        <v>182730</v>
      </c>
      <c r="J2648" s="521">
        <v>362.46</v>
      </c>
      <c r="K2648" s="521">
        <f t="shared" si="174"/>
        <v>3</v>
      </c>
      <c r="L2648" s="522">
        <f t="shared" si="173"/>
        <v>1500</v>
      </c>
      <c r="M2648" s="523">
        <f t="shared" si="175"/>
        <v>8.2088327039894927E-3</v>
      </c>
      <c r="N2648" s="2" t="s">
        <v>40</v>
      </c>
      <c r="O2648" s="15" t="s">
        <v>105</v>
      </c>
    </row>
    <row r="2649" spans="1:15">
      <c r="A2649" s="70">
        <v>2025</v>
      </c>
      <c r="B2649" s="16" t="s">
        <v>562</v>
      </c>
      <c r="C2649" s="393" t="s">
        <v>3613</v>
      </c>
      <c r="D2649" s="2" t="s">
        <v>708</v>
      </c>
      <c r="E2649" s="39" t="s">
        <v>49</v>
      </c>
      <c r="F2649" s="96">
        <v>2030</v>
      </c>
      <c r="G2649" s="1" t="s">
        <v>37</v>
      </c>
      <c r="H2649" s="8">
        <v>366.66</v>
      </c>
      <c r="I2649" s="8">
        <f t="shared" si="172"/>
        <v>744319.8</v>
      </c>
      <c r="J2649" s="521">
        <v>363.66</v>
      </c>
      <c r="K2649" s="521">
        <f t="shared" si="174"/>
        <v>3</v>
      </c>
      <c r="L2649" s="522">
        <f t="shared" si="173"/>
        <v>6090</v>
      </c>
      <c r="M2649" s="523">
        <f t="shared" si="175"/>
        <v>8.1819669448535415E-3</v>
      </c>
      <c r="N2649" s="2" t="s">
        <v>40</v>
      </c>
      <c r="O2649" s="15" t="s">
        <v>105</v>
      </c>
    </row>
    <row r="2650" spans="1:15">
      <c r="A2650" s="70">
        <v>2025</v>
      </c>
      <c r="B2650" s="16" t="s">
        <v>562</v>
      </c>
      <c r="C2650" s="393" t="s">
        <v>3613</v>
      </c>
      <c r="D2650" s="2" t="s">
        <v>708</v>
      </c>
      <c r="E2650" s="39" t="s">
        <v>206</v>
      </c>
      <c r="F2650" s="96">
        <v>2300</v>
      </c>
      <c r="G2650" s="1" t="s">
        <v>37</v>
      </c>
      <c r="H2650" s="8">
        <v>365.07</v>
      </c>
      <c r="I2650" s="8">
        <f t="shared" si="172"/>
        <v>839661</v>
      </c>
      <c r="J2650" s="521">
        <v>362.07</v>
      </c>
      <c r="K2650" s="521">
        <f t="shared" si="174"/>
        <v>3</v>
      </c>
      <c r="L2650" s="522">
        <f t="shared" si="173"/>
        <v>6900</v>
      </c>
      <c r="M2650" s="523">
        <f t="shared" si="175"/>
        <v>8.2176021037061384E-3</v>
      </c>
      <c r="N2650" s="2" t="s">
        <v>40</v>
      </c>
      <c r="O2650" s="15" t="s">
        <v>105</v>
      </c>
    </row>
    <row r="2651" spans="1:15">
      <c r="A2651" s="70">
        <v>2025</v>
      </c>
      <c r="B2651" s="16" t="s">
        <v>562</v>
      </c>
      <c r="C2651" s="393" t="s">
        <v>3613</v>
      </c>
      <c r="D2651" s="2" t="s">
        <v>708</v>
      </c>
      <c r="E2651" s="39" t="s">
        <v>51</v>
      </c>
      <c r="F2651" s="96">
        <v>1300</v>
      </c>
      <c r="G2651" s="1" t="s">
        <v>37</v>
      </c>
      <c r="H2651" s="8">
        <v>367.8</v>
      </c>
      <c r="I2651" s="8">
        <f t="shared" si="172"/>
        <v>478140</v>
      </c>
      <c r="J2651" s="521">
        <v>364.8</v>
      </c>
      <c r="K2651" s="521">
        <f t="shared" si="174"/>
        <v>3</v>
      </c>
      <c r="L2651" s="522">
        <f t="shared" si="173"/>
        <v>3900</v>
      </c>
      <c r="M2651" s="523">
        <f t="shared" si="175"/>
        <v>8.1566068515497546E-3</v>
      </c>
      <c r="N2651" s="2" t="s">
        <v>40</v>
      </c>
      <c r="O2651" s="15" t="s">
        <v>105</v>
      </c>
    </row>
    <row r="2652" spans="1:15">
      <c r="A2652" s="70">
        <v>2025</v>
      </c>
      <c r="B2652" s="16" t="s">
        <v>562</v>
      </c>
      <c r="C2652" s="393" t="s">
        <v>3614</v>
      </c>
      <c r="D2652" s="2" t="s">
        <v>35</v>
      </c>
      <c r="E2652" s="39" t="s">
        <v>3500</v>
      </c>
      <c r="F2652" s="96">
        <v>1551</v>
      </c>
      <c r="G2652" s="1" t="s">
        <v>37</v>
      </c>
      <c r="H2652" s="8">
        <v>385</v>
      </c>
      <c r="I2652" s="8">
        <f t="shared" si="172"/>
        <v>597135</v>
      </c>
      <c r="J2652" s="521">
        <v>380</v>
      </c>
      <c r="K2652" s="521">
        <f t="shared" si="174"/>
        <v>5</v>
      </c>
      <c r="L2652" s="522">
        <f t="shared" si="173"/>
        <v>7755</v>
      </c>
      <c r="M2652" s="523">
        <f t="shared" si="175"/>
        <v>1.2987012987012988E-2</v>
      </c>
      <c r="N2652" s="2" t="s">
        <v>40</v>
      </c>
      <c r="O2652" s="15" t="s">
        <v>105</v>
      </c>
    </row>
    <row r="2653" spans="1:15">
      <c r="A2653" s="70">
        <v>2025</v>
      </c>
      <c r="B2653" s="16" t="s">
        <v>562</v>
      </c>
      <c r="C2653" s="393" t="s">
        <v>3615</v>
      </c>
      <c r="D2653" s="39" t="s">
        <v>708</v>
      </c>
      <c r="E2653" s="39" t="s">
        <v>45</v>
      </c>
      <c r="F2653" s="96">
        <v>1000</v>
      </c>
      <c r="G2653" s="1" t="s">
        <v>37</v>
      </c>
      <c r="H2653" s="8">
        <v>365.3</v>
      </c>
      <c r="I2653" s="8">
        <f t="shared" si="172"/>
        <v>365300</v>
      </c>
      <c r="J2653" s="521">
        <v>362.3</v>
      </c>
      <c r="K2653" s="521">
        <f t="shared" si="174"/>
        <v>3</v>
      </c>
      <c r="L2653" s="522">
        <f t="shared" si="173"/>
        <v>3000</v>
      </c>
      <c r="M2653" s="523">
        <f t="shared" si="175"/>
        <v>8.2124281412537629E-3</v>
      </c>
      <c r="N2653" s="2" t="s">
        <v>40</v>
      </c>
      <c r="O2653" s="15" t="s">
        <v>105</v>
      </c>
    </row>
    <row r="2654" spans="1:15">
      <c r="A2654" s="70">
        <v>2025</v>
      </c>
      <c r="B2654" s="16" t="s">
        <v>562</v>
      </c>
      <c r="C2654" s="393" t="s">
        <v>3615</v>
      </c>
      <c r="D2654" s="39" t="s">
        <v>708</v>
      </c>
      <c r="E2654" s="39" t="s">
        <v>3616</v>
      </c>
      <c r="F2654" s="96">
        <v>300</v>
      </c>
      <c r="G2654" s="1" t="s">
        <v>37</v>
      </c>
      <c r="H2654" s="8">
        <v>364.25</v>
      </c>
      <c r="I2654" s="8">
        <f t="shared" si="172"/>
        <v>109275</v>
      </c>
      <c r="J2654" s="521">
        <v>361.25</v>
      </c>
      <c r="K2654" s="521">
        <f t="shared" si="174"/>
        <v>3</v>
      </c>
      <c r="L2654" s="522">
        <f t="shared" si="173"/>
        <v>900</v>
      </c>
      <c r="M2654" s="523">
        <f t="shared" si="175"/>
        <v>8.2361015785861365E-3</v>
      </c>
      <c r="N2654" s="2" t="s">
        <v>40</v>
      </c>
      <c r="O2654" s="15" t="s">
        <v>105</v>
      </c>
    </row>
    <row r="2655" spans="1:15">
      <c r="A2655" s="70">
        <v>2025</v>
      </c>
      <c r="B2655" s="16" t="s">
        <v>562</v>
      </c>
      <c r="C2655" s="393" t="s">
        <v>3615</v>
      </c>
      <c r="D2655" s="39" t="s">
        <v>708</v>
      </c>
      <c r="E2655" s="39" t="s">
        <v>207</v>
      </c>
      <c r="F2655" s="96">
        <v>800</v>
      </c>
      <c r="G2655" s="1" t="s">
        <v>37</v>
      </c>
      <c r="H2655" s="8">
        <v>365.53</v>
      </c>
      <c r="I2655" s="8">
        <f t="shared" si="172"/>
        <v>292424</v>
      </c>
      <c r="J2655" s="521">
        <v>362.53</v>
      </c>
      <c r="K2655" s="521">
        <f t="shared" si="174"/>
        <v>3</v>
      </c>
      <c r="L2655" s="522">
        <f t="shared" si="173"/>
        <v>2400</v>
      </c>
      <c r="M2655" s="523">
        <f t="shared" si="175"/>
        <v>8.207260689957049E-3</v>
      </c>
      <c r="N2655" s="2" t="s">
        <v>40</v>
      </c>
      <c r="O2655" s="15" t="s">
        <v>105</v>
      </c>
    </row>
    <row r="2656" spans="1:15">
      <c r="A2656" s="70">
        <v>2025</v>
      </c>
      <c r="B2656" s="16" t="s">
        <v>562</v>
      </c>
      <c r="C2656" s="393" t="s">
        <v>3615</v>
      </c>
      <c r="D2656" s="39" t="s">
        <v>708</v>
      </c>
      <c r="E2656" s="39" t="s">
        <v>52</v>
      </c>
      <c r="F2656" s="96">
        <v>200</v>
      </c>
      <c r="G2656" s="1" t="s">
        <v>37</v>
      </c>
      <c r="H2656" s="8">
        <v>365.05</v>
      </c>
      <c r="I2656" s="8">
        <f t="shared" si="172"/>
        <v>73010</v>
      </c>
      <c r="J2656" s="521">
        <v>362.05</v>
      </c>
      <c r="K2656" s="521">
        <f t="shared" si="174"/>
        <v>3</v>
      </c>
      <c r="L2656" s="522">
        <f t="shared" si="173"/>
        <v>600</v>
      </c>
      <c r="M2656" s="523">
        <f t="shared" si="175"/>
        <v>8.2180523215997798E-3</v>
      </c>
      <c r="N2656" s="2" t="s">
        <v>40</v>
      </c>
      <c r="O2656" s="15" t="s">
        <v>105</v>
      </c>
    </row>
    <row r="2657" spans="1:15">
      <c r="A2657" s="70">
        <v>2025</v>
      </c>
      <c r="B2657" s="16" t="s">
        <v>562</v>
      </c>
      <c r="C2657" s="393" t="s">
        <v>3615</v>
      </c>
      <c r="D2657" s="39" t="s">
        <v>708</v>
      </c>
      <c r="E2657" s="39" t="s">
        <v>51</v>
      </c>
      <c r="F2657" s="96">
        <v>400</v>
      </c>
      <c r="G2657" s="1" t="s">
        <v>37</v>
      </c>
      <c r="H2657" s="8">
        <v>367.8</v>
      </c>
      <c r="I2657" s="8">
        <f t="shared" si="172"/>
        <v>147120</v>
      </c>
      <c r="J2657" s="521">
        <v>364.8</v>
      </c>
      <c r="K2657" s="521">
        <f t="shared" si="174"/>
        <v>3</v>
      </c>
      <c r="L2657" s="522">
        <f t="shared" si="173"/>
        <v>1200</v>
      </c>
      <c r="M2657" s="523">
        <f t="shared" si="175"/>
        <v>8.1566068515497546E-3</v>
      </c>
      <c r="N2657" s="2" t="s">
        <v>40</v>
      </c>
      <c r="O2657" s="15" t="s">
        <v>105</v>
      </c>
    </row>
    <row r="2658" spans="1:15">
      <c r="A2658" s="70">
        <v>2025</v>
      </c>
      <c r="B2658" s="16" t="s">
        <v>562</v>
      </c>
      <c r="C2658" s="393" t="s">
        <v>3615</v>
      </c>
      <c r="D2658" s="39" t="s">
        <v>708</v>
      </c>
      <c r="E2658" s="39" t="s">
        <v>210</v>
      </c>
      <c r="F2658" s="96">
        <v>1000</v>
      </c>
      <c r="G2658" s="1" t="s">
        <v>37</v>
      </c>
      <c r="H2658" s="8">
        <v>363.64</v>
      </c>
      <c r="I2658" s="8">
        <f t="shared" si="172"/>
        <v>363640</v>
      </c>
      <c r="J2658" s="521">
        <v>360.64</v>
      </c>
      <c r="K2658" s="521">
        <f t="shared" si="174"/>
        <v>3</v>
      </c>
      <c r="L2658" s="522">
        <f t="shared" si="173"/>
        <v>3000</v>
      </c>
      <c r="M2658" s="523">
        <f t="shared" si="175"/>
        <v>8.2499175008249916E-3</v>
      </c>
      <c r="N2658" s="2" t="s">
        <v>40</v>
      </c>
      <c r="O2658" s="15" t="s">
        <v>105</v>
      </c>
    </row>
    <row r="2659" spans="1:15">
      <c r="A2659" s="70">
        <v>2025</v>
      </c>
      <c r="B2659" s="16" t="s">
        <v>562</v>
      </c>
      <c r="C2659" s="71" t="s">
        <v>3596</v>
      </c>
      <c r="D2659" s="39" t="s">
        <v>1375</v>
      </c>
      <c r="E2659" s="39" t="s">
        <v>813</v>
      </c>
      <c r="F2659" s="96">
        <v>120000</v>
      </c>
      <c r="G2659" s="1" t="s">
        <v>37</v>
      </c>
      <c r="H2659" s="8">
        <v>51.8</v>
      </c>
      <c r="I2659" s="8">
        <f t="shared" si="172"/>
        <v>6216000</v>
      </c>
      <c r="J2659" s="521">
        <v>50</v>
      </c>
      <c r="K2659" s="521">
        <f t="shared" si="174"/>
        <v>1.7999999999999972</v>
      </c>
      <c r="L2659" s="522">
        <f t="shared" si="173"/>
        <v>215999.99999999965</v>
      </c>
      <c r="M2659" s="523">
        <f t="shared" si="175"/>
        <v>3.4749034749034693E-2</v>
      </c>
      <c r="N2659" s="2" t="s">
        <v>22</v>
      </c>
      <c r="O2659" s="15" t="s">
        <v>39</v>
      </c>
    </row>
    <row r="2660" spans="1:15">
      <c r="A2660" s="70">
        <v>2025</v>
      </c>
      <c r="B2660" s="16" t="s">
        <v>562</v>
      </c>
      <c r="C2660" s="71" t="s">
        <v>3595</v>
      </c>
      <c r="D2660" s="39" t="s">
        <v>1375</v>
      </c>
      <c r="E2660" s="39" t="s">
        <v>502</v>
      </c>
      <c r="F2660" s="96">
        <v>160000</v>
      </c>
      <c r="G2660" s="1" t="s">
        <v>37</v>
      </c>
      <c r="H2660" s="8">
        <v>52.8</v>
      </c>
      <c r="I2660" s="8">
        <f t="shared" si="172"/>
        <v>8448000</v>
      </c>
      <c r="J2660" s="521">
        <v>52.5</v>
      </c>
      <c r="K2660" s="521">
        <f t="shared" si="174"/>
        <v>0.29999999999999716</v>
      </c>
      <c r="L2660" s="522">
        <f t="shared" si="173"/>
        <v>47999.999999999549</v>
      </c>
      <c r="M2660" s="523">
        <f t="shared" si="175"/>
        <v>5.6818181818181282E-3</v>
      </c>
      <c r="N2660" s="2" t="s">
        <v>22</v>
      </c>
      <c r="O2660" s="15" t="s">
        <v>39</v>
      </c>
    </row>
    <row r="2661" spans="1:15">
      <c r="A2661" s="70">
        <v>2025</v>
      </c>
      <c r="B2661" s="16" t="s">
        <v>562</v>
      </c>
      <c r="C2661" s="71" t="s">
        <v>3597</v>
      </c>
      <c r="D2661" s="39" t="s">
        <v>1375</v>
      </c>
      <c r="E2661" s="39" t="s">
        <v>503</v>
      </c>
      <c r="F2661" s="96">
        <v>180000</v>
      </c>
      <c r="G2661" s="1" t="s">
        <v>37</v>
      </c>
      <c r="H2661" s="8">
        <v>77</v>
      </c>
      <c r="I2661" s="8">
        <f t="shared" si="172"/>
        <v>13860000</v>
      </c>
      <c r="J2661" s="521">
        <v>75.45</v>
      </c>
      <c r="K2661" s="521">
        <f t="shared" si="174"/>
        <v>1.5499999999999972</v>
      </c>
      <c r="L2661" s="522">
        <f t="shared" si="173"/>
        <v>278999.99999999948</v>
      </c>
      <c r="M2661" s="523">
        <f t="shared" si="175"/>
        <v>2.0129870129870091E-2</v>
      </c>
      <c r="N2661" s="2" t="s">
        <v>22</v>
      </c>
      <c r="O2661" s="15" t="s">
        <v>39</v>
      </c>
    </row>
    <row r="2662" spans="1:15">
      <c r="A2662" s="70">
        <v>2025</v>
      </c>
      <c r="B2662" s="16" t="s">
        <v>562</v>
      </c>
      <c r="C2662" s="71" t="s">
        <v>3617</v>
      </c>
      <c r="D2662" s="39" t="s">
        <v>335</v>
      </c>
      <c r="E2662" s="39" t="s">
        <v>3618</v>
      </c>
      <c r="F2662" s="96">
        <v>5016</v>
      </c>
      <c r="G2662" s="1" t="s">
        <v>337</v>
      </c>
      <c r="H2662" s="8">
        <v>75.14</v>
      </c>
      <c r="I2662" s="8">
        <f t="shared" si="172"/>
        <v>376902.24</v>
      </c>
      <c r="J2662" s="521">
        <v>75</v>
      </c>
      <c r="K2662" s="521">
        <f t="shared" si="174"/>
        <v>0.14000000000000057</v>
      </c>
      <c r="L2662" s="522">
        <f t="shared" si="173"/>
        <v>702.24000000000285</v>
      </c>
      <c r="M2662" s="523">
        <f t="shared" si="175"/>
        <v>1.8631887143997945E-3</v>
      </c>
      <c r="N2662" s="2" t="s">
        <v>40</v>
      </c>
      <c r="O2662" s="15" t="s">
        <v>39</v>
      </c>
    </row>
    <row r="2663" spans="1:15">
      <c r="A2663" s="70">
        <v>2025</v>
      </c>
      <c r="B2663" s="16" t="s">
        <v>562</v>
      </c>
      <c r="C2663" s="71" t="s">
        <v>3619</v>
      </c>
      <c r="D2663" s="39" t="s">
        <v>3620</v>
      </c>
      <c r="E2663" s="39" t="s">
        <v>3621</v>
      </c>
      <c r="F2663" s="96">
        <v>1</v>
      </c>
      <c r="G2663" s="1" t="s">
        <v>285</v>
      </c>
      <c r="H2663" s="8">
        <v>14000</v>
      </c>
      <c r="I2663" s="8">
        <f t="shared" si="172"/>
        <v>14000</v>
      </c>
      <c r="J2663" s="521">
        <v>13000</v>
      </c>
      <c r="K2663" s="521">
        <f t="shared" si="174"/>
        <v>1000</v>
      </c>
      <c r="L2663" s="522">
        <f t="shared" si="173"/>
        <v>1000</v>
      </c>
      <c r="M2663" s="523">
        <f t="shared" si="175"/>
        <v>7.1428571428571425E-2</v>
      </c>
      <c r="N2663" s="2" t="s">
        <v>22</v>
      </c>
      <c r="O2663" s="15" t="s">
        <v>39</v>
      </c>
    </row>
    <row r="2664" spans="1:15">
      <c r="A2664" s="70">
        <v>2025</v>
      </c>
      <c r="B2664" s="16" t="s">
        <v>562</v>
      </c>
      <c r="C2664" s="71" t="s">
        <v>3622</v>
      </c>
      <c r="D2664" s="39" t="s">
        <v>3620</v>
      </c>
      <c r="E2664" s="39" t="s">
        <v>3623</v>
      </c>
      <c r="F2664" s="96">
        <v>1</v>
      </c>
      <c r="G2664" s="1" t="s">
        <v>285</v>
      </c>
      <c r="H2664" s="8">
        <v>14000</v>
      </c>
      <c r="I2664" s="86">
        <f t="shared" si="172"/>
        <v>14000</v>
      </c>
      <c r="J2664" s="521">
        <v>13000</v>
      </c>
      <c r="K2664" s="521">
        <f t="shared" si="174"/>
        <v>1000</v>
      </c>
      <c r="L2664" s="522">
        <f t="shared" si="173"/>
        <v>1000</v>
      </c>
      <c r="M2664" s="523">
        <f t="shared" si="175"/>
        <v>7.1428571428571425E-2</v>
      </c>
      <c r="N2664" s="2" t="s">
        <v>22</v>
      </c>
      <c r="O2664" s="15" t="s">
        <v>39</v>
      </c>
    </row>
    <row r="2665" spans="1:15">
      <c r="A2665" s="70">
        <v>2025</v>
      </c>
      <c r="B2665" s="16" t="s">
        <v>562</v>
      </c>
      <c r="C2665" s="393" t="s">
        <v>3624</v>
      </c>
      <c r="D2665" s="39" t="s">
        <v>68</v>
      </c>
      <c r="E2665" s="39" t="s">
        <v>962</v>
      </c>
      <c r="F2665" s="96">
        <v>5248</v>
      </c>
      <c r="G2665" s="1" t="s">
        <v>37</v>
      </c>
      <c r="H2665" s="8">
        <v>365</v>
      </c>
      <c r="I2665" s="8">
        <f t="shared" si="172"/>
        <v>1915520</v>
      </c>
      <c r="J2665" s="521">
        <v>360</v>
      </c>
      <c r="K2665" s="521">
        <f t="shared" si="174"/>
        <v>5</v>
      </c>
      <c r="L2665" s="522">
        <f t="shared" si="173"/>
        <v>26240</v>
      </c>
      <c r="M2665" s="523">
        <f t="shared" si="175"/>
        <v>1.3698630136986301E-2</v>
      </c>
      <c r="N2665" s="2" t="s">
        <v>40</v>
      </c>
      <c r="O2665" s="15" t="s">
        <v>105</v>
      </c>
    </row>
    <row r="2666" spans="1:15">
      <c r="A2666" s="70">
        <v>2025</v>
      </c>
      <c r="B2666" s="16" t="s">
        <v>562</v>
      </c>
      <c r="C2666" s="393" t="s">
        <v>3625</v>
      </c>
      <c r="D2666" s="39" t="s">
        <v>107</v>
      </c>
      <c r="E2666" s="39" t="s">
        <v>564</v>
      </c>
      <c r="F2666" s="96">
        <v>20</v>
      </c>
      <c r="G2666" s="1" t="s">
        <v>1616</v>
      </c>
      <c r="H2666" s="8">
        <v>980</v>
      </c>
      <c r="I2666" s="8">
        <f t="shared" si="172"/>
        <v>19600</v>
      </c>
      <c r="J2666" s="521">
        <v>690</v>
      </c>
      <c r="K2666" s="521">
        <f t="shared" si="174"/>
        <v>290</v>
      </c>
      <c r="L2666" s="522">
        <f t="shared" si="173"/>
        <v>5800</v>
      </c>
      <c r="M2666" s="523">
        <f t="shared" si="175"/>
        <v>0.29591836734693877</v>
      </c>
      <c r="N2666" s="2" t="s">
        <v>40</v>
      </c>
      <c r="O2666" s="15" t="s">
        <v>105</v>
      </c>
    </row>
    <row r="2667" spans="1:15">
      <c r="A2667" s="70">
        <v>2025</v>
      </c>
      <c r="B2667" s="16" t="s">
        <v>562</v>
      </c>
      <c r="C2667" s="393" t="s">
        <v>3625</v>
      </c>
      <c r="D2667" s="39" t="s">
        <v>107</v>
      </c>
      <c r="E2667" s="39" t="s">
        <v>1652</v>
      </c>
      <c r="F2667" s="96">
        <v>60</v>
      </c>
      <c r="G2667" s="1" t="s">
        <v>1616</v>
      </c>
      <c r="H2667" s="8">
        <v>1260</v>
      </c>
      <c r="I2667" s="8">
        <f t="shared" si="172"/>
        <v>75600</v>
      </c>
      <c r="J2667" s="521">
        <v>985</v>
      </c>
      <c r="K2667" s="521">
        <f t="shared" si="174"/>
        <v>275</v>
      </c>
      <c r="L2667" s="522">
        <f t="shared" si="173"/>
        <v>16500</v>
      </c>
      <c r="M2667" s="523">
        <f t="shared" si="175"/>
        <v>0.21825396825396826</v>
      </c>
      <c r="N2667" s="2" t="s">
        <v>40</v>
      </c>
      <c r="O2667" s="15" t="s">
        <v>105</v>
      </c>
    </row>
    <row r="2668" spans="1:15">
      <c r="A2668" s="70">
        <v>2025</v>
      </c>
      <c r="B2668" s="16" t="s">
        <v>562</v>
      </c>
      <c r="C2668" s="393" t="s">
        <v>3626</v>
      </c>
      <c r="D2668" s="394" t="s">
        <v>2610</v>
      </c>
      <c r="E2668" s="39" t="s">
        <v>982</v>
      </c>
      <c r="F2668" s="96">
        <v>1000</v>
      </c>
      <c r="G2668" s="1" t="s">
        <v>1616</v>
      </c>
      <c r="H2668" s="8">
        <v>21.21</v>
      </c>
      <c r="I2668" s="8">
        <f t="shared" si="172"/>
        <v>21210</v>
      </c>
      <c r="J2668" s="521">
        <v>20.2</v>
      </c>
      <c r="K2668" s="521">
        <f t="shared" si="174"/>
        <v>1.0100000000000016</v>
      </c>
      <c r="L2668" s="522">
        <f t="shared" si="173"/>
        <v>1010.0000000000016</v>
      </c>
      <c r="M2668" s="523">
        <f t="shared" si="175"/>
        <v>4.7619047619047693E-2</v>
      </c>
      <c r="N2668" s="2" t="s">
        <v>40</v>
      </c>
      <c r="O2668" s="15" t="s">
        <v>105</v>
      </c>
    </row>
    <row r="2669" spans="1:15">
      <c r="A2669" s="70">
        <v>2025</v>
      </c>
      <c r="B2669" s="16" t="s">
        <v>562</v>
      </c>
      <c r="C2669" s="71" t="s">
        <v>3627</v>
      </c>
      <c r="D2669" s="39" t="s">
        <v>892</v>
      </c>
      <c r="E2669" s="39" t="s">
        <v>894</v>
      </c>
      <c r="F2669" s="96">
        <v>96</v>
      </c>
      <c r="G2669" s="1" t="s">
        <v>1616</v>
      </c>
      <c r="H2669" s="395">
        <v>1460</v>
      </c>
      <c r="I2669" s="8">
        <f t="shared" ref="I2669:I2732" si="176">H2669*F2669</f>
        <v>140160</v>
      </c>
      <c r="J2669" s="521">
        <v>1450</v>
      </c>
      <c r="K2669" s="521">
        <f t="shared" si="174"/>
        <v>10</v>
      </c>
      <c r="L2669" s="522">
        <f t="shared" si="173"/>
        <v>960</v>
      </c>
      <c r="M2669" s="523">
        <f t="shared" si="175"/>
        <v>6.8493150684931503E-3</v>
      </c>
      <c r="N2669" s="2" t="s">
        <v>40</v>
      </c>
      <c r="O2669" s="15" t="s">
        <v>105</v>
      </c>
    </row>
    <row r="2670" spans="1:15">
      <c r="A2670" s="70">
        <v>2025</v>
      </c>
      <c r="B2670" s="16" t="s">
        <v>562</v>
      </c>
      <c r="C2670" s="71" t="s">
        <v>3627</v>
      </c>
      <c r="D2670" s="39" t="s">
        <v>892</v>
      </c>
      <c r="E2670" s="39" t="s">
        <v>3335</v>
      </c>
      <c r="F2670" s="96">
        <v>3</v>
      </c>
      <c r="G2670" s="1" t="s">
        <v>1616</v>
      </c>
      <c r="H2670" s="396">
        <v>750</v>
      </c>
      <c r="I2670" s="8">
        <f t="shared" si="176"/>
        <v>2250</v>
      </c>
      <c r="J2670" s="521">
        <v>740</v>
      </c>
      <c r="K2670" s="521">
        <f t="shared" si="174"/>
        <v>10</v>
      </c>
      <c r="L2670" s="522">
        <f t="shared" si="173"/>
        <v>30</v>
      </c>
      <c r="M2670" s="523">
        <f t="shared" si="175"/>
        <v>1.3333333333333334E-2</v>
      </c>
      <c r="N2670" s="2" t="s">
        <v>40</v>
      </c>
      <c r="O2670" s="15" t="s">
        <v>105</v>
      </c>
    </row>
    <row r="2671" spans="1:15">
      <c r="A2671" s="70">
        <v>2025</v>
      </c>
      <c r="B2671" s="16" t="s">
        <v>562</v>
      </c>
      <c r="C2671" s="71" t="s">
        <v>3628</v>
      </c>
      <c r="D2671" s="39" t="s">
        <v>3629</v>
      </c>
      <c r="E2671" s="39" t="s">
        <v>3630</v>
      </c>
      <c r="F2671" s="96">
        <v>3</v>
      </c>
      <c r="G2671" s="1" t="s">
        <v>1608</v>
      </c>
      <c r="H2671" s="8">
        <v>14800</v>
      </c>
      <c r="I2671" s="8">
        <f t="shared" si="176"/>
        <v>44400</v>
      </c>
      <c r="J2671" s="521">
        <v>14060</v>
      </c>
      <c r="K2671" s="521">
        <f t="shared" si="174"/>
        <v>740</v>
      </c>
      <c r="L2671" s="522">
        <f t="shared" si="173"/>
        <v>2220</v>
      </c>
      <c r="M2671" s="523">
        <f t="shared" si="175"/>
        <v>0.05</v>
      </c>
      <c r="N2671" s="2" t="s">
        <v>40</v>
      </c>
      <c r="O2671" s="15" t="s">
        <v>39</v>
      </c>
    </row>
    <row r="2672" spans="1:15">
      <c r="A2672" s="70">
        <v>2025</v>
      </c>
      <c r="B2672" s="16" t="s">
        <v>562</v>
      </c>
      <c r="C2672" s="71" t="s">
        <v>3628</v>
      </c>
      <c r="D2672" s="39" t="s">
        <v>3629</v>
      </c>
      <c r="E2672" s="39" t="s">
        <v>3631</v>
      </c>
      <c r="F2672" s="96">
        <v>11</v>
      </c>
      <c r="G2672" s="1" t="s">
        <v>1608</v>
      </c>
      <c r="H2672" s="8">
        <v>26800</v>
      </c>
      <c r="I2672" s="8">
        <f t="shared" si="176"/>
        <v>294800</v>
      </c>
      <c r="J2672" s="521">
        <v>25460</v>
      </c>
      <c r="K2672" s="521">
        <f t="shared" si="174"/>
        <v>1340</v>
      </c>
      <c r="L2672" s="522">
        <f t="shared" si="173"/>
        <v>14740</v>
      </c>
      <c r="M2672" s="523">
        <f t="shared" si="175"/>
        <v>0.05</v>
      </c>
      <c r="N2672" s="2" t="s">
        <v>40</v>
      </c>
      <c r="O2672" s="15" t="s">
        <v>39</v>
      </c>
    </row>
    <row r="2673" spans="1:15">
      <c r="A2673" s="70">
        <v>2025</v>
      </c>
      <c r="B2673" s="16" t="s">
        <v>562</v>
      </c>
      <c r="C2673" s="71" t="s">
        <v>3628</v>
      </c>
      <c r="D2673" s="39" t="s">
        <v>3629</v>
      </c>
      <c r="E2673" s="39" t="s">
        <v>3632</v>
      </c>
      <c r="F2673" s="96">
        <v>37</v>
      </c>
      <c r="G2673" s="1" t="s">
        <v>1608</v>
      </c>
      <c r="H2673" s="8">
        <v>26800</v>
      </c>
      <c r="I2673" s="8">
        <f t="shared" si="176"/>
        <v>991600</v>
      </c>
      <c r="J2673" s="521">
        <v>25460</v>
      </c>
      <c r="K2673" s="521">
        <f t="shared" si="174"/>
        <v>1340</v>
      </c>
      <c r="L2673" s="522">
        <f t="shared" si="173"/>
        <v>49580</v>
      </c>
      <c r="M2673" s="523">
        <f t="shared" si="175"/>
        <v>0.05</v>
      </c>
      <c r="N2673" s="2" t="s">
        <v>40</v>
      </c>
      <c r="O2673" s="15" t="s">
        <v>39</v>
      </c>
    </row>
    <row r="2674" spans="1:15">
      <c r="A2674" s="70">
        <v>2025</v>
      </c>
      <c r="B2674" s="16" t="s">
        <v>562</v>
      </c>
      <c r="C2674" s="71" t="s">
        <v>3628</v>
      </c>
      <c r="D2674" s="39" t="s">
        <v>3629</v>
      </c>
      <c r="E2674" s="39" t="s">
        <v>3633</v>
      </c>
      <c r="F2674" s="96">
        <v>17</v>
      </c>
      <c r="G2674" s="1" t="s">
        <v>1608</v>
      </c>
      <c r="H2674" s="8">
        <v>18500</v>
      </c>
      <c r="I2674" s="8">
        <f t="shared" si="176"/>
        <v>314500</v>
      </c>
      <c r="J2674" s="521">
        <v>17575</v>
      </c>
      <c r="K2674" s="521">
        <f t="shared" si="174"/>
        <v>925</v>
      </c>
      <c r="L2674" s="522">
        <f t="shared" si="173"/>
        <v>15725</v>
      </c>
      <c r="M2674" s="523">
        <f t="shared" si="175"/>
        <v>0.05</v>
      </c>
      <c r="N2674" s="2" t="s">
        <v>40</v>
      </c>
      <c r="O2674" s="15" t="s">
        <v>39</v>
      </c>
    </row>
    <row r="2675" spans="1:15">
      <c r="A2675" s="70">
        <v>2025</v>
      </c>
      <c r="B2675" s="16" t="s">
        <v>562</v>
      </c>
      <c r="C2675" s="71" t="s">
        <v>3634</v>
      </c>
      <c r="D2675" s="39" t="s">
        <v>94</v>
      </c>
      <c r="E2675" s="39" t="s">
        <v>3635</v>
      </c>
      <c r="F2675" s="96">
        <v>400</v>
      </c>
      <c r="G2675" s="1" t="s">
        <v>1616</v>
      </c>
      <c r="H2675" s="8">
        <v>15.5</v>
      </c>
      <c r="I2675" s="8">
        <f t="shared" si="176"/>
        <v>6200</v>
      </c>
      <c r="J2675" s="521">
        <v>14.76</v>
      </c>
      <c r="K2675" s="521">
        <f t="shared" si="174"/>
        <v>0.74000000000000021</v>
      </c>
      <c r="L2675" s="522">
        <f t="shared" si="173"/>
        <v>296.00000000000011</v>
      </c>
      <c r="M2675" s="523">
        <f t="shared" si="175"/>
        <v>4.7741935483870984E-2</v>
      </c>
      <c r="N2675" s="2" t="s">
        <v>22</v>
      </c>
      <c r="O2675" s="15" t="s">
        <v>105</v>
      </c>
    </row>
    <row r="2676" spans="1:15">
      <c r="A2676" s="70">
        <v>2025</v>
      </c>
      <c r="B2676" s="16" t="s">
        <v>562</v>
      </c>
      <c r="C2676" s="71" t="s">
        <v>3634</v>
      </c>
      <c r="D2676" s="39" t="s">
        <v>94</v>
      </c>
      <c r="E2676" s="39" t="s">
        <v>613</v>
      </c>
      <c r="F2676" s="96">
        <v>100</v>
      </c>
      <c r="G2676" s="1" t="s">
        <v>1616</v>
      </c>
      <c r="H2676" s="8">
        <v>26</v>
      </c>
      <c r="I2676" s="8">
        <f t="shared" si="176"/>
        <v>2600</v>
      </c>
      <c r="J2676" s="521">
        <v>24.6</v>
      </c>
      <c r="K2676" s="521">
        <f t="shared" si="174"/>
        <v>1.3999999999999986</v>
      </c>
      <c r="L2676" s="522">
        <f t="shared" si="173"/>
        <v>139.99999999999986</v>
      </c>
      <c r="M2676" s="523">
        <f t="shared" si="175"/>
        <v>5.3846153846153794E-2</v>
      </c>
      <c r="N2676" s="2" t="s">
        <v>22</v>
      </c>
      <c r="O2676" s="15" t="s">
        <v>105</v>
      </c>
    </row>
    <row r="2677" spans="1:15">
      <c r="A2677" s="70">
        <v>2025</v>
      </c>
      <c r="B2677" s="16" t="s">
        <v>562</v>
      </c>
      <c r="C2677" s="71" t="s">
        <v>3634</v>
      </c>
      <c r="D2677" s="39" t="s">
        <v>94</v>
      </c>
      <c r="E2677" s="39" t="s">
        <v>550</v>
      </c>
      <c r="F2677" s="96">
        <v>100</v>
      </c>
      <c r="G2677" s="1" t="s">
        <v>1616</v>
      </c>
      <c r="H2677" s="8">
        <v>50</v>
      </c>
      <c r="I2677" s="8">
        <f t="shared" si="176"/>
        <v>5000</v>
      </c>
      <c r="J2677" s="521">
        <v>47.56</v>
      </c>
      <c r="K2677" s="521">
        <f t="shared" si="174"/>
        <v>2.4399999999999977</v>
      </c>
      <c r="L2677" s="522">
        <f t="shared" si="173"/>
        <v>243.99999999999977</v>
      </c>
      <c r="M2677" s="523">
        <f t="shared" si="175"/>
        <v>4.8799999999999955E-2</v>
      </c>
      <c r="N2677" s="2" t="s">
        <v>22</v>
      </c>
      <c r="O2677" s="15" t="s">
        <v>105</v>
      </c>
    </row>
    <row r="2678" spans="1:15">
      <c r="A2678" s="70">
        <v>2025</v>
      </c>
      <c r="B2678" s="16" t="s">
        <v>562</v>
      </c>
      <c r="C2678" s="71" t="s">
        <v>3634</v>
      </c>
      <c r="D2678" s="39" t="s">
        <v>94</v>
      </c>
      <c r="E2678" s="39" t="s">
        <v>546</v>
      </c>
      <c r="F2678" s="96">
        <v>100</v>
      </c>
      <c r="G2678" s="1" t="s">
        <v>1616</v>
      </c>
      <c r="H2678" s="8">
        <v>190</v>
      </c>
      <c r="I2678" s="8">
        <f t="shared" si="176"/>
        <v>19000</v>
      </c>
      <c r="J2678" s="521">
        <v>182.25</v>
      </c>
      <c r="K2678" s="521">
        <f t="shared" si="174"/>
        <v>7.75</v>
      </c>
      <c r="L2678" s="522">
        <f t="shared" si="173"/>
        <v>775</v>
      </c>
      <c r="M2678" s="523">
        <f t="shared" si="175"/>
        <v>4.0789473684210528E-2</v>
      </c>
      <c r="N2678" s="2" t="s">
        <v>22</v>
      </c>
      <c r="O2678" s="15" t="s">
        <v>105</v>
      </c>
    </row>
    <row r="2679" spans="1:15">
      <c r="A2679" s="70">
        <v>2025</v>
      </c>
      <c r="B2679" s="16" t="s">
        <v>562</v>
      </c>
      <c r="C2679" s="71" t="s">
        <v>3634</v>
      </c>
      <c r="D2679" s="39" t="s">
        <v>94</v>
      </c>
      <c r="E2679" s="39" t="s">
        <v>457</v>
      </c>
      <c r="F2679" s="96">
        <v>100</v>
      </c>
      <c r="G2679" s="1" t="s">
        <v>1616</v>
      </c>
      <c r="H2679" s="8">
        <v>5.25</v>
      </c>
      <c r="I2679" s="8">
        <f t="shared" si="176"/>
        <v>525</v>
      </c>
      <c r="J2679" s="521">
        <v>5.0999999999999996</v>
      </c>
      <c r="K2679" s="521">
        <f t="shared" si="174"/>
        <v>0.15000000000000036</v>
      </c>
      <c r="L2679" s="522">
        <f t="shared" si="173"/>
        <v>15.000000000000036</v>
      </c>
      <c r="M2679" s="523">
        <f t="shared" si="175"/>
        <v>2.857142857142864E-2</v>
      </c>
      <c r="N2679" s="2" t="s">
        <v>22</v>
      </c>
      <c r="O2679" s="15" t="s">
        <v>105</v>
      </c>
    </row>
    <row r="2680" spans="1:15">
      <c r="A2680" s="70">
        <v>2025</v>
      </c>
      <c r="B2680" s="16" t="s">
        <v>562</v>
      </c>
      <c r="C2680" s="393" t="s">
        <v>3636</v>
      </c>
      <c r="D2680" s="2" t="s">
        <v>166</v>
      </c>
      <c r="E2680" s="39" t="s">
        <v>3062</v>
      </c>
      <c r="F2680" s="96">
        <v>15380</v>
      </c>
      <c r="G2680" s="1" t="s">
        <v>37</v>
      </c>
      <c r="H2680" s="8">
        <v>31.2</v>
      </c>
      <c r="I2680" s="8">
        <f t="shared" si="176"/>
        <v>479856</v>
      </c>
      <c r="J2680" s="521">
        <v>27.59</v>
      </c>
      <c r="K2680" s="521">
        <f t="shared" si="174"/>
        <v>3.6099999999999994</v>
      </c>
      <c r="L2680" s="522">
        <f t="shared" si="173"/>
        <v>55521.799999999988</v>
      </c>
      <c r="M2680" s="523">
        <f t="shared" si="175"/>
        <v>0.11570512820512818</v>
      </c>
      <c r="N2680" s="2" t="s">
        <v>40</v>
      </c>
      <c r="O2680" s="15" t="s">
        <v>105</v>
      </c>
    </row>
    <row r="2681" spans="1:15">
      <c r="A2681" s="70">
        <v>2025</v>
      </c>
      <c r="B2681" s="16" t="s">
        <v>562</v>
      </c>
      <c r="C2681" s="393" t="s">
        <v>3637</v>
      </c>
      <c r="D2681" s="39" t="s">
        <v>2342</v>
      </c>
      <c r="E2681" s="39" t="s">
        <v>3638</v>
      </c>
      <c r="F2681" s="96">
        <v>25</v>
      </c>
      <c r="G2681" s="1" t="s">
        <v>302</v>
      </c>
      <c r="H2681" s="8">
        <v>2117.25</v>
      </c>
      <c r="I2681" s="8">
        <f t="shared" si="176"/>
        <v>52931.25</v>
      </c>
      <c r="J2681" s="521">
        <v>1962.88</v>
      </c>
      <c r="K2681" s="521">
        <f t="shared" si="174"/>
        <v>154.36999999999989</v>
      </c>
      <c r="L2681" s="522">
        <f t="shared" si="173"/>
        <v>3859.2499999999973</v>
      </c>
      <c r="M2681" s="523">
        <f t="shared" si="175"/>
        <v>7.2910615184791541E-2</v>
      </c>
      <c r="N2681" s="2" t="s">
        <v>40</v>
      </c>
      <c r="O2681" s="15" t="s">
        <v>105</v>
      </c>
    </row>
    <row r="2682" spans="1:15">
      <c r="A2682" s="70">
        <v>2025</v>
      </c>
      <c r="B2682" s="16" t="s">
        <v>562</v>
      </c>
      <c r="C2682" s="393" t="s">
        <v>3639</v>
      </c>
      <c r="D2682" s="39" t="s">
        <v>1430</v>
      </c>
      <c r="E2682" s="39" t="s">
        <v>859</v>
      </c>
      <c r="F2682" s="96">
        <v>7400</v>
      </c>
      <c r="G2682" s="1" t="s">
        <v>337</v>
      </c>
      <c r="H2682" s="8">
        <v>90</v>
      </c>
      <c r="I2682" s="8">
        <f t="shared" si="176"/>
        <v>666000</v>
      </c>
      <c r="J2682" s="521">
        <v>89.5</v>
      </c>
      <c r="K2682" s="521">
        <f t="shared" si="174"/>
        <v>0.5</v>
      </c>
      <c r="L2682" s="522">
        <f t="shared" si="173"/>
        <v>3700</v>
      </c>
      <c r="M2682" s="523">
        <f t="shared" si="175"/>
        <v>5.5555555555555558E-3</v>
      </c>
      <c r="N2682" s="2" t="s">
        <v>22</v>
      </c>
      <c r="O2682" s="15" t="s">
        <v>39</v>
      </c>
    </row>
    <row r="2683" spans="1:15">
      <c r="A2683" s="70">
        <v>2025</v>
      </c>
      <c r="B2683" s="16" t="s">
        <v>562</v>
      </c>
      <c r="C2683" s="393" t="s">
        <v>3640</v>
      </c>
      <c r="D2683" s="39" t="s">
        <v>3320</v>
      </c>
      <c r="E2683" s="39" t="s">
        <v>3321</v>
      </c>
      <c r="F2683" s="96">
        <v>80</v>
      </c>
      <c r="G2683" s="1" t="s">
        <v>19</v>
      </c>
      <c r="H2683" s="8">
        <v>154</v>
      </c>
      <c r="I2683" s="8">
        <f t="shared" si="176"/>
        <v>12320</v>
      </c>
      <c r="J2683" s="521">
        <v>136.4</v>
      </c>
      <c r="K2683" s="521">
        <f t="shared" si="174"/>
        <v>17.599999999999994</v>
      </c>
      <c r="L2683" s="522">
        <f t="shared" ref="L2683:L2746" si="177">K2683*F2683</f>
        <v>1407.9999999999995</v>
      </c>
      <c r="M2683" s="523">
        <f t="shared" si="175"/>
        <v>0.11428571428571425</v>
      </c>
      <c r="N2683" s="2" t="s">
        <v>40</v>
      </c>
      <c r="O2683" s="15" t="s">
        <v>39</v>
      </c>
    </row>
    <row r="2684" spans="1:15">
      <c r="A2684" s="70">
        <v>2025</v>
      </c>
      <c r="B2684" s="16" t="s">
        <v>562</v>
      </c>
      <c r="C2684" s="393" t="s">
        <v>3640</v>
      </c>
      <c r="D2684" s="39" t="s">
        <v>3320</v>
      </c>
      <c r="E2684" s="39" t="s">
        <v>3321</v>
      </c>
      <c r="F2684" s="96">
        <v>80</v>
      </c>
      <c r="G2684" s="1" t="s">
        <v>19</v>
      </c>
      <c r="H2684" s="8">
        <v>154</v>
      </c>
      <c r="I2684" s="8">
        <f t="shared" si="176"/>
        <v>12320</v>
      </c>
      <c r="J2684" s="521">
        <v>136.4</v>
      </c>
      <c r="K2684" s="521">
        <f t="shared" si="174"/>
        <v>17.599999999999994</v>
      </c>
      <c r="L2684" s="522">
        <f t="shared" si="177"/>
        <v>1407.9999999999995</v>
      </c>
      <c r="M2684" s="523">
        <f t="shared" si="175"/>
        <v>0.11428571428571425</v>
      </c>
      <c r="N2684" s="2" t="s">
        <v>40</v>
      </c>
      <c r="O2684" s="15" t="s">
        <v>39</v>
      </c>
    </row>
    <row r="2685" spans="1:15">
      <c r="A2685" s="70">
        <v>2025</v>
      </c>
      <c r="B2685" s="16" t="s">
        <v>562</v>
      </c>
      <c r="C2685" s="393" t="s">
        <v>3640</v>
      </c>
      <c r="D2685" s="39" t="s">
        <v>3320</v>
      </c>
      <c r="E2685" s="39" t="s">
        <v>3321</v>
      </c>
      <c r="F2685" s="96">
        <v>80</v>
      </c>
      <c r="G2685" s="1" t="s">
        <v>19</v>
      </c>
      <c r="H2685" s="8">
        <v>154</v>
      </c>
      <c r="I2685" s="8">
        <f t="shared" si="176"/>
        <v>12320</v>
      </c>
      <c r="J2685" s="521">
        <v>136.4</v>
      </c>
      <c r="K2685" s="521">
        <f t="shared" si="174"/>
        <v>17.599999999999994</v>
      </c>
      <c r="L2685" s="522">
        <f t="shared" si="177"/>
        <v>1407.9999999999995</v>
      </c>
      <c r="M2685" s="523">
        <f t="shared" si="175"/>
        <v>0.11428571428571425</v>
      </c>
      <c r="N2685" s="2" t="s">
        <v>40</v>
      </c>
      <c r="O2685" s="15" t="s">
        <v>39</v>
      </c>
    </row>
    <row r="2686" spans="1:15">
      <c r="A2686" s="70">
        <v>2025</v>
      </c>
      <c r="B2686" s="16" t="s">
        <v>562</v>
      </c>
      <c r="C2686" s="393" t="s">
        <v>3640</v>
      </c>
      <c r="D2686" s="39" t="s">
        <v>3320</v>
      </c>
      <c r="E2686" s="39" t="s">
        <v>3322</v>
      </c>
      <c r="F2686" s="96">
        <v>360</v>
      </c>
      <c r="G2686" s="1" t="s">
        <v>19</v>
      </c>
      <c r="H2686" s="8">
        <v>250</v>
      </c>
      <c r="I2686" s="8">
        <f t="shared" si="176"/>
        <v>90000</v>
      </c>
      <c r="J2686" s="521">
        <v>155</v>
      </c>
      <c r="K2686" s="521">
        <f t="shared" si="174"/>
        <v>95</v>
      </c>
      <c r="L2686" s="522">
        <f t="shared" si="177"/>
        <v>34200</v>
      </c>
      <c r="M2686" s="523">
        <f t="shared" si="175"/>
        <v>0.38</v>
      </c>
      <c r="N2686" s="2" t="s">
        <v>40</v>
      </c>
      <c r="O2686" s="15" t="s">
        <v>39</v>
      </c>
    </row>
    <row r="2687" spans="1:15">
      <c r="A2687" s="70">
        <v>2025</v>
      </c>
      <c r="B2687" s="16" t="s">
        <v>562</v>
      </c>
      <c r="C2687" s="393" t="s">
        <v>3640</v>
      </c>
      <c r="D2687" s="39" t="s">
        <v>3320</v>
      </c>
      <c r="E2687" s="39" t="s">
        <v>3322</v>
      </c>
      <c r="F2687" s="96">
        <v>360</v>
      </c>
      <c r="G2687" s="1" t="s">
        <v>19</v>
      </c>
      <c r="H2687" s="8">
        <v>250</v>
      </c>
      <c r="I2687" s="8">
        <f t="shared" si="176"/>
        <v>90000</v>
      </c>
      <c r="J2687" s="521">
        <v>155</v>
      </c>
      <c r="K2687" s="521">
        <f t="shared" si="174"/>
        <v>95</v>
      </c>
      <c r="L2687" s="522">
        <f t="shared" si="177"/>
        <v>34200</v>
      </c>
      <c r="M2687" s="523">
        <f t="shared" si="175"/>
        <v>0.38</v>
      </c>
      <c r="N2687" s="2" t="s">
        <v>40</v>
      </c>
      <c r="O2687" s="15" t="s">
        <v>39</v>
      </c>
    </row>
    <row r="2688" spans="1:15">
      <c r="A2688" s="70">
        <v>2025</v>
      </c>
      <c r="B2688" s="16" t="s">
        <v>562</v>
      </c>
      <c r="C2688" s="393" t="s">
        <v>3640</v>
      </c>
      <c r="D2688" s="39" t="s">
        <v>3320</v>
      </c>
      <c r="E2688" s="39" t="s">
        <v>3322</v>
      </c>
      <c r="F2688" s="96">
        <v>360</v>
      </c>
      <c r="G2688" s="1" t="s">
        <v>19</v>
      </c>
      <c r="H2688" s="8">
        <v>250</v>
      </c>
      <c r="I2688" s="8">
        <f t="shared" si="176"/>
        <v>90000</v>
      </c>
      <c r="J2688" s="521">
        <v>155</v>
      </c>
      <c r="K2688" s="521">
        <f t="shared" si="174"/>
        <v>95</v>
      </c>
      <c r="L2688" s="522">
        <f t="shared" si="177"/>
        <v>34200</v>
      </c>
      <c r="M2688" s="523">
        <f t="shared" si="175"/>
        <v>0.38</v>
      </c>
      <c r="N2688" s="2" t="s">
        <v>40</v>
      </c>
      <c r="O2688" s="15" t="s">
        <v>39</v>
      </c>
    </row>
    <row r="2689" spans="1:15">
      <c r="A2689" s="70">
        <v>2025</v>
      </c>
      <c r="B2689" s="16" t="s">
        <v>562</v>
      </c>
      <c r="C2689" s="393" t="s">
        <v>3640</v>
      </c>
      <c r="D2689" s="39" t="s">
        <v>3320</v>
      </c>
      <c r="E2689" s="39" t="s">
        <v>3322</v>
      </c>
      <c r="F2689" s="96">
        <v>360</v>
      </c>
      <c r="G2689" s="1" t="s">
        <v>19</v>
      </c>
      <c r="H2689" s="8">
        <v>250</v>
      </c>
      <c r="I2689" s="8">
        <f t="shared" si="176"/>
        <v>90000</v>
      </c>
      <c r="J2689" s="521">
        <v>155</v>
      </c>
      <c r="K2689" s="521">
        <f t="shared" si="174"/>
        <v>95</v>
      </c>
      <c r="L2689" s="522">
        <f t="shared" si="177"/>
        <v>34200</v>
      </c>
      <c r="M2689" s="523">
        <f t="shared" si="175"/>
        <v>0.38</v>
      </c>
      <c r="N2689" s="2" t="s">
        <v>40</v>
      </c>
      <c r="O2689" s="15" t="s">
        <v>39</v>
      </c>
    </row>
    <row r="2690" spans="1:15">
      <c r="A2690" s="70">
        <v>2025</v>
      </c>
      <c r="B2690" s="16" t="s">
        <v>562</v>
      </c>
      <c r="C2690" s="393" t="s">
        <v>3640</v>
      </c>
      <c r="D2690" s="39" t="s">
        <v>3320</v>
      </c>
      <c r="E2690" s="39" t="s">
        <v>3322</v>
      </c>
      <c r="F2690" s="96">
        <v>260</v>
      </c>
      <c r="G2690" s="1" t="s">
        <v>19</v>
      </c>
      <c r="H2690" s="8">
        <v>250</v>
      </c>
      <c r="I2690" s="8">
        <f t="shared" si="176"/>
        <v>65000</v>
      </c>
      <c r="J2690" s="521">
        <v>155</v>
      </c>
      <c r="K2690" s="521">
        <f t="shared" si="174"/>
        <v>95</v>
      </c>
      <c r="L2690" s="522">
        <f t="shared" si="177"/>
        <v>24700</v>
      </c>
      <c r="M2690" s="523">
        <f t="shared" si="175"/>
        <v>0.38</v>
      </c>
      <c r="N2690" s="2" t="s">
        <v>40</v>
      </c>
      <c r="O2690" s="15" t="s">
        <v>39</v>
      </c>
    </row>
    <row r="2691" spans="1:15">
      <c r="A2691" s="70">
        <v>2025</v>
      </c>
      <c r="B2691" s="16" t="s">
        <v>562</v>
      </c>
      <c r="C2691" s="393" t="s">
        <v>3640</v>
      </c>
      <c r="D2691" s="39" t="s">
        <v>3320</v>
      </c>
      <c r="E2691" s="39" t="s">
        <v>3641</v>
      </c>
      <c r="F2691" s="96">
        <v>4</v>
      </c>
      <c r="G2691" s="1" t="s">
        <v>19</v>
      </c>
      <c r="H2691" s="8">
        <v>40</v>
      </c>
      <c r="I2691" s="8">
        <f t="shared" si="176"/>
        <v>160</v>
      </c>
      <c r="J2691" s="521">
        <v>37.200000000000003</v>
      </c>
      <c r="K2691" s="521">
        <f t="shared" ref="K2691:K2754" si="178">H2691-J2691</f>
        <v>2.7999999999999972</v>
      </c>
      <c r="L2691" s="522">
        <f t="shared" si="177"/>
        <v>11.199999999999989</v>
      </c>
      <c r="M2691" s="523">
        <f t="shared" ref="M2691:M2754" si="179">K2691/H2691</f>
        <v>6.9999999999999923E-2</v>
      </c>
      <c r="N2691" s="2" t="s">
        <v>40</v>
      </c>
      <c r="O2691" s="15" t="s">
        <v>39</v>
      </c>
    </row>
    <row r="2692" spans="1:15">
      <c r="A2692" s="70">
        <v>2025</v>
      </c>
      <c r="B2692" s="16" t="s">
        <v>562</v>
      </c>
      <c r="C2692" s="393" t="s">
        <v>3642</v>
      </c>
      <c r="D2692" s="39" t="s">
        <v>1560</v>
      </c>
      <c r="E2692" s="39" t="s">
        <v>3643</v>
      </c>
      <c r="F2692" s="96">
        <v>1</v>
      </c>
      <c r="G2692" s="1" t="s">
        <v>19</v>
      </c>
      <c r="H2692" s="8">
        <v>8400</v>
      </c>
      <c r="I2692" s="8">
        <f t="shared" si="176"/>
        <v>8400</v>
      </c>
      <c r="J2692" s="521">
        <v>5000</v>
      </c>
      <c r="K2692" s="521">
        <f t="shared" si="178"/>
        <v>3400</v>
      </c>
      <c r="L2692" s="522">
        <f t="shared" si="177"/>
        <v>3400</v>
      </c>
      <c r="M2692" s="523">
        <f t="shared" si="179"/>
        <v>0.40476190476190477</v>
      </c>
      <c r="N2692" s="2" t="s">
        <v>40</v>
      </c>
      <c r="O2692" s="15" t="s">
        <v>3424</v>
      </c>
    </row>
    <row r="2693" spans="1:15">
      <c r="A2693" s="70">
        <v>2025</v>
      </c>
      <c r="B2693" s="16" t="s">
        <v>562</v>
      </c>
      <c r="C2693" s="71" t="s">
        <v>3644</v>
      </c>
      <c r="D2693" s="39" t="s">
        <v>24</v>
      </c>
      <c r="E2693" s="39" t="s">
        <v>3645</v>
      </c>
      <c r="F2693" s="96">
        <v>200</v>
      </c>
      <c r="G2693" s="1" t="s">
        <v>19</v>
      </c>
      <c r="H2693" s="8">
        <v>70</v>
      </c>
      <c r="I2693" s="8">
        <f t="shared" si="176"/>
        <v>14000</v>
      </c>
      <c r="J2693" s="521">
        <v>32</v>
      </c>
      <c r="K2693" s="521">
        <f t="shared" si="178"/>
        <v>38</v>
      </c>
      <c r="L2693" s="522">
        <f t="shared" si="177"/>
        <v>7600</v>
      </c>
      <c r="M2693" s="523">
        <f t="shared" si="179"/>
        <v>0.54285714285714282</v>
      </c>
      <c r="N2693" s="2" t="s">
        <v>40</v>
      </c>
      <c r="O2693" s="15" t="s">
        <v>3424</v>
      </c>
    </row>
    <row r="2694" spans="1:15">
      <c r="A2694" s="70">
        <v>2025</v>
      </c>
      <c r="B2694" s="16" t="s">
        <v>562</v>
      </c>
      <c r="C2694" s="71" t="s">
        <v>3646</v>
      </c>
      <c r="D2694" s="39" t="s">
        <v>118</v>
      </c>
      <c r="E2694" s="39" t="s">
        <v>3647</v>
      </c>
      <c r="F2694" s="96">
        <v>2</v>
      </c>
      <c r="G2694" s="1" t="s">
        <v>2482</v>
      </c>
      <c r="H2694" s="8">
        <v>290</v>
      </c>
      <c r="I2694" s="8">
        <f t="shared" si="176"/>
        <v>580</v>
      </c>
      <c r="J2694" s="521">
        <v>250</v>
      </c>
      <c r="K2694" s="521">
        <f t="shared" si="178"/>
        <v>40</v>
      </c>
      <c r="L2694" s="522">
        <f t="shared" si="177"/>
        <v>80</v>
      </c>
      <c r="M2694" s="523">
        <f t="shared" si="179"/>
        <v>0.13793103448275862</v>
      </c>
      <c r="N2694" s="2" t="s">
        <v>40</v>
      </c>
      <c r="O2694" s="15" t="s">
        <v>3424</v>
      </c>
    </row>
    <row r="2695" spans="1:15">
      <c r="A2695" s="70">
        <v>2025</v>
      </c>
      <c r="B2695" s="16" t="s">
        <v>562</v>
      </c>
      <c r="C2695" s="71" t="s">
        <v>3648</v>
      </c>
      <c r="D2695" s="397" t="s">
        <v>3649</v>
      </c>
      <c r="E2695" s="397" t="s">
        <v>3650</v>
      </c>
      <c r="F2695" s="96">
        <v>1</v>
      </c>
      <c r="G2695" s="1" t="s">
        <v>285</v>
      </c>
      <c r="H2695" s="8">
        <v>189.13</v>
      </c>
      <c r="I2695" s="8">
        <f t="shared" si="176"/>
        <v>189.13</v>
      </c>
      <c r="J2695" s="521"/>
      <c r="K2695" s="521">
        <f t="shared" si="178"/>
        <v>189.13</v>
      </c>
      <c r="L2695" s="522">
        <f t="shared" si="177"/>
        <v>189.13</v>
      </c>
      <c r="M2695" s="523">
        <f t="shared" si="179"/>
        <v>1</v>
      </c>
      <c r="N2695" s="2" t="s">
        <v>30</v>
      </c>
      <c r="O2695" s="15" t="s">
        <v>3424</v>
      </c>
    </row>
    <row r="2696" spans="1:15">
      <c r="A2696" s="70">
        <v>2025</v>
      </c>
      <c r="B2696" s="16" t="s">
        <v>562</v>
      </c>
      <c r="C2696" s="71" t="s">
        <v>3651</v>
      </c>
      <c r="D2696" s="39" t="s">
        <v>118</v>
      </c>
      <c r="E2696" s="39" t="s">
        <v>3652</v>
      </c>
      <c r="F2696" s="96">
        <v>2</v>
      </c>
      <c r="G2696" s="1" t="s">
        <v>19</v>
      </c>
      <c r="H2696" s="8">
        <v>890</v>
      </c>
      <c r="I2696" s="8">
        <f t="shared" si="176"/>
        <v>1780</v>
      </c>
      <c r="J2696" s="521">
        <v>585</v>
      </c>
      <c r="K2696" s="521">
        <f t="shared" si="178"/>
        <v>305</v>
      </c>
      <c r="L2696" s="522">
        <f t="shared" si="177"/>
        <v>610</v>
      </c>
      <c r="M2696" s="523">
        <f t="shared" si="179"/>
        <v>0.34269662921348315</v>
      </c>
      <c r="N2696" s="2" t="s">
        <v>40</v>
      </c>
      <c r="O2696" s="15" t="s">
        <v>3424</v>
      </c>
    </row>
    <row r="2697" spans="1:15">
      <c r="A2697" s="70">
        <v>2025</v>
      </c>
      <c r="B2697" s="16" t="s">
        <v>562</v>
      </c>
      <c r="C2697" s="71" t="s">
        <v>3651</v>
      </c>
      <c r="D2697" s="39" t="s">
        <v>118</v>
      </c>
      <c r="E2697" s="39" t="s">
        <v>3653</v>
      </c>
      <c r="F2697" s="96">
        <v>1</v>
      </c>
      <c r="G2697" s="1" t="s">
        <v>19</v>
      </c>
      <c r="H2697" s="8">
        <v>99</v>
      </c>
      <c r="I2697" s="8">
        <f t="shared" si="176"/>
        <v>99</v>
      </c>
      <c r="J2697" s="521">
        <v>80</v>
      </c>
      <c r="K2697" s="521">
        <f t="shared" si="178"/>
        <v>19</v>
      </c>
      <c r="L2697" s="522">
        <f t="shared" si="177"/>
        <v>19</v>
      </c>
      <c r="M2697" s="523">
        <f t="shared" si="179"/>
        <v>0.19191919191919191</v>
      </c>
      <c r="N2697" s="2" t="s">
        <v>40</v>
      </c>
      <c r="O2697" s="15" t="s">
        <v>3424</v>
      </c>
    </row>
    <row r="2698" spans="1:15">
      <c r="A2698" s="70">
        <v>2025</v>
      </c>
      <c r="B2698" s="16" t="s">
        <v>562</v>
      </c>
      <c r="C2698" s="71" t="s">
        <v>3654</v>
      </c>
      <c r="D2698" s="39" t="s">
        <v>24</v>
      </c>
      <c r="E2698" s="39" t="s">
        <v>3655</v>
      </c>
      <c r="F2698" s="96">
        <v>1</v>
      </c>
      <c r="G2698" s="1" t="s">
        <v>19</v>
      </c>
      <c r="H2698" s="8">
        <v>1719</v>
      </c>
      <c r="I2698" s="8">
        <f t="shared" si="176"/>
        <v>1719</v>
      </c>
      <c r="J2698" s="521">
        <v>1590</v>
      </c>
      <c r="K2698" s="521">
        <f t="shared" si="178"/>
        <v>129</v>
      </c>
      <c r="L2698" s="522">
        <f t="shared" si="177"/>
        <v>129</v>
      </c>
      <c r="M2698" s="523">
        <f t="shared" si="179"/>
        <v>7.5043630017452012E-2</v>
      </c>
      <c r="N2698" s="2" t="s">
        <v>40</v>
      </c>
      <c r="O2698" s="15" t="s">
        <v>3424</v>
      </c>
    </row>
    <row r="2699" spans="1:15">
      <c r="A2699" s="70">
        <v>2025</v>
      </c>
      <c r="B2699" s="16" t="s">
        <v>562</v>
      </c>
      <c r="C2699" s="71" t="s">
        <v>3656</v>
      </c>
      <c r="D2699" s="39" t="s">
        <v>118</v>
      </c>
      <c r="E2699" s="39" t="s">
        <v>3657</v>
      </c>
      <c r="F2699" s="96">
        <v>100</v>
      </c>
      <c r="G2699" s="1" t="s">
        <v>615</v>
      </c>
      <c r="H2699" s="8">
        <v>118</v>
      </c>
      <c r="I2699" s="8">
        <f t="shared" si="176"/>
        <v>11800</v>
      </c>
      <c r="J2699" s="521">
        <v>85</v>
      </c>
      <c r="K2699" s="521">
        <f t="shared" si="178"/>
        <v>33</v>
      </c>
      <c r="L2699" s="522">
        <f t="shared" si="177"/>
        <v>3300</v>
      </c>
      <c r="M2699" s="523">
        <f t="shared" si="179"/>
        <v>0.27966101694915252</v>
      </c>
      <c r="N2699" s="2" t="s">
        <v>40</v>
      </c>
      <c r="O2699" s="15" t="s">
        <v>3424</v>
      </c>
    </row>
    <row r="2700" spans="1:15">
      <c r="A2700" s="70">
        <v>2025</v>
      </c>
      <c r="B2700" s="16" t="s">
        <v>562</v>
      </c>
      <c r="C2700" s="71" t="s">
        <v>3656</v>
      </c>
      <c r="D2700" s="39" t="s">
        <v>118</v>
      </c>
      <c r="E2700" s="39" t="s">
        <v>3658</v>
      </c>
      <c r="F2700" s="96">
        <v>100</v>
      </c>
      <c r="G2700" s="1" t="s">
        <v>615</v>
      </c>
      <c r="H2700" s="8">
        <v>84</v>
      </c>
      <c r="I2700" s="8">
        <f t="shared" si="176"/>
        <v>8400</v>
      </c>
      <c r="J2700" s="521">
        <v>57</v>
      </c>
      <c r="K2700" s="521">
        <f t="shared" si="178"/>
        <v>27</v>
      </c>
      <c r="L2700" s="522">
        <f t="shared" si="177"/>
        <v>2700</v>
      </c>
      <c r="M2700" s="523">
        <f t="shared" si="179"/>
        <v>0.32142857142857145</v>
      </c>
      <c r="N2700" s="2" t="s">
        <v>40</v>
      </c>
      <c r="O2700" s="15" t="s">
        <v>3424</v>
      </c>
    </row>
    <row r="2701" spans="1:15">
      <c r="A2701" s="70">
        <v>2025</v>
      </c>
      <c r="B2701" s="16" t="s">
        <v>562</v>
      </c>
      <c r="C2701" s="71" t="s">
        <v>3656</v>
      </c>
      <c r="D2701" s="39" t="s">
        <v>118</v>
      </c>
      <c r="E2701" s="39" t="s">
        <v>3659</v>
      </c>
      <c r="F2701" s="96">
        <v>100</v>
      </c>
      <c r="G2701" s="1" t="s">
        <v>615</v>
      </c>
      <c r="H2701" s="8">
        <v>64</v>
      </c>
      <c r="I2701" s="8">
        <f t="shared" si="176"/>
        <v>6400</v>
      </c>
      <c r="J2701" s="521">
        <v>39</v>
      </c>
      <c r="K2701" s="521">
        <f t="shared" si="178"/>
        <v>25</v>
      </c>
      <c r="L2701" s="522">
        <f t="shared" si="177"/>
        <v>2500</v>
      </c>
      <c r="M2701" s="523">
        <f t="shared" si="179"/>
        <v>0.390625</v>
      </c>
      <c r="N2701" s="2" t="s">
        <v>40</v>
      </c>
      <c r="O2701" s="15" t="s">
        <v>3424</v>
      </c>
    </row>
    <row r="2702" spans="1:15">
      <c r="A2702" s="70">
        <v>2025</v>
      </c>
      <c r="B2702" s="16" t="s">
        <v>562</v>
      </c>
      <c r="C2702" s="71" t="s">
        <v>3656</v>
      </c>
      <c r="D2702" s="39" t="s">
        <v>118</v>
      </c>
      <c r="E2702" s="39" t="s">
        <v>3660</v>
      </c>
      <c r="F2702" s="96">
        <v>24</v>
      </c>
      <c r="G2702" s="1" t="s">
        <v>19</v>
      </c>
      <c r="H2702" s="8">
        <v>389</v>
      </c>
      <c r="I2702" s="8">
        <f t="shared" si="176"/>
        <v>9336</v>
      </c>
      <c r="J2702" s="521">
        <v>355</v>
      </c>
      <c r="K2702" s="521">
        <f t="shared" si="178"/>
        <v>34</v>
      </c>
      <c r="L2702" s="522">
        <f t="shared" si="177"/>
        <v>816</v>
      </c>
      <c r="M2702" s="523">
        <f t="shared" si="179"/>
        <v>8.7403598971722368E-2</v>
      </c>
      <c r="N2702" s="2" t="s">
        <v>40</v>
      </c>
      <c r="O2702" s="15" t="s">
        <v>3424</v>
      </c>
    </row>
    <row r="2703" spans="1:15">
      <c r="A2703" s="70">
        <v>2025</v>
      </c>
      <c r="B2703" s="16" t="s">
        <v>562</v>
      </c>
      <c r="C2703" s="71" t="s">
        <v>3661</v>
      </c>
      <c r="D2703" s="39" t="s">
        <v>57</v>
      </c>
      <c r="E2703" s="39" t="s">
        <v>3662</v>
      </c>
      <c r="F2703" s="96">
        <v>1</v>
      </c>
      <c r="G2703" s="1" t="s">
        <v>19</v>
      </c>
      <c r="H2703" s="8">
        <v>835000</v>
      </c>
      <c r="I2703" s="8">
        <f t="shared" si="176"/>
        <v>835000</v>
      </c>
      <c r="J2703" s="521">
        <v>815000</v>
      </c>
      <c r="K2703" s="521">
        <f t="shared" si="178"/>
        <v>20000</v>
      </c>
      <c r="L2703" s="522">
        <f t="shared" si="177"/>
        <v>20000</v>
      </c>
      <c r="M2703" s="523">
        <f t="shared" si="179"/>
        <v>2.3952095808383235E-2</v>
      </c>
      <c r="N2703" s="2" t="s">
        <v>30</v>
      </c>
      <c r="O2703" s="15" t="s">
        <v>3424</v>
      </c>
    </row>
    <row r="2704" spans="1:15">
      <c r="A2704" s="70">
        <v>2025</v>
      </c>
      <c r="B2704" s="16" t="s">
        <v>562</v>
      </c>
      <c r="C2704" s="71" t="s">
        <v>3663</v>
      </c>
      <c r="D2704" s="39" t="s">
        <v>110</v>
      </c>
      <c r="E2704" s="39" t="s">
        <v>3664</v>
      </c>
      <c r="F2704" s="96">
        <v>1</v>
      </c>
      <c r="G2704" s="1" t="s">
        <v>302</v>
      </c>
      <c r="H2704" s="8">
        <v>9500</v>
      </c>
      <c r="I2704" s="8">
        <f t="shared" si="176"/>
        <v>9500</v>
      </c>
      <c r="J2704" s="521">
        <v>7000</v>
      </c>
      <c r="K2704" s="521">
        <f t="shared" si="178"/>
        <v>2500</v>
      </c>
      <c r="L2704" s="522">
        <f t="shared" si="177"/>
        <v>2500</v>
      </c>
      <c r="M2704" s="523">
        <f t="shared" si="179"/>
        <v>0.26315789473684209</v>
      </c>
      <c r="N2704" s="2" t="s">
        <v>40</v>
      </c>
      <c r="O2704" s="15" t="s">
        <v>3424</v>
      </c>
    </row>
    <row r="2705" spans="1:15">
      <c r="A2705" s="70">
        <v>2025</v>
      </c>
      <c r="B2705" s="16" t="s">
        <v>562</v>
      </c>
      <c r="C2705" s="71" t="s">
        <v>3663</v>
      </c>
      <c r="D2705" s="39" t="s">
        <v>110</v>
      </c>
      <c r="E2705" s="39" t="s">
        <v>3665</v>
      </c>
      <c r="F2705" s="96">
        <v>1</v>
      </c>
      <c r="G2705" s="1" t="s">
        <v>19</v>
      </c>
      <c r="H2705" s="8">
        <v>2800</v>
      </c>
      <c r="I2705" s="8">
        <f t="shared" si="176"/>
        <v>2800</v>
      </c>
      <c r="J2705" s="521">
        <v>500</v>
      </c>
      <c r="K2705" s="521">
        <f t="shared" si="178"/>
        <v>2300</v>
      </c>
      <c r="L2705" s="522">
        <f t="shared" si="177"/>
        <v>2300</v>
      </c>
      <c r="M2705" s="523">
        <f t="shared" si="179"/>
        <v>0.8214285714285714</v>
      </c>
      <c r="N2705" s="2" t="s">
        <v>40</v>
      </c>
      <c r="O2705" s="15" t="s">
        <v>3424</v>
      </c>
    </row>
    <row r="2706" spans="1:15">
      <c r="A2706" s="70">
        <v>2025</v>
      </c>
      <c r="B2706" s="16" t="s">
        <v>562</v>
      </c>
      <c r="C2706" s="71" t="s">
        <v>3663</v>
      </c>
      <c r="D2706" s="39" t="s">
        <v>110</v>
      </c>
      <c r="E2706" s="39" t="s">
        <v>3666</v>
      </c>
      <c r="F2706" s="96">
        <v>1</v>
      </c>
      <c r="G2706" s="1" t="s">
        <v>285</v>
      </c>
      <c r="H2706" s="8">
        <v>5500</v>
      </c>
      <c r="I2706" s="8">
        <f t="shared" si="176"/>
        <v>5500</v>
      </c>
      <c r="J2706" s="521">
        <v>4000</v>
      </c>
      <c r="K2706" s="521">
        <f t="shared" si="178"/>
        <v>1500</v>
      </c>
      <c r="L2706" s="522">
        <f t="shared" si="177"/>
        <v>1500</v>
      </c>
      <c r="M2706" s="523">
        <f t="shared" si="179"/>
        <v>0.27272727272727271</v>
      </c>
      <c r="N2706" s="2" t="s">
        <v>40</v>
      </c>
      <c r="O2706" s="15" t="s">
        <v>3424</v>
      </c>
    </row>
    <row r="2707" spans="1:15">
      <c r="A2707" s="70">
        <v>2025</v>
      </c>
      <c r="B2707" s="16" t="s">
        <v>562</v>
      </c>
      <c r="C2707" s="71" t="s">
        <v>3667</v>
      </c>
      <c r="D2707" s="39" t="s">
        <v>3557</v>
      </c>
      <c r="E2707" s="39" t="s">
        <v>3668</v>
      </c>
      <c r="F2707" s="96">
        <v>1</v>
      </c>
      <c r="G2707" s="1" t="s">
        <v>285</v>
      </c>
      <c r="H2707" s="8">
        <v>292.19</v>
      </c>
      <c r="I2707" s="8">
        <f t="shared" si="176"/>
        <v>292.19</v>
      </c>
      <c r="J2707" s="521"/>
      <c r="K2707" s="521">
        <f t="shared" si="178"/>
        <v>292.19</v>
      </c>
      <c r="L2707" s="522">
        <f t="shared" si="177"/>
        <v>292.19</v>
      </c>
      <c r="M2707" s="523">
        <f t="shared" si="179"/>
        <v>1</v>
      </c>
      <c r="N2707" s="2" t="s">
        <v>30</v>
      </c>
      <c r="O2707" s="15" t="s">
        <v>3424</v>
      </c>
    </row>
    <row r="2708" spans="1:15">
      <c r="A2708" s="70">
        <v>2025</v>
      </c>
      <c r="B2708" s="16" t="s">
        <v>562</v>
      </c>
      <c r="C2708" s="71" t="s">
        <v>3669</v>
      </c>
      <c r="D2708" s="39" t="s">
        <v>24</v>
      </c>
      <c r="E2708" s="39" t="s">
        <v>3670</v>
      </c>
      <c r="F2708" s="96">
        <v>6</v>
      </c>
      <c r="G2708" s="1" t="s">
        <v>19</v>
      </c>
      <c r="H2708" s="8">
        <v>69</v>
      </c>
      <c r="I2708" s="8">
        <f t="shared" si="176"/>
        <v>414</v>
      </c>
      <c r="J2708" s="521">
        <v>42</v>
      </c>
      <c r="K2708" s="521">
        <f t="shared" si="178"/>
        <v>27</v>
      </c>
      <c r="L2708" s="522">
        <f t="shared" si="177"/>
        <v>162</v>
      </c>
      <c r="M2708" s="523">
        <f t="shared" si="179"/>
        <v>0.39130434782608697</v>
      </c>
      <c r="N2708" s="2" t="s">
        <v>40</v>
      </c>
      <c r="O2708" s="15" t="s">
        <v>3424</v>
      </c>
    </row>
    <row r="2709" spans="1:15">
      <c r="A2709" s="70">
        <v>2025</v>
      </c>
      <c r="B2709" s="16" t="s">
        <v>562</v>
      </c>
      <c r="C2709" s="71" t="s">
        <v>3669</v>
      </c>
      <c r="D2709" s="39" t="s">
        <v>24</v>
      </c>
      <c r="E2709" s="39" t="s">
        <v>3671</v>
      </c>
      <c r="F2709" s="96">
        <v>6</v>
      </c>
      <c r="G2709" s="1" t="s">
        <v>19</v>
      </c>
      <c r="H2709" s="8">
        <v>22</v>
      </c>
      <c r="I2709" s="8">
        <f t="shared" si="176"/>
        <v>132</v>
      </c>
      <c r="J2709" s="521">
        <v>18</v>
      </c>
      <c r="K2709" s="521">
        <f t="shared" si="178"/>
        <v>4</v>
      </c>
      <c r="L2709" s="522">
        <f t="shared" si="177"/>
        <v>24</v>
      </c>
      <c r="M2709" s="523">
        <f t="shared" si="179"/>
        <v>0.18181818181818182</v>
      </c>
      <c r="N2709" s="2" t="s">
        <v>40</v>
      </c>
      <c r="O2709" s="15" t="s">
        <v>3424</v>
      </c>
    </row>
    <row r="2710" spans="1:15">
      <c r="A2710" s="70">
        <v>2025</v>
      </c>
      <c r="B2710" s="16" t="s">
        <v>562</v>
      </c>
      <c r="C2710" s="71" t="s">
        <v>3672</v>
      </c>
      <c r="D2710" s="39" t="s">
        <v>24</v>
      </c>
      <c r="E2710" s="39" t="s">
        <v>3673</v>
      </c>
      <c r="F2710" s="96">
        <v>3</v>
      </c>
      <c r="G2710" s="1" t="s">
        <v>19</v>
      </c>
      <c r="H2710" s="8">
        <v>480</v>
      </c>
      <c r="I2710" s="8">
        <f t="shared" si="176"/>
        <v>1440</v>
      </c>
      <c r="J2710" s="521">
        <v>360</v>
      </c>
      <c r="K2710" s="521">
        <f t="shared" si="178"/>
        <v>120</v>
      </c>
      <c r="L2710" s="522">
        <f t="shared" si="177"/>
        <v>360</v>
      </c>
      <c r="M2710" s="523">
        <f t="shared" si="179"/>
        <v>0.25</v>
      </c>
      <c r="N2710" s="2" t="s">
        <v>40</v>
      </c>
      <c r="O2710" s="15" t="s">
        <v>3424</v>
      </c>
    </row>
    <row r="2711" spans="1:15">
      <c r="A2711" s="70">
        <v>2025</v>
      </c>
      <c r="B2711" s="16" t="s">
        <v>562</v>
      </c>
      <c r="C2711" s="71" t="s">
        <v>3674</v>
      </c>
      <c r="D2711" s="39" t="s">
        <v>1948</v>
      </c>
      <c r="E2711" s="39" t="s">
        <v>3675</v>
      </c>
      <c r="F2711" s="96">
        <v>3</v>
      </c>
      <c r="G2711" s="1" t="s">
        <v>19</v>
      </c>
      <c r="H2711" s="8">
        <v>1290</v>
      </c>
      <c r="I2711" s="8">
        <f t="shared" si="176"/>
        <v>3870</v>
      </c>
      <c r="J2711" s="521">
        <v>840.75</v>
      </c>
      <c r="K2711" s="521">
        <f t="shared" si="178"/>
        <v>449.25</v>
      </c>
      <c r="L2711" s="522">
        <f t="shared" si="177"/>
        <v>1347.75</v>
      </c>
      <c r="M2711" s="523">
        <f t="shared" si="179"/>
        <v>0.34825581395348837</v>
      </c>
      <c r="N2711" s="2" t="s">
        <v>40</v>
      </c>
      <c r="O2711" s="15" t="s">
        <v>3424</v>
      </c>
    </row>
    <row r="2712" spans="1:15">
      <c r="A2712" s="70">
        <v>2025</v>
      </c>
      <c r="B2712" s="16" t="s">
        <v>562</v>
      </c>
      <c r="C2712" s="71" t="s">
        <v>3676</v>
      </c>
      <c r="D2712" s="39" t="s">
        <v>1948</v>
      </c>
      <c r="E2712" s="39" t="s">
        <v>3677</v>
      </c>
      <c r="F2712" s="96">
        <v>1</v>
      </c>
      <c r="G2712" s="1" t="s">
        <v>19</v>
      </c>
      <c r="H2712" s="8">
        <v>4590</v>
      </c>
      <c r="I2712" s="8">
        <f t="shared" si="176"/>
        <v>4590</v>
      </c>
      <c r="J2712" s="521">
        <v>2810</v>
      </c>
      <c r="K2712" s="521">
        <f t="shared" si="178"/>
        <v>1780</v>
      </c>
      <c r="L2712" s="522">
        <f t="shared" si="177"/>
        <v>1780</v>
      </c>
      <c r="M2712" s="523">
        <f t="shared" si="179"/>
        <v>0.3877995642701525</v>
      </c>
      <c r="N2712" s="2" t="s">
        <v>40</v>
      </c>
      <c r="O2712" s="15" t="s">
        <v>3424</v>
      </c>
    </row>
    <row r="2713" spans="1:15">
      <c r="A2713" s="70">
        <v>2025</v>
      </c>
      <c r="B2713" s="16" t="s">
        <v>562</v>
      </c>
      <c r="C2713" s="71" t="s">
        <v>3678</v>
      </c>
      <c r="D2713" s="39" t="s">
        <v>118</v>
      </c>
      <c r="E2713" s="39" t="s">
        <v>3679</v>
      </c>
      <c r="F2713" s="96">
        <v>10</v>
      </c>
      <c r="G2713" s="1" t="s">
        <v>798</v>
      </c>
      <c r="H2713" s="8">
        <v>217.57</v>
      </c>
      <c r="I2713" s="8">
        <f t="shared" si="176"/>
        <v>2175.6999999999998</v>
      </c>
      <c r="J2713" s="521">
        <v>180</v>
      </c>
      <c r="K2713" s="521">
        <f t="shared" si="178"/>
        <v>37.569999999999993</v>
      </c>
      <c r="L2713" s="522">
        <f t="shared" si="177"/>
        <v>375.69999999999993</v>
      </c>
      <c r="M2713" s="523">
        <f t="shared" si="179"/>
        <v>0.17268005699315161</v>
      </c>
      <c r="N2713" s="2" t="s">
        <v>40</v>
      </c>
      <c r="O2713" s="15" t="s">
        <v>3424</v>
      </c>
    </row>
    <row r="2714" spans="1:15">
      <c r="A2714" s="70">
        <v>2025</v>
      </c>
      <c r="B2714" s="16" t="s">
        <v>562</v>
      </c>
      <c r="C2714" s="71" t="s">
        <v>3678</v>
      </c>
      <c r="D2714" s="39" t="s">
        <v>118</v>
      </c>
      <c r="E2714" s="39" t="s">
        <v>3680</v>
      </c>
      <c r="F2714" s="96">
        <v>5</v>
      </c>
      <c r="G2714" s="1" t="s">
        <v>19</v>
      </c>
      <c r="H2714" s="8">
        <v>47.14</v>
      </c>
      <c r="I2714" s="8">
        <f t="shared" si="176"/>
        <v>235.7</v>
      </c>
      <c r="J2714" s="521">
        <v>45</v>
      </c>
      <c r="K2714" s="521">
        <f t="shared" si="178"/>
        <v>2.1400000000000006</v>
      </c>
      <c r="L2714" s="522">
        <f t="shared" si="177"/>
        <v>10.700000000000003</v>
      </c>
      <c r="M2714" s="523">
        <f t="shared" si="179"/>
        <v>4.5396690708527802E-2</v>
      </c>
      <c r="N2714" s="2" t="s">
        <v>40</v>
      </c>
      <c r="O2714" s="15" t="s">
        <v>3424</v>
      </c>
    </row>
    <row r="2715" spans="1:15">
      <c r="A2715" s="70">
        <v>2025</v>
      </c>
      <c r="B2715" s="16" t="s">
        <v>562</v>
      </c>
      <c r="C2715" s="71" t="s">
        <v>3681</v>
      </c>
      <c r="D2715" s="39" t="s">
        <v>3682</v>
      </c>
      <c r="E2715" s="39" t="s">
        <v>3683</v>
      </c>
      <c r="F2715" s="96">
        <v>1</v>
      </c>
      <c r="G2715" s="1" t="s">
        <v>285</v>
      </c>
      <c r="H2715" s="8">
        <v>51.35</v>
      </c>
      <c r="I2715" s="8">
        <f t="shared" si="176"/>
        <v>51.35</v>
      </c>
      <c r="J2715" s="521"/>
      <c r="K2715" s="521">
        <f t="shared" si="178"/>
        <v>51.35</v>
      </c>
      <c r="L2715" s="522">
        <f t="shared" si="177"/>
        <v>51.35</v>
      </c>
      <c r="M2715" s="523">
        <f t="shared" si="179"/>
        <v>1</v>
      </c>
      <c r="N2715" s="2" t="s">
        <v>30</v>
      </c>
      <c r="O2715" s="15" t="s">
        <v>3424</v>
      </c>
    </row>
    <row r="2716" spans="1:15">
      <c r="A2716" s="70">
        <v>2025</v>
      </c>
      <c r="B2716" s="16" t="s">
        <v>562</v>
      </c>
      <c r="C2716" s="71" t="s">
        <v>3684</v>
      </c>
      <c r="D2716" s="39" t="s">
        <v>17</v>
      </c>
      <c r="E2716" s="39" t="s">
        <v>3685</v>
      </c>
      <c r="F2716" s="96">
        <v>1</v>
      </c>
      <c r="G2716" s="1" t="s">
        <v>19</v>
      </c>
      <c r="H2716" s="8">
        <v>4850</v>
      </c>
      <c r="I2716" s="8">
        <f t="shared" si="176"/>
        <v>4850</v>
      </c>
      <c r="J2716" s="521">
        <v>1790</v>
      </c>
      <c r="K2716" s="521">
        <f t="shared" si="178"/>
        <v>3060</v>
      </c>
      <c r="L2716" s="522">
        <f t="shared" si="177"/>
        <v>3060</v>
      </c>
      <c r="M2716" s="523">
        <f t="shared" si="179"/>
        <v>0.63092783505154637</v>
      </c>
      <c r="N2716" s="2" t="s">
        <v>40</v>
      </c>
      <c r="O2716" s="15" t="s">
        <v>3424</v>
      </c>
    </row>
    <row r="2717" spans="1:15">
      <c r="A2717" s="70">
        <v>2025</v>
      </c>
      <c r="B2717" s="16" t="s">
        <v>562</v>
      </c>
      <c r="C2717" s="71" t="s">
        <v>3686</v>
      </c>
      <c r="D2717" s="39" t="s">
        <v>1390</v>
      </c>
      <c r="E2717" s="39" t="s">
        <v>3687</v>
      </c>
      <c r="F2717" s="96">
        <v>1</v>
      </c>
      <c r="G2717" s="1" t="s">
        <v>19</v>
      </c>
      <c r="H2717" s="8">
        <v>380</v>
      </c>
      <c r="I2717" s="8">
        <f t="shared" si="176"/>
        <v>380</v>
      </c>
      <c r="J2717" s="521">
        <v>182.24</v>
      </c>
      <c r="K2717" s="521">
        <f t="shared" si="178"/>
        <v>197.76</v>
      </c>
      <c r="L2717" s="522">
        <f t="shared" si="177"/>
        <v>197.76</v>
      </c>
      <c r="M2717" s="523">
        <f t="shared" si="179"/>
        <v>0.5204210526315789</v>
      </c>
      <c r="N2717" s="2" t="s">
        <v>40</v>
      </c>
      <c r="O2717" s="15" t="s">
        <v>3424</v>
      </c>
    </row>
    <row r="2718" spans="1:15">
      <c r="A2718" s="70">
        <v>2025</v>
      </c>
      <c r="B2718" s="16" t="s">
        <v>562</v>
      </c>
      <c r="C2718" s="71" t="s">
        <v>3686</v>
      </c>
      <c r="D2718" s="39" t="s">
        <v>1390</v>
      </c>
      <c r="E2718" s="39" t="s">
        <v>3688</v>
      </c>
      <c r="F2718" s="96">
        <v>1</v>
      </c>
      <c r="G2718" s="1" t="s">
        <v>19</v>
      </c>
      <c r="H2718" s="8">
        <v>220</v>
      </c>
      <c r="I2718" s="8">
        <f t="shared" si="176"/>
        <v>220</v>
      </c>
      <c r="J2718" s="521">
        <v>179.55</v>
      </c>
      <c r="K2718" s="521">
        <f t="shared" si="178"/>
        <v>40.449999999999989</v>
      </c>
      <c r="L2718" s="522">
        <f t="shared" si="177"/>
        <v>40.449999999999989</v>
      </c>
      <c r="M2718" s="523">
        <f t="shared" si="179"/>
        <v>0.18386363636363631</v>
      </c>
      <c r="N2718" s="2" t="s">
        <v>40</v>
      </c>
      <c r="O2718" s="15" t="s">
        <v>3424</v>
      </c>
    </row>
    <row r="2719" spans="1:15">
      <c r="A2719" s="70">
        <v>2025</v>
      </c>
      <c r="B2719" s="16" t="s">
        <v>562</v>
      </c>
      <c r="C2719" s="71" t="s">
        <v>3686</v>
      </c>
      <c r="D2719" s="39" t="s">
        <v>1390</v>
      </c>
      <c r="E2719" s="39" t="s">
        <v>3689</v>
      </c>
      <c r="F2719" s="96">
        <v>10</v>
      </c>
      <c r="G2719" s="1" t="s">
        <v>19</v>
      </c>
      <c r="H2719" s="8">
        <v>59</v>
      </c>
      <c r="I2719" s="8">
        <f t="shared" si="176"/>
        <v>590</v>
      </c>
      <c r="J2719" s="521">
        <v>45.33</v>
      </c>
      <c r="K2719" s="521">
        <f t="shared" si="178"/>
        <v>13.670000000000002</v>
      </c>
      <c r="L2719" s="522">
        <f t="shared" si="177"/>
        <v>136.70000000000002</v>
      </c>
      <c r="M2719" s="523">
        <f t="shared" si="179"/>
        <v>0.23169491525423733</v>
      </c>
      <c r="N2719" s="2" t="s">
        <v>40</v>
      </c>
      <c r="O2719" s="15" t="s">
        <v>3424</v>
      </c>
    </row>
    <row r="2720" spans="1:15">
      <c r="A2720" s="70">
        <v>2025</v>
      </c>
      <c r="B2720" s="16" t="s">
        <v>562</v>
      </c>
      <c r="C2720" s="71" t="s">
        <v>3690</v>
      </c>
      <c r="D2720" s="39" t="s">
        <v>110</v>
      </c>
      <c r="E2720" s="39" t="s">
        <v>3691</v>
      </c>
      <c r="F2720" s="96">
        <v>2</v>
      </c>
      <c r="G2720" s="1" t="s">
        <v>302</v>
      </c>
      <c r="H2720" s="8">
        <v>1078.79</v>
      </c>
      <c r="I2720" s="8">
        <f t="shared" si="176"/>
        <v>2157.58</v>
      </c>
      <c r="J2720" s="521">
        <v>750</v>
      </c>
      <c r="K2720" s="521">
        <f t="shared" si="178"/>
        <v>328.78999999999996</v>
      </c>
      <c r="L2720" s="522">
        <f t="shared" si="177"/>
        <v>657.57999999999993</v>
      </c>
      <c r="M2720" s="523">
        <f t="shared" si="179"/>
        <v>0.30477664791108555</v>
      </c>
      <c r="N2720" s="2" t="s">
        <v>40</v>
      </c>
      <c r="O2720" s="15" t="s">
        <v>3424</v>
      </c>
    </row>
    <row r="2721" spans="1:15">
      <c r="A2721" s="70">
        <v>2025</v>
      </c>
      <c r="B2721" s="16" t="s">
        <v>562</v>
      </c>
      <c r="C2721" s="71" t="s">
        <v>3692</v>
      </c>
      <c r="D2721" s="39" t="s">
        <v>1948</v>
      </c>
      <c r="E2721" s="39" t="s">
        <v>2479</v>
      </c>
      <c r="F2721" s="96">
        <v>5</v>
      </c>
      <c r="G2721" s="1" t="s">
        <v>19</v>
      </c>
      <c r="H2721" s="8">
        <v>3990</v>
      </c>
      <c r="I2721" s="8">
        <f t="shared" si="176"/>
        <v>19950</v>
      </c>
      <c r="J2721" s="521">
        <v>3325</v>
      </c>
      <c r="K2721" s="521">
        <f t="shared" si="178"/>
        <v>665</v>
      </c>
      <c r="L2721" s="522">
        <f t="shared" si="177"/>
        <v>3325</v>
      </c>
      <c r="M2721" s="523">
        <f t="shared" si="179"/>
        <v>0.16666666666666666</v>
      </c>
      <c r="N2721" s="2" t="s">
        <v>40</v>
      </c>
      <c r="O2721" s="15" t="s">
        <v>3424</v>
      </c>
    </row>
    <row r="2722" spans="1:15">
      <c r="A2722" s="70">
        <v>2025</v>
      </c>
      <c r="B2722" s="16" t="s">
        <v>562</v>
      </c>
      <c r="C2722" s="71" t="s">
        <v>3693</v>
      </c>
      <c r="D2722" s="39" t="s">
        <v>17</v>
      </c>
      <c r="E2722" s="39" t="s">
        <v>3694</v>
      </c>
      <c r="F2722" s="96">
        <v>1</v>
      </c>
      <c r="G2722" s="1" t="s">
        <v>19</v>
      </c>
      <c r="H2722" s="8">
        <v>1290</v>
      </c>
      <c r="I2722" s="8">
        <f t="shared" si="176"/>
        <v>1290</v>
      </c>
      <c r="J2722" s="521">
        <v>1100</v>
      </c>
      <c r="K2722" s="521">
        <f t="shared" si="178"/>
        <v>190</v>
      </c>
      <c r="L2722" s="522">
        <f t="shared" si="177"/>
        <v>190</v>
      </c>
      <c r="M2722" s="523">
        <f t="shared" si="179"/>
        <v>0.14728682170542637</v>
      </c>
      <c r="N2722" s="2" t="s">
        <v>40</v>
      </c>
      <c r="O2722" s="15" t="s">
        <v>3424</v>
      </c>
    </row>
    <row r="2723" spans="1:15">
      <c r="A2723" s="70">
        <v>2025</v>
      </c>
      <c r="B2723" s="16" t="s">
        <v>562</v>
      </c>
      <c r="C2723" s="71" t="s">
        <v>3693</v>
      </c>
      <c r="D2723" s="39" t="s">
        <v>17</v>
      </c>
      <c r="E2723" s="39" t="s">
        <v>3695</v>
      </c>
      <c r="F2723" s="96">
        <v>6</v>
      </c>
      <c r="G2723" s="1" t="s">
        <v>19</v>
      </c>
      <c r="H2723" s="8">
        <v>479</v>
      </c>
      <c r="I2723" s="8">
        <f t="shared" si="176"/>
        <v>2874</v>
      </c>
      <c r="J2723" s="521">
        <v>450</v>
      </c>
      <c r="K2723" s="521">
        <f t="shared" si="178"/>
        <v>29</v>
      </c>
      <c r="L2723" s="522">
        <f t="shared" si="177"/>
        <v>174</v>
      </c>
      <c r="M2723" s="523">
        <f t="shared" si="179"/>
        <v>6.0542797494780795E-2</v>
      </c>
      <c r="N2723" s="2" t="s">
        <v>40</v>
      </c>
      <c r="O2723" s="15" t="s">
        <v>3424</v>
      </c>
    </row>
    <row r="2724" spans="1:15">
      <c r="A2724" s="70">
        <v>2025</v>
      </c>
      <c r="B2724" s="16" t="s">
        <v>562</v>
      </c>
      <c r="C2724" s="71" t="s">
        <v>3696</v>
      </c>
      <c r="D2724" s="39" t="s">
        <v>2602</v>
      </c>
      <c r="E2724" s="39" t="s">
        <v>3697</v>
      </c>
      <c r="F2724" s="96">
        <v>20</v>
      </c>
      <c r="G2724" s="1" t="s">
        <v>19</v>
      </c>
      <c r="H2724" s="8">
        <v>482</v>
      </c>
      <c r="I2724" s="8">
        <f t="shared" si="176"/>
        <v>9640</v>
      </c>
      <c r="J2724" s="521">
        <v>450</v>
      </c>
      <c r="K2724" s="521">
        <f t="shared" si="178"/>
        <v>32</v>
      </c>
      <c r="L2724" s="522">
        <f t="shared" si="177"/>
        <v>640</v>
      </c>
      <c r="M2724" s="523">
        <f t="shared" si="179"/>
        <v>6.6390041493775934E-2</v>
      </c>
      <c r="N2724" s="2" t="s">
        <v>40</v>
      </c>
      <c r="O2724" s="15" t="s">
        <v>3424</v>
      </c>
    </row>
    <row r="2725" spans="1:15">
      <c r="A2725" s="70">
        <v>2025</v>
      </c>
      <c r="B2725" s="16" t="s">
        <v>562</v>
      </c>
      <c r="C2725" s="71" t="s">
        <v>3698</v>
      </c>
      <c r="D2725" s="39" t="s">
        <v>1948</v>
      </c>
      <c r="E2725" s="39" t="s">
        <v>3699</v>
      </c>
      <c r="F2725" s="96">
        <v>4</v>
      </c>
      <c r="G2725" s="1" t="s">
        <v>19</v>
      </c>
      <c r="H2725" s="8">
        <v>2500</v>
      </c>
      <c r="I2725" s="8">
        <f t="shared" si="176"/>
        <v>10000</v>
      </c>
      <c r="J2725" s="521">
        <v>2209.6999999999998</v>
      </c>
      <c r="K2725" s="521">
        <f t="shared" si="178"/>
        <v>290.30000000000018</v>
      </c>
      <c r="L2725" s="522">
        <f t="shared" si="177"/>
        <v>1161.2000000000007</v>
      </c>
      <c r="M2725" s="523">
        <f t="shared" si="179"/>
        <v>0.11612000000000007</v>
      </c>
      <c r="N2725" s="2" t="s">
        <v>40</v>
      </c>
      <c r="O2725" s="15" t="s">
        <v>3424</v>
      </c>
    </row>
    <row r="2726" spans="1:15">
      <c r="A2726" s="70">
        <v>2025</v>
      </c>
      <c r="B2726" s="16" t="s">
        <v>562</v>
      </c>
      <c r="C2726" s="71" t="s">
        <v>3700</v>
      </c>
      <c r="D2726" s="39" t="s">
        <v>57</v>
      </c>
      <c r="E2726" s="39" t="s">
        <v>3701</v>
      </c>
      <c r="F2726" s="96">
        <v>1</v>
      </c>
      <c r="G2726" s="1" t="s">
        <v>285</v>
      </c>
      <c r="H2726" s="8">
        <v>313.25</v>
      </c>
      <c r="I2726" s="8">
        <f t="shared" si="176"/>
        <v>313.25</v>
      </c>
      <c r="J2726" s="521"/>
      <c r="K2726" s="521">
        <f t="shared" si="178"/>
        <v>313.25</v>
      </c>
      <c r="L2726" s="522">
        <f t="shared" si="177"/>
        <v>313.25</v>
      </c>
      <c r="M2726" s="523">
        <f t="shared" si="179"/>
        <v>1</v>
      </c>
      <c r="N2726" s="2" t="s">
        <v>30</v>
      </c>
      <c r="O2726" s="15" t="s">
        <v>3424</v>
      </c>
    </row>
    <row r="2727" spans="1:15">
      <c r="A2727" s="70">
        <v>2025</v>
      </c>
      <c r="B2727" s="16" t="s">
        <v>562</v>
      </c>
      <c r="C2727" s="71" t="s">
        <v>3702</v>
      </c>
      <c r="D2727" s="39" t="s">
        <v>17</v>
      </c>
      <c r="E2727" s="39" t="s">
        <v>1731</v>
      </c>
      <c r="F2727" s="96">
        <v>2</v>
      </c>
      <c r="G2727" s="1" t="s">
        <v>3703</v>
      </c>
      <c r="H2727" s="8">
        <v>5600</v>
      </c>
      <c r="I2727" s="8">
        <f t="shared" si="176"/>
        <v>11200</v>
      </c>
      <c r="J2727" s="521">
        <v>4950</v>
      </c>
      <c r="K2727" s="521">
        <f t="shared" si="178"/>
        <v>650</v>
      </c>
      <c r="L2727" s="522">
        <f t="shared" si="177"/>
        <v>1300</v>
      </c>
      <c r="M2727" s="523">
        <f t="shared" si="179"/>
        <v>0.11607142857142858</v>
      </c>
      <c r="N2727" s="2" t="s">
        <v>40</v>
      </c>
      <c r="O2727" s="15" t="s">
        <v>3424</v>
      </c>
    </row>
    <row r="2728" spans="1:15">
      <c r="A2728" s="70">
        <v>2025</v>
      </c>
      <c r="B2728" s="16" t="s">
        <v>562</v>
      </c>
      <c r="C2728" s="71" t="s">
        <v>3704</v>
      </c>
      <c r="D2728" s="39" t="s">
        <v>1461</v>
      </c>
      <c r="E2728" s="39" t="s">
        <v>3705</v>
      </c>
      <c r="F2728" s="96">
        <v>1</v>
      </c>
      <c r="G2728" s="1" t="s">
        <v>285</v>
      </c>
      <c r="H2728" s="8">
        <v>195000</v>
      </c>
      <c r="I2728" s="8">
        <f t="shared" si="176"/>
        <v>195000</v>
      </c>
      <c r="J2728" s="521">
        <v>190000</v>
      </c>
      <c r="K2728" s="521">
        <f t="shared" si="178"/>
        <v>5000</v>
      </c>
      <c r="L2728" s="522">
        <f t="shared" si="177"/>
        <v>5000</v>
      </c>
      <c r="M2728" s="523">
        <f t="shared" si="179"/>
        <v>2.564102564102564E-2</v>
      </c>
      <c r="N2728" s="2" t="s">
        <v>40</v>
      </c>
      <c r="O2728" s="15" t="s">
        <v>3424</v>
      </c>
    </row>
    <row r="2729" spans="1:15">
      <c r="A2729" s="70">
        <v>2025</v>
      </c>
      <c r="B2729" s="16" t="s">
        <v>562</v>
      </c>
      <c r="C2729" s="71" t="s">
        <v>3706</v>
      </c>
      <c r="D2729" s="39" t="s">
        <v>17</v>
      </c>
      <c r="E2729" s="39" t="s">
        <v>3707</v>
      </c>
      <c r="F2729" s="96">
        <v>1</v>
      </c>
      <c r="G2729" s="1" t="s">
        <v>19</v>
      </c>
      <c r="H2729" s="8">
        <v>9450</v>
      </c>
      <c r="I2729" s="8">
        <f t="shared" si="176"/>
        <v>9450</v>
      </c>
      <c r="J2729" s="521">
        <v>8890</v>
      </c>
      <c r="K2729" s="521">
        <f t="shared" si="178"/>
        <v>560</v>
      </c>
      <c r="L2729" s="522">
        <f t="shared" si="177"/>
        <v>560</v>
      </c>
      <c r="M2729" s="523">
        <f t="shared" si="179"/>
        <v>5.9259259259259262E-2</v>
      </c>
      <c r="N2729" s="2" t="s">
        <v>40</v>
      </c>
      <c r="O2729" s="15" t="s">
        <v>3424</v>
      </c>
    </row>
    <row r="2730" spans="1:15">
      <c r="A2730" s="70">
        <v>2025</v>
      </c>
      <c r="B2730" s="16" t="s">
        <v>562</v>
      </c>
      <c r="C2730" s="71" t="s">
        <v>3708</v>
      </c>
      <c r="D2730" s="39" t="s">
        <v>17</v>
      </c>
      <c r="E2730" s="39" t="s">
        <v>3709</v>
      </c>
      <c r="F2730" s="96">
        <v>1</v>
      </c>
      <c r="G2730" s="1" t="s">
        <v>19</v>
      </c>
      <c r="H2730" s="8">
        <v>4650</v>
      </c>
      <c r="I2730" s="8">
        <f t="shared" si="176"/>
        <v>4650</v>
      </c>
      <c r="J2730" s="521">
        <v>3000</v>
      </c>
      <c r="K2730" s="521">
        <f t="shared" si="178"/>
        <v>1650</v>
      </c>
      <c r="L2730" s="522">
        <f t="shared" si="177"/>
        <v>1650</v>
      </c>
      <c r="M2730" s="523">
        <f t="shared" si="179"/>
        <v>0.35483870967741937</v>
      </c>
      <c r="N2730" s="2" t="s">
        <v>40</v>
      </c>
      <c r="O2730" s="15" t="s">
        <v>3424</v>
      </c>
    </row>
    <row r="2731" spans="1:15">
      <c r="A2731" s="70">
        <v>2025</v>
      </c>
      <c r="B2731" s="16" t="s">
        <v>562</v>
      </c>
      <c r="C2731" s="71" t="s">
        <v>3710</v>
      </c>
      <c r="D2731" s="39" t="s">
        <v>17</v>
      </c>
      <c r="E2731" s="39" t="s">
        <v>1731</v>
      </c>
      <c r="F2731" s="96">
        <v>2</v>
      </c>
      <c r="G2731" s="1" t="s">
        <v>3703</v>
      </c>
      <c r="H2731" s="8">
        <v>5600</v>
      </c>
      <c r="I2731" s="8">
        <f t="shared" si="176"/>
        <v>11200</v>
      </c>
      <c r="J2731" s="521">
        <v>4950</v>
      </c>
      <c r="K2731" s="521">
        <f t="shared" si="178"/>
        <v>650</v>
      </c>
      <c r="L2731" s="522">
        <f t="shared" si="177"/>
        <v>1300</v>
      </c>
      <c r="M2731" s="523">
        <f t="shared" si="179"/>
        <v>0.11607142857142858</v>
      </c>
      <c r="N2731" s="2" t="s">
        <v>40</v>
      </c>
      <c r="O2731" s="15" t="s">
        <v>3424</v>
      </c>
    </row>
    <row r="2732" spans="1:15">
      <c r="A2732" s="70">
        <v>2025</v>
      </c>
      <c r="B2732" s="16" t="s">
        <v>562</v>
      </c>
      <c r="C2732" s="71" t="s">
        <v>3711</v>
      </c>
      <c r="D2732" s="39" t="s">
        <v>17</v>
      </c>
      <c r="E2732" s="39" t="s">
        <v>3712</v>
      </c>
      <c r="F2732" s="96">
        <v>3</v>
      </c>
      <c r="G2732" s="1" t="s">
        <v>19</v>
      </c>
      <c r="H2732" s="8">
        <v>480</v>
      </c>
      <c r="I2732" s="8">
        <f t="shared" si="176"/>
        <v>1440</v>
      </c>
      <c r="J2732" s="521">
        <v>325</v>
      </c>
      <c r="K2732" s="521">
        <f t="shared" si="178"/>
        <v>155</v>
      </c>
      <c r="L2732" s="522">
        <f t="shared" si="177"/>
        <v>465</v>
      </c>
      <c r="M2732" s="523">
        <f t="shared" si="179"/>
        <v>0.32291666666666669</v>
      </c>
      <c r="N2732" s="2" t="s">
        <v>40</v>
      </c>
      <c r="O2732" s="15" t="s">
        <v>3424</v>
      </c>
    </row>
    <row r="2733" spans="1:15">
      <c r="A2733" s="70">
        <v>2025</v>
      </c>
      <c r="B2733" s="16" t="s">
        <v>562</v>
      </c>
      <c r="C2733" s="71" t="s">
        <v>3713</v>
      </c>
      <c r="D2733" s="39" t="s">
        <v>17</v>
      </c>
      <c r="E2733" s="39" t="s">
        <v>3714</v>
      </c>
      <c r="F2733" s="96">
        <v>2</v>
      </c>
      <c r="G2733" s="1" t="s">
        <v>19</v>
      </c>
      <c r="H2733" s="8">
        <v>547</v>
      </c>
      <c r="I2733" s="8">
        <f t="shared" ref="I2733:I2766" si="180">H2733*F2733</f>
        <v>1094</v>
      </c>
      <c r="J2733" s="521">
        <v>350</v>
      </c>
      <c r="K2733" s="521">
        <f t="shared" si="178"/>
        <v>197</v>
      </c>
      <c r="L2733" s="522">
        <f t="shared" si="177"/>
        <v>394</v>
      </c>
      <c r="M2733" s="523">
        <f t="shared" si="179"/>
        <v>0.36014625228519198</v>
      </c>
      <c r="N2733" s="2" t="s">
        <v>40</v>
      </c>
      <c r="O2733" s="15" t="s">
        <v>3424</v>
      </c>
    </row>
    <row r="2734" spans="1:15">
      <c r="A2734" s="70">
        <v>2025</v>
      </c>
      <c r="B2734" s="16" t="s">
        <v>562</v>
      </c>
      <c r="C2734" s="71" t="s">
        <v>3713</v>
      </c>
      <c r="D2734" s="39" t="s">
        <v>17</v>
      </c>
      <c r="E2734" s="39" t="s">
        <v>3715</v>
      </c>
      <c r="F2734" s="96">
        <v>2</v>
      </c>
      <c r="G2734" s="1" t="s">
        <v>19</v>
      </c>
      <c r="H2734" s="8">
        <v>563</v>
      </c>
      <c r="I2734" s="8">
        <f t="shared" si="180"/>
        <v>1126</v>
      </c>
      <c r="J2734" s="521">
        <v>375</v>
      </c>
      <c r="K2734" s="521">
        <f t="shared" si="178"/>
        <v>188</v>
      </c>
      <c r="L2734" s="522">
        <f t="shared" si="177"/>
        <v>376</v>
      </c>
      <c r="M2734" s="523">
        <f t="shared" si="179"/>
        <v>0.3339253996447602</v>
      </c>
      <c r="N2734" s="2" t="s">
        <v>40</v>
      </c>
      <c r="O2734" s="15" t="s">
        <v>3424</v>
      </c>
    </row>
    <row r="2735" spans="1:15">
      <c r="A2735" s="70">
        <v>2025</v>
      </c>
      <c r="B2735" s="16" t="s">
        <v>562</v>
      </c>
      <c r="C2735" s="71" t="s">
        <v>3713</v>
      </c>
      <c r="D2735" s="39" t="s">
        <v>17</v>
      </c>
      <c r="E2735" s="39" t="s">
        <v>3716</v>
      </c>
      <c r="F2735" s="96">
        <v>2</v>
      </c>
      <c r="G2735" s="1" t="s">
        <v>19</v>
      </c>
      <c r="H2735" s="8">
        <v>573</v>
      </c>
      <c r="I2735" s="8">
        <f t="shared" si="180"/>
        <v>1146</v>
      </c>
      <c r="J2735" s="521">
        <v>395</v>
      </c>
      <c r="K2735" s="521">
        <f t="shared" si="178"/>
        <v>178</v>
      </c>
      <c r="L2735" s="522">
        <f t="shared" si="177"/>
        <v>356</v>
      </c>
      <c r="M2735" s="523">
        <f t="shared" si="179"/>
        <v>0.31064572425828968</v>
      </c>
      <c r="N2735" s="2" t="s">
        <v>40</v>
      </c>
      <c r="O2735" s="15" t="s">
        <v>3424</v>
      </c>
    </row>
    <row r="2736" spans="1:15">
      <c r="A2736" s="70">
        <v>2025</v>
      </c>
      <c r="B2736" s="16" t="s">
        <v>562</v>
      </c>
      <c r="C2736" s="71" t="s">
        <v>3713</v>
      </c>
      <c r="D2736" s="39" t="s">
        <v>17</v>
      </c>
      <c r="E2736" s="39" t="s">
        <v>3717</v>
      </c>
      <c r="F2736" s="96">
        <v>2</v>
      </c>
      <c r="G2736" s="1" t="s">
        <v>19</v>
      </c>
      <c r="H2736" s="8">
        <v>573</v>
      </c>
      <c r="I2736" s="8">
        <f t="shared" si="180"/>
        <v>1146</v>
      </c>
      <c r="J2736" s="521">
        <v>395</v>
      </c>
      <c r="K2736" s="521">
        <f t="shared" si="178"/>
        <v>178</v>
      </c>
      <c r="L2736" s="522">
        <f t="shared" si="177"/>
        <v>356</v>
      </c>
      <c r="M2736" s="523">
        <f t="shared" si="179"/>
        <v>0.31064572425828968</v>
      </c>
      <c r="N2736" s="2" t="s">
        <v>40</v>
      </c>
      <c r="O2736" s="15" t="s">
        <v>3424</v>
      </c>
    </row>
    <row r="2737" spans="1:15">
      <c r="A2737" s="70">
        <v>2025</v>
      </c>
      <c r="B2737" s="16" t="s">
        <v>562</v>
      </c>
      <c r="C2737" s="71" t="s">
        <v>3718</v>
      </c>
      <c r="D2737" s="39" t="s">
        <v>617</v>
      </c>
      <c r="E2737" s="39" t="s">
        <v>233</v>
      </c>
      <c r="F2737" s="96">
        <v>9000</v>
      </c>
      <c r="G2737" s="1" t="s">
        <v>231</v>
      </c>
      <c r="H2737" s="8">
        <v>28</v>
      </c>
      <c r="I2737" s="8">
        <f t="shared" si="180"/>
        <v>252000</v>
      </c>
      <c r="J2737" s="521">
        <v>27.5</v>
      </c>
      <c r="K2737" s="521">
        <f t="shared" si="178"/>
        <v>0.5</v>
      </c>
      <c r="L2737" s="522">
        <f t="shared" si="177"/>
        <v>4500</v>
      </c>
      <c r="M2737" s="523">
        <f t="shared" si="179"/>
        <v>1.7857142857142856E-2</v>
      </c>
      <c r="N2737" s="2" t="s">
        <v>40</v>
      </c>
      <c r="O2737" s="15" t="s">
        <v>39</v>
      </c>
    </row>
    <row r="2738" spans="1:15">
      <c r="A2738" s="70">
        <v>2025</v>
      </c>
      <c r="B2738" s="16" t="s">
        <v>562</v>
      </c>
      <c r="C2738" s="71" t="s">
        <v>3719</v>
      </c>
      <c r="D2738" s="2" t="s">
        <v>335</v>
      </c>
      <c r="E2738" s="2" t="s">
        <v>336</v>
      </c>
      <c r="F2738" s="96">
        <v>112000</v>
      </c>
      <c r="G2738" s="1" t="s">
        <v>337</v>
      </c>
      <c r="H2738" s="8">
        <v>36</v>
      </c>
      <c r="I2738" s="8">
        <f t="shared" si="180"/>
        <v>4032000</v>
      </c>
      <c r="J2738" s="521">
        <v>35</v>
      </c>
      <c r="K2738" s="521">
        <f t="shared" si="178"/>
        <v>1</v>
      </c>
      <c r="L2738" s="522">
        <f t="shared" si="177"/>
        <v>112000</v>
      </c>
      <c r="M2738" s="523">
        <f t="shared" si="179"/>
        <v>2.7777777777777776E-2</v>
      </c>
      <c r="N2738" s="2" t="s">
        <v>20</v>
      </c>
      <c r="O2738" s="15" t="s">
        <v>39</v>
      </c>
    </row>
    <row r="2739" spans="1:15">
      <c r="A2739" s="70">
        <v>2025</v>
      </c>
      <c r="B2739" s="16" t="s">
        <v>562</v>
      </c>
      <c r="C2739" s="71" t="s">
        <v>3720</v>
      </c>
      <c r="D2739" s="2" t="s">
        <v>2167</v>
      </c>
      <c r="E2739" s="2" t="s">
        <v>2502</v>
      </c>
      <c r="F2739" s="96">
        <v>10000</v>
      </c>
      <c r="G2739" s="1" t="s">
        <v>337</v>
      </c>
      <c r="H2739" s="8">
        <f>3.9*33</f>
        <v>128.69999999999999</v>
      </c>
      <c r="I2739" s="8">
        <f t="shared" si="180"/>
        <v>1287000</v>
      </c>
      <c r="J2739" s="521">
        <f>3.5*33</f>
        <v>115.5</v>
      </c>
      <c r="K2739" s="521">
        <f t="shared" si="178"/>
        <v>13.199999999999989</v>
      </c>
      <c r="L2739" s="522">
        <f t="shared" si="177"/>
        <v>131999.99999999988</v>
      </c>
      <c r="M2739" s="523">
        <f t="shared" si="179"/>
        <v>0.10256410256410249</v>
      </c>
      <c r="N2739" s="2" t="s">
        <v>40</v>
      </c>
      <c r="O2739" s="15" t="s">
        <v>105</v>
      </c>
    </row>
    <row r="2740" spans="1:15">
      <c r="A2740" s="70">
        <v>2025</v>
      </c>
      <c r="B2740" s="16" t="s">
        <v>562</v>
      </c>
      <c r="C2740" s="71" t="s">
        <v>3639</v>
      </c>
      <c r="D2740" s="2" t="s">
        <v>1430</v>
      </c>
      <c r="E2740" s="2" t="s">
        <v>3721</v>
      </c>
      <c r="F2740" s="96">
        <v>7400</v>
      </c>
      <c r="G2740" s="1" t="s">
        <v>337</v>
      </c>
      <c r="H2740" s="8">
        <v>90</v>
      </c>
      <c r="I2740" s="8">
        <f t="shared" si="180"/>
        <v>666000</v>
      </c>
      <c r="J2740" s="521">
        <v>89.5</v>
      </c>
      <c r="K2740" s="521">
        <f t="shared" si="178"/>
        <v>0.5</v>
      </c>
      <c r="L2740" s="522">
        <f t="shared" si="177"/>
        <v>3700</v>
      </c>
      <c r="M2740" s="523">
        <f t="shared" si="179"/>
        <v>5.5555555555555558E-3</v>
      </c>
      <c r="N2740" s="2" t="s">
        <v>22</v>
      </c>
      <c r="O2740" s="15" t="s">
        <v>105</v>
      </c>
    </row>
    <row r="2741" spans="1:15">
      <c r="A2741" s="70">
        <v>2025</v>
      </c>
      <c r="B2741" s="424" t="s">
        <v>696</v>
      </c>
      <c r="C2741" s="393" t="s">
        <v>3722</v>
      </c>
      <c r="D2741" s="2" t="s">
        <v>68</v>
      </c>
      <c r="E2741" s="2" t="s">
        <v>962</v>
      </c>
      <c r="F2741" s="96">
        <v>1743.7</v>
      </c>
      <c r="G2741" s="1" t="s">
        <v>37</v>
      </c>
      <c r="H2741" s="8">
        <v>375</v>
      </c>
      <c r="I2741" s="8">
        <f t="shared" si="180"/>
        <v>653887.5</v>
      </c>
      <c r="J2741" s="521">
        <v>365</v>
      </c>
      <c r="K2741" s="521">
        <f t="shared" si="178"/>
        <v>10</v>
      </c>
      <c r="L2741" s="522">
        <f t="shared" si="177"/>
        <v>17437</v>
      </c>
      <c r="M2741" s="523">
        <f t="shared" si="179"/>
        <v>2.6666666666666668E-2</v>
      </c>
      <c r="N2741" s="2" t="s">
        <v>22</v>
      </c>
      <c r="O2741" s="15" t="s">
        <v>105</v>
      </c>
    </row>
    <row r="2742" spans="1:15">
      <c r="A2742" s="70">
        <v>2025</v>
      </c>
      <c r="B2742" s="16" t="s">
        <v>696</v>
      </c>
      <c r="C2742" s="71" t="s">
        <v>3723</v>
      </c>
      <c r="D2742" s="2" t="s">
        <v>279</v>
      </c>
      <c r="E2742" s="2" t="s">
        <v>3724</v>
      </c>
      <c r="F2742" s="96">
        <v>3200</v>
      </c>
      <c r="G2742" s="1" t="s">
        <v>19</v>
      </c>
      <c r="H2742" s="8">
        <v>18.239999999999998</v>
      </c>
      <c r="I2742" s="8">
        <f t="shared" si="180"/>
        <v>58367.999999999993</v>
      </c>
      <c r="J2742" s="521">
        <v>16.420000000000002</v>
      </c>
      <c r="K2742" s="521">
        <f t="shared" si="178"/>
        <v>1.8199999999999967</v>
      </c>
      <c r="L2742" s="522">
        <f t="shared" si="177"/>
        <v>5823.9999999999891</v>
      </c>
      <c r="M2742" s="523">
        <f t="shared" si="179"/>
        <v>9.9780701754385789E-2</v>
      </c>
      <c r="N2742" s="2" t="s">
        <v>40</v>
      </c>
      <c r="O2742" s="15" t="s">
        <v>105</v>
      </c>
    </row>
    <row r="2743" spans="1:15">
      <c r="A2743" s="70">
        <v>2025</v>
      </c>
      <c r="B2743" s="16" t="s">
        <v>696</v>
      </c>
      <c r="C2743" s="71" t="s">
        <v>3725</v>
      </c>
      <c r="D2743" s="2" t="s">
        <v>107</v>
      </c>
      <c r="E2743" s="2" t="s">
        <v>3726</v>
      </c>
      <c r="F2743" s="96">
        <v>114</v>
      </c>
      <c r="G2743" s="1" t="s">
        <v>19</v>
      </c>
      <c r="H2743" s="8">
        <v>1155</v>
      </c>
      <c r="I2743" s="8">
        <f t="shared" si="180"/>
        <v>131670</v>
      </c>
      <c r="J2743" s="521">
        <v>985</v>
      </c>
      <c r="K2743" s="521">
        <f t="shared" si="178"/>
        <v>170</v>
      </c>
      <c r="L2743" s="522">
        <f t="shared" si="177"/>
        <v>19380</v>
      </c>
      <c r="M2743" s="523">
        <f t="shared" si="179"/>
        <v>0.1471861471861472</v>
      </c>
      <c r="N2743" s="2" t="s">
        <v>40</v>
      </c>
      <c r="O2743" s="15" t="s">
        <v>105</v>
      </c>
    </row>
    <row r="2744" spans="1:15">
      <c r="A2744" s="70">
        <v>2025</v>
      </c>
      <c r="B2744" s="16" t="s">
        <v>696</v>
      </c>
      <c r="C2744" s="71" t="s">
        <v>3725</v>
      </c>
      <c r="D2744" s="2" t="s">
        <v>107</v>
      </c>
      <c r="E2744" s="2" t="s">
        <v>564</v>
      </c>
      <c r="F2744" s="96">
        <v>40</v>
      </c>
      <c r="G2744" s="1" t="s">
        <v>19</v>
      </c>
      <c r="H2744" s="8">
        <v>910</v>
      </c>
      <c r="I2744" s="8">
        <f t="shared" si="180"/>
        <v>36400</v>
      </c>
      <c r="J2744" s="521">
        <v>690</v>
      </c>
      <c r="K2744" s="521">
        <f t="shared" si="178"/>
        <v>220</v>
      </c>
      <c r="L2744" s="522">
        <f t="shared" si="177"/>
        <v>8800</v>
      </c>
      <c r="M2744" s="523">
        <f t="shared" si="179"/>
        <v>0.24175824175824176</v>
      </c>
      <c r="N2744" s="2" t="s">
        <v>40</v>
      </c>
      <c r="O2744" s="15" t="s">
        <v>105</v>
      </c>
    </row>
    <row r="2745" spans="1:15">
      <c r="A2745" s="70">
        <v>2025</v>
      </c>
      <c r="B2745" s="16" t="s">
        <v>696</v>
      </c>
      <c r="C2745" s="71" t="s">
        <v>3727</v>
      </c>
      <c r="D2745" s="2" t="s">
        <v>94</v>
      </c>
      <c r="E2745" s="2" t="s">
        <v>971</v>
      </c>
      <c r="F2745" s="96">
        <v>480</v>
      </c>
      <c r="G2745" s="1" t="s">
        <v>615</v>
      </c>
      <c r="H2745" s="8">
        <v>100</v>
      </c>
      <c r="I2745" s="8">
        <f t="shared" si="180"/>
        <v>48000</v>
      </c>
      <c r="J2745" s="521">
        <v>91.85</v>
      </c>
      <c r="K2745" s="521">
        <f t="shared" si="178"/>
        <v>8.1500000000000057</v>
      </c>
      <c r="L2745" s="522">
        <f t="shared" si="177"/>
        <v>3912.0000000000027</v>
      </c>
      <c r="M2745" s="523">
        <f t="shared" si="179"/>
        <v>8.1500000000000059E-2</v>
      </c>
      <c r="N2745" s="2" t="s">
        <v>22</v>
      </c>
      <c r="O2745" s="15" t="s">
        <v>105</v>
      </c>
    </row>
    <row r="2746" spans="1:15">
      <c r="A2746" s="70">
        <v>2025</v>
      </c>
      <c r="B2746" s="16" t="s">
        <v>696</v>
      </c>
      <c r="C2746" s="71" t="s">
        <v>3728</v>
      </c>
      <c r="D2746" s="2" t="s">
        <v>1042</v>
      </c>
      <c r="E2746" s="2" t="s">
        <v>711</v>
      </c>
      <c r="F2746" s="96">
        <v>1059</v>
      </c>
      <c r="G2746" s="1" t="s">
        <v>37</v>
      </c>
      <c r="H2746" s="8">
        <v>382</v>
      </c>
      <c r="I2746" s="8">
        <f t="shared" si="180"/>
        <v>404538</v>
      </c>
      <c r="J2746" s="521">
        <v>357</v>
      </c>
      <c r="K2746" s="521">
        <f t="shared" si="178"/>
        <v>25</v>
      </c>
      <c r="L2746" s="522">
        <f t="shared" si="177"/>
        <v>26475</v>
      </c>
      <c r="M2746" s="523">
        <f t="shared" si="179"/>
        <v>6.5445026178010471E-2</v>
      </c>
      <c r="N2746" s="2" t="s">
        <v>22</v>
      </c>
      <c r="O2746" s="15" t="s">
        <v>105</v>
      </c>
    </row>
    <row r="2747" spans="1:15">
      <c r="A2747" s="70">
        <v>2025</v>
      </c>
      <c r="B2747" s="16" t="s">
        <v>696</v>
      </c>
      <c r="C2747" s="393" t="s">
        <v>3729</v>
      </c>
      <c r="D2747" s="2" t="s">
        <v>17</v>
      </c>
      <c r="E2747" s="2" t="s">
        <v>3730</v>
      </c>
      <c r="F2747" s="96">
        <v>30</v>
      </c>
      <c r="G2747" s="1" t="s">
        <v>19</v>
      </c>
      <c r="H2747" s="8">
        <v>2950</v>
      </c>
      <c r="I2747" s="8">
        <f t="shared" si="180"/>
        <v>88500</v>
      </c>
      <c r="J2747" s="521">
        <v>2800</v>
      </c>
      <c r="K2747" s="521">
        <f t="shared" si="178"/>
        <v>150</v>
      </c>
      <c r="L2747" s="522">
        <f t="shared" ref="L2747:L2810" si="181">K2747*F2747</f>
        <v>4500</v>
      </c>
      <c r="M2747" s="523">
        <f t="shared" si="179"/>
        <v>5.0847457627118647E-2</v>
      </c>
      <c r="N2747" s="2" t="s">
        <v>40</v>
      </c>
      <c r="O2747" s="15" t="s">
        <v>105</v>
      </c>
    </row>
    <row r="2748" spans="1:15">
      <c r="A2748" s="70">
        <v>2025</v>
      </c>
      <c r="B2748" s="16" t="s">
        <v>696</v>
      </c>
      <c r="C2748" s="393" t="s">
        <v>3731</v>
      </c>
      <c r="D2748" s="2" t="s">
        <v>1042</v>
      </c>
      <c r="E2748" s="2" t="s">
        <v>711</v>
      </c>
      <c r="F2748" s="96">
        <v>1038</v>
      </c>
      <c r="G2748" s="1" t="s">
        <v>37</v>
      </c>
      <c r="H2748" s="8">
        <v>382</v>
      </c>
      <c r="I2748" s="8">
        <f t="shared" si="180"/>
        <v>396516</v>
      </c>
      <c r="J2748" s="521">
        <v>357</v>
      </c>
      <c r="K2748" s="521">
        <f t="shared" si="178"/>
        <v>25</v>
      </c>
      <c r="L2748" s="522">
        <f t="shared" si="181"/>
        <v>25950</v>
      </c>
      <c r="M2748" s="523">
        <f t="shared" si="179"/>
        <v>6.5445026178010471E-2</v>
      </c>
      <c r="N2748" s="2" t="s">
        <v>22</v>
      </c>
      <c r="O2748" s="15" t="s">
        <v>105</v>
      </c>
    </row>
    <row r="2749" spans="1:15">
      <c r="A2749" s="70">
        <v>2025</v>
      </c>
      <c r="B2749" s="16" t="s">
        <v>696</v>
      </c>
      <c r="C2749" s="71" t="s">
        <v>3732</v>
      </c>
      <c r="D2749" s="2" t="s">
        <v>200</v>
      </c>
      <c r="E2749" s="2" t="s">
        <v>3733</v>
      </c>
      <c r="F2749" s="96">
        <v>2</v>
      </c>
      <c r="G2749" s="1" t="s">
        <v>302</v>
      </c>
      <c r="H2749" s="8">
        <v>75000</v>
      </c>
      <c r="I2749" s="8">
        <f t="shared" si="180"/>
        <v>150000</v>
      </c>
      <c r="J2749" s="521">
        <v>73000</v>
      </c>
      <c r="K2749" s="521">
        <f t="shared" si="178"/>
        <v>2000</v>
      </c>
      <c r="L2749" s="522">
        <f t="shared" si="181"/>
        <v>4000</v>
      </c>
      <c r="M2749" s="523">
        <f t="shared" si="179"/>
        <v>2.6666666666666668E-2</v>
      </c>
      <c r="N2749" s="2" t="s">
        <v>40</v>
      </c>
      <c r="O2749" s="15" t="s">
        <v>39</v>
      </c>
    </row>
    <row r="2750" spans="1:15">
      <c r="A2750" s="70">
        <v>2025</v>
      </c>
      <c r="B2750" s="16" t="s">
        <v>696</v>
      </c>
      <c r="C2750" s="393" t="s">
        <v>3734</v>
      </c>
      <c r="D2750" s="2" t="s">
        <v>283</v>
      </c>
      <c r="E2750" s="2" t="s">
        <v>3735</v>
      </c>
      <c r="F2750" s="96">
        <v>1</v>
      </c>
      <c r="G2750" s="1" t="s">
        <v>285</v>
      </c>
      <c r="H2750" s="8">
        <v>42500</v>
      </c>
      <c r="I2750" s="8">
        <f t="shared" si="180"/>
        <v>42500</v>
      </c>
      <c r="J2750" s="521">
        <v>42000</v>
      </c>
      <c r="K2750" s="521">
        <f t="shared" si="178"/>
        <v>500</v>
      </c>
      <c r="L2750" s="522">
        <f t="shared" si="181"/>
        <v>500</v>
      </c>
      <c r="M2750" s="523">
        <f t="shared" si="179"/>
        <v>1.1764705882352941E-2</v>
      </c>
      <c r="N2750" s="2" t="s">
        <v>40</v>
      </c>
      <c r="O2750" s="15" t="s">
        <v>105</v>
      </c>
    </row>
    <row r="2751" spans="1:15">
      <c r="A2751" s="70">
        <v>2025</v>
      </c>
      <c r="B2751" s="16" t="s">
        <v>696</v>
      </c>
      <c r="C2751" s="71" t="s">
        <v>3736</v>
      </c>
      <c r="D2751" s="2" t="s">
        <v>329</v>
      </c>
      <c r="E2751" s="2" t="s">
        <v>3737</v>
      </c>
      <c r="F2751" s="96">
        <v>25</v>
      </c>
      <c r="G2751" s="1" t="s">
        <v>19</v>
      </c>
      <c r="H2751" s="8">
        <v>160</v>
      </c>
      <c r="I2751" s="8">
        <f t="shared" si="180"/>
        <v>4000</v>
      </c>
      <c r="J2751" s="521">
        <v>150</v>
      </c>
      <c r="K2751" s="521">
        <f t="shared" si="178"/>
        <v>10</v>
      </c>
      <c r="L2751" s="522">
        <f t="shared" si="181"/>
        <v>250</v>
      </c>
      <c r="M2751" s="523">
        <f t="shared" si="179"/>
        <v>6.25E-2</v>
      </c>
      <c r="N2751" s="2" t="s">
        <v>22</v>
      </c>
      <c r="O2751" s="15" t="s">
        <v>39</v>
      </c>
    </row>
    <row r="2752" spans="1:15">
      <c r="A2752" s="70">
        <v>2025</v>
      </c>
      <c r="B2752" s="16" t="s">
        <v>696</v>
      </c>
      <c r="C2752" s="71" t="s">
        <v>3738</v>
      </c>
      <c r="D2752" s="2" t="s">
        <v>174</v>
      </c>
      <c r="E2752" s="2" t="s">
        <v>3739</v>
      </c>
      <c r="F2752" s="96">
        <v>25</v>
      </c>
      <c r="G2752" s="1" t="s">
        <v>19</v>
      </c>
      <c r="H2752" s="8">
        <v>2000</v>
      </c>
      <c r="I2752" s="8">
        <f t="shared" si="180"/>
        <v>50000</v>
      </c>
      <c r="J2752" s="521">
        <v>1750</v>
      </c>
      <c r="K2752" s="521">
        <f t="shared" si="178"/>
        <v>250</v>
      </c>
      <c r="L2752" s="522">
        <f t="shared" si="181"/>
        <v>6250</v>
      </c>
      <c r="M2752" s="523">
        <f t="shared" si="179"/>
        <v>0.125</v>
      </c>
      <c r="N2752" s="2" t="s">
        <v>40</v>
      </c>
      <c r="O2752" s="15" t="s">
        <v>105</v>
      </c>
    </row>
    <row r="2753" spans="1:15">
      <c r="A2753" s="70">
        <v>2025</v>
      </c>
      <c r="B2753" s="16" t="s">
        <v>696</v>
      </c>
      <c r="C2753" s="393" t="s">
        <v>3740</v>
      </c>
      <c r="D2753" s="2" t="s">
        <v>68</v>
      </c>
      <c r="E2753" s="2" t="s">
        <v>962</v>
      </c>
      <c r="F2753" s="96">
        <v>3054.6</v>
      </c>
      <c r="G2753" s="1" t="s">
        <v>37</v>
      </c>
      <c r="H2753" s="8">
        <v>380</v>
      </c>
      <c r="I2753" s="8">
        <f t="shared" si="180"/>
        <v>1160748</v>
      </c>
      <c r="J2753" s="521">
        <v>365</v>
      </c>
      <c r="K2753" s="521">
        <f t="shared" si="178"/>
        <v>15</v>
      </c>
      <c r="L2753" s="522">
        <f t="shared" si="181"/>
        <v>45819</v>
      </c>
      <c r="M2753" s="523">
        <f t="shared" si="179"/>
        <v>3.9473684210526314E-2</v>
      </c>
      <c r="N2753" s="2" t="s">
        <v>22</v>
      </c>
      <c r="O2753" s="15" t="s">
        <v>105</v>
      </c>
    </row>
    <row r="2754" spans="1:15">
      <c r="A2754" s="70">
        <v>2025</v>
      </c>
      <c r="B2754" s="16" t="s">
        <v>696</v>
      </c>
      <c r="C2754" s="71" t="s">
        <v>3741</v>
      </c>
      <c r="D2754" s="2" t="s">
        <v>94</v>
      </c>
      <c r="E2754" s="2" t="s">
        <v>613</v>
      </c>
      <c r="F2754" s="96">
        <v>200</v>
      </c>
      <c r="G2754" s="1" t="s">
        <v>19</v>
      </c>
      <c r="H2754" s="8">
        <v>26</v>
      </c>
      <c r="I2754" s="8">
        <f t="shared" si="180"/>
        <v>5200</v>
      </c>
      <c r="J2754" s="521">
        <v>24.6</v>
      </c>
      <c r="K2754" s="521">
        <f t="shared" si="178"/>
        <v>1.3999999999999986</v>
      </c>
      <c r="L2754" s="522">
        <f t="shared" si="181"/>
        <v>279.99999999999972</v>
      </c>
      <c r="M2754" s="523">
        <f t="shared" si="179"/>
        <v>5.3846153846153794E-2</v>
      </c>
      <c r="N2754" s="2" t="s">
        <v>22</v>
      </c>
      <c r="O2754" s="15" t="s">
        <v>105</v>
      </c>
    </row>
    <row r="2755" spans="1:15">
      <c r="A2755" s="70">
        <v>2025</v>
      </c>
      <c r="B2755" s="16" t="s">
        <v>696</v>
      </c>
      <c r="C2755" s="71" t="s">
        <v>3741</v>
      </c>
      <c r="D2755" s="2" t="s">
        <v>94</v>
      </c>
      <c r="E2755" s="2" t="s">
        <v>550</v>
      </c>
      <c r="F2755" s="96">
        <v>200</v>
      </c>
      <c r="G2755" s="1" t="s">
        <v>19</v>
      </c>
      <c r="H2755" s="8">
        <v>50</v>
      </c>
      <c r="I2755" s="8">
        <f t="shared" si="180"/>
        <v>10000</v>
      </c>
      <c r="J2755" s="521">
        <v>47.56</v>
      </c>
      <c r="K2755" s="521">
        <f t="shared" ref="K2755:K2818" si="182">H2755-J2755</f>
        <v>2.4399999999999977</v>
      </c>
      <c r="L2755" s="522">
        <f t="shared" si="181"/>
        <v>487.99999999999955</v>
      </c>
      <c r="M2755" s="523">
        <f t="shared" ref="M2755:M2818" si="183">K2755/H2755</f>
        <v>4.8799999999999955E-2</v>
      </c>
      <c r="N2755" s="2" t="s">
        <v>22</v>
      </c>
      <c r="O2755" s="15" t="s">
        <v>105</v>
      </c>
    </row>
    <row r="2756" spans="1:15">
      <c r="A2756" s="70">
        <v>2025</v>
      </c>
      <c r="B2756" s="16" t="s">
        <v>696</v>
      </c>
      <c r="C2756" s="71" t="s">
        <v>3741</v>
      </c>
      <c r="D2756" s="2" t="s">
        <v>94</v>
      </c>
      <c r="E2756" s="2" t="s">
        <v>546</v>
      </c>
      <c r="F2756" s="96">
        <v>100</v>
      </c>
      <c r="G2756" s="1" t="s">
        <v>19</v>
      </c>
      <c r="H2756" s="8">
        <v>190</v>
      </c>
      <c r="I2756" s="8">
        <f t="shared" si="180"/>
        <v>19000</v>
      </c>
      <c r="J2756" s="521">
        <v>182.25</v>
      </c>
      <c r="K2756" s="521">
        <f t="shared" si="182"/>
        <v>7.75</v>
      </c>
      <c r="L2756" s="522">
        <f t="shared" si="181"/>
        <v>775</v>
      </c>
      <c r="M2756" s="523">
        <f t="shared" si="183"/>
        <v>4.0789473684210528E-2</v>
      </c>
      <c r="N2756" s="2" t="s">
        <v>22</v>
      </c>
      <c r="O2756" s="15" t="s">
        <v>105</v>
      </c>
    </row>
    <row r="2757" spans="1:15">
      <c r="A2757" s="70">
        <v>2025</v>
      </c>
      <c r="B2757" s="16" t="s">
        <v>696</v>
      </c>
      <c r="C2757" s="71" t="s">
        <v>3742</v>
      </c>
      <c r="D2757" s="2" t="s">
        <v>107</v>
      </c>
      <c r="E2757" s="2" t="s">
        <v>816</v>
      </c>
      <c r="F2757" s="96">
        <v>12</v>
      </c>
      <c r="G2757" s="1" t="s">
        <v>19</v>
      </c>
      <c r="H2757" s="8">
        <v>2900</v>
      </c>
      <c r="I2757" s="8">
        <f t="shared" si="180"/>
        <v>34800</v>
      </c>
      <c r="J2757" s="521">
        <v>2625</v>
      </c>
      <c r="K2757" s="521">
        <f t="shared" si="182"/>
        <v>275</v>
      </c>
      <c r="L2757" s="522">
        <f t="shared" si="181"/>
        <v>3300</v>
      </c>
      <c r="M2757" s="523">
        <f t="shared" si="183"/>
        <v>9.4827586206896547E-2</v>
      </c>
      <c r="N2757" s="2" t="s">
        <v>22</v>
      </c>
      <c r="O2757" s="15" t="s">
        <v>105</v>
      </c>
    </row>
    <row r="2758" spans="1:15">
      <c r="A2758" s="70">
        <v>2025</v>
      </c>
      <c r="B2758" s="16" t="s">
        <v>696</v>
      </c>
      <c r="C2758" s="393" t="s">
        <v>3743</v>
      </c>
      <c r="D2758" s="2" t="s">
        <v>1042</v>
      </c>
      <c r="E2758" s="2" t="s">
        <v>609</v>
      </c>
      <c r="F2758" s="96">
        <v>627</v>
      </c>
      <c r="G2758" s="1" t="s">
        <v>37</v>
      </c>
      <c r="H2758" s="8">
        <v>382</v>
      </c>
      <c r="I2758" s="8">
        <f t="shared" si="180"/>
        <v>239514</v>
      </c>
      <c r="J2758" s="521">
        <v>357</v>
      </c>
      <c r="K2758" s="521">
        <f t="shared" si="182"/>
        <v>25</v>
      </c>
      <c r="L2758" s="522">
        <f t="shared" si="181"/>
        <v>15675</v>
      </c>
      <c r="M2758" s="523">
        <f t="shared" si="183"/>
        <v>6.5445026178010471E-2</v>
      </c>
      <c r="N2758" s="2" t="s">
        <v>22</v>
      </c>
      <c r="O2758" s="15" t="s">
        <v>105</v>
      </c>
    </row>
    <row r="2759" spans="1:15">
      <c r="A2759" s="70">
        <v>2025</v>
      </c>
      <c r="B2759" s="16" t="s">
        <v>696</v>
      </c>
      <c r="C2759" s="71" t="s">
        <v>3744</v>
      </c>
      <c r="D2759" s="2" t="s">
        <v>192</v>
      </c>
      <c r="E2759" s="2" t="s">
        <v>3745</v>
      </c>
      <c r="F2759" s="96">
        <v>1</v>
      </c>
      <c r="G2759" s="1" t="s">
        <v>19</v>
      </c>
      <c r="H2759" s="8">
        <v>35900</v>
      </c>
      <c r="I2759" s="8">
        <f t="shared" si="180"/>
        <v>35900</v>
      </c>
      <c r="J2759" s="521">
        <v>31970</v>
      </c>
      <c r="K2759" s="521">
        <f t="shared" si="182"/>
        <v>3930</v>
      </c>
      <c r="L2759" s="522">
        <f t="shared" si="181"/>
        <v>3930</v>
      </c>
      <c r="M2759" s="523">
        <f t="shared" si="183"/>
        <v>0.10947075208913649</v>
      </c>
      <c r="N2759" s="2" t="s">
        <v>22</v>
      </c>
      <c r="O2759" s="15" t="s">
        <v>105</v>
      </c>
    </row>
    <row r="2760" spans="1:15">
      <c r="A2760" s="70">
        <v>2025</v>
      </c>
      <c r="B2760" s="16" t="s">
        <v>696</v>
      </c>
      <c r="C2760" s="71" t="s">
        <v>3746</v>
      </c>
      <c r="D2760" s="2" t="s">
        <v>94</v>
      </c>
      <c r="E2760" s="2" t="s">
        <v>613</v>
      </c>
      <c r="F2760" s="96">
        <v>100</v>
      </c>
      <c r="G2760" s="1" t="s">
        <v>19</v>
      </c>
      <c r="H2760" s="8">
        <v>26</v>
      </c>
      <c r="I2760" s="8">
        <f t="shared" si="180"/>
        <v>2600</v>
      </c>
      <c r="J2760" s="521">
        <v>24.6</v>
      </c>
      <c r="K2760" s="521">
        <f t="shared" si="182"/>
        <v>1.3999999999999986</v>
      </c>
      <c r="L2760" s="522">
        <f t="shared" si="181"/>
        <v>139.99999999999986</v>
      </c>
      <c r="M2760" s="523">
        <f t="shared" si="183"/>
        <v>5.3846153846153794E-2</v>
      </c>
      <c r="N2760" s="2" t="s">
        <v>22</v>
      </c>
      <c r="O2760" s="15" t="s">
        <v>105</v>
      </c>
    </row>
    <row r="2761" spans="1:15">
      <c r="A2761" s="70">
        <v>2025</v>
      </c>
      <c r="B2761" s="16" t="s">
        <v>696</v>
      </c>
      <c r="C2761" s="71" t="s">
        <v>3746</v>
      </c>
      <c r="D2761" s="2" t="s">
        <v>94</v>
      </c>
      <c r="E2761" s="2" t="s">
        <v>457</v>
      </c>
      <c r="F2761" s="96">
        <v>100</v>
      </c>
      <c r="G2761" s="1" t="s">
        <v>19</v>
      </c>
      <c r="H2761" s="8">
        <v>5.25</v>
      </c>
      <c r="I2761" s="8">
        <f t="shared" si="180"/>
        <v>525</v>
      </c>
      <c r="J2761" s="521">
        <v>5.0999999999999996</v>
      </c>
      <c r="K2761" s="521">
        <f t="shared" si="182"/>
        <v>0.15000000000000036</v>
      </c>
      <c r="L2761" s="522">
        <f t="shared" si="181"/>
        <v>15.000000000000036</v>
      </c>
      <c r="M2761" s="523">
        <f t="shared" si="183"/>
        <v>2.857142857142864E-2</v>
      </c>
      <c r="N2761" s="2" t="s">
        <v>22</v>
      </c>
      <c r="O2761" s="15" t="s">
        <v>105</v>
      </c>
    </row>
    <row r="2762" spans="1:15">
      <c r="A2762" s="70">
        <v>2025</v>
      </c>
      <c r="B2762" s="16" t="s">
        <v>696</v>
      </c>
      <c r="C2762" s="71" t="s">
        <v>3747</v>
      </c>
      <c r="D2762" s="2" t="s">
        <v>3620</v>
      </c>
      <c r="E2762" s="2" t="s">
        <v>3748</v>
      </c>
      <c r="F2762" s="96">
        <v>2</v>
      </c>
      <c r="G2762" s="1" t="s">
        <v>285</v>
      </c>
      <c r="H2762" s="8">
        <v>14000</v>
      </c>
      <c r="I2762" s="8">
        <f t="shared" si="180"/>
        <v>28000</v>
      </c>
      <c r="J2762" s="521">
        <v>13000</v>
      </c>
      <c r="K2762" s="521">
        <f t="shared" si="182"/>
        <v>1000</v>
      </c>
      <c r="L2762" s="522">
        <f t="shared" si="181"/>
        <v>2000</v>
      </c>
      <c r="M2762" s="523">
        <f t="shared" si="183"/>
        <v>7.1428571428571425E-2</v>
      </c>
      <c r="N2762" s="2" t="s">
        <v>22</v>
      </c>
      <c r="O2762" s="15" t="s">
        <v>39</v>
      </c>
    </row>
    <row r="2763" spans="1:15">
      <c r="A2763" s="70">
        <v>2025</v>
      </c>
      <c r="B2763" s="16" t="s">
        <v>696</v>
      </c>
      <c r="C2763" s="71" t="s">
        <v>3749</v>
      </c>
      <c r="D2763" s="2" t="s">
        <v>1042</v>
      </c>
      <c r="E2763" s="2" t="s">
        <v>711</v>
      </c>
      <c r="F2763" s="96">
        <v>2399</v>
      </c>
      <c r="G2763" s="1" t="s">
        <v>37</v>
      </c>
      <c r="H2763" s="8">
        <v>382</v>
      </c>
      <c r="I2763" s="8">
        <f t="shared" si="180"/>
        <v>916418</v>
      </c>
      <c r="J2763" s="521">
        <v>357</v>
      </c>
      <c r="K2763" s="521">
        <f t="shared" si="182"/>
        <v>25</v>
      </c>
      <c r="L2763" s="522">
        <f t="shared" si="181"/>
        <v>59975</v>
      </c>
      <c r="M2763" s="523">
        <f t="shared" si="183"/>
        <v>6.5445026178010471E-2</v>
      </c>
      <c r="N2763" s="2" t="s">
        <v>22</v>
      </c>
      <c r="O2763" s="15" t="s">
        <v>105</v>
      </c>
    </row>
    <row r="2764" spans="1:15">
      <c r="A2764" s="70">
        <v>2025</v>
      </c>
      <c r="B2764" s="16" t="s">
        <v>696</v>
      </c>
      <c r="C2764" s="71" t="s">
        <v>3750</v>
      </c>
      <c r="D2764" s="2" t="s">
        <v>94</v>
      </c>
      <c r="E2764" s="2" t="s">
        <v>613</v>
      </c>
      <c r="F2764" s="96">
        <v>200</v>
      </c>
      <c r="G2764" s="1" t="s">
        <v>19</v>
      </c>
      <c r="H2764" s="8">
        <v>26</v>
      </c>
      <c r="I2764" s="8">
        <f t="shared" si="180"/>
        <v>5200</v>
      </c>
      <c r="J2764" s="521">
        <v>24.6</v>
      </c>
      <c r="K2764" s="521">
        <f t="shared" si="182"/>
        <v>1.3999999999999986</v>
      </c>
      <c r="L2764" s="522">
        <f t="shared" si="181"/>
        <v>279.99999999999972</v>
      </c>
      <c r="M2764" s="523">
        <f t="shared" si="183"/>
        <v>5.3846153846153794E-2</v>
      </c>
      <c r="N2764" s="2" t="s">
        <v>22</v>
      </c>
      <c r="O2764" s="15" t="s">
        <v>105</v>
      </c>
    </row>
    <row r="2765" spans="1:15">
      <c r="A2765" s="70">
        <v>2025</v>
      </c>
      <c r="B2765" s="16" t="s">
        <v>696</v>
      </c>
      <c r="C2765" s="71" t="s">
        <v>3750</v>
      </c>
      <c r="D2765" s="2" t="s">
        <v>94</v>
      </c>
      <c r="E2765" s="2" t="s">
        <v>550</v>
      </c>
      <c r="F2765" s="96">
        <v>200</v>
      </c>
      <c r="G2765" s="1" t="s">
        <v>19</v>
      </c>
      <c r="H2765" s="8">
        <v>50</v>
      </c>
      <c r="I2765" s="8">
        <f t="shared" si="180"/>
        <v>10000</v>
      </c>
      <c r="J2765" s="521">
        <v>47.56</v>
      </c>
      <c r="K2765" s="521">
        <f t="shared" si="182"/>
        <v>2.4399999999999977</v>
      </c>
      <c r="L2765" s="522">
        <f t="shared" si="181"/>
        <v>487.99999999999955</v>
      </c>
      <c r="M2765" s="523">
        <f t="shared" si="183"/>
        <v>4.8799999999999955E-2</v>
      </c>
      <c r="N2765" s="2" t="s">
        <v>22</v>
      </c>
      <c r="O2765" s="15" t="s">
        <v>105</v>
      </c>
    </row>
    <row r="2766" spans="1:15">
      <c r="A2766" s="70">
        <v>2025</v>
      </c>
      <c r="B2766" s="16" t="s">
        <v>696</v>
      </c>
      <c r="C2766" s="71" t="s">
        <v>3750</v>
      </c>
      <c r="D2766" s="2" t="s">
        <v>94</v>
      </c>
      <c r="E2766" s="2" t="s">
        <v>458</v>
      </c>
      <c r="F2766" s="96">
        <v>100</v>
      </c>
      <c r="G2766" s="1" t="s">
        <v>19</v>
      </c>
      <c r="H2766" s="8">
        <v>9.5</v>
      </c>
      <c r="I2766" s="8">
        <f t="shared" si="180"/>
        <v>950</v>
      </c>
      <c r="J2766" s="521">
        <v>9.35</v>
      </c>
      <c r="K2766" s="521">
        <f t="shared" si="182"/>
        <v>0.15000000000000036</v>
      </c>
      <c r="L2766" s="522">
        <f t="shared" si="181"/>
        <v>15.000000000000036</v>
      </c>
      <c r="M2766" s="523">
        <f t="shared" si="183"/>
        <v>1.5789473684210565E-2</v>
      </c>
      <c r="N2766" s="2" t="s">
        <v>22</v>
      </c>
      <c r="O2766" s="15" t="s">
        <v>105</v>
      </c>
    </row>
    <row r="2767" spans="1:15">
      <c r="A2767" s="70">
        <v>2025</v>
      </c>
      <c r="B2767" s="16" t="s">
        <v>696</v>
      </c>
      <c r="C2767" s="71" t="s">
        <v>3751</v>
      </c>
      <c r="D2767" s="2" t="s">
        <v>118</v>
      </c>
      <c r="E2767" s="2" t="s">
        <v>3752</v>
      </c>
      <c r="F2767" s="96">
        <v>4</v>
      </c>
      <c r="G2767" s="1" t="s">
        <v>19</v>
      </c>
      <c r="H2767" s="8">
        <v>166</v>
      </c>
      <c r="I2767" s="8">
        <v>664</v>
      </c>
      <c r="J2767" s="521">
        <v>78</v>
      </c>
      <c r="K2767" s="521">
        <f t="shared" si="182"/>
        <v>88</v>
      </c>
      <c r="L2767" s="522">
        <f t="shared" si="181"/>
        <v>352</v>
      </c>
      <c r="M2767" s="523">
        <f t="shared" si="183"/>
        <v>0.53012048192771088</v>
      </c>
      <c r="N2767" s="2" t="s">
        <v>40</v>
      </c>
      <c r="O2767" s="15" t="s">
        <v>105</v>
      </c>
    </row>
    <row r="2768" spans="1:15">
      <c r="A2768" s="70">
        <v>2025</v>
      </c>
      <c r="B2768" s="16" t="s">
        <v>696</v>
      </c>
      <c r="C2768" s="71" t="s">
        <v>3751</v>
      </c>
      <c r="D2768" s="2" t="s">
        <v>118</v>
      </c>
      <c r="E2768" s="2" t="s">
        <v>3753</v>
      </c>
      <c r="F2768" s="96">
        <v>4</v>
      </c>
      <c r="G2768" s="1" t="s">
        <v>19</v>
      </c>
      <c r="H2768" s="8">
        <v>57</v>
      </c>
      <c r="I2768" s="8">
        <v>228</v>
      </c>
      <c r="J2768" s="521">
        <v>25</v>
      </c>
      <c r="K2768" s="521">
        <f t="shared" si="182"/>
        <v>32</v>
      </c>
      <c r="L2768" s="522">
        <f t="shared" si="181"/>
        <v>128</v>
      </c>
      <c r="M2768" s="523">
        <f t="shared" si="183"/>
        <v>0.56140350877192979</v>
      </c>
      <c r="N2768" s="2" t="s">
        <v>40</v>
      </c>
      <c r="O2768" s="15" t="s">
        <v>105</v>
      </c>
    </row>
    <row r="2769" spans="1:15">
      <c r="A2769" s="70">
        <v>2025</v>
      </c>
      <c r="B2769" s="16" t="s">
        <v>696</v>
      </c>
      <c r="C2769" s="71" t="s">
        <v>3754</v>
      </c>
      <c r="D2769" s="2" t="s">
        <v>118</v>
      </c>
      <c r="E2769" s="2" t="s">
        <v>3755</v>
      </c>
      <c r="F2769" s="96">
        <v>1</v>
      </c>
      <c r="G2769" s="1" t="s">
        <v>19</v>
      </c>
      <c r="H2769" s="8">
        <v>6550</v>
      </c>
      <c r="I2769" s="8">
        <v>6550</v>
      </c>
      <c r="J2769" s="521">
        <v>6026</v>
      </c>
      <c r="K2769" s="521">
        <f t="shared" si="182"/>
        <v>524</v>
      </c>
      <c r="L2769" s="522">
        <f t="shared" si="181"/>
        <v>524</v>
      </c>
      <c r="M2769" s="523">
        <f t="shared" si="183"/>
        <v>0.08</v>
      </c>
      <c r="N2769" s="2" t="s">
        <v>40</v>
      </c>
      <c r="O2769" s="15" t="s">
        <v>105</v>
      </c>
    </row>
    <row r="2770" spans="1:15">
      <c r="A2770" s="70">
        <v>2025</v>
      </c>
      <c r="B2770" s="16" t="s">
        <v>696</v>
      </c>
      <c r="C2770" s="71" t="s">
        <v>3756</v>
      </c>
      <c r="D2770" s="2" t="s">
        <v>1948</v>
      </c>
      <c r="E2770" s="2" t="s">
        <v>3757</v>
      </c>
      <c r="F2770" s="96">
        <v>20</v>
      </c>
      <c r="G2770" s="1" t="s">
        <v>19</v>
      </c>
      <c r="H2770" s="8">
        <v>350</v>
      </c>
      <c r="I2770" s="8">
        <v>7000</v>
      </c>
      <c r="J2770" s="521">
        <v>271.8</v>
      </c>
      <c r="K2770" s="521">
        <f t="shared" si="182"/>
        <v>78.199999999999989</v>
      </c>
      <c r="L2770" s="522">
        <f t="shared" si="181"/>
        <v>1563.9999999999998</v>
      </c>
      <c r="M2770" s="523">
        <f t="shared" si="183"/>
        <v>0.22342857142857139</v>
      </c>
      <c r="N2770" s="2" t="s">
        <v>40</v>
      </c>
      <c r="O2770" s="15" t="s">
        <v>105</v>
      </c>
    </row>
    <row r="2771" spans="1:15">
      <c r="A2771" s="70">
        <v>2025</v>
      </c>
      <c r="B2771" s="16" t="s">
        <v>696</v>
      </c>
      <c r="C2771" s="71" t="s">
        <v>3758</v>
      </c>
      <c r="D2771" s="2" t="s">
        <v>1948</v>
      </c>
      <c r="E2771" s="2" t="s">
        <v>3759</v>
      </c>
      <c r="F2771" s="96">
        <v>1</v>
      </c>
      <c r="G2771" s="1" t="s">
        <v>19</v>
      </c>
      <c r="H2771" s="8">
        <v>13000</v>
      </c>
      <c r="I2771" s="8">
        <v>13000</v>
      </c>
      <c r="J2771" s="521">
        <v>8235</v>
      </c>
      <c r="K2771" s="521">
        <f t="shared" si="182"/>
        <v>4765</v>
      </c>
      <c r="L2771" s="522">
        <f t="shared" si="181"/>
        <v>4765</v>
      </c>
      <c r="M2771" s="523">
        <f t="shared" si="183"/>
        <v>0.36653846153846154</v>
      </c>
      <c r="N2771" s="2" t="s">
        <v>40</v>
      </c>
      <c r="O2771" s="15" t="s">
        <v>105</v>
      </c>
    </row>
    <row r="2772" spans="1:15">
      <c r="A2772" s="70">
        <v>2025</v>
      </c>
      <c r="B2772" s="16" t="s">
        <v>696</v>
      </c>
      <c r="C2772" s="71" t="s">
        <v>3760</v>
      </c>
      <c r="D2772" s="2" t="s">
        <v>118</v>
      </c>
      <c r="E2772" s="2" t="s">
        <v>3761</v>
      </c>
      <c r="F2772" s="96">
        <v>5</v>
      </c>
      <c r="G2772" s="1" t="s">
        <v>19</v>
      </c>
      <c r="H2772" s="8">
        <v>155</v>
      </c>
      <c r="I2772" s="8">
        <v>775</v>
      </c>
      <c r="J2772" s="521">
        <v>95</v>
      </c>
      <c r="K2772" s="521">
        <f t="shared" si="182"/>
        <v>60</v>
      </c>
      <c r="L2772" s="522">
        <f t="shared" si="181"/>
        <v>300</v>
      </c>
      <c r="M2772" s="523">
        <f t="shared" si="183"/>
        <v>0.38709677419354838</v>
      </c>
      <c r="N2772" s="2" t="s">
        <v>40</v>
      </c>
      <c r="O2772" s="15" t="s">
        <v>105</v>
      </c>
    </row>
    <row r="2773" spans="1:15">
      <c r="A2773" s="70">
        <v>2025</v>
      </c>
      <c r="B2773" s="16" t="s">
        <v>696</v>
      </c>
      <c r="C2773" s="71" t="s">
        <v>3760</v>
      </c>
      <c r="D2773" s="2" t="s">
        <v>118</v>
      </c>
      <c r="E2773" s="2" t="s">
        <v>3762</v>
      </c>
      <c r="F2773" s="96">
        <v>2</v>
      </c>
      <c r="G2773" s="1" t="s">
        <v>19</v>
      </c>
      <c r="H2773" s="8">
        <v>790</v>
      </c>
      <c r="I2773" s="8">
        <v>1580</v>
      </c>
      <c r="J2773" s="521">
        <v>655.99</v>
      </c>
      <c r="K2773" s="521">
        <f t="shared" si="182"/>
        <v>134.01</v>
      </c>
      <c r="L2773" s="522">
        <f t="shared" si="181"/>
        <v>268.02</v>
      </c>
      <c r="M2773" s="523">
        <f t="shared" si="183"/>
        <v>0.16963291139240505</v>
      </c>
      <c r="N2773" s="2" t="s">
        <v>40</v>
      </c>
      <c r="O2773" s="15" t="s">
        <v>105</v>
      </c>
    </row>
    <row r="2774" spans="1:15">
      <c r="A2774" s="70">
        <v>2025</v>
      </c>
      <c r="B2774" s="16" t="s">
        <v>696</v>
      </c>
      <c r="C2774" s="71" t="s">
        <v>3760</v>
      </c>
      <c r="D2774" s="2" t="s">
        <v>118</v>
      </c>
      <c r="E2774" s="2" t="s">
        <v>3763</v>
      </c>
      <c r="F2774" s="96">
        <v>5</v>
      </c>
      <c r="G2774" s="1" t="s">
        <v>19</v>
      </c>
      <c r="H2774" s="8">
        <v>1390</v>
      </c>
      <c r="I2774" s="8">
        <v>6950</v>
      </c>
      <c r="J2774" s="521">
        <v>1103.22</v>
      </c>
      <c r="K2774" s="521">
        <f t="shared" si="182"/>
        <v>286.77999999999997</v>
      </c>
      <c r="L2774" s="522">
        <f t="shared" si="181"/>
        <v>1433.8999999999999</v>
      </c>
      <c r="M2774" s="523">
        <f t="shared" si="183"/>
        <v>0.2063165467625899</v>
      </c>
      <c r="N2774" s="2" t="s">
        <v>40</v>
      </c>
      <c r="O2774" s="15" t="s">
        <v>105</v>
      </c>
    </row>
    <row r="2775" spans="1:15">
      <c r="A2775" s="70">
        <v>2025</v>
      </c>
      <c r="B2775" s="16" t="s">
        <v>696</v>
      </c>
      <c r="C2775" s="71" t="s">
        <v>3760</v>
      </c>
      <c r="D2775" s="2" t="s">
        <v>118</v>
      </c>
      <c r="E2775" s="2" t="s">
        <v>3764</v>
      </c>
      <c r="F2775" s="96">
        <v>2</v>
      </c>
      <c r="G2775" s="1" t="s">
        <v>19</v>
      </c>
      <c r="H2775" s="8">
        <v>1450</v>
      </c>
      <c r="I2775" s="8">
        <v>2900</v>
      </c>
      <c r="J2775" s="521">
        <v>1230.8599999999999</v>
      </c>
      <c r="K2775" s="521">
        <f t="shared" si="182"/>
        <v>219.1400000000001</v>
      </c>
      <c r="L2775" s="522">
        <f t="shared" si="181"/>
        <v>438.2800000000002</v>
      </c>
      <c r="M2775" s="523">
        <f t="shared" si="183"/>
        <v>0.15113103448275869</v>
      </c>
      <c r="N2775" s="2" t="s">
        <v>40</v>
      </c>
      <c r="O2775" s="15" t="s">
        <v>105</v>
      </c>
    </row>
    <row r="2776" spans="1:15">
      <c r="A2776" s="70">
        <v>2025</v>
      </c>
      <c r="B2776" s="16" t="s">
        <v>696</v>
      </c>
      <c r="C2776" s="71" t="s">
        <v>3765</v>
      </c>
      <c r="D2776" s="2" t="s">
        <v>1948</v>
      </c>
      <c r="E2776" s="2" t="s">
        <v>3766</v>
      </c>
      <c r="F2776" s="96">
        <v>100</v>
      </c>
      <c r="G2776" s="1" t="s">
        <v>19</v>
      </c>
      <c r="H2776" s="8">
        <v>50</v>
      </c>
      <c r="I2776" s="8">
        <v>5000</v>
      </c>
      <c r="J2776" s="521">
        <v>42.3</v>
      </c>
      <c r="K2776" s="521">
        <f t="shared" si="182"/>
        <v>7.7000000000000028</v>
      </c>
      <c r="L2776" s="522">
        <f t="shared" si="181"/>
        <v>770.00000000000023</v>
      </c>
      <c r="M2776" s="523">
        <f t="shared" si="183"/>
        <v>0.15400000000000005</v>
      </c>
      <c r="N2776" s="2" t="s">
        <v>40</v>
      </c>
      <c r="O2776" s="15" t="s">
        <v>105</v>
      </c>
    </row>
    <row r="2777" spans="1:15">
      <c r="A2777" s="70">
        <v>2025</v>
      </c>
      <c r="B2777" s="16" t="s">
        <v>696</v>
      </c>
      <c r="C2777" s="71" t="s">
        <v>3765</v>
      </c>
      <c r="D2777" s="2" t="s">
        <v>1948</v>
      </c>
      <c r="E2777" s="2" t="s">
        <v>3767</v>
      </c>
      <c r="F2777" s="96">
        <v>40</v>
      </c>
      <c r="G2777" s="1" t="s">
        <v>19</v>
      </c>
      <c r="H2777" s="8">
        <v>210</v>
      </c>
      <c r="I2777" s="8">
        <v>8400</v>
      </c>
      <c r="J2777" s="521">
        <v>124.2</v>
      </c>
      <c r="K2777" s="521">
        <f t="shared" si="182"/>
        <v>85.8</v>
      </c>
      <c r="L2777" s="522">
        <f t="shared" si="181"/>
        <v>3432</v>
      </c>
      <c r="M2777" s="523">
        <f t="shared" si="183"/>
        <v>0.40857142857142859</v>
      </c>
      <c r="N2777" s="2" t="s">
        <v>40</v>
      </c>
      <c r="O2777" s="15" t="s">
        <v>105</v>
      </c>
    </row>
    <row r="2778" spans="1:15">
      <c r="A2778" s="70">
        <v>2025</v>
      </c>
      <c r="B2778" s="16" t="s">
        <v>696</v>
      </c>
      <c r="C2778" s="71" t="s">
        <v>3765</v>
      </c>
      <c r="D2778" s="2" t="s">
        <v>1948</v>
      </c>
      <c r="E2778" s="2" t="s">
        <v>3768</v>
      </c>
      <c r="F2778" s="96">
        <v>20</v>
      </c>
      <c r="G2778" s="1" t="s">
        <v>19</v>
      </c>
      <c r="H2778" s="8">
        <v>570</v>
      </c>
      <c r="I2778" s="8">
        <v>11400</v>
      </c>
      <c r="J2778" s="521">
        <v>435</v>
      </c>
      <c r="K2778" s="521">
        <f t="shared" si="182"/>
        <v>135</v>
      </c>
      <c r="L2778" s="522">
        <f t="shared" si="181"/>
        <v>2700</v>
      </c>
      <c r="M2778" s="523">
        <f t="shared" si="183"/>
        <v>0.23684210526315788</v>
      </c>
      <c r="N2778" s="2" t="s">
        <v>40</v>
      </c>
      <c r="O2778" s="15" t="s">
        <v>105</v>
      </c>
    </row>
    <row r="2779" spans="1:15">
      <c r="A2779" s="70">
        <v>2025</v>
      </c>
      <c r="B2779" s="16" t="s">
        <v>696</v>
      </c>
      <c r="C2779" s="71" t="s">
        <v>3765</v>
      </c>
      <c r="D2779" s="2" t="s">
        <v>1948</v>
      </c>
      <c r="E2779" s="2" t="s">
        <v>3769</v>
      </c>
      <c r="F2779" s="96">
        <v>5</v>
      </c>
      <c r="G2779" s="1" t="s">
        <v>19</v>
      </c>
      <c r="H2779" s="8">
        <v>250</v>
      </c>
      <c r="I2779" s="8">
        <v>1250</v>
      </c>
      <c r="J2779" s="521">
        <v>109.8</v>
      </c>
      <c r="K2779" s="521">
        <f t="shared" si="182"/>
        <v>140.19999999999999</v>
      </c>
      <c r="L2779" s="522">
        <f t="shared" si="181"/>
        <v>701</v>
      </c>
      <c r="M2779" s="523">
        <f t="shared" si="183"/>
        <v>0.56079999999999997</v>
      </c>
      <c r="N2779" s="2" t="s">
        <v>40</v>
      </c>
      <c r="O2779" s="15" t="s">
        <v>105</v>
      </c>
    </row>
    <row r="2780" spans="1:15">
      <c r="A2780" s="70">
        <v>2025</v>
      </c>
      <c r="B2780" s="16" t="s">
        <v>696</v>
      </c>
      <c r="C2780" s="71" t="s">
        <v>3770</v>
      </c>
      <c r="D2780" s="2" t="s">
        <v>125</v>
      </c>
      <c r="E2780" s="2" t="s">
        <v>3771</v>
      </c>
      <c r="F2780" s="96">
        <v>1</v>
      </c>
      <c r="G2780" s="1" t="s">
        <v>285</v>
      </c>
      <c r="H2780" s="8">
        <v>785972</v>
      </c>
      <c r="I2780" s="8">
        <v>750000</v>
      </c>
      <c r="J2780" s="521">
        <v>750000</v>
      </c>
      <c r="K2780" s="521">
        <f t="shared" si="182"/>
        <v>35972</v>
      </c>
      <c r="L2780" s="522">
        <f t="shared" si="181"/>
        <v>35972</v>
      </c>
      <c r="M2780" s="523">
        <f t="shared" si="183"/>
        <v>4.5767533703490709E-2</v>
      </c>
      <c r="N2780" s="2" t="s">
        <v>40</v>
      </c>
      <c r="O2780" s="15" t="s">
        <v>105</v>
      </c>
    </row>
    <row r="2781" spans="1:15">
      <c r="A2781" s="70">
        <v>2025</v>
      </c>
      <c r="B2781" s="16" t="s">
        <v>696</v>
      </c>
      <c r="C2781" s="71" t="s">
        <v>3772</v>
      </c>
      <c r="D2781" s="2" t="s">
        <v>17</v>
      </c>
      <c r="E2781" s="2" t="s">
        <v>3773</v>
      </c>
      <c r="F2781" s="96">
        <v>20</v>
      </c>
      <c r="G2781" s="1" t="s">
        <v>499</v>
      </c>
      <c r="H2781" s="8">
        <v>25</v>
      </c>
      <c r="I2781" s="8">
        <v>500</v>
      </c>
      <c r="J2781" s="521">
        <v>18</v>
      </c>
      <c r="K2781" s="521">
        <f t="shared" si="182"/>
        <v>7</v>
      </c>
      <c r="L2781" s="522">
        <f t="shared" si="181"/>
        <v>140</v>
      </c>
      <c r="M2781" s="523">
        <f t="shared" si="183"/>
        <v>0.28000000000000003</v>
      </c>
      <c r="N2781" s="2" t="s">
        <v>40</v>
      </c>
      <c r="O2781" s="15" t="s">
        <v>105</v>
      </c>
    </row>
    <row r="2782" spans="1:15">
      <c r="A2782" s="70">
        <v>2025</v>
      </c>
      <c r="B2782" s="16" t="s">
        <v>696</v>
      </c>
      <c r="C2782" s="71" t="s">
        <v>3774</v>
      </c>
      <c r="D2782" s="2" t="s">
        <v>24</v>
      </c>
      <c r="E2782" s="2" t="s">
        <v>3775</v>
      </c>
      <c r="F2782" s="96">
        <v>10</v>
      </c>
      <c r="G2782" s="1" t="s">
        <v>19</v>
      </c>
      <c r="H2782" s="8">
        <v>2350</v>
      </c>
      <c r="I2782" s="8">
        <v>23500</v>
      </c>
      <c r="J2782" s="521">
        <v>2100</v>
      </c>
      <c r="K2782" s="521">
        <f t="shared" si="182"/>
        <v>250</v>
      </c>
      <c r="L2782" s="522">
        <f t="shared" si="181"/>
        <v>2500</v>
      </c>
      <c r="M2782" s="523">
        <f t="shared" si="183"/>
        <v>0.10638297872340426</v>
      </c>
      <c r="N2782" s="2" t="s">
        <v>40</v>
      </c>
      <c r="O2782" s="15" t="s">
        <v>105</v>
      </c>
    </row>
    <row r="2783" spans="1:15">
      <c r="A2783" s="70">
        <v>2025</v>
      </c>
      <c r="B2783" s="16" t="s">
        <v>696</v>
      </c>
      <c r="C2783" s="71" t="s">
        <v>3776</v>
      </c>
      <c r="D2783" s="2" t="s">
        <v>110</v>
      </c>
      <c r="E2783" s="2" t="s">
        <v>3777</v>
      </c>
      <c r="F2783" s="96">
        <v>6</v>
      </c>
      <c r="G2783" s="1" t="s">
        <v>19</v>
      </c>
      <c r="H2783" s="8">
        <v>450</v>
      </c>
      <c r="I2783" s="8">
        <v>2700</v>
      </c>
      <c r="J2783" s="521">
        <v>380</v>
      </c>
      <c r="K2783" s="521">
        <f t="shared" si="182"/>
        <v>70</v>
      </c>
      <c r="L2783" s="522">
        <f t="shared" si="181"/>
        <v>420</v>
      </c>
      <c r="M2783" s="523">
        <f t="shared" si="183"/>
        <v>0.15555555555555556</v>
      </c>
      <c r="N2783" s="2" t="s">
        <v>40</v>
      </c>
      <c r="O2783" s="15" t="s">
        <v>105</v>
      </c>
    </row>
    <row r="2784" spans="1:15">
      <c r="A2784" s="70">
        <v>2025</v>
      </c>
      <c r="B2784" s="16" t="s">
        <v>696</v>
      </c>
      <c r="C2784" s="71" t="s">
        <v>3778</v>
      </c>
      <c r="D2784" s="2" t="s">
        <v>1948</v>
      </c>
      <c r="E2784" s="2" t="s">
        <v>3779</v>
      </c>
      <c r="F2784" s="96">
        <v>24</v>
      </c>
      <c r="G2784" s="1" t="s">
        <v>19</v>
      </c>
      <c r="H2784" s="8">
        <v>249</v>
      </c>
      <c r="I2784" s="8">
        <v>5976</v>
      </c>
      <c r="J2784" s="521">
        <v>117.3</v>
      </c>
      <c r="K2784" s="521">
        <f t="shared" si="182"/>
        <v>131.69999999999999</v>
      </c>
      <c r="L2784" s="522">
        <f t="shared" si="181"/>
        <v>3160.7999999999997</v>
      </c>
      <c r="M2784" s="523">
        <f t="shared" si="183"/>
        <v>0.52891566265060241</v>
      </c>
      <c r="N2784" s="2" t="s">
        <v>40</v>
      </c>
      <c r="O2784" s="15" t="s">
        <v>105</v>
      </c>
    </row>
    <row r="2785" spans="1:15">
      <c r="A2785" s="70">
        <v>2025</v>
      </c>
      <c r="B2785" s="16" t="s">
        <v>696</v>
      </c>
      <c r="C2785" s="71" t="s">
        <v>3780</v>
      </c>
      <c r="D2785" s="2" t="s">
        <v>1948</v>
      </c>
      <c r="E2785" s="2" t="s">
        <v>3781</v>
      </c>
      <c r="F2785" s="96">
        <v>1</v>
      </c>
      <c r="G2785" s="1" t="s">
        <v>19</v>
      </c>
      <c r="H2785" s="8">
        <v>11680</v>
      </c>
      <c r="I2785" s="8">
        <v>11680</v>
      </c>
      <c r="J2785" s="521">
        <v>9360</v>
      </c>
      <c r="K2785" s="521">
        <f t="shared" si="182"/>
        <v>2320</v>
      </c>
      <c r="L2785" s="522">
        <f t="shared" si="181"/>
        <v>2320</v>
      </c>
      <c r="M2785" s="523">
        <f t="shared" si="183"/>
        <v>0.19863013698630136</v>
      </c>
      <c r="N2785" s="2" t="s">
        <v>40</v>
      </c>
      <c r="O2785" s="15" t="s">
        <v>105</v>
      </c>
    </row>
    <row r="2786" spans="1:15">
      <c r="A2786" s="70">
        <v>2025</v>
      </c>
      <c r="B2786" s="16" t="s">
        <v>696</v>
      </c>
      <c r="C2786" s="71" t="s">
        <v>3782</v>
      </c>
      <c r="D2786" s="2" t="s">
        <v>1390</v>
      </c>
      <c r="E2786" s="2" t="s">
        <v>3783</v>
      </c>
      <c r="F2786" s="96">
        <v>3</v>
      </c>
      <c r="G2786" s="1" t="s">
        <v>19</v>
      </c>
      <c r="H2786" s="8">
        <v>159</v>
      </c>
      <c r="I2786" s="8">
        <v>477</v>
      </c>
      <c r="J2786" s="521">
        <v>91.52</v>
      </c>
      <c r="K2786" s="521">
        <f t="shared" si="182"/>
        <v>67.48</v>
      </c>
      <c r="L2786" s="522">
        <f t="shared" si="181"/>
        <v>202.44</v>
      </c>
      <c r="M2786" s="523">
        <f t="shared" si="183"/>
        <v>0.42440251572327048</v>
      </c>
      <c r="N2786" s="2" t="s">
        <v>40</v>
      </c>
      <c r="O2786" s="15" t="s">
        <v>105</v>
      </c>
    </row>
    <row r="2787" spans="1:15">
      <c r="A2787" s="70">
        <v>2025</v>
      </c>
      <c r="B2787" s="16" t="s">
        <v>696</v>
      </c>
      <c r="C2787" s="71" t="s">
        <v>3784</v>
      </c>
      <c r="D2787" s="2" t="s">
        <v>24</v>
      </c>
      <c r="E2787" s="2" t="s">
        <v>3785</v>
      </c>
      <c r="F2787" s="96">
        <v>1</v>
      </c>
      <c r="G2787" s="1" t="s">
        <v>19</v>
      </c>
      <c r="H2787" s="8">
        <v>220</v>
      </c>
      <c r="I2787" s="8">
        <v>220</v>
      </c>
      <c r="J2787" s="521">
        <v>209</v>
      </c>
      <c r="K2787" s="521">
        <f t="shared" si="182"/>
        <v>11</v>
      </c>
      <c r="L2787" s="522">
        <f t="shared" si="181"/>
        <v>11</v>
      </c>
      <c r="M2787" s="523">
        <f t="shared" si="183"/>
        <v>0.05</v>
      </c>
      <c r="N2787" s="2" t="s">
        <v>40</v>
      </c>
      <c r="O2787" s="15" t="s">
        <v>105</v>
      </c>
    </row>
    <row r="2788" spans="1:15">
      <c r="A2788" s="70">
        <v>2025</v>
      </c>
      <c r="B2788" s="16" t="s">
        <v>696</v>
      </c>
      <c r="C2788" s="71" t="s">
        <v>3784</v>
      </c>
      <c r="D2788" s="2" t="s">
        <v>24</v>
      </c>
      <c r="E2788" s="2" t="s">
        <v>3786</v>
      </c>
      <c r="F2788" s="96">
        <v>2</v>
      </c>
      <c r="G2788" s="1" t="s">
        <v>19</v>
      </c>
      <c r="H2788" s="8">
        <v>45</v>
      </c>
      <c r="I2788" s="8">
        <v>90</v>
      </c>
      <c r="J2788" s="521">
        <v>32</v>
      </c>
      <c r="K2788" s="521">
        <f t="shared" si="182"/>
        <v>13</v>
      </c>
      <c r="L2788" s="522">
        <f t="shared" si="181"/>
        <v>26</v>
      </c>
      <c r="M2788" s="523">
        <f t="shared" si="183"/>
        <v>0.28888888888888886</v>
      </c>
      <c r="N2788" s="2" t="s">
        <v>40</v>
      </c>
      <c r="O2788" s="15" t="s">
        <v>105</v>
      </c>
    </row>
    <row r="2789" spans="1:15">
      <c r="A2789" s="70">
        <v>2025</v>
      </c>
      <c r="B2789" s="16" t="s">
        <v>696</v>
      </c>
      <c r="C2789" s="71" t="s">
        <v>3784</v>
      </c>
      <c r="D2789" s="2" t="s">
        <v>24</v>
      </c>
      <c r="E2789" s="2" t="s">
        <v>3787</v>
      </c>
      <c r="F2789" s="96">
        <v>1</v>
      </c>
      <c r="G2789" s="1" t="s">
        <v>19</v>
      </c>
      <c r="H2789" s="8">
        <v>149</v>
      </c>
      <c r="I2789" s="8">
        <v>149</v>
      </c>
      <c r="J2789" s="521">
        <v>95</v>
      </c>
      <c r="K2789" s="521">
        <f t="shared" si="182"/>
        <v>54</v>
      </c>
      <c r="L2789" s="522">
        <f t="shared" si="181"/>
        <v>54</v>
      </c>
      <c r="M2789" s="523">
        <f t="shared" si="183"/>
        <v>0.36241610738255031</v>
      </c>
      <c r="N2789" s="2" t="s">
        <v>40</v>
      </c>
      <c r="O2789" s="15" t="s">
        <v>105</v>
      </c>
    </row>
    <row r="2790" spans="1:15">
      <c r="A2790" s="70">
        <v>2025</v>
      </c>
      <c r="B2790" s="16" t="s">
        <v>696</v>
      </c>
      <c r="C2790" s="71" t="s">
        <v>3788</v>
      </c>
      <c r="D2790" s="2" t="s">
        <v>17</v>
      </c>
      <c r="E2790" s="2" t="s">
        <v>3789</v>
      </c>
      <c r="F2790" s="96">
        <v>1</v>
      </c>
      <c r="G2790" s="1" t="s">
        <v>19</v>
      </c>
      <c r="H2790" s="8">
        <v>690</v>
      </c>
      <c r="I2790" s="8">
        <v>690</v>
      </c>
      <c r="J2790" s="521">
        <v>550</v>
      </c>
      <c r="K2790" s="521">
        <f t="shared" si="182"/>
        <v>140</v>
      </c>
      <c r="L2790" s="522">
        <f t="shared" si="181"/>
        <v>140</v>
      </c>
      <c r="M2790" s="523">
        <f t="shared" si="183"/>
        <v>0.20289855072463769</v>
      </c>
      <c r="N2790" s="2" t="s">
        <v>40</v>
      </c>
      <c r="O2790" s="15" t="s">
        <v>105</v>
      </c>
    </row>
    <row r="2791" spans="1:15">
      <c r="A2791" s="70">
        <v>2025</v>
      </c>
      <c r="B2791" s="16" t="s">
        <v>696</v>
      </c>
      <c r="C2791" s="71" t="s">
        <v>3790</v>
      </c>
      <c r="D2791" s="2" t="s">
        <v>24</v>
      </c>
      <c r="E2791" s="2" t="s">
        <v>3791</v>
      </c>
      <c r="F2791" s="96">
        <v>1</v>
      </c>
      <c r="G2791" s="1" t="s">
        <v>19</v>
      </c>
      <c r="H2791" s="8">
        <v>8000</v>
      </c>
      <c r="I2791" s="8">
        <v>8000</v>
      </c>
      <c r="J2791" s="521">
        <v>7390</v>
      </c>
      <c r="K2791" s="521">
        <f t="shared" si="182"/>
        <v>610</v>
      </c>
      <c r="L2791" s="522">
        <f t="shared" si="181"/>
        <v>610</v>
      </c>
      <c r="M2791" s="523">
        <f t="shared" si="183"/>
        <v>7.6249999999999998E-2</v>
      </c>
      <c r="N2791" s="2" t="s">
        <v>40</v>
      </c>
      <c r="O2791" s="15" t="s">
        <v>105</v>
      </c>
    </row>
    <row r="2792" spans="1:15">
      <c r="A2792" s="70">
        <v>2025</v>
      </c>
      <c r="B2792" s="16" t="s">
        <v>696</v>
      </c>
      <c r="C2792" s="71" t="s">
        <v>3790</v>
      </c>
      <c r="D2792" s="2" t="s">
        <v>24</v>
      </c>
      <c r="E2792" s="2" t="s">
        <v>3792</v>
      </c>
      <c r="F2792" s="96">
        <v>2</v>
      </c>
      <c r="G2792" s="1" t="s">
        <v>19</v>
      </c>
      <c r="H2792" s="8">
        <v>450</v>
      </c>
      <c r="I2792" s="8">
        <v>900</v>
      </c>
      <c r="J2792" s="521">
        <v>296</v>
      </c>
      <c r="K2792" s="521">
        <f t="shared" si="182"/>
        <v>154</v>
      </c>
      <c r="L2792" s="522">
        <f t="shared" si="181"/>
        <v>308</v>
      </c>
      <c r="M2792" s="523">
        <f t="shared" si="183"/>
        <v>0.34222222222222221</v>
      </c>
      <c r="N2792" s="2" t="s">
        <v>40</v>
      </c>
      <c r="O2792" s="15" t="s">
        <v>105</v>
      </c>
    </row>
    <row r="2793" spans="1:15">
      <c r="A2793" s="70">
        <v>2025</v>
      </c>
      <c r="B2793" s="16" t="s">
        <v>696</v>
      </c>
      <c r="C2793" s="71" t="s">
        <v>3793</v>
      </c>
      <c r="D2793" s="2" t="s">
        <v>118</v>
      </c>
      <c r="E2793" s="2" t="s">
        <v>3794</v>
      </c>
      <c r="F2793" s="96">
        <v>7</v>
      </c>
      <c r="G2793" s="1" t="s">
        <v>19</v>
      </c>
      <c r="H2793" s="8">
        <v>1430</v>
      </c>
      <c r="I2793" s="8">
        <v>10010</v>
      </c>
      <c r="J2793" s="521">
        <v>750</v>
      </c>
      <c r="K2793" s="521">
        <f t="shared" si="182"/>
        <v>680</v>
      </c>
      <c r="L2793" s="522">
        <f t="shared" si="181"/>
        <v>4760</v>
      </c>
      <c r="M2793" s="523">
        <f t="shared" si="183"/>
        <v>0.47552447552447552</v>
      </c>
      <c r="N2793" s="2" t="s">
        <v>40</v>
      </c>
      <c r="O2793" s="15" t="s">
        <v>105</v>
      </c>
    </row>
    <row r="2794" spans="1:15">
      <c r="A2794" s="70">
        <v>2025</v>
      </c>
      <c r="B2794" s="16" t="s">
        <v>696</v>
      </c>
      <c r="C2794" s="71" t="s">
        <v>3793</v>
      </c>
      <c r="D2794" s="2" t="s">
        <v>118</v>
      </c>
      <c r="E2794" s="2" t="s">
        <v>3795</v>
      </c>
      <c r="F2794" s="96">
        <v>5</v>
      </c>
      <c r="G2794" s="1" t="s">
        <v>19</v>
      </c>
      <c r="H2794" s="8">
        <v>2360</v>
      </c>
      <c r="I2794" s="8">
        <v>11800</v>
      </c>
      <c r="J2794" s="521">
        <v>1080</v>
      </c>
      <c r="K2794" s="521">
        <f t="shared" si="182"/>
        <v>1280</v>
      </c>
      <c r="L2794" s="522">
        <f t="shared" si="181"/>
        <v>6400</v>
      </c>
      <c r="M2794" s="523">
        <f t="shared" si="183"/>
        <v>0.5423728813559322</v>
      </c>
      <c r="N2794" s="2" t="s">
        <v>40</v>
      </c>
      <c r="O2794" s="15" t="s">
        <v>105</v>
      </c>
    </row>
    <row r="2795" spans="1:15">
      <c r="A2795" s="70">
        <v>2025</v>
      </c>
      <c r="B2795" s="16" t="s">
        <v>696</v>
      </c>
      <c r="C2795" s="71" t="s">
        <v>3796</v>
      </c>
      <c r="D2795" s="2" t="s">
        <v>118</v>
      </c>
      <c r="E2795" s="2" t="s">
        <v>3797</v>
      </c>
      <c r="F2795" s="96">
        <v>1</v>
      </c>
      <c r="G2795" s="1" t="s">
        <v>19</v>
      </c>
      <c r="H2795" s="8">
        <v>1435</v>
      </c>
      <c r="I2795" s="8">
        <v>1435</v>
      </c>
      <c r="J2795" s="521">
        <v>950</v>
      </c>
      <c r="K2795" s="521">
        <f t="shared" si="182"/>
        <v>485</v>
      </c>
      <c r="L2795" s="522">
        <f t="shared" si="181"/>
        <v>485</v>
      </c>
      <c r="M2795" s="523">
        <f t="shared" si="183"/>
        <v>0.33797909407665505</v>
      </c>
      <c r="N2795" s="2" t="s">
        <v>40</v>
      </c>
      <c r="O2795" s="15" t="s">
        <v>105</v>
      </c>
    </row>
    <row r="2796" spans="1:15">
      <c r="A2796" s="70">
        <v>2025</v>
      </c>
      <c r="B2796" s="16" t="s">
        <v>696</v>
      </c>
      <c r="C2796" s="71" t="s">
        <v>3798</v>
      </c>
      <c r="D2796" s="2" t="s">
        <v>24</v>
      </c>
      <c r="E2796" s="2" t="s">
        <v>3799</v>
      </c>
      <c r="F2796" s="96">
        <v>50</v>
      </c>
      <c r="G2796" s="1" t="s">
        <v>19</v>
      </c>
      <c r="H2796" s="8">
        <v>99</v>
      </c>
      <c r="I2796" s="8">
        <v>4950</v>
      </c>
      <c r="J2796" s="521">
        <v>45</v>
      </c>
      <c r="K2796" s="521">
        <f t="shared" si="182"/>
        <v>54</v>
      </c>
      <c r="L2796" s="522">
        <f t="shared" si="181"/>
        <v>2700</v>
      </c>
      <c r="M2796" s="523">
        <f t="shared" si="183"/>
        <v>0.54545454545454541</v>
      </c>
      <c r="N2796" s="2" t="s">
        <v>40</v>
      </c>
      <c r="O2796" s="15" t="s">
        <v>105</v>
      </c>
    </row>
    <row r="2797" spans="1:15">
      <c r="A2797" s="70">
        <v>2025</v>
      </c>
      <c r="B2797" s="16" t="s">
        <v>696</v>
      </c>
      <c r="C2797" s="71" t="s">
        <v>3800</v>
      </c>
      <c r="D2797" s="2" t="s">
        <v>118</v>
      </c>
      <c r="E2797" s="2" t="s">
        <v>3801</v>
      </c>
      <c r="F2797" s="96">
        <v>10</v>
      </c>
      <c r="G2797" s="1" t="s">
        <v>19</v>
      </c>
      <c r="H2797" s="8">
        <v>100</v>
      </c>
      <c r="I2797" s="8">
        <v>1000</v>
      </c>
      <c r="J2797" s="521">
        <v>92</v>
      </c>
      <c r="K2797" s="521">
        <f t="shared" si="182"/>
        <v>8</v>
      </c>
      <c r="L2797" s="522">
        <f t="shared" si="181"/>
        <v>80</v>
      </c>
      <c r="M2797" s="523">
        <f t="shared" si="183"/>
        <v>0.08</v>
      </c>
      <c r="N2797" s="2" t="s">
        <v>40</v>
      </c>
      <c r="O2797" s="15" t="s">
        <v>105</v>
      </c>
    </row>
    <row r="2798" spans="1:15">
      <c r="A2798" s="70">
        <v>2025</v>
      </c>
      <c r="B2798" s="16" t="s">
        <v>696</v>
      </c>
      <c r="C2798" s="71" t="s">
        <v>3800</v>
      </c>
      <c r="D2798" s="2" t="s">
        <v>118</v>
      </c>
      <c r="E2798" s="2" t="s">
        <v>3802</v>
      </c>
      <c r="F2798" s="96">
        <v>4</v>
      </c>
      <c r="G2798" s="1" t="s">
        <v>19</v>
      </c>
      <c r="H2798" s="8">
        <v>615</v>
      </c>
      <c r="I2798" s="8">
        <v>2460</v>
      </c>
      <c r="J2798" s="521">
        <v>495</v>
      </c>
      <c r="K2798" s="521">
        <f t="shared" si="182"/>
        <v>120</v>
      </c>
      <c r="L2798" s="522">
        <f t="shared" si="181"/>
        <v>480</v>
      </c>
      <c r="M2798" s="523">
        <f t="shared" si="183"/>
        <v>0.1951219512195122</v>
      </c>
      <c r="N2798" s="2" t="s">
        <v>40</v>
      </c>
      <c r="O2798" s="15" t="s">
        <v>105</v>
      </c>
    </row>
    <row r="2799" spans="1:15">
      <c r="A2799" s="70">
        <v>2025</v>
      </c>
      <c r="B2799" s="16" t="s">
        <v>696</v>
      </c>
      <c r="C2799" s="71" t="s">
        <v>3803</v>
      </c>
      <c r="D2799" s="2" t="s">
        <v>1948</v>
      </c>
      <c r="E2799" s="2" t="s">
        <v>3804</v>
      </c>
      <c r="F2799" s="96">
        <v>3</v>
      </c>
      <c r="G2799" s="1" t="s">
        <v>3805</v>
      </c>
      <c r="H2799" s="8">
        <v>760</v>
      </c>
      <c r="I2799" s="8">
        <v>2280</v>
      </c>
      <c r="J2799" s="521">
        <v>418.5</v>
      </c>
      <c r="K2799" s="521">
        <f t="shared" si="182"/>
        <v>341.5</v>
      </c>
      <c r="L2799" s="522">
        <f t="shared" si="181"/>
        <v>1024.5</v>
      </c>
      <c r="M2799" s="523">
        <f t="shared" si="183"/>
        <v>0.44934210526315788</v>
      </c>
      <c r="N2799" s="2" t="s">
        <v>40</v>
      </c>
      <c r="O2799" s="15" t="s">
        <v>105</v>
      </c>
    </row>
    <row r="2800" spans="1:15">
      <c r="A2800" s="70">
        <v>2025</v>
      </c>
      <c r="B2800" s="16" t="s">
        <v>696</v>
      </c>
      <c r="C2800" s="71" t="s">
        <v>3806</v>
      </c>
      <c r="D2800" s="2" t="s">
        <v>1390</v>
      </c>
      <c r="E2800" s="2" t="s">
        <v>3807</v>
      </c>
      <c r="F2800" s="96">
        <v>5</v>
      </c>
      <c r="G2800" s="1" t="s">
        <v>3805</v>
      </c>
      <c r="H2800" s="8">
        <v>250</v>
      </c>
      <c r="I2800" s="8">
        <v>1250</v>
      </c>
      <c r="J2800" s="521">
        <v>49.07</v>
      </c>
      <c r="K2800" s="521">
        <f t="shared" si="182"/>
        <v>200.93</v>
      </c>
      <c r="L2800" s="522">
        <f t="shared" si="181"/>
        <v>1004.6500000000001</v>
      </c>
      <c r="M2800" s="523">
        <f t="shared" si="183"/>
        <v>0.80371999999999999</v>
      </c>
      <c r="N2800" s="2" t="s">
        <v>40</v>
      </c>
      <c r="O2800" s="15" t="s">
        <v>105</v>
      </c>
    </row>
    <row r="2801" spans="1:15">
      <c r="A2801" s="70">
        <v>2025</v>
      </c>
      <c r="B2801" s="16" t="s">
        <v>696</v>
      </c>
      <c r="C2801" s="71" t="s">
        <v>3808</v>
      </c>
      <c r="D2801" s="2" t="s">
        <v>24</v>
      </c>
      <c r="E2801" s="2" t="s">
        <v>3809</v>
      </c>
      <c r="F2801" s="96">
        <v>500</v>
      </c>
      <c r="G2801" s="1" t="s">
        <v>19</v>
      </c>
      <c r="H2801" s="8">
        <v>2</v>
      </c>
      <c r="I2801" s="8">
        <v>1000</v>
      </c>
      <c r="J2801" s="521">
        <v>1</v>
      </c>
      <c r="K2801" s="521">
        <f t="shared" si="182"/>
        <v>1</v>
      </c>
      <c r="L2801" s="522">
        <f t="shared" si="181"/>
        <v>500</v>
      </c>
      <c r="M2801" s="523">
        <f t="shared" si="183"/>
        <v>0.5</v>
      </c>
      <c r="N2801" s="2" t="s">
        <v>40</v>
      </c>
      <c r="O2801" s="15" t="s">
        <v>105</v>
      </c>
    </row>
    <row r="2802" spans="1:15">
      <c r="A2802" s="70">
        <v>2025</v>
      </c>
      <c r="B2802" s="16" t="s">
        <v>696</v>
      </c>
      <c r="C2802" s="71" t="s">
        <v>3808</v>
      </c>
      <c r="D2802" s="2" t="s">
        <v>24</v>
      </c>
      <c r="E2802" s="2" t="s">
        <v>3810</v>
      </c>
      <c r="F2802" s="96">
        <v>500</v>
      </c>
      <c r="G2802" s="1" t="s">
        <v>19</v>
      </c>
      <c r="H2802" s="8">
        <v>2</v>
      </c>
      <c r="I2802" s="8">
        <v>1000</v>
      </c>
      <c r="J2802" s="521">
        <v>1</v>
      </c>
      <c r="K2802" s="521">
        <f t="shared" si="182"/>
        <v>1</v>
      </c>
      <c r="L2802" s="522">
        <f t="shared" si="181"/>
        <v>500</v>
      </c>
      <c r="M2802" s="523">
        <f t="shared" si="183"/>
        <v>0.5</v>
      </c>
      <c r="N2802" s="2" t="s">
        <v>40</v>
      </c>
      <c r="O2802" s="15" t="s">
        <v>105</v>
      </c>
    </row>
    <row r="2803" spans="1:15">
      <c r="A2803" s="70">
        <v>2025</v>
      </c>
      <c r="B2803" s="16" t="s">
        <v>696</v>
      </c>
      <c r="C2803" s="71" t="s">
        <v>3808</v>
      </c>
      <c r="D2803" s="2" t="s">
        <v>24</v>
      </c>
      <c r="E2803" s="2" t="s">
        <v>3811</v>
      </c>
      <c r="F2803" s="96">
        <v>500</v>
      </c>
      <c r="G2803" s="1" t="s">
        <v>19</v>
      </c>
      <c r="H2803" s="8">
        <v>2</v>
      </c>
      <c r="I2803" s="8">
        <v>1000</v>
      </c>
      <c r="J2803" s="521">
        <v>1</v>
      </c>
      <c r="K2803" s="521">
        <f t="shared" si="182"/>
        <v>1</v>
      </c>
      <c r="L2803" s="522">
        <f t="shared" si="181"/>
        <v>500</v>
      </c>
      <c r="M2803" s="523">
        <f t="shared" si="183"/>
        <v>0.5</v>
      </c>
      <c r="N2803" s="2" t="s">
        <v>40</v>
      </c>
      <c r="O2803" s="15" t="s">
        <v>105</v>
      </c>
    </row>
    <row r="2804" spans="1:15">
      <c r="A2804" s="70">
        <v>2025</v>
      </c>
      <c r="B2804" s="16" t="s">
        <v>696</v>
      </c>
      <c r="C2804" s="71" t="s">
        <v>3808</v>
      </c>
      <c r="D2804" s="2" t="s">
        <v>24</v>
      </c>
      <c r="E2804" s="2" t="s">
        <v>3812</v>
      </c>
      <c r="F2804" s="96">
        <v>20</v>
      </c>
      <c r="G2804" s="1" t="s">
        <v>19</v>
      </c>
      <c r="H2804" s="8">
        <v>130</v>
      </c>
      <c r="I2804" s="8">
        <v>2600</v>
      </c>
      <c r="J2804" s="521">
        <v>89</v>
      </c>
      <c r="K2804" s="521">
        <f t="shared" si="182"/>
        <v>41</v>
      </c>
      <c r="L2804" s="522">
        <f t="shared" si="181"/>
        <v>820</v>
      </c>
      <c r="M2804" s="523">
        <f t="shared" si="183"/>
        <v>0.31538461538461537</v>
      </c>
      <c r="N2804" s="2" t="s">
        <v>40</v>
      </c>
      <c r="O2804" s="15" t="s">
        <v>105</v>
      </c>
    </row>
    <row r="2805" spans="1:15">
      <c r="A2805" s="70">
        <v>2025</v>
      </c>
      <c r="B2805" s="16" t="s">
        <v>696</v>
      </c>
      <c r="C2805" s="71" t="s">
        <v>3813</v>
      </c>
      <c r="D2805" s="2" t="s">
        <v>1948</v>
      </c>
      <c r="E2805" s="2" t="s">
        <v>2931</v>
      </c>
      <c r="F2805" s="96">
        <v>20</v>
      </c>
      <c r="G2805" s="1" t="s">
        <v>798</v>
      </c>
      <c r="H2805" s="8">
        <v>150</v>
      </c>
      <c r="I2805" s="8">
        <v>3000</v>
      </c>
      <c r="J2805" s="521">
        <v>104.5</v>
      </c>
      <c r="K2805" s="521">
        <f t="shared" si="182"/>
        <v>45.5</v>
      </c>
      <c r="L2805" s="522">
        <f t="shared" si="181"/>
        <v>910</v>
      </c>
      <c r="M2805" s="523">
        <f t="shared" si="183"/>
        <v>0.30333333333333334</v>
      </c>
      <c r="N2805" s="2" t="s">
        <v>40</v>
      </c>
      <c r="O2805" s="15" t="s">
        <v>105</v>
      </c>
    </row>
    <row r="2806" spans="1:15">
      <c r="A2806" s="70">
        <v>2025</v>
      </c>
      <c r="B2806" s="16" t="s">
        <v>696</v>
      </c>
      <c r="C2806" s="71" t="s">
        <v>3814</v>
      </c>
      <c r="D2806" s="2" t="s">
        <v>24</v>
      </c>
      <c r="E2806" s="2" t="s">
        <v>3815</v>
      </c>
      <c r="F2806" s="96">
        <v>2</v>
      </c>
      <c r="G2806" s="1" t="s">
        <v>19</v>
      </c>
      <c r="H2806" s="8">
        <v>291.2</v>
      </c>
      <c r="I2806" s="8">
        <v>582.4</v>
      </c>
      <c r="J2806" s="521">
        <v>92</v>
      </c>
      <c r="K2806" s="521">
        <f t="shared" si="182"/>
        <v>199.2</v>
      </c>
      <c r="L2806" s="522">
        <f t="shared" si="181"/>
        <v>398.4</v>
      </c>
      <c r="M2806" s="523">
        <f t="shared" si="183"/>
        <v>0.68406593406593408</v>
      </c>
      <c r="N2806" s="2" t="s">
        <v>40</v>
      </c>
      <c r="O2806" s="15" t="s">
        <v>105</v>
      </c>
    </row>
    <row r="2807" spans="1:15">
      <c r="A2807" s="70">
        <v>2025</v>
      </c>
      <c r="B2807" s="16" t="s">
        <v>696</v>
      </c>
      <c r="C2807" s="71" t="s">
        <v>3816</v>
      </c>
      <c r="D2807" s="2" t="s">
        <v>1948</v>
      </c>
      <c r="E2807" s="2" t="s">
        <v>3817</v>
      </c>
      <c r="F2807" s="96">
        <v>2</v>
      </c>
      <c r="G2807" s="1" t="s">
        <v>19</v>
      </c>
      <c r="H2807" s="8">
        <v>159</v>
      </c>
      <c r="I2807" s="8">
        <v>318</v>
      </c>
      <c r="J2807" s="521">
        <v>53.1</v>
      </c>
      <c r="K2807" s="521">
        <f t="shared" si="182"/>
        <v>105.9</v>
      </c>
      <c r="L2807" s="522">
        <f t="shared" si="181"/>
        <v>211.8</v>
      </c>
      <c r="M2807" s="523">
        <f t="shared" si="183"/>
        <v>0.66603773584905668</v>
      </c>
      <c r="N2807" s="2" t="s">
        <v>40</v>
      </c>
      <c r="O2807" s="15" t="s">
        <v>105</v>
      </c>
    </row>
    <row r="2808" spans="1:15">
      <c r="A2808" s="70">
        <v>2025</v>
      </c>
      <c r="B2808" s="16" t="s">
        <v>696</v>
      </c>
      <c r="C2808" s="71" t="s">
        <v>3818</v>
      </c>
      <c r="D2808" s="2" t="s">
        <v>17</v>
      </c>
      <c r="E2808" s="2" t="s">
        <v>3819</v>
      </c>
      <c r="F2808" s="96">
        <v>1</v>
      </c>
      <c r="G2808" s="1" t="s">
        <v>19</v>
      </c>
      <c r="H2808" s="8">
        <v>39500</v>
      </c>
      <c r="I2808" s="8">
        <f t="shared" ref="I2808:I2839" si="184">H2808*F2808</f>
        <v>39500</v>
      </c>
      <c r="J2808" s="521">
        <v>39300</v>
      </c>
      <c r="K2808" s="521">
        <f t="shared" si="182"/>
        <v>200</v>
      </c>
      <c r="L2808" s="522">
        <f t="shared" si="181"/>
        <v>200</v>
      </c>
      <c r="M2808" s="523">
        <f t="shared" si="183"/>
        <v>5.0632911392405064E-3</v>
      </c>
      <c r="N2808" s="2" t="s">
        <v>22</v>
      </c>
      <c r="O2808" s="15" t="s">
        <v>39</v>
      </c>
    </row>
    <row r="2809" spans="1:15">
      <c r="A2809" s="70">
        <v>2025</v>
      </c>
      <c r="B2809" s="16" t="s">
        <v>696</v>
      </c>
      <c r="C2809" s="71" t="s">
        <v>3820</v>
      </c>
      <c r="D2809" s="2" t="s">
        <v>398</v>
      </c>
      <c r="E2809" s="2" t="s">
        <v>3821</v>
      </c>
      <c r="F2809" s="96">
        <v>2</v>
      </c>
      <c r="G2809" s="1" t="s">
        <v>3822</v>
      </c>
      <c r="H2809" s="8">
        <v>15000</v>
      </c>
      <c r="I2809" s="8">
        <f t="shared" si="184"/>
        <v>30000</v>
      </c>
      <c r="J2809" s="521">
        <v>8500</v>
      </c>
      <c r="K2809" s="521">
        <f t="shared" si="182"/>
        <v>6500</v>
      </c>
      <c r="L2809" s="522">
        <f t="shared" si="181"/>
        <v>13000</v>
      </c>
      <c r="M2809" s="523">
        <f t="shared" si="183"/>
        <v>0.43333333333333335</v>
      </c>
      <c r="N2809" s="2" t="s">
        <v>40</v>
      </c>
      <c r="O2809" s="15" t="s">
        <v>39</v>
      </c>
    </row>
    <row r="2810" spans="1:15">
      <c r="A2810" s="70">
        <v>2025</v>
      </c>
      <c r="B2810" s="16" t="s">
        <v>696</v>
      </c>
      <c r="C2810" s="71" t="s">
        <v>3820</v>
      </c>
      <c r="D2810" s="2" t="s">
        <v>398</v>
      </c>
      <c r="E2810" s="2" t="s">
        <v>3823</v>
      </c>
      <c r="F2810" s="96">
        <v>1</v>
      </c>
      <c r="G2810" s="1" t="s">
        <v>3822</v>
      </c>
      <c r="H2810" s="8">
        <v>15000</v>
      </c>
      <c r="I2810" s="8">
        <f t="shared" si="184"/>
        <v>15000</v>
      </c>
      <c r="J2810" s="521">
        <v>8500</v>
      </c>
      <c r="K2810" s="521">
        <f t="shared" si="182"/>
        <v>6500</v>
      </c>
      <c r="L2810" s="522">
        <f t="shared" si="181"/>
        <v>6500</v>
      </c>
      <c r="M2810" s="523">
        <f t="shared" si="183"/>
        <v>0.43333333333333335</v>
      </c>
      <c r="N2810" s="2" t="s">
        <v>40</v>
      </c>
      <c r="O2810" s="15" t="s">
        <v>39</v>
      </c>
    </row>
    <row r="2811" spans="1:15">
      <c r="A2811" s="70">
        <v>2025</v>
      </c>
      <c r="B2811" s="16" t="s">
        <v>696</v>
      </c>
      <c r="C2811" s="71" t="s">
        <v>3824</v>
      </c>
      <c r="D2811" s="2" t="s">
        <v>2294</v>
      </c>
      <c r="E2811" s="2" t="s">
        <v>3825</v>
      </c>
      <c r="F2811" s="96">
        <v>1</v>
      </c>
      <c r="G2811" s="1" t="s">
        <v>285</v>
      </c>
      <c r="H2811" s="8">
        <v>486711.5</v>
      </c>
      <c r="I2811" s="8">
        <f t="shared" si="184"/>
        <v>486711.5</v>
      </c>
      <c r="J2811" s="521">
        <v>455000</v>
      </c>
      <c r="K2811" s="521">
        <f t="shared" si="182"/>
        <v>31711.5</v>
      </c>
      <c r="L2811" s="522">
        <f t="shared" ref="L2811:L2874" si="185">K2811*F2811</f>
        <v>31711.5</v>
      </c>
      <c r="M2811" s="523">
        <f t="shared" si="183"/>
        <v>6.515461418109085E-2</v>
      </c>
      <c r="N2811" s="2" t="s">
        <v>40</v>
      </c>
      <c r="O2811" s="15" t="s">
        <v>105</v>
      </c>
    </row>
    <row r="2812" spans="1:15">
      <c r="A2812" s="70">
        <v>2025</v>
      </c>
      <c r="B2812" s="16" t="s">
        <v>696</v>
      </c>
      <c r="C2812" s="71" t="s">
        <v>3826</v>
      </c>
      <c r="D2812" s="2" t="s">
        <v>1042</v>
      </c>
      <c r="E2812" s="2" t="s">
        <v>711</v>
      </c>
      <c r="F2812" s="96">
        <v>2679</v>
      </c>
      <c r="G2812" s="1" t="s">
        <v>37</v>
      </c>
      <c r="H2812" s="8">
        <v>382</v>
      </c>
      <c r="I2812" s="8">
        <f t="shared" si="184"/>
        <v>1023378</v>
      </c>
      <c r="J2812" s="521">
        <v>357</v>
      </c>
      <c r="K2812" s="521">
        <f t="shared" si="182"/>
        <v>25</v>
      </c>
      <c r="L2812" s="522">
        <f t="shared" si="185"/>
        <v>66975</v>
      </c>
      <c r="M2812" s="523">
        <f t="shared" si="183"/>
        <v>6.5445026178010471E-2</v>
      </c>
      <c r="N2812" s="2" t="s">
        <v>22</v>
      </c>
      <c r="O2812" s="15" t="s">
        <v>105</v>
      </c>
    </row>
    <row r="2813" spans="1:15">
      <c r="A2813" s="70">
        <v>2025</v>
      </c>
      <c r="B2813" s="16" t="s">
        <v>696</v>
      </c>
      <c r="C2813" s="71" t="s">
        <v>3827</v>
      </c>
      <c r="D2813" s="2" t="s">
        <v>1042</v>
      </c>
      <c r="E2813" s="2" t="s">
        <v>889</v>
      </c>
      <c r="F2813" s="96">
        <v>227</v>
      </c>
      <c r="G2813" s="1" t="s">
        <v>37</v>
      </c>
      <c r="H2813" s="8">
        <v>382</v>
      </c>
      <c r="I2813" s="8">
        <f t="shared" si="184"/>
        <v>86714</v>
      </c>
      <c r="J2813" s="521">
        <v>357</v>
      </c>
      <c r="K2813" s="521">
        <f t="shared" si="182"/>
        <v>25</v>
      </c>
      <c r="L2813" s="522">
        <f t="shared" si="185"/>
        <v>5675</v>
      </c>
      <c r="M2813" s="523">
        <f t="shared" si="183"/>
        <v>6.5445026178010471E-2</v>
      </c>
      <c r="N2813" s="2" t="s">
        <v>22</v>
      </c>
      <c r="O2813" s="15" t="s">
        <v>105</v>
      </c>
    </row>
    <row r="2814" spans="1:15">
      <c r="A2814" s="70">
        <v>2025</v>
      </c>
      <c r="B2814" s="16" t="s">
        <v>696</v>
      </c>
      <c r="C2814" s="71" t="s">
        <v>3828</v>
      </c>
      <c r="D2814" s="2" t="s">
        <v>617</v>
      </c>
      <c r="E2814" s="2" t="s">
        <v>996</v>
      </c>
      <c r="F2814" s="96">
        <v>6150</v>
      </c>
      <c r="G2814" s="1" t="s">
        <v>37</v>
      </c>
      <c r="H2814" s="8">
        <v>28</v>
      </c>
      <c r="I2814" s="8">
        <f t="shared" si="184"/>
        <v>172200</v>
      </c>
      <c r="J2814" s="521">
        <v>27.5</v>
      </c>
      <c r="K2814" s="521">
        <f t="shared" si="182"/>
        <v>0.5</v>
      </c>
      <c r="L2814" s="522">
        <f t="shared" si="185"/>
        <v>3075</v>
      </c>
      <c r="M2814" s="523">
        <f t="shared" si="183"/>
        <v>1.7857142857142856E-2</v>
      </c>
      <c r="N2814" s="2" t="s">
        <v>22</v>
      </c>
      <c r="O2814" s="15" t="s">
        <v>39</v>
      </c>
    </row>
    <row r="2815" spans="1:15">
      <c r="A2815" s="70">
        <v>2025</v>
      </c>
      <c r="B2815" s="16" t="s">
        <v>696</v>
      </c>
      <c r="C2815" s="71" t="s">
        <v>3828</v>
      </c>
      <c r="D2815" s="2" t="s">
        <v>617</v>
      </c>
      <c r="E2815" s="2" t="s">
        <v>275</v>
      </c>
      <c r="F2815" s="96">
        <v>3080</v>
      </c>
      <c r="G2815" s="1" t="s">
        <v>37</v>
      </c>
      <c r="H2815" s="8">
        <v>28</v>
      </c>
      <c r="I2815" s="8">
        <f t="shared" si="184"/>
        <v>86240</v>
      </c>
      <c r="J2815" s="521">
        <v>27.5</v>
      </c>
      <c r="K2815" s="521">
        <f t="shared" si="182"/>
        <v>0.5</v>
      </c>
      <c r="L2815" s="522">
        <f t="shared" si="185"/>
        <v>1540</v>
      </c>
      <c r="M2815" s="523">
        <f t="shared" si="183"/>
        <v>1.7857142857142856E-2</v>
      </c>
      <c r="N2815" s="2" t="s">
        <v>22</v>
      </c>
      <c r="O2815" s="15" t="s">
        <v>39</v>
      </c>
    </row>
    <row r="2816" spans="1:15">
      <c r="A2816" s="70">
        <v>2025</v>
      </c>
      <c r="B2816" s="16" t="s">
        <v>696</v>
      </c>
      <c r="C2816" s="71" t="s">
        <v>3829</v>
      </c>
      <c r="D2816" s="2" t="s">
        <v>617</v>
      </c>
      <c r="E2816" s="2" t="s">
        <v>275</v>
      </c>
      <c r="F2816" s="96">
        <v>6000</v>
      </c>
      <c r="G2816" s="1" t="s">
        <v>37</v>
      </c>
      <c r="H2816" s="8">
        <v>28</v>
      </c>
      <c r="I2816" s="8">
        <f t="shared" si="184"/>
        <v>168000</v>
      </c>
      <c r="J2816" s="521">
        <v>27.5</v>
      </c>
      <c r="K2816" s="521">
        <f t="shared" si="182"/>
        <v>0.5</v>
      </c>
      <c r="L2816" s="522">
        <f t="shared" si="185"/>
        <v>3000</v>
      </c>
      <c r="M2816" s="523">
        <f t="shared" si="183"/>
        <v>1.7857142857142856E-2</v>
      </c>
      <c r="N2816" s="2" t="s">
        <v>22</v>
      </c>
      <c r="O2816" s="15" t="s">
        <v>39</v>
      </c>
    </row>
    <row r="2817" spans="1:15">
      <c r="A2817" s="70">
        <v>2025</v>
      </c>
      <c r="B2817" s="16" t="s">
        <v>696</v>
      </c>
      <c r="C2817" s="71" t="s">
        <v>3829</v>
      </c>
      <c r="D2817" s="2" t="s">
        <v>617</v>
      </c>
      <c r="E2817" s="2" t="s">
        <v>230</v>
      </c>
      <c r="F2817" s="96">
        <v>3000</v>
      </c>
      <c r="G2817" s="1" t="s">
        <v>37</v>
      </c>
      <c r="H2817" s="8">
        <v>28</v>
      </c>
      <c r="I2817" s="8">
        <f t="shared" si="184"/>
        <v>84000</v>
      </c>
      <c r="J2817" s="521">
        <v>27.5</v>
      </c>
      <c r="K2817" s="521">
        <f t="shared" si="182"/>
        <v>0.5</v>
      </c>
      <c r="L2817" s="522">
        <f t="shared" si="185"/>
        <v>1500</v>
      </c>
      <c r="M2817" s="523">
        <f t="shared" si="183"/>
        <v>1.7857142857142856E-2</v>
      </c>
      <c r="N2817" s="2" t="s">
        <v>22</v>
      </c>
      <c r="O2817" s="15" t="s">
        <v>39</v>
      </c>
    </row>
    <row r="2818" spans="1:15">
      <c r="A2818" s="70">
        <v>2025</v>
      </c>
      <c r="B2818" s="16" t="s">
        <v>696</v>
      </c>
      <c r="C2818" s="71" t="s">
        <v>3829</v>
      </c>
      <c r="D2818" s="2" t="s">
        <v>617</v>
      </c>
      <c r="E2818" s="2" t="s">
        <v>996</v>
      </c>
      <c r="F2818" s="96">
        <v>3000</v>
      </c>
      <c r="G2818" s="1" t="s">
        <v>37</v>
      </c>
      <c r="H2818" s="8">
        <v>28</v>
      </c>
      <c r="I2818" s="8">
        <f t="shared" si="184"/>
        <v>84000</v>
      </c>
      <c r="J2818" s="521">
        <v>27.5</v>
      </c>
      <c r="K2818" s="521">
        <f t="shared" si="182"/>
        <v>0.5</v>
      </c>
      <c r="L2818" s="522">
        <f t="shared" si="185"/>
        <v>1500</v>
      </c>
      <c r="M2818" s="523">
        <f t="shared" si="183"/>
        <v>1.7857142857142856E-2</v>
      </c>
      <c r="N2818" s="2" t="s">
        <v>22</v>
      </c>
      <c r="O2818" s="15" t="s">
        <v>39</v>
      </c>
    </row>
    <row r="2819" spans="1:15">
      <c r="A2819" s="70">
        <v>2025</v>
      </c>
      <c r="B2819" s="16" t="s">
        <v>696</v>
      </c>
      <c r="C2819" s="71" t="s">
        <v>3829</v>
      </c>
      <c r="D2819" s="2" t="s">
        <v>617</v>
      </c>
      <c r="E2819" s="2" t="s">
        <v>233</v>
      </c>
      <c r="F2819" s="96">
        <v>6000</v>
      </c>
      <c r="G2819" s="1" t="s">
        <v>37</v>
      </c>
      <c r="H2819" s="8">
        <v>28</v>
      </c>
      <c r="I2819" s="8">
        <f t="shared" si="184"/>
        <v>168000</v>
      </c>
      <c r="J2819" s="521">
        <v>27.5</v>
      </c>
      <c r="K2819" s="521">
        <f t="shared" ref="K2819:K2882" si="186">H2819-J2819</f>
        <v>0.5</v>
      </c>
      <c r="L2819" s="522">
        <f t="shared" si="185"/>
        <v>3000</v>
      </c>
      <c r="M2819" s="523">
        <f t="shared" ref="M2819:M2882" si="187">K2819/H2819</f>
        <v>1.7857142857142856E-2</v>
      </c>
      <c r="N2819" s="2" t="s">
        <v>22</v>
      </c>
      <c r="O2819" s="15" t="s">
        <v>39</v>
      </c>
    </row>
    <row r="2820" spans="1:15">
      <c r="A2820" s="70">
        <v>2025</v>
      </c>
      <c r="B2820" s="16" t="s">
        <v>696</v>
      </c>
      <c r="C2820" s="71" t="s">
        <v>3830</v>
      </c>
      <c r="D2820" s="2" t="s">
        <v>3620</v>
      </c>
      <c r="E2820" s="2" t="s">
        <v>3831</v>
      </c>
      <c r="F2820" s="96">
        <v>1</v>
      </c>
      <c r="G2820" s="1" t="s">
        <v>285</v>
      </c>
      <c r="H2820" s="8">
        <v>14000</v>
      </c>
      <c r="I2820" s="8">
        <f t="shared" si="184"/>
        <v>14000</v>
      </c>
      <c r="J2820" s="521">
        <v>13500</v>
      </c>
      <c r="K2820" s="521">
        <f t="shared" si="186"/>
        <v>500</v>
      </c>
      <c r="L2820" s="522">
        <f t="shared" si="185"/>
        <v>500</v>
      </c>
      <c r="M2820" s="523">
        <f t="shared" si="187"/>
        <v>3.5714285714285712E-2</v>
      </c>
      <c r="N2820" s="2" t="s">
        <v>22</v>
      </c>
      <c r="O2820" s="15" t="s">
        <v>39</v>
      </c>
    </row>
    <row r="2821" spans="1:15">
      <c r="A2821" s="70">
        <v>2025</v>
      </c>
      <c r="B2821" s="16" t="s">
        <v>696</v>
      </c>
      <c r="C2821" s="71" t="s">
        <v>3832</v>
      </c>
      <c r="D2821" s="2" t="s">
        <v>3620</v>
      </c>
      <c r="E2821" s="2" t="s">
        <v>3833</v>
      </c>
      <c r="F2821" s="96">
        <v>1</v>
      </c>
      <c r="G2821" s="1" t="s">
        <v>285</v>
      </c>
      <c r="H2821" s="8">
        <v>14000</v>
      </c>
      <c r="I2821" s="8">
        <f t="shared" si="184"/>
        <v>14000</v>
      </c>
      <c r="J2821" s="521">
        <v>13000</v>
      </c>
      <c r="K2821" s="521">
        <f t="shared" si="186"/>
        <v>1000</v>
      </c>
      <c r="L2821" s="522">
        <f t="shared" si="185"/>
        <v>1000</v>
      </c>
      <c r="M2821" s="523">
        <f t="shared" si="187"/>
        <v>7.1428571428571425E-2</v>
      </c>
      <c r="N2821" s="2" t="s">
        <v>22</v>
      </c>
      <c r="O2821" s="15" t="s">
        <v>39</v>
      </c>
    </row>
    <row r="2822" spans="1:15">
      <c r="A2822" s="70">
        <v>2025</v>
      </c>
      <c r="B2822" s="16" t="s">
        <v>696</v>
      </c>
      <c r="C2822" s="71" t="s">
        <v>3834</v>
      </c>
      <c r="D2822" s="2" t="s">
        <v>3620</v>
      </c>
      <c r="E2822" s="2" t="s">
        <v>3835</v>
      </c>
      <c r="F2822" s="96">
        <v>1</v>
      </c>
      <c r="G2822" s="1" t="s">
        <v>285</v>
      </c>
      <c r="H2822" s="8">
        <v>14000</v>
      </c>
      <c r="I2822" s="8">
        <f t="shared" si="184"/>
        <v>14000</v>
      </c>
      <c r="J2822" s="521">
        <v>13000</v>
      </c>
      <c r="K2822" s="521">
        <f t="shared" si="186"/>
        <v>1000</v>
      </c>
      <c r="L2822" s="522">
        <f t="shared" si="185"/>
        <v>1000</v>
      </c>
      <c r="M2822" s="523">
        <f t="shared" si="187"/>
        <v>7.1428571428571425E-2</v>
      </c>
      <c r="N2822" s="2" t="s">
        <v>22</v>
      </c>
      <c r="O2822" s="15" t="s">
        <v>39</v>
      </c>
    </row>
    <row r="2823" spans="1:15">
      <c r="A2823" s="70">
        <v>2025</v>
      </c>
      <c r="B2823" s="16" t="s">
        <v>696</v>
      </c>
      <c r="C2823" s="71" t="s">
        <v>3836</v>
      </c>
      <c r="D2823" s="39" t="s">
        <v>335</v>
      </c>
      <c r="E2823" s="39" t="s">
        <v>336</v>
      </c>
      <c r="F2823" s="96">
        <v>56000</v>
      </c>
      <c r="G2823" s="1" t="s">
        <v>337</v>
      </c>
      <c r="H2823" s="399">
        <v>36</v>
      </c>
      <c r="I2823" s="8">
        <f t="shared" si="184"/>
        <v>2016000</v>
      </c>
      <c r="J2823" s="521">
        <v>35</v>
      </c>
      <c r="K2823" s="521">
        <f t="shared" si="186"/>
        <v>1</v>
      </c>
      <c r="L2823" s="522">
        <f t="shared" si="185"/>
        <v>56000</v>
      </c>
      <c r="M2823" s="523">
        <f t="shared" si="187"/>
        <v>2.7777777777777776E-2</v>
      </c>
      <c r="N2823" s="2" t="s">
        <v>40</v>
      </c>
      <c r="O2823" s="15" t="s">
        <v>39</v>
      </c>
    </row>
    <row r="2824" spans="1:15">
      <c r="A2824" s="70">
        <v>2025</v>
      </c>
      <c r="B2824" s="16" t="s">
        <v>696</v>
      </c>
      <c r="C2824" s="71" t="s">
        <v>3837</v>
      </c>
      <c r="D2824" s="39" t="s">
        <v>335</v>
      </c>
      <c r="E2824" s="39" t="s">
        <v>336</v>
      </c>
      <c r="F2824" s="96">
        <v>14000</v>
      </c>
      <c r="G2824" s="1" t="s">
        <v>337</v>
      </c>
      <c r="H2824" s="399">
        <v>36</v>
      </c>
      <c r="I2824" s="8">
        <f t="shared" si="184"/>
        <v>504000</v>
      </c>
      <c r="J2824" s="521">
        <v>35</v>
      </c>
      <c r="K2824" s="521">
        <f t="shared" si="186"/>
        <v>1</v>
      </c>
      <c r="L2824" s="522">
        <f t="shared" si="185"/>
        <v>14000</v>
      </c>
      <c r="M2824" s="523">
        <f t="shared" si="187"/>
        <v>2.7777777777777776E-2</v>
      </c>
      <c r="N2824" s="2" t="s">
        <v>40</v>
      </c>
      <c r="O2824" s="15" t="s">
        <v>39</v>
      </c>
    </row>
    <row r="2825" spans="1:15">
      <c r="A2825" s="70">
        <v>2025</v>
      </c>
      <c r="B2825" s="16" t="s">
        <v>696</v>
      </c>
      <c r="C2825" s="71" t="s">
        <v>3838</v>
      </c>
      <c r="D2825" s="39" t="s">
        <v>335</v>
      </c>
      <c r="E2825" s="39" t="s">
        <v>336</v>
      </c>
      <c r="F2825" s="96">
        <v>14000</v>
      </c>
      <c r="G2825" s="1" t="s">
        <v>337</v>
      </c>
      <c r="H2825" s="399">
        <v>35</v>
      </c>
      <c r="I2825" s="8">
        <f t="shared" si="184"/>
        <v>490000</v>
      </c>
      <c r="J2825" s="521">
        <v>33.75</v>
      </c>
      <c r="K2825" s="521">
        <f t="shared" si="186"/>
        <v>1.25</v>
      </c>
      <c r="L2825" s="522">
        <f t="shared" si="185"/>
        <v>17500</v>
      </c>
      <c r="M2825" s="523">
        <f t="shared" si="187"/>
        <v>3.5714285714285712E-2</v>
      </c>
      <c r="N2825" s="2" t="s">
        <v>40</v>
      </c>
      <c r="O2825" s="15" t="s">
        <v>39</v>
      </c>
    </row>
    <row r="2826" spans="1:15">
      <c r="A2826" s="70">
        <v>2025</v>
      </c>
      <c r="B2826" s="16" t="s">
        <v>696</v>
      </c>
      <c r="C2826" s="71" t="s">
        <v>3839</v>
      </c>
      <c r="D2826" s="39" t="s">
        <v>335</v>
      </c>
      <c r="E2826" s="39" t="s">
        <v>336</v>
      </c>
      <c r="F2826" s="96">
        <v>28000</v>
      </c>
      <c r="G2826" s="1" t="s">
        <v>337</v>
      </c>
      <c r="H2826" s="399">
        <v>35</v>
      </c>
      <c r="I2826" s="8">
        <f t="shared" si="184"/>
        <v>980000</v>
      </c>
      <c r="J2826" s="521">
        <v>33.75</v>
      </c>
      <c r="K2826" s="521">
        <f t="shared" si="186"/>
        <v>1.25</v>
      </c>
      <c r="L2826" s="522">
        <f t="shared" si="185"/>
        <v>35000</v>
      </c>
      <c r="M2826" s="523">
        <f t="shared" si="187"/>
        <v>3.5714285714285712E-2</v>
      </c>
      <c r="N2826" s="2" t="s">
        <v>40</v>
      </c>
      <c r="O2826" s="15" t="s">
        <v>39</v>
      </c>
    </row>
    <row r="2827" spans="1:15">
      <c r="A2827" s="70">
        <v>2025</v>
      </c>
      <c r="B2827" s="424" t="s">
        <v>1</v>
      </c>
      <c r="C2827" s="71" t="s">
        <v>3840</v>
      </c>
      <c r="D2827" s="2" t="s">
        <v>708</v>
      </c>
      <c r="E2827" s="2" t="s">
        <v>1134</v>
      </c>
      <c r="F2827" s="96">
        <v>300</v>
      </c>
      <c r="G2827" s="1" t="s">
        <v>37</v>
      </c>
      <c r="H2827" s="8">
        <v>382.4</v>
      </c>
      <c r="I2827" s="8">
        <f t="shared" si="184"/>
        <v>114720</v>
      </c>
      <c r="J2827" s="521">
        <v>375.58</v>
      </c>
      <c r="K2827" s="521">
        <f t="shared" si="186"/>
        <v>6.8199999999999932</v>
      </c>
      <c r="L2827" s="522">
        <f t="shared" si="185"/>
        <v>2045.999999999998</v>
      </c>
      <c r="M2827" s="523">
        <f t="shared" si="187"/>
        <v>1.7834728033472788E-2</v>
      </c>
      <c r="N2827" s="2" t="s">
        <v>40</v>
      </c>
      <c r="O2827" s="15" t="s">
        <v>105</v>
      </c>
    </row>
    <row r="2828" spans="1:15">
      <c r="A2828" s="70">
        <v>2025</v>
      </c>
      <c r="B2828" s="16" t="s">
        <v>1</v>
      </c>
      <c r="C2828" s="71" t="s">
        <v>3840</v>
      </c>
      <c r="D2828" s="2" t="s">
        <v>708</v>
      </c>
      <c r="E2828" s="2" t="s">
        <v>208</v>
      </c>
      <c r="F2828" s="96">
        <v>500</v>
      </c>
      <c r="G2828" s="1" t="s">
        <v>37</v>
      </c>
      <c r="H2828" s="8">
        <v>373.83</v>
      </c>
      <c r="I2828" s="8">
        <f t="shared" si="184"/>
        <v>186915</v>
      </c>
      <c r="J2828" s="521">
        <v>367.01</v>
      </c>
      <c r="K2828" s="521">
        <f t="shared" si="186"/>
        <v>6.8199999999999932</v>
      </c>
      <c r="L2828" s="522">
        <f t="shared" si="185"/>
        <v>3409.9999999999964</v>
      </c>
      <c r="M2828" s="523">
        <f t="shared" si="187"/>
        <v>1.8243586657036605E-2</v>
      </c>
      <c r="N2828" s="2" t="s">
        <v>40</v>
      </c>
      <c r="O2828" s="15" t="s">
        <v>105</v>
      </c>
    </row>
    <row r="2829" spans="1:15">
      <c r="A2829" s="70">
        <v>2025</v>
      </c>
      <c r="B2829" s="16" t="s">
        <v>1</v>
      </c>
      <c r="C2829" s="71" t="s">
        <v>3840</v>
      </c>
      <c r="D2829" s="2" t="s">
        <v>708</v>
      </c>
      <c r="E2829" s="2" t="s">
        <v>709</v>
      </c>
      <c r="F2829" s="96">
        <v>1300</v>
      </c>
      <c r="G2829" s="1" t="s">
        <v>37</v>
      </c>
      <c r="H2829" s="8">
        <v>374.09</v>
      </c>
      <c r="I2829" s="8">
        <f t="shared" si="184"/>
        <v>486316.99999999994</v>
      </c>
      <c r="J2829" s="539">
        <v>367.27</v>
      </c>
      <c r="K2829" s="521">
        <f t="shared" si="186"/>
        <v>6.8199999999999932</v>
      </c>
      <c r="L2829" s="522">
        <f t="shared" si="185"/>
        <v>8865.9999999999909</v>
      </c>
      <c r="M2829" s="523">
        <f t="shared" si="187"/>
        <v>1.823090700098905E-2</v>
      </c>
      <c r="N2829" s="2" t="s">
        <v>40</v>
      </c>
      <c r="O2829" s="15" t="s">
        <v>105</v>
      </c>
    </row>
    <row r="2830" spans="1:15">
      <c r="A2830" s="70">
        <v>2025</v>
      </c>
      <c r="B2830" s="16" t="s">
        <v>1</v>
      </c>
      <c r="C2830" s="71" t="s">
        <v>3840</v>
      </c>
      <c r="D2830" s="2" t="s">
        <v>708</v>
      </c>
      <c r="E2830" s="2" t="s">
        <v>3841</v>
      </c>
      <c r="F2830" s="96">
        <v>400</v>
      </c>
      <c r="G2830" s="1" t="s">
        <v>37</v>
      </c>
      <c r="H2830" s="8">
        <v>375.69</v>
      </c>
      <c r="I2830" s="8">
        <f t="shared" si="184"/>
        <v>150276</v>
      </c>
      <c r="J2830" s="539">
        <v>368.87</v>
      </c>
      <c r="K2830" s="521">
        <f t="shared" si="186"/>
        <v>6.8199999999999932</v>
      </c>
      <c r="L2830" s="522">
        <f t="shared" si="185"/>
        <v>2727.9999999999973</v>
      </c>
      <c r="M2830" s="523">
        <f t="shared" si="187"/>
        <v>1.8153264659692813E-2</v>
      </c>
      <c r="N2830" s="2" t="s">
        <v>40</v>
      </c>
      <c r="O2830" s="15" t="s">
        <v>105</v>
      </c>
    </row>
    <row r="2831" spans="1:15">
      <c r="A2831" s="70">
        <v>2025</v>
      </c>
      <c r="B2831" s="16" t="s">
        <v>1</v>
      </c>
      <c r="C2831" s="71" t="s">
        <v>3840</v>
      </c>
      <c r="D2831" s="2" t="s">
        <v>708</v>
      </c>
      <c r="E2831" s="2" t="s">
        <v>1662</v>
      </c>
      <c r="F2831" s="96">
        <v>300</v>
      </c>
      <c r="G2831" s="1" t="s">
        <v>37</v>
      </c>
      <c r="H2831" s="8">
        <v>374.28</v>
      </c>
      <c r="I2831" s="8">
        <f t="shared" si="184"/>
        <v>112283.99999999999</v>
      </c>
      <c r="J2831" s="521">
        <v>367.46</v>
      </c>
      <c r="K2831" s="521">
        <f t="shared" si="186"/>
        <v>6.8199999999999932</v>
      </c>
      <c r="L2831" s="522">
        <f t="shared" si="185"/>
        <v>2045.999999999998</v>
      </c>
      <c r="M2831" s="523">
        <f t="shared" si="187"/>
        <v>1.8221652238965463E-2</v>
      </c>
      <c r="N2831" s="2" t="s">
        <v>40</v>
      </c>
      <c r="O2831" s="15" t="s">
        <v>105</v>
      </c>
    </row>
    <row r="2832" spans="1:15">
      <c r="A2832" s="70">
        <v>2025</v>
      </c>
      <c r="B2832" s="16" t="s">
        <v>1</v>
      </c>
      <c r="C2832" s="71" t="s">
        <v>3840</v>
      </c>
      <c r="D2832" s="2" t="s">
        <v>708</v>
      </c>
      <c r="E2832" s="2" t="s">
        <v>3842</v>
      </c>
      <c r="F2832" s="96">
        <v>2300</v>
      </c>
      <c r="G2832" s="1" t="s">
        <v>37</v>
      </c>
      <c r="H2832" s="8">
        <v>373.56</v>
      </c>
      <c r="I2832" s="8">
        <f t="shared" si="184"/>
        <v>859188</v>
      </c>
      <c r="J2832" s="539">
        <v>366.74</v>
      </c>
      <c r="K2832" s="521">
        <f t="shared" si="186"/>
        <v>6.8199999999999932</v>
      </c>
      <c r="L2832" s="522">
        <f t="shared" si="185"/>
        <v>15685.999999999984</v>
      </c>
      <c r="M2832" s="523">
        <f t="shared" si="187"/>
        <v>1.8256772673733785E-2</v>
      </c>
      <c r="N2832" s="2" t="s">
        <v>40</v>
      </c>
      <c r="O2832" s="15" t="s">
        <v>105</v>
      </c>
    </row>
    <row r="2833" spans="1:15">
      <c r="A2833" s="70">
        <v>2025</v>
      </c>
      <c r="B2833" s="16" t="s">
        <v>1</v>
      </c>
      <c r="C2833" s="71" t="s">
        <v>3843</v>
      </c>
      <c r="D2833" s="2" t="s">
        <v>892</v>
      </c>
      <c r="E2833" s="2" t="s">
        <v>3844</v>
      </c>
      <c r="F2833" s="96">
        <v>100</v>
      </c>
      <c r="G2833" s="1" t="s">
        <v>19</v>
      </c>
      <c r="H2833" s="8">
        <v>1250</v>
      </c>
      <c r="I2833" s="8">
        <f t="shared" si="184"/>
        <v>125000</v>
      </c>
      <c r="J2833" s="539">
        <v>1162.5</v>
      </c>
      <c r="K2833" s="521">
        <f t="shared" si="186"/>
        <v>87.5</v>
      </c>
      <c r="L2833" s="522">
        <f t="shared" si="185"/>
        <v>8750</v>
      </c>
      <c r="M2833" s="523">
        <f t="shared" si="187"/>
        <v>7.0000000000000007E-2</v>
      </c>
      <c r="N2833" s="2" t="s">
        <v>40</v>
      </c>
      <c r="O2833" s="15" t="s">
        <v>105</v>
      </c>
    </row>
    <row r="2834" spans="1:15">
      <c r="A2834" s="70">
        <v>2025</v>
      </c>
      <c r="B2834" s="16" t="s">
        <v>1</v>
      </c>
      <c r="C2834" s="71" t="s">
        <v>3845</v>
      </c>
      <c r="D2834" s="2" t="s">
        <v>200</v>
      </c>
      <c r="E2834" s="2" t="s">
        <v>2322</v>
      </c>
      <c r="F2834" s="96">
        <v>1</v>
      </c>
      <c r="G2834" s="1" t="s">
        <v>1608</v>
      </c>
      <c r="H2834" s="8">
        <v>48500</v>
      </c>
      <c r="I2834" s="8">
        <f t="shared" si="184"/>
        <v>48500</v>
      </c>
      <c r="J2834" s="539">
        <v>46000</v>
      </c>
      <c r="K2834" s="521">
        <f t="shared" si="186"/>
        <v>2500</v>
      </c>
      <c r="L2834" s="522">
        <f t="shared" si="185"/>
        <v>2500</v>
      </c>
      <c r="M2834" s="523">
        <f t="shared" si="187"/>
        <v>5.1546391752577317E-2</v>
      </c>
      <c r="N2834" s="2" t="s">
        <v>40</v>
      </c>
      <c r="O2834" s="15" t="s">
        <v>39</v>
      </c>
    </row>
    <row r="2835" spans="1:15">
      <c r="A2835" s="70">
        <v>2025</v>
      </c>
      <c r="B2835" s="16" t="s">
        <v>1</v>
      </c>
      <c r="C2835" s="71" t="s">
        <v>3846</v>
      </c>
      <c r="D2835" s="2" t="s">
        <v>3847</v>
      </c>
      <c r="E2835" s="2" t="s">
        <v>3848</v>
      </c>
      <c r="F2835" s="96">
        <v>103</v>
      </c>
      <c r="G2835" s="1" t="s">
        <v>19</v>
      </c>
      <c r="H2835" s="8">
        <f>312*39</f>
        <v>12168</v>
      </c>
      <c r="I2835" s="8">
        <f t="shared" si="184"/>
        <v>1253304</v>
      </c>
      <c r="J2835" s="539">
        <f>306*39</f>
        <v>11934</v>
      </c>
      <c r="K2835" s="521">
        <f t="shared" si="186"/>
        <v>234</v>
      </c>
      <c r="L2835" s="522">
        <f t="shared" si="185"/>
        <v>24102</v>
      </c>
      <c r="M2835" s="523">
        <f t="shared" si="187"/>
        <v>1.9230769230769232E-2</v>
      </c>
      <c r="N2835" s="2" t="s">
        <v>40</v>
      </c>
      <c r="O2835" s="15" t="s">
        <v>39</v>
      </c>
    </row>
    <row r="2836" spans="1:15">
      <c r="A2836" s="70">
        <v>2025</v>
      </c>
      <c r="B2836" s="16" t="s">
        <v>1</v>
      </c>
      <c r="C2836" s="71" t="s">
        <v>3846</v>
      </c>
      <c r="D2836" s="2" t="s">
        <v>3847</v>
      </c>
      <c r="E2836" s="2" t="s">
        <v>3849</v>
      </c>
      <c r="F2836" s="96">
        <v>93</v>
      </c>
      <c r="G2836" s="1" t="s">
        <v>19</v>
      </c>
      <c r="H2836" s="8">
        <f>435*39</f>
        <v>16965</v>
      </c>
      <c r="I2836" s="8">
        <f t="shared" si="184"/>
        <v>1577745</v>
      </c>
      <c r="J2836" s="539">
        <f>426*39</f>
        <v>16614</v>
      </c>
      <c r="K2836" s="521">
        <f t="shared" si="186"/>
        <v>351</v>
      </c>
      <c r="L2836" s="522">
        <f t="shared" si="185"/>
        <v>32643</v>
      </c>
      <c r="M2836" s="523">
        <f t="shared" si="187"/>
        <v>2.0689655172413793E-2</v>
      </c>
      <c r="N2836" s="2" t="s">
        <v>40</v>
      </c>
      <c r="O2836" s="15" t="s">
        <v>39</v>
      </c>
    </row>
    <row r="2837" spans="1:15">
      <c r="A2837" s="70">
        <v>2025</v>
      </c>
      <c r="B2837" s="16" t="s">
        <v>1</v>
      </c>
      <c r="C2837" s="71" t="s">
        <v>3850</v>
      </c>
      <c r="D2837" s="2" t="s">
        <v>1658</v>
      </c>
      <c r="E2837" s="2" t="s">
        <v>2771</v>
      </c>
      <c r="F2837" s="96">
        <v>74</v>
      </c>
      <c r="G2837" s="1" t="s">
        <v>1608</v>
      </c>
      <c r="H2837" s="8">
        <f>87.3*39</f>
        <v>3404.7</v>
      </c>
      <c r="I2837" s="8">
        <f t="shared" si="184"/>
        <v>251947.8</v>
      </c>
      <c r="J2837" s="539">
        <f>84*39</f>
        <v>3276</v>
      </c>
      <c r="K2837" s="521">
        <f t="shared" si="186"/>
        <v>128.69999999999982</v>
      </c>
      <c r="L2837" s="522">
        <f t="shared" si="185"/>
        <v>9523.7999999999865</v>
      </c>
      <c r="M2837" s="523">
        <f t="shared" si="187"/>
        <v>3.7800687285223317E-2</v>
      </c>
      <c r="N2837" s="2" t="s">
        <v>40</v>
      </c>
      <c r="O2837" s="15" t="s">
        <v>39</v>
      </c>
    </row>
    <row r="2838" spans="1:15">
      <c r="A2838" s="70">
        <v>2025</v>
      </c>
      <c r="B2838" s="16" t="s">
        <v>1</v>
      </c>
      <c r="C2838" s="71" t="s">
        <v>3851</v>
      </c>
      <c r="D2838" s="2" t="s">
        <v>3620</v>
      </c>
      <c r="E2838" s="2" t="s">
        <v>3852</v>
      </c>
      <c r="F2838" s="96">
        <v>1</v>
      </c>
      <c r="G2838" s="1" t="s">
        <v>285</v>
      </c>
      <c r="H2838" s="8">
        <v>13500</v>
      </c>
      <c r="I2838" s="8">
        <f t="shared" si="184"/>
        <v>13500</v>
      </c>
      <c r="J2838" s="539">
        <v>13000</v>
      </c>
      <c r="K2838" s="521">
        <f t="shared" si="186"/>
        <v>500</v>
      </c>
      <c r="L2838" s="522">
        <f t="shared" si="185"/>
        <v>500</v>
      </c>
      <c r="M2838" s="523">
        <f t="shared" si="187"/>
        <v>3.7037037037037035E-2</v>
      </c>
      <c r="N2838" s="2" t="s">
        <v>40</v>
      </c>
      <c r="O2838" s="15" t="s">
        <v>39</v>
      </c>
    </row>
    <row r="2839" spans="1:15">
      <c r="A2839" s="70">
        <v>2025</v>
      </c>
      <c r="B2839" s="16" t="s">
        <v>1</v>
      </c>
      <c r="C2839" s="71" t="s">
        <v>3851</v>
      </c>
      <c r="D2839" s="2" t="s">
        <v>3620</v>
      </c>
      <c r="E2839" s="2" t="s">
        <v>3853</v>
      </c>
      <c r="F2839" s="96">
        <v>1</v>
      </c>
      <c r="G2839" s="1" t="s">
        <v>285</v>
      </c>
      <c r="H2839" s="8">
        <v>13500</v>
      </c>
      <c r="I2839" s="8">
        <f t="shared" si="184"/>
        <v>13500</v>
      </c>
      <c r="J2839" s="539">
        <v>13000</v>
      </c>
      <c r="K2839" s="521">
        <f t="shared" si="186"/>
        <v>500</v>
      </c>
      <c r="L2839" s="522">
        <f t="shared" si="185"/>
        <v>500</v>
      </c>
      <c r="M2839" s="523">
        <f t="shared" si="187"/>
        <v>3.7037037037037035E-2</v>
      </c>
      <c r="N2839" s="2" t="s">
        <v>40</v>
      </c>
      <c r="O2839" s="15" t="s">
        <v>39</v>
      </c>
    </row>
    <row r="2840" spans="1:15">
      <c r="A2840" s="70">
        <v>2025</v>
      </c>
      <c r="B2840" s="16" t="s">
        <v>1</v>
      </c>
      <c r="C2840" s="71" t="s">
        <v>3854</v>
      </c>
      <c r="D2840" s="2" t="s">
        <v>200</v>
      </c>
      <c r="E2840" s="2" t="s">
        <v>3485</v>
      </c>
      <c r="F2840" s="96">
        <v>2</v>
      </c>
      <c r="G2840" s="1" t="s">
        <v>19</v>
      </c>
      <c r="H2840" s="8">
        <v>3000</v>
      </c>
      <c r="I2840" s="8">
        <f t="shared" ref="I2840:I2871" si="188">H2840*F2840</f>
        <v>6000</v>
      </c>
      <c r="J2840" s="539">
        <v>2300</v>
      </c>
      <c r="K2840" s="521">
        <f t="shared" si="186"/>
        <v>700</v>
      </c>
      <c r="L2840" s="522">
        <f t="shared" si="185"/>
        <v>1400</v>
      </c>
      <c r="M2840" s="523">
        <f t="shared" si="187"/>
        <v>0.23333333333333334</v>
      </c>
      <c r="N2840" s="2" t="s">
        <v>40</v>
      </c>
      <c r="O2840" s="15" t="s">
        <v>39</v>
      </c>
    </row>
    <row r="2841" spans="1:15">
      <c r="A2841" s="70">
        <v>2025</v>
      </c>
      <c r="B2841" s="16" t="s">
        <v>1</v>
      </c>
      <c r="C2841" s="71" t="s">
        <v>3855</v>
      </c>
      <c r="D2841" s="2" t="s">
        <v>892</v>
      </c>
      <c r="E2841" s="2" t="s">
        <v>3856</v>
      </c>
      <c r="F2841" s="96">
        <v>1</v>
      </c>
      <c r="G2841" s="1" t="s">
        <v>3857</v>
      </c>
      <c r="H2841" s="8">
        <v>540720</v>
      </c>
      <c r="I2841" s="8">
        <f t="shared" si="188"/>
        <v>540720</v>
      </c>
      <c r="J2841" s="539">
        <v>526660</v>
      </c>
      <c r="K2841" s="521">
        <f t="shared" si="186"/>
        <v>14060</v>
      </c>
      <c r="L2841" s="522">
        <f t="shared" si="185"/>
        <v>14060</v>
      </c>
      <c r="M2841" s="523">
        <f t="shared" si="187"/>
        <v>2.6002367214084925E-2</v>
      </c>
      <c r="N2841" s="2" t="s">
        <v>40</v>
      </c>
      <c r="O2841" s="15" t="s">
        <v>105</v>
      </c>
    </row>
    <row r="2842" spans="1:15">
      <c r="A2842" s="70">
        <v>2025</v>
      </c>
      <c r="B2842" s="16" t="s">
        <v>1</v>
      </c>
      <c r="C2842" s="71" t="s">
        <v>3858</v>
      </c>
      <c r="D2842" s="2" t="s">
        <v>192</v>
      </c>
      <c r="E2842" s="2" t="s">
        <v>2837</v>
      </c>
      <c r="F2842" s="96">
        <v>146</v>
      </c>
      <c r="G2842" s="1" t="s">
        <v>19</v>
      </c>
      <c r="H2842" s="8">
        <v>9235</v>
      </c>
      <c r="I2842" s="8">
        <f t="shared" si="188"/>
        <v>1348310</v>
      </c>
      <c r="J2842" s="539">
        <v>9000</v>
      </c>
      <c r="K2842" s="521">
        <f t="shared" si="186"/>
        <v>235</v>
      </c>
      <c r="L2842" s="522">
        <f t="shared" si="185"/>
        <v>34310</v>
      </c>
      <c r="M2842" s="523">
        <f t="shared" si="187"/>
        <v>2.5446670276123445E-2</v>
      </c>
      <c r="N2842" s="2" t="s">
        <v>40</v>
      </c>
      <c r="O2842" s="15" t="s">
        <v>105</v>
      </c>
    </row>
    <row r="2843" spans="1:15">
      <c r="A2843" s="70">
        <v>2025</v>
      </c>
      <c r="B2843" s="16" t="s">
        <v>1</v>
      </c>
      <c r="C2843" s="71" t="s">
        <v>3859</v>
      </c>
      <c r="D2843" s="2" t="s">
        <v>17</v>
      </c>
      <c r="E2843" s="2" t="s">
        <v>3860</v>
      </c>
      <c r="F2843" s="96">
        <v>3</v>
      </c>
      <c r="G2843" s="1" t="s">
        <v>19</v>
      </c>
      <c r="H2843" s="8">
        <v>450</v>
      </c>
      <c r="I2843" s="8">
        <f t="shared" si="188"/>
        <v>1350</v>
      </c>
      <c r="J2843" s="539">
        <v>179</v>
      </c>
      <c r="K2843" s="521">
        <f t="shared" si="186"/>
        <v>271</v>
      </c>
      <c r="L2843" s="522">
        <f t="shared" si="185"/>
        <v>813</v>
      </c>
      <c r="M2843" s="523">
        <f t="shared" si="187"/>
        <v>0.60222222222222221</v>
      </c>
      <c r="N2843" s="2" t="s">
        <v>22</v>
      </c>
      <c r="O2843" s="15" t="s">
        <v>105</v>
      </c>
    </row>
    <row r="2844" spans="1:15">
      <c r="A2844" s="70">
        <v>2025</v>
      </c>
      <c r="B2844" s="16" t="s">
        <v>1</v>
      </c>
      <c r="C2844" s="71" t="s">
        <v>3861</v>
      </c>
      <c r="D2844" s="2" t="s">
        <v>3862</v>
      </c>
      <c r="E2844" s="2" t="s">
        <v>3863</v>
      </c>
      <c r="F2844" s="96">
        <v>1</v>
      </c>
      <c r="G2844" s="1" t="s">
        <v>285</v>
      </c>
      <c r="H2844" s="8">
        <v>285000</v>
      </c>
      <c r="I2844" s="8">
        <f t="shared" si="188"/>
        <v>285000</v>
      </c>
      <c r="J2844" s="539">
        <v>277500</v>
      </c>
      <c r="K2844" s="521">
        <f t="shared" si="186"/>
        <v>7500</v>
      </c>
      <c r="L2844" s="522">
        <f t="shared" si="185"/>
        <v>7500</v>
      </c>
      <c r="M2844" s="523">
        <f t="shared" si="187"/>
        <v>2.6315789473684209E-2</v>
      </c>
      <c r="N2844" s="2" t="s">
        <v>40</v>
      </c>
      <c r="O2844" s="15" t="s">
        <v>105</v>
      </c>
    </row>
    <row r="2845" spans="1:15">
      <c r="A2845" s="70">
        <v>2025</v>
      </c>
      <c r="B2845" s="16" t="s">
        <v>1</v>
      </c>
      <c r="C2845" s="71" t="s">
        <v>3864</v>
      </c>
      <c r="D2845" s="2" t="s">
        <v>2840</v>
      </c>
      <c r="E2845" s="2" t="s">
        <v>2841</v>
      </c>
      <c r="F2845" s="96">
        <v>1600</v>
      </c>
      <c r="G2845" s="1" t="s">
        <v>19</v>
      </c>
      <c r="H2845" s="8">
        <v>2285</v>
      </c>
      <c r="I2845" s="8">
        <f t="shared" si="188"/>
        <v>3656000</v>
      </c>
      <c r="J2845" s="539">
        <v>2245</v>
      </c>
      <c r="K2845" s="521">
        <f t="shared" si="186"/>
        <v>40</v>
      </c>
      <c r="L2845" s="522">
        <f t="shared" si="185"/>
        <v>64000</v>
      </c>
      <c r="M2845" s="523">
        <f t="shared" si="187"/>
        <v>1.7505470459518599E-2</v>
      </c>
      <c r="N2845" s="2" t="s">
        <v>40</v>
      </c>
      <c r="O2845" s="15" t="s">
        <v>105</v>
      </c>
    </row>
    <row r="2846" spans="1:15">
      <c r="A2846" s="70">
        <v>2025</v>
      </c>
      <c r="B2846" s="16" t="s">
        <v>1</v>
      </c>
      <c r="C2846" s="71" t="s">
        <v>3865</v>
      </c>
      <c r="D2846" s="2" t="s">
        <v>107</v>
      </c>
      <c r="E2846" s="2" t="s">
        <v>1652</v>
      </c>
      <c r="F2846" s="96">
        <v>606</v>
      </c>
      <c r="G2846" s="1" t="s">
        <v>19</v>
      </c>
      <c r="H2846" s="8">
        <v>1092</v>
      </c>
      <c r="I2846" s="8">
        <f t="shared" si="188"/>
        <v>661752</v>
      </c>
      <c r="J2846" s="539">
        <v>985</v>
      </c>
      <c r="K2846" s="521">
        <f t="shared" si="186"/>
        <v>107</v>
      </c>
      <c r="L2846" s="522">
        <f t="shared" si="185"/>
        <v>64842</v>
      </c>
      <c r="M2846" s="523">
        <f t="shared" si="187"/>
        <v>9.7985347985347984E-2</v>
      </c>
      <c r="N2846" s="2" t="s">
        <v>40</v>
      </c>
      <c r="O2846" s="15" t="s">
        <v>105</v>
      </c>
    </row>
    <row r="2847" spans="1:15">
      <c r="A2847" s="70">
        <v>2025</v>
      </c>
      <c r="B2847" s="16" t="s">
        <v>1</v>
      </c>
      <c r="C2847" s="71" t="s">
        <v>3866</v>
      </c>
      <c r="D2847" s="2" t="s">
        <v>2342</v>
      </c>
      <c r="E2847" s="2" t="s">
        <v>779</v>
      </c>
      <c r="F2847" s="96">
        <v>20</v>
      </c>
      <c r="G2847" s="1" t="s">
        <v>302</v>
      </c>
      <c r="H2847" s="8">
        <v>4867</v>
      </c>
      <c r="I2847" s="8">
        <f t="shared" si="188"/>
        <v>97340</v>
      </c>
      <c r="J2847" s="539">
        <v>4759</v>
      </c>
      <c r="K2847" s="521">
        <f t="shared" si="186"/>
        <v>108</v>
      </c>
      <c r="L2847" s="522">
        <f t="shared" si="185"/>
        <v>2160</v>
      </c>
      <c r="M2847" s="523">
        <f t="shared" si="187"/>
        <v>2.2190260941031437E-2</v>
      </c>
      <c r="N2847" s="2" t="s">
        <v>40</v>
      </c>
      <c r="O2847" s="15" t="s">
        <v>105</v>
      </c>
    </row>
    <row r="2848" spans="1:15">
      <c r="A2848" s="70">
        <v>2025</v>
      </c>
      <c r="B2848" s="16" t="s">
        <v>1</v>
      </c>
      <c r="C2848" s="71" t="s">
        <v>3867</v>
      </c>
      <c r="D2848" s="2" t="s">
        <v>192</v>
      </c>
      <c r="E2848" s="2" t="s">
        <v>3868</v>
      </c>
      <c r="F2848" s="96">
        <v>1</v>
      </c>
      <c r="G2848" s="1" t="s">
        <v>19</v>
      </c>
      <c r="H2848" s="8">
        <v>44130</v>
      </c>
      <c r="I2848" s="8">
        <f t="shared" si="188"/>
        <v>44130</v>
      </c>
      <c r="J2848" s="539">
        <v>42810</v>
      </c>
      <c r="K2848" s="521">
        <f t="shared" si="186"/>
        <v>1320</v>
      </c>
      <c r="L2848" s="522">
        <f t="shared" si="185"/>
        <v>1320</v>
      </c>
      <c r="M2848" s="523">
        <f t="shared" si="187"/>
        <v>2.9911624745071381E-2</v>
      </c>
      <c r="N2848" s="2" t="s">
        <v>40</v>
      </c>
      <c r="O2848" s="15" t="s">
        <v>105</v>
      </c>
    </row>
    <row r="2849" spans="1:15">
      <c r="A2849" s="70">
        <v>2025</v>
      </c>
      <c r="B2849" s="16" t="s">
        <v>1</v>
      </c>
      <c r="C2849" s="71" t="s">
        <v>3869</v>
      </c>
      <c r="D2849" s="2" t="s">
        <v>1042</v>
      </c>
      <c r="E2849" s="2" t="s">
        <v>644</v>
      </c>
      <c r="F2849" s="96">
        <v>729</v>
      </c>
      <c r="G2849" s="1" t="s">
        <v>37</v>
      </c>
      <c r="H2849" s="8">
        <v>394</v>
      </c>
      <c r="I2849" s="8">
        <f t="shared" si="188"/>
        <v>287226</v>
      </c>
      <c r="J2849" s="539">
        <v>364</v>
      </c>
      <c r="K2849" s="521">
        <f t="shared" si="186"/>
        <v>30</v>
      </c>
      <c r="L2849" s="522">
        <f t="shared" si="185"/>
        <v>21870</v>
      </c>
      <c r="M2849" s="523">
        <f t="shared" si="187"/>
        <v>7.6142131979695438E-2</v>
      </c>
      <c r="N2849" s="2" t="s">
        <v>22</v>
      </c>
      <c r="O2849" s="15" t="s">
        <v>105</v>
      </c>
    </row>
    <row r="2850" spans="1:15">
      <c r="A2850" s="70">
        <v>2025</v>
      </c>
      <c r="B2850" s="16" t="s">
        <v>1</v>
      </c>
      <c r="C2850" s="71" t="s">
        <v>3870</v>
      </c>
      <c r="D2850" s="2" t="s">
        <v>17</v>
      </c>
      <c r="E2850" s="2" t="s">
        <v>3871</v>
      </c>
      <c r="F2850" s="96">
        <v>1</v>
      </c>
      <c r="G2850" s="1" t="s">
        <v>19</v>
      </c>
      <c r="H2850" s="8">
        <v>135</v>
      </c>
      <c r="I2850" s="8">
        <f t="shared" si="188"/>
        <v>135</v>
      </c>
      <c r="J2850" s="539">
        <v>99</v>
      </c>
      <c r="K2850" s="521">
        <f t="shared" si="186"/>
        <v>36</v>
      </c>
      <c r="L2850" s="522">
        <f t="shared" si="185"/>
        <v>36</v>
      </c>
      <c r="M2850" s="523">
        <f t="shared" si="187"/>
        <v>0.26666666666666666</v>
      </c>
      <c r="N2850" s="2" t="s">
        <v>22</v>
      </c>
      <c r="O2850" s="15" t="s">
        <v>105</v>
      </c>
    </row>
    <row r="2851" spans="1:15">
      <c r="A2851" s="70">
        <v>2025</v>
      </c>
      <c r="B2851" s="16" t="s">
        <v>1</v>
      </c>
      <c r="C2851" s="71" t="s">
        <v>3870</v>
      </c>
      <c r="D2851" s="2" t="s">
        <v>17</v>
      </c>
      <c r="E2851" s="2" t="s">
        <v>3872</v>
      </c>
      <c r="F2851" s="96">
        <v>1</v>
      </c>
      <c r="G2851" s="1" t="s">
        <v>19</v>
      </c>
      <c r="H2851" s="8">
        <v>6520</v>
      </c>
      <c r="I2851" s="8">
        <f t="shared" si="188"/>
        <v>6520</v>
      </c>
      <c r="J2851" s="539">
        <v>3990</v>
      </c>
      <c r="K2851" s="521">
        <f t="shared" si="186"/>
        <v>2530</v>
      </c>
      <c r="L2851" s="522">
        <f t="shared" si="185"/>
        <v>2530</v>
      </c>
      <c r="M2851" s="523">
        <f t="shared" si="187"/>
        <v>0.3880368098159509</v>
      </c>
      <c r="N2851" s="2" t="s">
        <v>22</v>
      </c>
      <c r="O2851" s="15" t="s">
        <v>105</v>
      </c>
    </row>
    <row r="2852" spans="1:15">
      <c r="A2852" s="70">
        <v>2025</v>
      </c>
      <c r="B2852" s="16" t="s">
        <v>1</v>
      </c>
      <c r="C2852" s="71" t="s">
        <v>3873</v>
      </c>
      <c r="D2852" s="2" t="s">
        <v>497</v>
      </c>
      <c r="E2852" s="2" t="s">
        <v>498</v>
      </c>
      <c r="F2852" s="96">
        <v>20000</v>
      </c>
      <c r="G2852" s="1" t="s">
        <v>37</v>
      </c>
      <c r="H2852" s="8">
        <v>94.47</v>
      </c>
      <c r="I2852" s="8">
        <f t="shared" si="188"/>
        <v>1889400</v>
      </c>
      <c r="J2852" s="539">
        <v>93</v>
      </c>
      <c r="K2852" s="521">
        <f t="shared" si="186"/>
        <v>1.4699999999999989</v>
      </c>
      <c r="L2852" s="522">
        <f t="shared" si="185"/>
        <v>29399.999999999978</v>
      </c>
      <c r="M2852" s="523">
        <f t="shared" si="187"/>
        <v>1.5560495395363595E-2</v>
      </c>
      <c r="N2852" s="2" t="s">
        <v>40</v>
      </c>
      <c r="O2852" s="15" t="s">
        <v>39</v>
      </c>
    </row>
    <row r="2853" spans="1:15">
      <c r="A2853" s="70">
        <v>2025</v>
      </c>
      <c r="B2853" s="16" t="s">
        <v>1</v>
      </c>
      <c r="C2853" s="71" t="s">
        <v>3874</v>
      </c>
      <c r="D2853" s="2" t="s">
        <v>1227</v>
      </c>
      <c r="E2853" s="2" t="s">
        <v>3250</v>
      </c>
      <c r="F2853" s="96">
        <v>460</v>
      </c>
      <c r="G2853" s="1" t="s">
        <v>19</v>
      </c>
      <c r="H2853" s="8">
        <v>3480</v>
      </c>
      <c r="I2853" s="8">
        <f t="shared" si="188"/>
        <v>1600800</v>
      </c>
      <c r="J2853" s="539">
        <v>3340</v>
      </c>
      <c r="K2853" s="521">
        <f t="shared" si="186"/>
        <v>140</v>
      </c>
      <c r="L2853" s="522">
        <f t="shared" si="185"/>
        <v>64400</v>
      </c>
      <c r="M2853" s="523">
        <f t="shared" si="187"/>
        <v>4.0229885057471264E-2</v>
      </c>
      <c r="N2853" s="2" t="s">
        <v>40</v>
      </c>
      <c r="O2853" s="15" t="s">
        <v>39</v>
      </c>
    </row>
    <row r="2854" spans="1:15">
      <c r="A2854" s="70">
        <v>2025</v>
      </c>
      <c r="B2854" s="16" t="s">
        <v>1</v>
      </c>
      <c r="C2854" s="71" t="s">
        <v>3874</v>
      </c>
      <c r="D2854" s="2" t="s">
        <v>1227</v>
      </c>
      <c r="E2854" s="2" t="s">
        <v>3875</v>
      </c>
      <c r="F2854" s="96">
        <v>126</v>
      </c>
      <c r="G2854" s="1" t="s">
        <v>19</v>
      </c>
      <c r="H2854" s="8">
        <v>375</v>
      </c>
      <c r="I2854" s="8">
        <f t="shared" si="188"/>
        <v>47250</v>
      </c>
      <c r="J2854" s="539">
        <v>360</v>
      </c>
      <c r="K2854" s="521">
        <f t="shared" si="186"/>
        <v>15</v>
      </c>
      <c r="L2854" s="522">
        <f t="shared" si="185"/>
        <v>1890</v>
      </c>
      <c r="M2854" s="523">
        <f t="shared" si="187"/>
        <v>0.04</v>
      </c>
      <c r="N2854" s="2" t="s">
        <v>40</v>
      </c>
      <c r="O2854" s="15" t="s">
        <v>39</v>
      </c>
    </row>
    <row r="2855" spans="1:15">
      <c r="A2855" s="70">
        <v>2025</v>
      </c>
      <c r="B2855" s="16" t="s">
        <v>1</v>
      </c>
      <c r="C2855" s="71" t="s">
        <v>3874</v>
      </c>
      <c r="D2855" s="2" t="s">
        <v>1227</v>
      </c>
      <c r="E2855" s="2" t="s">
        <v>3876</v>
      </c>
      <c r="F2855" s="96">
        <v>168</v>
      </c>
      <c r="G2855" s="1" t="s">
        <v>19</v>
      </c>
      <c r="H2855" s="8">
        <v>1480</v>
      </c>
      <c r="I2855" s="8">
        <f t="shared" si="188"/>
        <v>248640</v>
      </c>
      <c r="J2855" s="539">
        <v>1420</v>
      </c>
      <c r="K2855" s="521">
        <f t="shared" si="186"/>
        <v>60</v>
      </c>
      <c r="L2855" s="522">
        <f t="shared" si="185"/>
        <v>10080</v>
      </c>
      <c r="M2855" s="523">
        <f t="shared" si="187"/>
        <v>4.0540540540540543E-2</v>
      </c>
      <c r="N2855" s="2" t="s">
        <v>40</v>
      </c>
      <c r="O2855" s="15" t="s">
        <v>39</v>
      </c>
    </row>
    <row r="2856" spans="1:15">
      <c r="A2856" s="70">
        <v>2025</v>
      </c>
      <c r="B2856" s="16" t="s">
        <v>1</v>
      </c>
      <c r="C2856" s="71" t="s">
        <v>3877</v>
      </c>
      <c r="D2856" s="2" t="s">
        <v>1488</v>
      </c>
      <c r="E2856" s="2" t="s">
        <v>962</v>
      </c>
      <c r="F2856" s="96">
        <v>726</v>
      </c>
      <c r="G2856" s="1" t="s">
        <v>37</v>
      </c>
      <c r="H2856" s="8">
        <v>383</v>
      </c>
      <c r="I2856" s="8">
        <f t="shared" si="188"/>
        <v>278058</v>
      </c>
      <c r="J2856" s="539">
        <v>375</v>
      </c>
      <c r="K2856" s="521">
        <f t="shared" si="186"/>
        <v>8</v>
      </c>
      <c r="L2856" s="522">
        <f t="shared" si="185"/>
        <v>5808</v>
      </c>
      <c r="M2856" s="523">
        <f t="shared" si="187"/>
        <v>2.0887728459530026E-2</v>
      </c>
      <c r="N2856" s="2" t="s">
        <v>22</v>
      </c>
      <c r="O2856" s="15" t="s">
        <v>105</v>
      </c>
    </row>
    <row r="2857" spans="1:15">
      <c r="A2857" s="70">
        <v>2025</v>
      </c>
      <c r="B2857" s="16" t="s">
        <v>1</v>
      </c>
      <c r="C2857" s="71" t="s">
        <v>3878</v>
      </c>
      <c r="D2857" s="2" t="s">
        <v>329</v>
      </c>
      <c r="E2857" s="2" t="s">
        <v>380</v>
      </c>
      <c r="F2857" s="96">
        <v>30</v>
      </c>
      <c r="G2857" s="1" t="s">
        <v>2541</v>
      </c>
      <c r="H2857" s="8">
        <v>4850</v>
      </c>
      <c r="I2857" s="8">
        <f t="shared" si="188"/>
        <v>145500</v>
      </c>
      <c r="J2857" s="539">
        <v>4720</v>
      </c>
      <c r="K2857" s="521">
        <f t="shared" si="186"/>
        <v>130</v>
      </c>
      <c r="L2857" s="522">
        <f t="shared" si="185"/>
        <v>3900</v>
      </c>
      <c r="M2857" s="523">
        <f t="shared" si="187"/>
        <v>2.6804123711340205E-2</v>
      </c>
      <c r="N2857" s="2" t="s">
        <v>40</v>
      </c>
      <c r="O2857" s="15" t="s">
        <v>39</v>
      </c>
    </row>
    <row r="2858" spans="1:15">
      <c r="A2858" s="70">
        <v>2025</v>
      </c>
      <c r="B2858" s="16" t="s">
        <v>1</v>
      </c>
      <c r="C2858" s="71" t="s">
        <v>3878</v>
      </c>
      <c r="D2858" s="2" t="s">
        <v>329</v>
      </c>
      <c r="E2858" s="2" t="s">
        <v>3879</v>
      </c>
      <c r="F2858" s="96">
        <v>30</v>
      </c>
      <c r="G2858" s="1" t="s">
        <v>2541</v>
      </c>
      <c r="H2858" s="8">
        <v>1680</v>
      </c>
      <c r="I2858" s="8">
        <f t="shared" si="188"/>
        <v>50400</v>
      </c>
      <c r="J2858" s="539">
        <v>1650</v>
      </c>
      <c r="K2858" s="521">
        <f t="shared" si="186"/>
        <v>30</v>
      </c>
      <c r="L2858" s="522">
        <f t="shared" si="185"/>
        <v>900</v>
      </c>
      <c r="M2858" s="523">
        <f t="shared" si="187"/>
        <v>1.7857142857142856E-2</v>
      </c>
      <c r="N2858" s="2" t="s">
        <v>40</v>
      </c>
      <c r="O2858" s="15" t="s">
        <v>39</v>
      </c>
    </row>
    <row r="2859" spans="1:15">
      <c r="A2859" s="70">
        <v>2025</v>
      </c>
      <c r="B2859" s="16" t="s">
        <v>1</v>
      </c>
      <c r="C2859" s="71" t="s">
        <v>3878</v>
      </c>
      <c r="D2859" s="2" t="s">
        <v>329</v>
      </c>
      <c r="E2859" s="2" t="s">
        <v>1367</v>
      </c>
      <c r="F2859" s="96">
        <v>40</v>
      </c>
      <c r="G2859" s="1" t="s">
        <v>1368</v>
      </c>
      <c r="H2859" s="8">
        <v>1940</v>
      </c>
      <c r="I2859" s="8">
        <f t="shared" si="188"/>
        <v>77600</v>
      </c>
      <c r="J2859" s="539">
        <v>1925</v>
      </c>
      <c r="K2859" s="521">
        <f t="shared" si="186"/>
        <v>15</v>
      </c>
      <c r="L2859" s="522">
        <f t="shared" si="185"/>
        <v>600</v>
      </c>
      <c r="M2859" s="523">
        <f t="shared" si="187"/>
        <v>7.7319587628865982E-3</v>
      </c>
      <c r="N2859" s="2" t="s">
        <v>40</v>
      </c>
      <c r="O2859" s="15" t="s">
        <v>39</v>
      </c>
    </row>
    <row r="2860" spans="1:15">
      <c r="A2860" s="70">
        <v>2025</v>
      </c>
      <c r="B2860" s="16" t="s">
        <v>1</v>
      </c>
      <c r="C2860" s="71" t="s">
        <v>3878</v>
      </c>
      <c r="D2860" s="2" t="s">
        <v>329</v>
      </c>
      <c r="E2860" s="2" t="s">
        <v>3880</v>
      </c>
      <c r="F2860" s="96">
        <v>30</v>
      </c>
      <c r="G2860" s="1" t="s">
        <v>1368</v>
      </c>
      <c r="H2860" s="8">
        <v>2700</v>
      </c>
      <c r="I2860" s="8">
        <f t="shared" si="188"/>
        <v>81000</v>
      </c>
      <c r="J2860" s="539">
        <v>2690</v>
      </c>
      <c r="K2860" s="521">
        <f t="shared" si="186"/>
        <v>10</v>
      </c>
      <c r="L2860" s="522">
        <f t="shared" si="185"/>
        <v>300</v>
      </c>
      <c r="M2860" s="523">
        <f t="shared" si="187"/>
        <v>3.7037037037037038E-3</v>
      </c>
      <c r="N2860" s="2" t="s">
        <v>40</v>
      </c>
      <c r="O2860" s="15" t="s">
        <v>39</v>
      </c>
    </row>
    <row r="2861" spans="1:15">
      <c r="A2861" s="70">
        <v>2025</v>
      </c>
      <c r="B2861" s="16" t="s">
        <v>1</v>
      </c>
      <c r="C2861" s="71" t="s">
        <v>3878</v>
      </c>
      <c r="D2861" s="2" t="s">
        <v>329</v>
      </c>
      <c r="E2861" s="2" t="s">
        <v>3881</v>
      </c>
      <c r="F2861" s="96">
        <v>144</v>
      </c>
      <c r="G2861" s="1" t="s">
        <v>1368</v>
      </c>
      <c r="H2861" s="8">
        <v>6555</v>
      </c>
      <c r="I2861" s="8">
        <f t="shared" si="188"/>
        <v>943920</v>
      </c>
      <c r="J2861" s="539">
        <v>6495</v>
      </c>
      <c r="K2861" s="521">
        <f t="shared" si="186"/>
        <v>60</v>
      </c>
      <c r="L2861" s="522">
        <f t="shared" si="185"/>
        <v>8640</v>
      </c>
      <c r="M2861" s="523">
        <f t="shared" si="187"/>
        <v>9.1533180778032037E-3</v>
      </c>
      <c r="N2861" s="2" t="s">
        <v>40</v>
      </c>
      <c r="O2861" s="15" t="s">
        <v>39</v>
      </c>
    </row>
    <row r="2862" spans="1:15">
      <c r="A2862" s="70">
        <v>2025</v>
      </c>
      <c r="B2862" s="16" t="s">
        <v>1</v>
      </c>
      <c r="C2862" s="71" t="s">
        <v>3878</v>
      </c>
      <c r="D2862" s="2" t="s">
        <v>329</v>
      </c>
      <c r="E2862" s="2" t="s">
        <v>3882</v>
      </c>
      <c r="F2862" s="96">
        <v>38</v>
      </c>
      <c r="G2862" s="1" t="s">
        <v>1368</v>
      </c>
      <c r="H2862" s="8">
        <v>5395</v>
      </c>
      <c r="I2862" s="8">
        <f t="shared" si="188"/>
        <v>205010</v>
      </c>
      <c r="J2862" s="539">
        <v>5275</v>
      </c>
      <c r="K2862" s="521">
        <f t="shared" si="186"/>
        <v>120</v>
      </c>
      <c r="L2862" s="522">
        <f t="shared" si="185"/>
        <v>4560</v>
      </c>
      <c r="M2862" s="523">
        <f t="shared" si="187"/>
        <v>2.2242817423540315E-2</v>
      </c>
      <c r="N2862" s="2" t="s">
        <v>40</v>
      </c>
      <c r="O2862" s="15" t="s">
        <v>39</v>
      </c>
    </row>
    <row r="2863" spans="1:15">
      <c r="A2863" s="70">
        <v>2025</v>
      </c>
      <c r="B2863" s="16" t="s">
        <v>1</v>
      </c>
      <c r="C2863" s="71" t="s">
        <v>3878</v>
      </c>
      <c r="D2863" s="2" t="s">
        <v>329</v>
      </c>
      <c r="E2863" s="2" t="s">
        <v>2161</v>
      </c>
      <c r="F2863" s="96">
        <v>20</v>
      </c>
      <c r="G2863" s="1" t="s">
        <v>1368</v>
      </c>
      <c r="H2863" s="8">
        <v>2900</v>
      </c>
      <c r="I2863" s="8">
        <f t="shared" si="188"/>
        <v>58000</v>
      </c>
      <c r="J2863" s="539">
        <v>2750</v>
      </c>
      <c r="K2863" s="521">
        <f t="shared" si="186"/>
        <v>150</v>
      </c>
      <c r="L2863" s="522">
        <f t="shared" si="185"/>
        <v>3000</v>
      </c>
      <c r="M2863" s="523">
        <f t="shared" si="187"/>
        <v>5.1724137931034482E-2</v>
      </c>
      <c r="N2863" s="2" t="s">
        <v>40</v>
      </c>
      <c r="O2863" s="15" t="s">
        <v>39</v>
      </c>
    </row>
    <row r="2864" spans="1:15">
      <c r="A2864" s="70">
        <v>2025</v>
      </c>
      <c r="B2864" s="16" t="s">
        <v>1</v>
      </c>
      <c r="C2864" s="393" t="s">
        <v>3883</v>
      </c>
      <c r="D2864" s="2" t="s">
        <v>1042</v>
      </c>
      <c r="E2864" s="2" t="s">
        <v>711</v>
      </c>
      <c r="F2864" s="96">
        <v>1005</v>
      </c>
      <c r="G2864" s="1" t="s">
        <v>37</v>
      </c>
      <c r="H2864" s="8">
        <v>394</v>
      </c>
      <c r="I2864" s="8">
        <f t="shared" si="188"/>
        <v>395970</v>
      </c>
      <c r="J2864" s="539">
        <v>364</v>
      </c>
      <c r="K2864" s="521">
        <f t="shared" si="186"/>
        <v>30</v>
      </c>
      <c r="L2864" s="522">
        <f t="shared" si="185"/>
        <v>30150</v>
      </c>
      <c r="M2864" s="523">
        <f t="shared" si="187"/>
        <v>7.6142131979695438E-2</v>
      </c>
      <c r="N2864" s="2" t="s">
        <v>22</v>
      </c>
      <c r="O2864" s="15" t="s">
        <v>105</v>
      </c>
    </row>
    <row r="2865" spans="1:15">
      <c r="A2865" s="70">
        <v>2025</v>
      </c>
      <c r="B2865" s="16" t="s">
        <v>1</v>
      </c>
      <c r="C2865" s="71" t="s">
        <v>3884</v>
      </c>
      <c r="D2865" s="2" t="s">
        <v>3885</v>
      </c>
      <c r="E2865" s="2" t="s">
        <v>3516</v>
      </c>
      <c r="F2865" s="96">
        <v>46</v>
      </c>
      <c r="G2865" s="1" t="s">
        <v>302</v>
      </c>
      <c r="H2865" s="8">
        <v>184998</v>
      </c>
      <c r="I2865" s="8">
        <f t="shared" si="188"/>
        <v>8509908</v>
      </c>
      <c r="J2865" s="539">
        <v>174942</v>
      </c>
      <c r="K2865" s="521">
        <f t="shared" si="186"/>
        <v>10056</v>
      </c>
      <c r="L2865" s="522">
        <f t="shared" si="185"/>
        <v>462576</v>
      </c>
      <c r="M2865" s="523">
        <f t="shared" si="187"/>
        <v>5.4357344403723286E-2</v>
      </c>
      <c r="N2865" s="2" t="s">
        <v>40</v>
      </c>
      <c r="O2865" s="15" t="s">
        <v>39</v>
      </c>
    </row>
    <row r="2866" spans="1:15">
      <c r="A2866" s="70">
        <v>2025</v>
      </c>
      <c r="B2866" s="16" t="s">
        <v>1</v>
      </c>
      <c r="C2866" s="71" t="s">
        <v>3884</v>
      </c>
      <c r="D2866" s="2" t="s">
        <v>3885</v>
      </c>
      <c r="E2866" s="2" t="s">
        <v>3471</v>
      </c>
      <c r="F2866" s="96">
        <v>29</v>
      </c>
      <c r="G2866" s="1" t="s">
        <v>302</v>
      </c>
      <c r="H2866" s="8">
        <v>166692</v>
      </c>
      <c r="I2866" s="8">
        <f t="shared" si="188"/>
        <v>4834068</v>
      </c>
      <c r="J2866" s="539">
        <v>165036</v>
      </c>
      <c r="K2866" s="521">
        <f t="shared" si="186"/>
        <v>1656</v>
      </c>
      <c r="L2866" s="522">
        <f t="shared" si="185"/>
        <v>48024</v>
      </c>
      <c r="M2866" s="523">
        <f t="shared" si="187"/>
        <v>9.9344899575264552E-3</v>
      </c>
      <c r="N2866" s="2" t="s">
        <v>40</v>
      </c>
      <c r="O2866" s="15" t="s">
        <v>39</v>
      </c>
    </row>
    <row r="2867" spans="1:15">
      <c r="A2867" s="70">
        <v>2025</v>
      </c>
      <c r="B2867" s="16" t="s">
        <v>1</v>
      </c>
      <c r="C2867" s="71" t="s">
        <v>3886</v>
      </c>
      <c r="D2867" s="2" t="s">
        <v>698</v>
      </c>
      <c r="E2867" s="2" t="s">
        <v>3887</v>
      </c>
      <c r="F2867" s="96">
        <v>24</v>
      </c>
      <c r="G2867" s="1" t="s">
        <v>302</v>
      </c>
      <c r="H2867" s="8">
        <v>9865</v>
      </c>
      <c r="I2867" s="8">
        <f t="shared" si="188"/>
        <v>236760</v>
      </c>
      <c r="J2867" s="539">
        <v>9365</v>
      </c>
      <c r="K2867" s="521">
        <f t="shared" si="186"/>
        <v>500</v>
      </c>
      <c r="L2867" s="522">
        <f t="shared" si="185"/>
        <v>12000</v>
      </c>
      <c r="M2867" s="523">
        <f t="shared" si="187"/>
        <v>5.0684237202230108E-2</v>
      </c>
      <c r="N2867" s="2" t="s">
        <v>40</v>
      </c>
      <c r="O2867" s="15" t="s">
        <v>39</v>
      </c>
    </row>
    <row r="2868" spans="1:15">
      <c r="A2868" s="70">
        <v>2025</v>
      </c>
      <c r="B2868" s="16" t="s">
        <v>1</v>
      </c>
      <c r="C2868" s="71" t="s">
        <v>3886</v>
      </c>
      <c r="D2868" s="2" t="s">
        <v>698</v>
      </c>
      <c r="E2868" s="2" t="s">
        <v>3888</v>
      </c>
      <c r="F2868" s="96">
        <v>12</v>
      </c>
      <c r="G2868" s="1" t="s">
        <v>302</v>
      </c>
      <c r="H2868" s="8">
        <v>13437</v>
      </c>
      <c r="I2868" s="8">
        <f t="shared" si="188"/>
        <v>161244</v>
      </c>
      <c r="J2868" s="539">
        <v>11432</v>
      </c>
      <c r="K2868" s="521">
        <f t="shared" si="186"/>
        <v>2005</v>
      </c>
      <c r="L2868" s="522">
        <f t="shared" si="185"/>
        <v>24060</v>
      </c>
      <c r="M2868" s="523">
        <f t="shared" si="187"/>
        <v>0.14921485450621419</v>
      </c>
      <c r="N2868" s="2" t="s">
        <v>40</v>
      </c>
      <c r="O2868" s="15" t="s">
        <v>39</v>
      </c>
    </row>
    <row r="2869" spans="1:15">
      <c r="A2869" s="70">
        <v>2025</v>
      </c>
      <c r="B2869" s="16" t="s">
        <v>1</v>
      </c>
      <c r="C2869" s="393" t="s">
        <v>3889</v>
      </c>
      <c r="D2869" s="2" t="s">
        <v>94</v>
      </c>
      <c r="E2869" s="2" t="s">
        <v>1038</v>
      </c>
      <c r="F2869" s="96">
        <v>200</v>
      </c>
      <c r="G2869" s="1" t="s">
        <v>19</v>
      </c>
      <c r="H2869" s="8">
        <v>15.5</v>
      </c>
      <c r="I2869" s="8">
        <f t="shared" si="188"/>
        <v>3100</v>
      </c>
      <c r="J2869" s="539">
        <v>14.76</v>
      </c>
      <c r="K2869" s="521">
        <f t="shared" si="186"/>
        <v>0.74000000000000021</v>
      </c>
      <c r="L2869" s="522">
        <f t="shared" si="185"/>
        <v>148.00000000000006</v>
      </c>
      <c r="M2869" s="523">
        <f t="shared" si="187"/>
        <v>4.7741935483870984E-2</v>
      </c>
      <c r="N2869" s="2" t="s">
        <v>22</v>
      </c>
      <c r="O2869" s="15" t="s">
        <v>105</v>
      </c>
    </row>
    <row r="2870" spans="1:15">
      <c r="A2870" s="70">
        <v>2025</v>
      </c>
      <c r="B2870" s="16" t="s">
        <v>1</v>
      </c>
      <c r="C2870" s="393" t="s">
        <v>3889</v>
      </c>
      <c r="D2870" s="2" t="s">
        <v>94</v>
      </c>
      <c r="E2870" s="2" t="s">
        <v>550</v>
      </c>
      <c r="F2870" s="96">
        <v>300</v>
      </c>
      <c r="G2870" s="1" t="s">
        <v>19</v>
      </c>
      <c r="H2870" s="8">
        <v>50</v>
      </c>
      <c r="I2870" s="8">
        <f t="shared" si="188"/>
        <v>15000</v>
      </c>
      <c r="J2870" s="539">
        <v>47.56</v>
      </c>
      <c r="K2870" s="521">
        <f t="shared" si="186"/>
        <v>2.4399999999999977</v>
      </c>
      <c r="L2870" s="522">
        <f t="shared" si="185"/>
        <v>731.99999999999932</v>
      </c>
      <c r="M2870" s="523">
        <f t="shared" si="187"/>
        <v>4.8799999999999955E-2</v>
      </c>
      <c r="N2870" s="2" t="s">
        <v>22</v>
      </c>
      <c r="O2870" s="15" t="s">
        <v>105</v>
      </c>
    </row>
    <row r="2871" spans="1:15">
      <c r="A2871" s="70">
        <v>2025</v>
      </c>
      <c r="B2871" s="16" t="s">
        <v>1</v>
      </c>
      <c r="C2871" s="393" t="s">
        <v>3889</v>
      </c>
      <c r="D2871" s="2" t="s">
        <v>94</v>
      </c>
      <c r="E2871" s="2" t="s">
        <v>546</v>
      </c>
      <c r="F2871" s="96">
        <v>200</v>
      </c>
      <c r="G2871" s="1" t="s">
        <v>19</v>
      </c>
      <c r="H2871" s="8">
        <v>190</v>
      </c>
      <c r="I2871" s="8">
        <f t="shared" si="188"/>
        <v>38000</v>
      </c>
      <c r="J2871" s="539">
        <v>182.25</v>
      </c>
      <c r="K2871" s="521">
        <f t="shared" si="186"/>
        <v>7.75</v>
      </c>
      <c r="L2871" s="522">
        <f t="shared" si="185"/>
        <v>1550</v>
      </c>
      <c r="M2871" s="523">
        <f t="shared" si="187"/>
        <v>4.0789473684210528E-2</v>
      </c>
      <c r="N2871" s="2" t="s">
        <v>22</v>
      </c>
      <c r="O2871" s="15" t="s">
        <v>105</v>
      </c>
    </row>
    <row r="2872" spans="1:15">
      <c r="A2872" s="70">
        <v>2025</v>
      </c>
      <c r="B2872" s="16" t="s">
        <v>1</v>
      </c>
      <c r="C2872" s="393" t="s">
        <v>3889</v>
      </c>
      <c r="D2872" s="2" t="s">
        <v>94</v>
      </c>
      <c r="E2872" s="2" t="s">
        <v>457</v>
      </c>
      <c r="F2872" s="96">
        <v>200</v>
      </c>
      <c r="G2872" s="1" t="s">
        <v>19</v>
      </c>
      <c r="H2872" s="8">
        <v>5.25</v>
      </c>
      <c r="I2872" s="8">
        <f t="shared" ref="I2872:I2903" si="189">H2872*F2872</f>
        <v>1050</v>
      </c>
      <c r="J2872" s="539">
        <v>5.0999999999999996</v>
      </c>
      <c r="K2872" s="521">
        <f t="shared" si="186"/>
        <v>0.15000000000000036</v>
      </c>
      <c r="L2872" s="522">
        <f t="shared" si="185"/>
        <v>30.000000000000071</v>
      </c>
      <c r="M2872" s="523">
        <f t="shared" si="187"/>
        <v>2.857142857142864E-2</v>
      </c>
      <c r="N2872" s="2" t="s">
        <v>22</v>
      </c>
      <c r="O2872" s="15" t="s">
        <v>105</v>
      </c>
    </row>
    <row r="2873" spans="1:15">
      <c r="A2873" s="70">
        <v>2025</v>
      </c>
      <c r="B2873" s="16" t="s">
        <v>1</v>
      </c>
      <c r="C2873" s="393" t="s">
        <v>3889</v>
      </c>
      <c r="D2873" s="2" t="s">
        <v>94</v>
      </c>
      <c r="E2873" s="2" t="s">
        <v>458</v>
      </c>
      <c r="F2873" s="96">
        <v>100</v>
      </c>
      <c r="G2873" s="1" t="s">
        <v>19</v>
      </c>
      <c r="H2873" s="8">
        <v>9.5</v>
      </c>
      <c r="I2873" s="8">
        <f t="shared" si="189"/>
        <v>950</v>
      </c>
      <c r="J2873" s="539">
        <v>9.35</v>
      </c>
      <c r="K2873" s="521">
        <f t="shared" si="186"/>
        <v>0.15000000000000036</v>
      </c>
      <c r="L2873" s="522">
        <f t="shared" si="185"/>
        <v>15.000000000000036</v>
      </c>
      <c r="M2873" s="523">
        <f t="shared" si="187"/>
        <v>1.5789473684210565E-2</v>
      </c>
      <c r="N2873" s="2" t="s">
        <v>22</v>
      </c>
      <c r="O2873" s="15" t="s">
        <v>105</v>
      </c>
    </row>
    <row r="2874" spans="1:15">
      <c r="A2874" s="70">
        <v>2025</v>
      </c>
      <c r="B2874" s="16" t="s">
        <v>1</v>
      </c>
      <c r="C2874" s="71" t="s">
        <v>3890</v>
      </c>
      <c r="D2874" s="2" t="s">
        <v>78</v>
      </c>
      <c r="E2874" s="2" t="s">
        <v>3891</v>
      </c>
      <c r="F2874" s="96">
        <v>20</v>
      </c>
      <c r="G2874" s="1" t="s">
        <v>19</v>
      </c>
      <c r="H2874" s="8">
        <v>80</v>
      </c>
      <c r="I2874" s="8">
        <f t="shared" si="189"/>
        <v>1600</v>
      </c>
      <c r="J2874" s="539">
        <v>60</v>
      </c>
      <c r="K2874" s="521">
        <f t="shared" si="186"/>
        <v>20</v>
      </c>
      <c r="L2874" s="522">
        <f t="shared" si="185"/>
        <v>400</v>
      </c>
      <c r="M2874" s="523">
        <f t="shared" si="187"/>
        <v>0.25</v>
      </c>
      <c r="N2874" s="2" t="s">
        <v>40</v>
      </c>
      <c r="O2874" s="15" t="s">
        <v>105</v>
      </c>
    </row>
    <row r="2875" spans="1:15">
      <c r="A2875" s="70">
        <v>2025</v>
      </c>
      <c r="B2875" s="16" t="s">
        <v>1</v>
      </c>
      <c r="C2875" s="71" t="s">
        <v>3892</v>
      </c>
      <c r="D2875" s="2" t="s">
        <v>3893</v>
      </c>
      <c r="E2875" s="2" t="s">
        <v>3894</v>
      </c>
      <c r="F2875" s="96">
        <v>42</v>
      </c>
      <c r="G2875" s="1" t="s">
        <v>19</v>
      </c>
      <c r="H2875" s="8">
        <v>8100</v>
      </c>
      <c r="I2875" s="8">
        <f t="shared" si="189"/>
        <v>340200</v>
      </c>
      <c r="J2875" s="539">
        <v>8000</v>
      </c>
      <c r="K2875" s="521">
        <f t="shared" si="186"/>
        <v>100</v>
      </c>
      <c r="L2875" s="522">
        <f t="shared" ref="L2875:L2938" si="190">K2875*F2875</f>
        <v>4200</v>
      </c>
      <c r="M2875" s="523">
        <f t="shared" si="187"/>
        <v>1.2345679012345678E-2</v>
      </c>
      <c r="N2875" s="2" t="s">
        <v>40</v>
      </c>
      <c r="O2875" s="15" t="s">
        <v>39</v>
      </c>
    </row>
    <row r="2876" spans="1:15">
      <c r="A2876" s="70">
        <v>2025</v>
      </c>
      <c r="B2876" s="16" t="s">
        <v>1</v>
      </c>
      <c r="C2876" s="71" t="s">
        <v>3895</v>
      </c>
      <c r="D2876" s="2" t="s">
        <v>166</v>
      </c>
      <c r="E2876" s="2" t="s">
        <v>3062</v>
      </c>
      <c r="F2876" s="96">
        <v>19950</v>
      </c>
      <c r="G2876" s="1" t="s">
        <v>37</v>
      </c>
      <c r="H2876" s="8">
        <v>31.35</v>
      </c>
      <c r="I2876" s="8">
        <f t="shared" si="189"/>
        <v>625432.5</v>
      </c>
      <c r="J2876" s="539">
        <v>26.04</v>
      </c>
      <c r="K2876" s="521">
        <f t="shared" si="186"/>
        <v>5.3100000000000023</v>
      </c>
      <c r="L2876" s="522">
        <f t="shared" si="190"/>
        <v>105934.50000000004</v>
      </c>
      <c r="M2876" s="523">
        <f t="shared" si="187"/>
        <v>0.16937799043062207</v>
      </c>
      <c r="N2876" s="2" t="s">
        <v>22</v>
      </c>
      <c r="O2876" s="15" t="s">
        <v>105</v>
      </c>
    </row>
    <row r="2877" spans="1:15">
      <c r="A2877" s="70">
        <v>2025</v>
      </c>
      <c r="B2877" s="16" t="s">
        <v>1</v>
      </c>
      <c r="C2877" s="71" t="s">
        <v>3896</v>
      </c>
      <c r="D2877" s="2" t="s">
        <v>2294</v>
      </c>
      <c r="E2877" s="2" t="s">
        <v>3897</v>
      </c>
      <c r="F2877" s="96">
        <v>1</v>
      </c>
      <c r="G2877" s="1" t="s">
        <v>3898</v>
      </c>
      <c r="H2877" s="8">
        <v>35707.5</v>
      </c>
      <c r="I2877" s="8">
        <f t="shared" si="189"/>
        <v>35707.5</v>
      </c>
      <c r="J2877" s="539">
        <v>34000</v>
      </c>
      <c r="K2877" s="521">
        <f t="shared" si="186"/>
        <v>1707.5</v>
      </c>
      <c r="L2877" s="522">
        <f t="shared" si="190"/>
        <v>1707.5</v>
      </c>
      <c r="M2877" s="523">
        <f t="shared" si="187"/>
        <v>4.7819085626268992E-2</v>
      </c>
      <c r="N2877" s="2" t="s">
        <v>40</v>
      </c>
      <c r="O2877" s="15" t="s">
        <v>105</v>
      </c>
    </row>
    <row r="2878" spans="1:15">
      <c r="A2878" s="70">
        <v>2025</v>
      </c>
      <c r="B2878" s="16" t="s">
        <v>1</v>
      </c>
      <c r="C2878" s="71" t="s">
        <v>3883</v>
      </c>
      <c r="D2878" s="71" t="s">
        <v>1042</v>
      </c>
      <c r="E2878" s="2" t="s">
        <v>889</v>
      </c>
      <c r="F2878" s="96">
        <v>1005</v>
      </c>
      <c r="G2878" s="1" t="s">
        <v>37</v>
      </c>
      <c r="H2878" s="8">
        <v>394</v>
      </c>
      <c r="I2878" s="8">
        <f t="shared" si="189"/>
        <v>395970</v>
      </c>
      <c r="J2878" s="539">
        <v>364</v>
      </c>
      <c r="K2878" s="521">
        <f t="shared" si="186"/>
        <v>30</v>
      </c>
      <c r="L2878" s="522">
        <f t="shared" si="190"/>
        <v>30150</v>
      </c>
      <c r="M2878" s="523">
        <f t="shared" si="187"/>
        <v>7.6142131979695438E-2</v>
      </c>
      <c r="N2878" s="2" t="s">
        <v>22</v>
      </c>
      <c r="O2878" s="15" t="s">
        <v>105</v>
      </c>
    </row>
    <row r="2879" spans="1:15">
      <c r="A2879" s="70">
        <v>2025</v>
      </c>
      <c r="B2879" s="16" t="s">
        <v>1</v>
      </c>
      <c r="C2879" s="71" t="s">
        <v>3899</v>
      </c>
      <c r="D2879" s="2" t="s">
        <v>1488</v>
      </c>
      <c r="E2879" s="2" t="s">
        <v>3900</v>
      </c>
      <c r="F2879" s="96">
        <v>108.5</v>
      </c>
      <c r="G2879" s="1" t="s">
        <v>37</v>
      </c>
      <c r="H2879" s="8">
        <v>383</v>
      </c>
      <c r="I2879" s="8">
        <f t="shared" si="189"/>
        <v>41555.5</v>
      </c>
      <c r="J2879" s="539">
        <v>375</v>
      </c>
      <c r="K2879" s="521">
        <f t="shared" si="186"/>
        <v>8</v>
      </c>
      <c r="L2879" s="522">
        <f t="shared" si="190"/>
        <v>868</v>
      </c>
      <c r="M2879" s="523">
        <f t="shared" si="187"/>
        <v>2.0887728459530026E-2</v>
      </c>
      <c r="N2879" s="2" t="s">
        <v>22</v>
      </c>
      <c r="O2879" s="15" t="s">
        <v>105</v>
      </c>
    </row>
    <row r="2880" spans="1:15">
      <c r="A2880" s="70">
        <v>2025</v>
      </c>
      <c r="B2880" s="16" t="s">
        <v>1</v>
      </c>
      <c r="C2880" s="71" t="s">
        <v>3901</v>
      </c>
      <c r="D2880" s="2" t="s">
        <v>1042</v>
      </c>
      <c r="E2880" s="2" t="s">
        <v>3902</v>
      </c>
      <c r="F2880" s="96">
        <v>2124</v>
      </c>
      <c r="G2880" s="1" t="s">
        <v>37</v>
      </c>
      <c r="H2880" s="8">
        <v>394</v>
      </c>
      <c r="I2880" s="8">
        <f t="shared" si="189"/>
        <v>836856</v>
      </c>
      <c r="J2880" s="539">
        <v>353</v>
      </c>
      <c r="K2880" s="521">
        <f t="shared" si="186"/>
        <v>41</v>
      </c>
      <c r="L2880" s="522">
        <f t="shared" si="190"/>
        <v>87084</v>
      </c>
      <c r="M2880" s="523">
        <f t="shared" si="187"/>
        <v>0.10406091370558376</v>
      </c>
      <c r="N2880" s="2" t="s">
        <v>22</v>
      </c>
      <c r="O2880" s="15" t="s">
        <v>105</v>
      </c>
    </row>
    <row r="2881" spans="1:15">
      <c r="A2881" s="70">
        <v>2025</v>
      </c>
      <c r="B2881" s="16" t="s">
        <v>1</v>
      </c>
      <c r="C2881" s="71" t="s">
        <v>3903</v>
      </c>
      <c r="D2881" s="2" t="s">
        <v>1042</v>
      </c>
      <c r="E2881" s="2" t="s">
        <v>711</v>
      </c>
      <c r="F2881" s="96">
        <v>113958</v>
      </c>
      <c r="G2881" s="1" t="s">
        <v>37</v>
      </c>
      <c r="H2881" s="8">
        <v>364</v>
      </c>
      <c r="I2881" s="8">
        <f t="shared" si="189"/>
        <v>41480712</v>
      </c>
      <c r="J2881" s="539">
        <v>353</v>
      </c>
      <c r="K2881" s="521">
        <f t="shared" si="186"/>
        <v>11</v>
      </c>
      <c r="L2881" s="522">
        <f t="shared" si="190"/>
        <v>1253538</v>
      </c>
      <c r="M2881" s="523">
        <f t="shared" si="187"/>
        <v>3.021978021978022E-2</v>
      </c>
      <c r="N2881" s="2" t="s">
        <v>22</v>
      </c>
      <c r="O2881" s="15" t="s">
        <v>105</v>
      </c>
    </row>
    <row r="2882" spans="1:15">
      <c r="A2882" s="70">
        <v>2025</v>
      </c>
      <c r="B2882" s="16" t="s">
        <v>1</v>
      </c>
      <c r="C2882" s="71" t="s">
        <v>3904</v>
      </c>
      <c r="D2882" s="2" t="s">
        <v>2294</v>
      </c>
      <c r="E2882" s="2" t="s">
        <v>3905</v>
      </c>
      <c r="F2882" s="96">
        <v>1</v>
      </c>
      <c r="G2882" s="1" t="s">
        <v>285</v>
      </c>
      <c r="H2882" s="8">
        <v>38151.25</v>
      </c>
      <c r="I2882" s="8">
        <f t="shared" si="189"/>
        <v>38151.25</v>
      </c>
      <c r="J2882" s="539">
        <v>33000</v>
      </c>
      <c r="K2882" s="521">
        <f t="shared" si="186"/>
        <v>5151.25</v>
      </c>
      <c r="L2882" s="522">
        <f t="shared" si="190"/>
        <v>5151.25</v>
      </c>
      <c r="M2882" s="523">
        <f t="shared" si="187"/>
        <v>0.1350217882769241</v>
      </c>
      <c r="N2882" s="2" t="s">
        <v>40</v>
      </c>
      <c r="O2882" s="15" t="s">
        <v>105</v>
      </c>
    </row>
    <row r="2883" spans="1:15">
      <c r="A2883" s="70">
        <v>2025</v>
      </c>
      <c r="B2883" s="16" t="s">
        <v>1</v>
      </c>
      <c r="C2883" s="71" t="s">
        <v>3889</v>
      </c>
      <c r="D2883" s="2" t="s">
        <v>94</v>
      </c>
      <c r="E2883" s="2" t="s">
        <v>1038</v>
      </c>
      <c r="F2883" s="96">
        <v>200</v>
      </c>
      <c r="G2883" s="1" t="s">
        <v>19</v>
      </c>
      <c r="H2883" s="8">
        <v>15.5</v>
      </c>
      <c r="I2883" s="8">
        <f t="shared" si="189"/>
        <v>3100</v>
      </c>
      <c r="J2883" s="539">
        <v>14.76</v>
      </c>
      <c r="K2883" s="521">
        <f t="shared" ref="K2883:K2946" si="191">H2883-J2883</f>
        <v>0.74000000000000021</v>
      </c>
      <c r="L2883" s="522">
        <f t="shared" si="190"/>
        <v>148.00000000000006</v>
      </c>
      <c r="M2883" s="523">
        <f t="shared" ref="M2883:M2946" si="192">K2883/H2883</f>
        <v>4.7741935483870984E-2</v>
      </c>
      <c r="N2883" s="2" t="s">
        <v>22</v>
      </c>
      <c r="O2883" s="15" t="s">
        <v>105</v>
      </c>
    </row>
    <row r="2884" spans="1:15">
      <c r="A2884" s="70">
        <v>2025</v>
      </c>
      <c r="B2884" s="16" t="s">
        <v>1</v>
      </c>
      <c r="C2884" s="71" t="s">
        <v>3889</v>
      </c>
      <c r="D2884" s="2" t="s">
        <v>94</v>
      </c>
      <c r="E2884" s="2" t="s">
        <v>550</v>
      </c>
      <c r="F2884" s="96">
        <v>300</v>
      </c>
      <c r="G2884" s="1" t="s">
        <v>19</v>
      </c>
      <c r="H2884" s="8">
        <v>50</v>
      </c>
      <c r="I2884" s="8">
        <f t="shared" si="189"/>
        <v>15000</v>
      </c>
      <c r="J2884" s="539">
        <v>47.56</v>
      </c>
      <c r="K2884" s="521">
        <f t="shared" si="191"/>
        <v>2.4399999999999977</v>
      </c>
      <c r="L2884" s="522">
        <f t="shared" si="190"/>
        <v>731.99999999999932</v>
      </c>
      <c r="M2884" s="523">
        <f t="shared" si="192"/>
        <v>4.8799999999999955E-2</v>
      </c>
      <c r="N2884" s="2" t="s">
        <v>22</v>
      </c>
      <c r="O2884" s="15" t="s">
        <v>105</v>
      </c>
    </row>
    <row r="2885" spans="1:15">
      <c r="A2885" s="70">
        <v>2025</v>
      </c>
      <c r="B2885" s="16" t="s">
        <v>1</v>
      </c>
      <c r="C2885" s="71" t="s">
        <v>3889</v>
      </c>
      <c r="D2885" s="2" t="s">
        <v>94</v>
      </c>
      <c r="E2885" s="2" t="s">
        <v>546</v>
      </c>
      <c r="F2885" s="96">
        <v>200</v>
      </c>
      <c r="G2885" s="1" t="s">
        <v>19</v>
      </c>
      <c r="H2885" s="8">
        <v>190</v>
      </c>
      <c r="I2885" s="8">
        <f t="shared" si="189"/>
        <v>38000</v>
      </c>
      <c r="J2885" s="539">
        <v>182.25</v>
      </c>
      <c r="K2885" s="521">
        <f t="shared" si="191"/>
        <v>7.75</v>
      </c>
      <c r="L2885" s="522">
        <f t="shared" si="190"/>
        <v>1550</v>
      </c>
      <c r="M2885" s="523">
        <f t="shared" si="192"/>
        <v>4.0789473684210528E-2</v>
      </c>
      <c r="N2885" s="2" t="s">
        <v>22</v>
      </c>
      <c r="O2885" s="15" t="s">
        <v>105</v>
      </c>
    </row>
    <row r="2886" spans="1:15">
      <c r="A2886" s="70">
        <v>2025</v>
      </c>
      <c r="B2886" s="16" t="s">
        <v>1</v>
      </c>
      <c r="C2886" s="71" t="s">
        <v>3889</v>
      </c>
      <c r="D2886" s="2" t="s">
        <v>94</v>
      </c>
      <c r="E2886" s="2" t="s">
        <v>457</v>
      </c>
      <c r="F2886" s="96">
        <v>200</v>
      </c>
      <c r="G2886" s="1" t="s">
        <v>19</v>
      </c>
      <c r="H2886" s="8">
        <v>5.25</v>
      </c>
      <c r="I2886" s="8">
        <f t="shared" si="189"/>
        <v>1050</v>
      </c>
      <c r="J2886" s="539">
        <v>5.0999999999999996</v>
      </c>
      <c r="K2886" s="521">
        <f t="shared" si="191"/>
        <v>0.15000000000000036</v>
      </c>
      <c r="L2886" s="522">
        <f t="shared" si="190"/>
        <v>30.000000000000071</v>
      </c>
      <c r="M2886" s="523">
        <f t="shared" si="192"/>
        <v>2.857142857142864E-2</v>
      </c>
      <c r="N2886" s="2" t="s">
        <v>22</v>
      </c>
      <c r="O2886" s="15" t="s">
        <v>105</v>
      </c>
    </row>
    <row r="2887" spans="1:15">
      <c r="A2887" s="70">
        <v>2025</v>
      </c>
      <c r="B2887" s="16" t="s">
        <v>1</v>
      </c>
      <c r="C2887" s="71" t="s">
        <v>3889</v>
      </c>
      <c r="D2887" s="2" t="s">
        <v>94</v>
      </c>
      <c r="E2887" s="2" t="s">
        <v>458</v>
      </c>
      <c r="F2887" s="96">
        <v>100</v>
      </c>
      <c r="G2887" s="1" t="s">
        <v>19</v>
      </c>
      <c r="H2887" s="8">
        <v>9.5</v>
      </c>
      <c r="I2887" s="8">
        <f t="shared" si="189"/>
        <v>950</v>
      </c>
      <c r="J2887" s="539">
        <v>9.35</v>
      </c>
      <c r="K2887" s="521">
        <f t="shared" si="191"/>
        <v>0.15000000000000036</v>
      </c>
      <c r="L2887" s="522">
        <f t="shared" si="190"/>
        <v>15.000000000000036</v>
      </c>
      <c r="M2887" s="523">
        <f t="shared" si="192"/>
        <v>1.5789473684210565E-2</v>
      </c>
      <c r="N2887" s="2" t="s">
        <v>22</v>
      </c>
      <c r="O2887" s="15" t="s">
        <v>105</v>
      </c>
    </row>
    <row r="2888" spans="1:15">
      <c r="A2888" s="70">
        <v>2025</v>
      </c>
      <c r="B2888" s="16" t="s">
        <v>1</v>
      </c>
      <c r="C2888" s="71" t="s">
        <v>3906</v>
      </c>
      <c r="D2888" s="2" t="s">
        <v>3893</v>
      </c>
      <c r="E2888" s="2" t="s">
        <v>3907</v>
      </c>
      <c r="F2888" s="96">
        <v>42</v>
      </c>
      <c r="G2888" s="1" t="s">
        <v>19</v>
      </c>
      <c r="H2888" s="8">
        <v>405</v>
      </c>
      <c r="I2888" s="8">
        <f t="shared" si="189"/>
        <v>17010</v>
      </c>
      <c r="J2888" s="539">
        <v>400</v>
      </c>
      <c r="K2888" s="521">
        <f t="shared" si="191"/>
        <v>5</v>
      </c>
      <c r="L2888" s="522">
        <f t="shared" si="190"/>
        <v>210</v>
      </c>
      <c r="M2888" s="523">
        <f t="shared" si="192"/>
        <v>1.2345679012345678E-2</v>
      </c>
      <c r="N2888" s="2" t="s">
        <v>40</v>
      </c>
      <c r="O2888" s="15" t="s">
        <v>105</v>
      </c>
    </row>
    <row r="2889" spans="1:15">
      <c r="A2889" s="70">
        <v>2025</v>
      </c>
      <c r="B2889" s="16" t="s">
        <v>1</v>
      </c>
      <c r="C2889" s="71" t="s">
        <v>3908</v>
      </c>
      <c r="D2889" s="2" t="s">
        <v>200</v>
      </c>
      <c r="E2889" s="2" t="s">
        <v>3909</v>
      </c>
      <c r="F2889" s="96">
        <v>2</v>
      </c>
      <c r="G2889" s="1" t="s">
        <v>3910</v>
      </c>
      <c r="H2889" s="8">
        <v>72500</v>
      </c>
      <c r="I2889" s="8">
        <f t="shared" si="189"/>
        <v>145000</v>
      </c>
      <c r="J2889" s="539">
        <v>70000</v>
      </c>
      <c r="K2889" s="521">
        <f t="shared" si="191"/>
        <v>2500</v>
      </c>
      <c r="L2889" s="522">
        <f t="shared" si="190"/>
        <v>5000</v>
      </c>
      <c r="M2889" s="523">
        <f t="shared" si="192"/>
        <v>3.4482758620689655E-2</v>
      </c>
      <c r="N2889" s="2" t="s">
        <v>40</v>
      </c>
      <c r="O2889" s="15" t="s">
        <v>39</v>
      </c>
    </row>
    <row r="2890" spans="1:15">
      <c r="A2890" s="70">
        <v>2025</v>
      </c>
      <c r="B2890" s="16" t="s">
        <v>1</v>
      </c>
      <c r="C2890" s="71" t="s">
        <v>3911</v>
      </c>
      <c r="D2890" s="2" t="s">
        <v>68</v>
      </c>
      <c r="E2890" s="2" t="s">
        <v>755</v>
      </c>
      <c r="F2890" s="96">
        <v>21653.1</v>
      </c>
      <c r="G2890" s="1" t="s">
        <v>37</v>
      </c>
      <c r="H2890" s="8">
        <v>374</v>
      </c>
      <c r="I2890" s="8">
        <f t="shared" si="189"/>
        <v>8098259.3999999994</v>
      </c>
      <c r="J2890" s="539">
        <v>370</v>
      </c>
      <c r="K2890" s="521">
        <f t="shared" si="191"/>
        <v>4</v>
      </c>
      <c r="L2890" s="522">
        <f t="shared" si="190"/>
        <v>86612.4</v>
      </c>
      <c r="M2890" s="523">
        <f t="shared" si="192"/>
        <v>1.06951871657754E-2</v>
      </c>
      <c r="N2890" s="2" t="s">
        <v>22</v>
      </c>
      <c r="O2890" s="15" t="s">
        <v>105</v>
      </c>
    </row>
    <row r="2891" spans="1:15">
      <c r="A2891" s="70">
        <v>2025</v>
      </c>
      <c r="B2891" s="16" t="s">
        <v>1</v>
      </c>
      <c r="C2891" s="71" t="s">
        <v>3912</v>
      </c>
      <c r="D2891" s="2" t="s">
        <v>270</v>
      </c>
      <c r="E2891" s="2" t="s">
        <v>1244</v>
      </c>
      <c r="F2891" s="96">
        <v>19</v>
      </c>
      <c r="G2891" s="1" t="s">
        <v>302</v>
      </c>
      <c r="H2891" s="8">
        <v>145227</v>
      </c>
      <c r="I2891" s="8">
        <f t="shared" si="189"/>
        <v>2759313</v>
      </c>
      <c r="J2891" s="539">
        <v>144504</v>
      </c>
      <c r="K2891" s="521">
        <f t="shared" si="191"/>
        <v>723</v>
      </c>
      <c r="L2891" s="522">
        <f t="shared" si="190"/>
        <v>13737</v>
      </c>
      <c r="M2891" s="523">
        <f t="shared" si="192"/>
        <v>4.9784131050011364E-3</v>
      </c>
      <c r="N2891" s="2" t="s">
        <v>40</v>
      </c>
      <c r="O2891" s="15" t="s">
        <v>105</v>
      </c>
    </row>
    <row r="2892" spans="1:15">
      <c r="A2892" s="70">
        <v>2025</v>
      </c>
      <c r="B2892" s="16" t="s">
        <v>1</v>
      </c>
      <c r="C2892" s="71" t="s">
        <v>3913</v>
      </c>
      <c r="D2892" s="2" t="s">
        <v>593</v>
      </c>
      <c r="E2892" s="15" t="s">
        <v>3914</v>
      </c>
      <c r="F2892" s="96">
        <v>27</v>
      </c>
      <c r="G2892" s="1" t="s">
        <v>302</v>
      </c>
      <c r="H2892" s="8">
        <v>2400</v>
      </c>
      <c r="I2892" s="8">
        <f t="shared" si="189"/>
        <v>64800</v>
      </c>
      <c r="J2892" s="539">
        <v>2350</v>
      </c>
      <c r="K2892" s="521">
        <f t="shared" si="191"/>
        <v>50</v>
      </c>
      <c r="L2892" s="522">
        <f t="shared" si="190"/>
        <v>1350</v>
      </c>
      <c r="M2892" s="523">
        <f t="shared" si="192"/>
        <v>2.0833333333333332E-2</v>
      </c>
      <c r="N2892" s="2" t="s">
        <v>40</v>
      </c>
      <c r="O2892" s="15" t="s">
        <v>105</v>
      </c>
    </row>
    <row r="2893" spans="1:15">
      <c r="A2893" s="70">
        <v>2025</v>
      </c>
      <c r="B2893" s="16" t="s">
        <v>1</v>
      </c>
      <c r="C2893" s="71" t="s">
        <v>3915</v>
      </c>
      <c r="D2893" s="2" t="s">
        <v>3916</v>
      </c>
      <c r="E2893" s="2" t="s">
        <v>3917</v>
      </c>
      <c r="F2893" s="96">
        <v>1</v>
      </c>
      <c r="G2893" s="1" t="s">
        <v>285</v>
      </c>
      <c r="H2893" s="8">
        <v>67480</v>
      </c>
      <c r="I2893" s="8">
        <f t="shared" si="189"/>
        <v>67480</v>
      </c>
      <c r="J2893" s="539">
        <v>62000</v>
      </c>
      <c r="K2893" s="521">
        <f t="shared" si="191"/>
        <v>5480</v>
      </c>
      <c r="L2893" s="522">
        <f t="shared" si="190"/>
        <v>5480</v>
      </c>
      <c r="M2893" s="523">
        <f t="shared" si="192"/>
        <v>8.1209247184350922E-2</v>
      </c>
      <c r="N2893" s="2" t="s">
        <v>40</v>
      </c>
      <c r="O2893" s="15" t="s">
        <v>105</v>
      </c>
    </row>
    <row r="2894" spans="1:15">
      <c r="A2894" s="70">
        <v>2025</v>
      </c>
      <c r="B2894" s="16" t="s">
        <v>1</v>
      </c>
      <c r="C2894" s="71" t="s">
        <v>3918</v>
      </c>
      <c r="D2894" s="2" t="s">
        <v>17</v>
      </c>
      <c r="E2894" s="2" t="s">
        <v>3919</v>
      </c>
      <c r="F2894" s="96">
        <v>42</v>
      </c>
      <c r="G2894" s="1" t="s">
        <v>19</v>
      </c>
      <c r="H2894" s="8">
        <v>70</v>
      </c>
      <c r="I2894" s="8">
        <f t="shared" si="189"/>
        <v>2940</v>
      </c>
      <c r="J2894" s="539">
        <v>50</v>
      </c>
      <c r="K2894" s="521">
        <f t="shared" si="191"/>
        <v>20</v>
      </c>
      <c r="L2894" s="522">
        <f t="shared" si="190"/>
        <v>840</v>
      </c>
      <c r="M2894" s="523">
        <f t="shared" si="192"/>
        <v>0.2857142857142857</v>
      </c>
      <c r="N2894" s="2" t="s">
        <v>40</v>
      </c>
      <c r="O2894" s="15" t="s">
        <v>39</v>
      </c>
    </row>
    <row r="2895" spans="1:15">
      <c r="A2895" s="70">
        <v>2025</v>
      </c>
      <c r="B2895" s="16" t="s">
        <v>1</v>
      </c>
      <c r="C2895" s="71" t="s">
        <v>3918</v>
      </c>
      <c r="D2895" s="2" t="s">
        <v>17</v>
      </c>
      <c r="E2895" s="2" t="s">
        <v>3920</v>
      </c>
      <c r="F2895" s="96">
        <v>252</v>
      </c>
      <c r="G2895" s="1" t="s">
        <v>19</v>
      </c>
      <c r="H2895" s="8">
        <v>70</v>
      </c>
      <c r="I2895" s="8">
        <f t="shared" si="189"/>
        <v>17640</v>
      </c>
      <c r="J2895" s="539">
        <v>55</v>
      </c>
      <c r="K2895" s="521">
        <f t="shared" si="191"/>
        <v>15</v>
      </c>
      <c r="L2895" s="522">
        <f t="shared" si="190"/>
        <v>3780</v>
      </c>
      <c r="M2895" s="523">
        <f t="shared" si="192"/>
        <v>0.21428571428571427</v>
      </c>
      <c r="N2895" s="2" t="s">
        <v>40</v>
      </c>
      <c r="O2895" s="15" t="s">
        <v>39</v>
      </c>
    </row>
    <row r="2896" spans="1:15">
      <c r="A2896" s="70">
        <v>2025</v>
      </c>
      <c r="B2896" s="16" t="s">
        <v>1</v>
      </c>
      <c r="C2896" s="393" t="s">
        <v>3921</v>
      </c>
      <c r="D2896" s="2" t="s">
        <v>1042</v>
      </c>
      <c r="E2896" s="2" t="s">
        <v>711</v>
      </c>
      <c r="F2896" s="96">
        <v>912</v>
      </c>
      <c r="G2896" s="1" t="s">
        <v>37</v>
      </c>
      <c r="H2896" s="8">
        <v>394</v>
      </c>
      <c r="I2896" s="8">
        <f t="shared" si="189"/>
        <v>359328</v>
      </c>
      <c r="J2896" s="539">
        <v>364</v>
      </c>
      <c r="K2896" s="521">
        <f t="shared" si="191"/>
        <v>30</v>
      </c>
      <c r="L2896" s="522">
        <f t="shared" si="190"/>
        <v>27360</v>
      </c>
      <c r="M2896" s="523">
        <f t="shared" si="192"/>
        <v>7.6142131979695438E-2</v>
      </c>
      <c r="N2896" s="2" t="s">
        <v>22</v>
      </c>
      <c r="O2896" s="15" t="s">
        <v>105</v>
      </c>
    </row>
    <row r="2897" spans="1:15">
      <c r="A2897" s="70">
        <v>2025</v>
      </c>
      <c r="B2897" s="16" t="s">
        <v>1</v>
      </c>
      <c r="C2897" s="393" t="s">
        <v>3922</v>
      </c>
      <c r="D2897" s="2" t="s">
        <v>708</v>
      </c>
      <c r="E2897" s="2" t="s">
        <v>208</v>
      </c>
      <c r="F2897" s="96">
        <v>2100</v>
      </c>
      <c r="G2897" s="1" t="s">
        <v>37</v>
      </c>
      <c r="H2897" s="8">
        <f>J2897+5</f>
        <v>373.83</v>
      </c>
      <c r="I2897" s="8">
        <f t="shared" si="189"/>
        <v>785043</v>
      </c>
      <c r="J2897" s="539">
        <v>368.83</v>
      </c>
      <c r="K2897" s="521">
        <f t="shared" si="191"/>
        <v>5</v>
      </c>
      <c r="L2897" s="522">
        <f t="shared" si="190"/>
        <v>10500</v>
      </c>
      <c r="M2897" s="523">
        <f t="shared" si="192"/>
        <v>1.3375063531551776E-2</v>
      </c>
      <c r="N2897" s="2" t="s">
        <v>40</v>
      </c>
      <c r="O2897" s="15" t="s">
        <v>105</v>
      </c>
    </row>
    <row r="2898" spans="1:15">
      <c r="A2898" s="70">
        <v>2025</v>
      </c>
      <c r="B2898" s="16" t="s">
        <v>1</v>
      </c>
      <c r="C2898" s="393" t="s">
        <v>3922</v>
      </c>
      <c r="D2898" s="2" t="s">
        <v>708</v>
      </c>
      <c r="E2898" s="2" t="s">
        <v>1248</v>
      </c>
      <c r="F2898" s="96">
        <v>1800</v>
      </c>
      <c r="G2898" s="1" t="s">
        <v>37</v>
      </c>
      <c r="H2898" s="8">
        <f>J2898+5</f>
        <v>374.09</v>
      </c>
      <c r="I2898" s="8">
        <f t="shared" si="189"/>
        <v>673362</v>
      </c>
      <c r="J2898" s="539">
        <v>369.09</v>
      </c>
      <c r="K2898" s="521">
        <f t="shared" si="191"/>
        <v>5</v>
      </c>
      <c r="L2898" s="522">
        <f t="shared" si="190"/>
        <v>9000</v>
      </c>
      <c r="M2898" s="523">
        <f t="shared" si="192"/>
        <v>1.3365767596033041E-2</v>
      </c>
      <c r="N2898" s="2" t="s">
        <v>40</v>
      </c>
      <c r="O2898" s="15" t="s">
        <v>105</v>
      </c>
    </row>
    <row r="2899" spans="1:15">
      <c r="A2899" s="70">
        <v>2025</v>
      </c>
      <c r="B2899" s="16" t="s">
        <v>1</v>
      </c>
      <c r="C2899" s="71" t="s">
        <v>3923</v>
      </c>
      <c r="D2899" s="2" t="s">
        <v>1442</v>
      </c>
      <c r="E2899" s="2" t="s">
        <v>1137</v>
      </c>
      <c r="F2899" s="96">
        <v>11400</v>
      </c>
      <c r="G2899" s="1" t="s">
        <v>37</v>
      </c>
      <c r="H2899" s="8">
        <v>365</v>
      </c>
      <c r="I2899" s="8">
        <f t="shared" si="189"/>
        <v>4161000</v>
      </c>
      <c r="J2899" s="539">
        <v>360</v>
      </c>
      <c r="K2899" s="521">
        <f t="shared" si="191"/>
        <v>5</v>
      </c>
      <c r="L2899" s="522">
        <f t="shared" si="190"/>
        <v>57000</v>
      </c>
      <c r="M2899" s="523">
        <f t="shared" si="192"/>
        <v>1.3698630136986301E-2</v>
      </c>
      <c r="N2899" s="2" t="s">
        <v>22</v>
      </c>
      <c r="O2899" s="15" t="s">
        <v>105</v>
      </c>
    </row>
    <row r="2900" spans="1:15">
      <c r="A2900" s="70">
        <v>2025</v>
      </c>
      <c r="B2900" s="16" t="s">
        <v>1</v>
      </c>
      <c r="C2900" s="71" t="s">
        <v>3924</v>
      </c>
      <c r="D2900" s="2" t="s">
        <v>2011</v>
      </c>
      <c r="E2900" s="2" t="s">
        <v>3925</v>
      </c>
      <c r="F2900" s="96">
        <v>80</v>
      </c>
      <c r="G2900" s="1" t="s">
        <v>19</v>
      </c>
      <c r="H2900" s="8">
        <f>150*38</f>
        <v>5700</v>
      </c>
      <c r="I2900" s="8">
        <f t="shared" si="189"/>
        <v>456000</v>
      </c>
      <c r="J2900" s="539">
        <f>145*38</f>
        <v>5510</v>
      </c>
      <c r="K2900" s="521">
        <f t="shared" si="191"/>
        <v>190</v>
      </c>
      <c r="L2900" s="522">
        <f t="shared" si="190"/>
        <v>15200</v>
      </c>
      <c r="M2900" s="523">
        <f t="shared" si="192"/>
        <v>3.3333333333333333E-2</v>
      </c>
      <c r="N2900" s="2" t="s">
        <v>40</v>
      </c>
      <c r="O2900" s="15" t="s">
        <v>105</v>
      </c>
    </row>
    <row r="2901" spans="1:15">
      <c r="A2901" s="70">
        <v>2025</v>
      </c>
      <c r="B2901" s="16" t="s">
        <v>1</v>
      </c>
      <c r="C2901" s="71" t="s">
        <v>3926</v>
      </c>
      <c r="D2901" s="2" t="s">
        <v>590</v>
      </c>
      <c r="E2901" s="2" t="s">
        <v>2981</v>
      </c>
      <c r="F2901" s="96">
        <v>2</v>
      </c>
      <c r="G2901" s="1" t="s">
        <v>3910</v>
      </c>
      <c r="H2901" s="8">
        <v>55000</v>
      </c>
      <c r="I2901" s="8">
        <f t="shared" si="189"/>
        <v>110000</v>
      </c>
      <c r="J2901" s="539">
        <v>50000</v>
      </c>
      <c r="K2901" s="521">
        <f t="shared" si="191"/>
        <v>5000</v>
      </c>
      <c r="L2901" s="522">
        <f t="shared" si="190"/>
        <v>10000</v>
      </c>
      <c r="M2901" s="523">
        <f t="shared" si="192"/>
        <v>9.0909090909090912E-2</v>
      </c>
      <c r="N2901" s="2" t="s">
        <v>22</v>
      </c>
      <c r="O2901" s="15" t="s">
        <v>105</v>
      </c>
    </row>
    <row r="2902" spans="1:15">
      <c r="A2902" s="70">
        <v>2025</v>
      </c>
      <c r="B2902" s="16" t="s">
        <v>1</v>
      </c>
      <c r="C2902" s="71" t="s">
        <v>3927</v>
      </c>
      <c r="D2902" s="2" t="s">
        <v>68</v>
      </c>
      <c r="E2902" s="150" t="s">
        <v>3928</v>
      </c>
      <c r="F2902" s="96">
        <v>568.5</v>
      </c>
      <c r="G2902" s="1" t="s">
        <v>37</v>
      </c>
      <c r="H2902" s="8">
        <v>365</v>
      </c>
      <c r="I2902" s="8">
        <f t="shared" si="189"/>
        <v>207502.5</v>
      </c>
      <c r="J2902" s="539">
        <v>363</v>
      </c>
      <c r="K2902" s="521">
        <f t="shared" si="191"/>
        <v>2</v>
      </c>
      <c r="L2902" s="522">
        <f t="shared" si="190"/>
        <v>1137</v>
      </c>
      <c r="M2902" s="523">
        <f t="shared" si="192"/>
        <v>5.4794520547945206E-3</v>
      </c>
      <c r="N2902" s="2" t="s">
        <v>40</v>
      </c>
      <c r="O2902" s="15" t="s">
        <v>105</v>
      </c>
    </row>
    <row r="2903" spans="1:15">
      <c r="A2903" s="70">
        <v>2025</v>
      </c>
      <c r="B2903" s="16" t="s">
        <v>1</v>
      </c>
      <c r="C2903" s="71" t="s">
        <v>3929</v>
      </c>
      <c r="D2903" s="2" t="s">
        <v>1042</v>
      </c>
      <c r="E2903" s="150" t="s">
        <v>889</v>
      </c>
      <c r="F2903" s="96">
        <v>1165</v>
      </c>
      <c r="G2903" s="1" t="s">
        <v>37</v>
      </c>
      <c r="H2903" s="8">
        <v>394</v>
      </c>
      <c r="I2903" s="8">
        <f t="shared" si="189"/>
        <v>459010</v>
      </c>
      <c r="J2903" s="539">
        <v>364</v>
      </c>
      <c r="K2903" s="521">
        <f t="shared" si="191"/>
        <v>30</v>
      </c>
      <c r="L2903" s="522">
        <f t="shared" si="190"/>
        <v>34950</v>
      </c>
      <c r="M2903" s="523">
        <f t="shared" si="192"/>
        <v>7.6142131979695438E-2</v>
      </c>
      <c r="N2903" s="2" t="s">
        <v>22</v>
      </c>
      <c r="O2903" s="15" t="s">
        <v>105</v>
      </c>
    </row>
    <row r="2904" spans="1:15">
      <c r="A2904" s="70">
        <v>2025</v>
      </c>
      <c r="B2904" s="16" t="s">
        <v>1</v>
      </c>
      <c r="C2904" s="71" t="s">
        <v>3930</v>
      </c>
      <c r="D2904" s="2" t="s">
        <v>3931</v>
      </c>
      <c r="E2904" s="150" t="s">
        <v>3932</v>
      </c>
      <c r="F2904" s="96">
        <v>47</v>
      </c>
      <c r="G2904" s="484" t="s">
        <v>19</v>
      </c>
      <c r="H2904" s="8">
        <v>850</v>
      </c>
      <c r="I2904" s="8">
        <f t="shared" ref="I2904:I2935" si="193">H2904*F2904</f>
        <v>39950</v>
      </c>
      <c r="J2904" s="539">
        <v>800</v>
      </c>
      <c r="K2904" s="521">
        <f t="shared" si="191"/>
        <v>50</v>
      </c>
      <c r="L2904" s="522">
        <f t="shared" si="190"/>
        <v>2350</v>
      </c>
      <c r="M2904" s="523">
        <f t="shared" si="192"/>
        <v>5.8823529411764705E-2</v>
      </c>
      <c r="N2904" s="2" t="s">
        <v>22</v>
      </c>
      <c r="O2904" s="15" t="s">
        <v>39</v>
      </c>
    </row>
    <row r="2905" spans="1:15">
      <c r="A2905" s="70">
        <v>2025</v>
      </c>
      <c r="B2905" s="16" t="s">
        <v>1</v>
      </c>
      <c r="C2905" s="71" t="s">
        <v>3930</v>
      </c>
      <c r="D2905" s="2" t="s">
        <v>3931</v>
      </c>
      <c r="E2905" s="150" t="s">
        <v>3933</v>
      </c>
      <c r="F2905" s="457">
        <v>21</v>
      </c>
      <c r="G2905" s="484" t="s">
        <v>19</v>
      </c>
      <c r="H2905" s="8">
        <v>1200</v>
      </c>
      <c r="I2905" s="8">
        <f t="shared" si="193"/>
        <v>25200</v>
      </c>
      <c r="J2905" s="539">
        <v>1100</v>
      </c>
      <c r="K2905" s="521">
        <f t="shared" si="191"/>
        <v>100</v>
      </c>
      <c r="L2905" s="522">
        <f t="shared" si="190"/>
        <v>2100</v>
      </c>
      <c r="M2905" s="523">
        <f t="shared" si="192"/>
        <v>8.3333333333333329E-2</v>
      </c>
      <c r="N2905" s="2" t="s">
        <v>22</v>
      </c>
      <c r="O2905" s="15" t="s">
        <v>39</v>
      </c>
    </row>
    <row r="2906" spans="1:15">
      <c r="A2906" s="70">
        <v>2025</v>
      </c>
      <c r="B2906" s="16" t="s">
        <v>1</v>
      </c>
      <c r="C2906" s="71" t="s">
        <v>3934</v>
      </c>
      <c r="D2906" s="2" t="s">
        <v>1948</v>
      </c>
      <c r="E2906" s="2" t="s">
        <v>3935</v>
      </c>
      <c r="F2906" s="96">
        <v>5</v>
      </c>
      <c r="G2906" s="1" t="s">
        <v>19</v>
      </c>
      <c r="H2906" s="8">
        <v>890</v>
      </c>
      <c r="I2906" s="8">
        <f t="shared" si="193"/>
        <v>4450</v>
      </c>
      <c r="J2906" s="539">
        <v>670</v>
      </c>
      <c r="K2906" s="521">
        <f t="shared" si="191"/>
        <v>220</v>
      </c>
      <c r="L2906" s="522">
        <f t="shared" si="190"/>
        <v>1100</v>
      </c>
      <c r="M2906" s="523">
        <f t="shared" si="192"/>
        <v>0.24719101123595505</v>
      </c>
      <c r="N2906" s="2" t="s">
        <v>22</v>
      </c>
      <c r="O2906" s="15" t="s">
        <v>105</v>
      </c>
    </row>
    <row r="2907" spans="1:15">
      <c r="A2907" s="70">
        <v>2025</v>
      </c>
      <c r="B2907" s="16" t="s">
        <v>1</v>
      </c>
      <c r="C2907" s="71" t="s">
        <v>3936</v>
      </c>
      <c r="D2907" s="2" t="s">
        <v>1948</v>
      </c>
      <c r="E2907" s="2" t="s">
        <v>3937</v>
      </c>
      <c r="F2907" s="96">
        <v>10</v>
      </c>
      <c r="G2907" s="1" t="s">
        <v>19</v>
      </c>
      <c r="H2907" s="8">
        <v>260</v>
      </c>
      <c r="I2907" s="8">
        <f t="shared" si="193"/>
        <v>2600</v>
      </c>
      <c r="J2907" s="539">
        <v>185</v>
      </c>
      <c r="K2907" s="521">
        <f t="shared" si="191"/>
        <v>75</v>
      </c>
      <c r="L2907" s="522">
        <f t="shared" si="190"/>
        <v>750</v>
      </c>
      <c r="M2907" s="523">
        <f t="shared" si="192"/>
        <v>0.28846153846153844</v>
      </c>
      <c r="N2907" s="2" t="s">
        <v>22</v>
      </c>
      <c r="O2907" s="15" t="s">
        <v>105</v>
      </c>
    </row>
    <row r="2908" spans="1:15">
      <c r="A2908" s="70">
        <v>2025</v>
      </c>
      <c r="B2908" s="16" t="s">
        <v>1</v>
      </c>
      <c r="C2908" s="102" t="s">
        <v>3938</v>
      </c>
      <c r="D2908" s="2" t="s">
        <v>94</v>
      </c>
      <c r="E2908" s="2" t="s">
        <v>613</v>
      </c>
      <c r="F2908" s="96">
        <v>300</v>
      </c>
      <c r="G2908" s="1" t="s">
        <v>19</v>
      </c>
      <c r="H2908" s="8">
        <v>26</v>
      </c>
      <c r="I2908" s="8">
        <f t="shared" si="193"/>
        <v>7800</v>
      </c>
      <c r="J2908" s="539">
        <v>24.6</v>
      </c>
      <c r="K2908" s="521">
        <f t="shared" si="191"/>
        <v>1.3999999999999986</v>
      </c>
      <c r="L2908" s="522">
        <f t="shared" si="190"/>
        <v>419.99999999999955</v>
      </c>
      <c r="M2908" s="523">
        <f t="shared" si="192"/>
        <v>5.3846153846153794E-2</v>
      </c>
      <c r="N2908" s="2" t="s">
        <v>22</v>
      </c>
      <c r="O2908" s="15" t="s">
        <v>105</v>
      </c>
    </row>
    <row r="2909" spans="1:15">
      <c r="A2909" s="70">
        <v>2025</v>
      </c>
      <c r="B2909" s="16" t="s">
        <v>1</v>
      </c>
      <c r="C2909" s="102" t="s">
        <v>3938</v>
      </c>
      <c r="D2909" s="2" t="s">
        <v>94</v>
      </c>
      <c r="E2909" s="2" t="s">
        <v>550</v>
      </c>
      <c r="F2909" s="96">
        <v>300</v>
      </c>
      <c r="G2909" s="1" t="s">
        <v>19</v>
      </c>
      <c r="H2909" s="8">
        <v>50</v>
      </c>
      <c r="I2909" s="8">
        <f t="shared" si="193"/>
        <v>15000</v>
      </c>
      <c r="J2909" s="539">
        <v>47.56</v>
      </c>
      <c r="K2909" s="521">
        <f t="shared" si="191"/>
        <v>2.4399999999999977</v>
      </c>
      <c r="L2909" s="522">
        <f t="shared" si="190"/>
        <v>731.99999999999932</v>
      </c>
      <c r="M2909" s="523">
        <f t="shared" si="192"/>
        <v>4.8799999999999955E-2</v>
      </c>
      <c r="N2909" s="2" t="s">
        <v>22</v>
      </c>
      <c r="O2909" s="15" t="s">
        <v>105</v>
      </c>
    </row>
    <row r="2910" spans="1:15">
      <c r="A2910" s="70">
        <v>2025</v>
      </c>
      <c r="B2910" s="16" t="s">
        <v>1</v>
      </c>
      <c r="C2910" s="71" t="s">
        <v>3939</v>
      </c>
      <c r="D2910" s="2" t="s">
        <v>345</v>
      </c>
      <c r="E2910" s="2" t="s">
        <v>3940</v>
      </c>
      <c r="F2910" s="96">
        <v>1</v>
      </c>
      <c r="G2910" s="1" t="s">
        <v>285</v>
      </c>
      <c r="H2910" s="8">
        <v>860000</v>
      </c>
      <c r="I2910" s="8">
        <f t="shared" si="193"/>
        <v>860000</v>
      </c>
      <c r="J2910" s="539">
        <v>821500</v>
      </c>
      <c r="K2910" s="521">
        <f t="shared" si="191"/>
        <v>38500</v>
      </c>
      <c r="L2910" s="522">
        <f t="shared" si="190"/>
        <v>38500</v>
      </c>
      <c r="M2910" s="523">
        <f t="shared" si="192"/>
        <v>4.4767441860465114E-2</v>
      </c>
      <c r="N2910" s="2" t="s">
        <v>40</v>
      </c>
      <c r="O2910" s="15" t="s">
        <v>39</v>
      </c>
    </row>
    <row r="2911" spans="1:15">
      <c r="A2911" s="70">
        <v>2025</v>
      </c>
      <c r="B2911" s="16" t="s">
        <v>1</v>
      </c>
      <c r="C2911" s="71" t="s">
        <v>3939</v>
      </c>
      <c r="D2911" s="2" t="s">
        <v>345</v>
      </c>
      <c r="E2911" s="2" t="s">
        <v>3941</v>
      </c>
      <c r="F2911" s="96">
        <v>1</v>
      </c>
      <c r="G2911" s="1" t="s">
        <v>285</v>
      </c>
      <c r="H2911" s="8">
        <v>1109000</v>
      </c>
      <c r="I2911" s="8">
        <f t="shared" si="193"/>
        <v>1109000</v>
      </c>
      <c r="J2911" s="539">
        <v>1067500</v>
      </c>
      <c r="K2911" s="521">
        <f t="shared" si="191"/>
        <v>41500</v>
      </c>
      <c r="L2911" s="522">
        <f t="shared" si="190"/>
        <v>41500</v>
      </c>
      <c r="M2911" s="523">
        <f t="shared" si="192"/>
        <v>3.7421100090171328E-2</v>
      </c>
      <c r="N2911" s="2" t="s">
        <v>40</v>
      </c>
      <c r="O2911" s="15" t="s">
        <v>39</v>
      </c>
    </row>
    <row r="2912" spans="1:15">
      <c r="A2912" s="70">
        <v>2025</v>
      </c>
      <c r="B2912" s="16" t="s">
        <v>1</v>
      </c>
      <c r="C2912" s="393" t="s">
        <v>3942</v>
      </c>
      <c r="D2912" s="2" t="s">
        <v>708</v>
      </c>
      <c r="E2912" s="2" t="s">
        <v>1135</v>
      </c>
      <c r="F2912" s="96">
        <v>300</v>
      </c>
      <c r="G2912" s="1" t="s">
        <v>37</v>
      </c>
      <c r="H2912" s="8">
        <f t="shared" ref="H2912:H2917" si="194">J2912+5</f>
        <v>374.39</v>
      </c>
      <c r="I2912" s="8">
        <f t="shared" si="193"/>
        <v>112317</v>
      </c>
      <c r="J2912" s="539">
        <v>369.39</v>
      </c>
      <c r="K2912" s="521">
        <f t="shared" si="191"/>
        <v>5</v>
      </c>
      <c r="L2912" s="522">
        <f t="shared" si="190"/>
        <v>1500</v>
      </c>
      <c r="M2912" s="523">
        <f t="shared" si="192"/>
        <v>1.3355057560298086E-2</v>
      </c>
      <c r="N2912" s="2" t="s">
        <v>40</v>
      </c>
      <c r="O2912" s="15" t="s">
        <v>105</v>
      </c>
    </row>
    <row r="2913" spans="1:15">
      <c r="A2913" s="70">
        <v>2025</v>
      </c>
      <c r="B2913" s="16" t="s">
        <v>1</v>
      </c>
      <c r="C2913" s="393" t="s">
        <v>3942</v>
      </c>
      <c r="D2913" s="2" t="s">
        <v>708</v>
      </c>
      <c r="E2913" s="2" t="s">
        <v>3943</v>
      </c>
      <c r="F2913" s="96">
        <v>500</v>
      </c>
      <c r="G2913" s="1" t="s">
        <v>37</v>
      </c>
      <c r="H2913" s="8">
        <f t="shared" si="194"/>
        <v>379.56</v>
      </c>
      <c r="I2913" s="8">
        <f t="shared" si="193"/>
        <v>189780</v>
      </c>
      <c r="J2913" s="539">
        <v>374.56</v>
      </c>
      <c r="K2913" s="521">
        <f t="shared" si="191"/>
        <v>5</v>
      </c>
      <c r="L2913" s="522">
        <f t="shared" si="190"/>
        <v>2500</v>
      </c>
      <c r="M2913" s="523">
        <f t="shared" si="192"/>
        <v>1.3173147855411529E-2</v>
      </c>
      <c r="N2913" s="2" t="s">
        <v>40</v>
      </c>
      <c r="O2913" s="15" t="s">
        <v>105</v>
      </c>
    </row>
    <row r="2914" spans="1:15">
      <c r="A2914" s="70">
        <v>2025</v>
      </c>
      <c r="B2914" s="16" t="s">
        <v>1</v>
      </c>
      <c r="C2914" s="393" t="s">
        <v>3942</v>
      </c>
      <c r="D2914" s="2" t="s">
        <v>708</v>
      </c>
      <c r="E2914" s="2" t="s">
        <v>209</v>
      </c>
      <c r="F2914" s="96">
        <v>300</v>
      </c>
      <c r="G2914" s="1" t="s">
        <v>37</v>
      </c>
      <c r="H2914" s="8">
        <f t="shared" si="194"/>
        <v>375.7</v>
      </c>
      <c r="I2914" s="8">
        <f t="shared" si="193"/>
        <v>112710</v>
      </c>
      <c r="J2914" s="539">
        <v>370.7</v>
      </c>
      <c r="K2914" s="521">
        <f t="shared" si="191"/>
        <v>5</v>
      </c>
      <c r="L2914" s="522">
        <f t="shared" si="190"/>
        <v>1500</v>
      </c>
      <c r="M2914" s="523">
        <f t="shared" si="192"/>
        <v>1.3308490817141336E-2</v>
      </c>
      <c r="N2914" s="2" t="s">
        <v>40</v>
      </c>
      <c r="O2914" s="15" t="s">
        <v>105</v>
      </c>
    </row>
    <row r="2915" spans="1:15">
      <c r="A2915" s="70">
        <v>2025</v>
      </c>
      <c r="B2915" s="16" t="s">
        <v>1</v>
      </c>
      <c r="C2915" s="393" t="s">
        <v>3942</v>
      </c>
      <c r="D2915" s="2" t="s">
        <v>708</v>
      </c>
      <c r="E2915" s="2" t="s">
        <v>709</v>
      </c>
      <c r="F2915" s="96">
        <v>600</v>
      </c>
      <c r="G2915" s="1" t="s">
        <v>37</v>
      </c>
      <c r="H2915" s="8">
        <f t="shared" si="194"/>
        <v>374.09</v>
      </c>
      <c r="I2915" s="8">
        <f t="shared" si="193"/>
        <v>224453.99999999997</v>
      </c>
      <c r="J2915" s="539">
        <v>369.09</v>
      </c>
      <c r="K2915" s="521">
        <f t="shared" si="191"/>
        <v>5</v>
      </c>
      <c r="L2915" s="522">
        <f t="shared" si="190"/>
        <v>3000</v>
      </c>
      <c r="M2915" s="523">
        <f t="shared" si="192"/>
        <v>1.3365767596033041E-2</v>
      </c>
      <c r="N2915" s="2" t="s">
        <v>40</v>
      </c>
      <c r="O2915" s="15" t="s">
        <v>105</v>
      </c>
    </row>
    <row r="2916" spans="1:15">
      <c r="A2916" s="70">
        <v>2025</v>
      </c>
      <c r="B2916" s="16" t="s">
        <v>1</v>
      </c>
      <c r="C2916" s="393" t="s">
        <v>3942</v>
      </c>
      <c r="D2916" s="2" t="s">
        <v>708</v>
      </c>
      <c r="E2916" s="2" t="s">
        <v>3841</v>
      </c>
      <c r="F2916" s="96">
        <v>300</v>
      </c>
      <c r="G2916" s="1" t="s">
        <v>37</v>
      </c>
      <c r="H2916" s="8">
        <f t="shared" si="194"/>
        <v>375.69</v>
      </c>
      <c r="I2916" s="8">
        <f t="shared" si="193"/>
        <v>112707</v>
      </c>
      <c r="J2916" s="539">
        <v>370.69</v>
      </c>
      <c r="K2916" s="521">
        <f t="shared" si="191"/>
        <v>5</v>
      </c>
      <c r="L2916" s="522">
        <f t="shared" si="190"/>
        <v>1500</v>
      </c>
      <c r="M2916" s="523">
        <f t="shared" si="192"/>
        <v>1.330884505842583E-2</v>
      </c>
      <c r="N2916" s="2" t="s">
        <v>40</v>
      </c>
      <c r="O2916" s="15" t="s">
        <v>105</v>
      </c>
    </row>
    <row r="2917" spans="1:15">
      <c r="A2917" s="70">
        <v>2025</v>
      </c>
      <c r="B2917" s="16" t="s">
        <v>1</v>
      </c>
      <c r="C2917" s="393" t="s">
        <v>3942</v>
      </c>
      <c r="D2917" s="2" t="s">
        <v>708</v>
      </c>
      <c r="E2917" s="2" t="s">
        <v>1663</v>
      </c>
      <c r="F2917" s="96">
        <v>1000</v>
      </c>
      <c r="G2917" s="1" t="s">
        <v>37</v>
      </c>
      <c r="H2917" s="8">
        <f t="shared" si="194"/>
        <v>373.56</v>
      </c>
      <c r="I2917" s="8">
        <f t="shared" si="193"/>
        <v>373560</v>
      </c>
      <c r="J2917" s="539">
        <v>368.56</v>
      </c>
      <c r="K2917" s="521">
        <f t="shared" si="191"/>
        <v>5</v>
      </c>
      <c r="L2917" s="522">
        <f t="shared" si="190"/>
        <v>5000</v>
      </c>
      <c r="M2917" s="523">
        <f t="shared" si="192"/>
        <v>1.3384730699218332E-2</v>
      </c>
      <c r="N2917" s="2" t="s">
        <v>40</v>
      </c>
      <c r="O2917" s="15" t="s">
        <v>105</v>
      </c>
    </row>
    <row r="2918" spans="1:15">
      <c r="A2918" s="70">
        <v>2025</v>
      </c>
      <c r="B2918" s="16" t="s">
        <v>1</v>
      </c>
      <c r="C2918" s="393" t="s">
        <v>3944</v>
      </c>
      <c r="D2918" s="2" t="s">
        <v>1042</v>
      </c>
      <c r="E2918" s="2" t="s">
        <v>3945</v>
      </c>
      <c r="F2918" s="96">
        <v>92</v>
      </c>
      <c r="G2918" s="1" t="s">
        <v>37</v>
      </c>
      <c r="H2918" s="8">
        <v>394</v>
      </c>
      <c r="I2918" s="8">
        <f t="shared" si="193"/>
        <v>36248</v>
      </c>
      <c r="J2918" s="539">
        <v>364</v>
      </c>
      <c r="K2918" s="521">
        <f t="shared" si="191"/>
        <v>30</v>
      </c>
      <c r="L2918" s="522">
        <f t="shared" si="190"/>
        <v>2760</v>
      </c>
      <c r="M2918" s="523">
        <f t="shared" si="192"/>
        <v>7.6142131979695438E-2</v>
      </c>
      <c r="N2918" s="2" t="s">
        <v>22</v>
      </c>
      <c r="O2918" s="15" t="s">
        <v>105</v>
      </c>
    </row>
    <row r="2919" spans="1:15">
      <c r="A2919" s="70">
        <v>2025</v>
      </c>
      <c r="B2919" s="16" t="s">
        <v>1</v>
      </c>
      <c r="C2919" s="393" t="s">
        <v>3946</v>
      </c>
      <c r="D2919" s="2" t="s">
        <v>1948</v>
      </c>
      <c r="E2919" s="2" t="s">
        <v>3947</v>
      </c>
      <c r="F2919" s="96">
        <v>1</v>
      </c>
      <c r="G2919" s="1" t="s">
        <v>3462</v>
      </c>
      <c r="H2919" s="8">
        <v>3590</v>
      </c>
      <c r="I2919" s="8">
        <f t="shared" si="193"/>
        <v>3590</v>
      </c>
      <c r="J2919" s="539">
        <v>2707.5</v>
      </c>
      <c r="K2919" s="521">
        <f t="shared" si="191"/>
        <v>882.5</v>
      </c>
      <c r="L2919" s="522">
        <f t="shared" si="190"/>
        <v>882.5</v>
      </c>
      <c r="M2919" s="523">
        <f t="shared" si="192"/>
        <v>0.24582172701949861</v>
      </c>
      <c r="N2919" s="2" t="s">
        <v>22</v>
      </c>
      <c r="O2919" s="15" t="s">
        <v>105</v>
      </c>
    </row>
    <row r="2920" spans="1:15">
      <c r="A2920" s="70">
        <v>2025</v>
      </c>
      <c r="B2920" s="16" t="s">
        <v>1</v>
      </c>
      <c r="C2920" s="393" t="s">
        <v>3948</v>
      </c>
      <c r="D2920" s="2" t="s">
        <v>24</v>
      </c>
      <c r="E2920" s="2" t="s">
        <v>3949</v>
      </c>
      <c r="F2920" s="96">
        <v>6</v>
      </c>
      <c r="G2920" s="1" t="s">
        <v>19</v>
      </c>
      <c r="H2920" s="8">
        <v>140</v>
      </c>
      <c r="I2920" s="8">
        <f t="shared" si="193"/>
        <v>840</v>
      </c>
      <c r="J2920" s="539">
        <v>95</v>
      </c>
      <c r="K2920" s="521">
        <f t="shared" si="191"/>
        <v>45</v>
      </c>
      <c r="L2920" s="522">
        <f t="shared" si="190"/>
        <v>270</v>
      </c>
      <c r="M2920" s="523">
        <f t="shared" si="192"/>
        <v>0.32142857142857145</v>
      </c>
      <c r="N2920" s="2" t="s">
        <v>22</v>
      </c>
      <c r="O2920" s="15" t="s">
        <v>105</v>
      </c>
    </row>
    <row r="2921" spans="1:15">
      <c r="A2921" s="70">
        <v>2025</v>
      </c>
      <c r="B2921" s="16" t="s">
        <v>1</v>
      </c>
      <c r="C2921" s="393" t="s">
        <v>3950</v>
      </c>
      <c r="D2921" s="2" t="s">
        <v>1948</v>
      </c>
      <c r="E2921" s="2" t="s">
        <v>3951</v>
      </c>
      <c r="F2921" s="96">
        <v>3</v>
      </c>
      <c r="G2921" s="1" t="s">
        <v>19</v>
      </c>
      <c r="H2921" s="8">
        <v>190</v>
      </c>
      <c r="I2921" s="8">
        <f t="shared" si="193"/>
        <v>570</v>
      </c>
      <c r="J2921" s="539">
        <v>145</v>
      </c>
      <c r="K2921" s="521">
        <f t="shared" si="191"/>
        <v>45</v>
      </c>
      <c r="L2921" s="522">
        <f t="shared" si="190"/>
        <v>135</v>
      </c>
      <c r="M2921" s="523">
        <f t="shared" si="192"/>
        <v>0.23684210526315788</v>
      </c>
      <c r="N2921" s="2" t="s">
        <v>22</v>
      </c>
      <c r="O2921" s="15" t="s">
        <v>105</v>
      </c>
    </row>
    <row r="2922" spans="1:15">
      <c r="A2922" s="70">
        <v>2025</v>
      </c>
      <c r="B2922" s="16" t="s">
        <v>1</v>
      </c>
      <c r="C2922" s="393" t="s">
        <v>3952</v>
      </c>
      <c r="D2922" s="2" t="s">
        <v>3953</v>
      </c>
      <c r="E2922" s="39" t="s">
        <v>3954</v>
      </c>
      <c r="F2922" s="96">
        <v>1</v>
      </c>
      <c r="G2922" s="1" t="s">
        <v>302</v>
      </c>
      <c r="H2922" s="8">
        <v>67920</v>
      </c>
      <c r="I2922" s="8">
        <f t="shared" si="193"/>
        <v>67920</v>
      </c>
      <c r="J2922" s="521">
        <v>64524</v>
      </c>
      <c r="K2922" s="521">
        <f t="shared" si="191"/>
        <v>3396</v>
      </c>
      <c r="L2922" s="522">
        <f t="shared" si="190"/>
        <v>3396</v>
      </c>
      <c r="M2922" s="523">
        <f t="shared" si="192"/>
        <v>0.05</v>
      </c>
      <c r="N2922" s="2" t="s">
        <v>40</v>
      </c>
      <c r="O2922" s="15" t="s">
        <v>105</v>
      </c>
    </row>
    <row r="2923" spans="1:15">
      <c r="A2923" s="70">
        <v>2025</v>
      </c>
      <c r="B2923" s="16" t="s">
        <v>1</v>
      </c>
      <c r="C2923" s="393" t="s">
        <v>3955</v>
      </c>
      <c r="D2923" s="2" t="s">
        <v>1119</v>
      </c>
      <c r="E2923" s="39" t="s">
        <v>3956</v>
      </c>
      <c r="F2923" s="96">
        <v>32</v>
      </c>
      <c r="G2923" s="1" t="s">
        <v>19</v>
      </c>
      <c r="H2923" s="8">
        <v>1200</v>
      </c>
      <c r="I2923" s="8">
        <f t="shared" si="193"/>
        <v>38400</v>
      </c>
      <c r="J2923" s="521">
        <v>1100</v>
      </c>
      <c r="K2923" s="521">
        <f t="shared" si="191"/>
        <v>100</v>
      </c>
      <c r="L2923" s="522">
        <f t="shared" si="190"/>
        <v>3200</v>
      </c>
      <c r="M2923" s="523">
        <f t="shared" si="192"/>
        <v>8.3333333333333329E-2</v>
      </c>
      <c r="N2923" s="2" t="s">
        <v>22</v>
      </c>
      <c r="O2923" s="15" t="s">
        <v>39</v>
      </c>
    </row>
    <row r="2924" spans="1:15">
      <c r="A2924" s="70">
        <v>2025</v>
      </c>
      <c r="B2924" s="16" t="s">
        <v>1</v>
      </c>
      <c r="C2924" s="393" t="s">
        <v>3957</v>
      </c>
      <c r="D2924" s="2" t="s">
        <v>329</v>
      </c>
      <c r="E2924" s="39" t="s">
        <v>3958</v>
      </c>
      <c r="F2924" s="96">
        <v>50</v>
      </c>
      <c r="G2924" s="1" t="s">
        <v>1368</v>
      </c>
      <c r="H2924" s="8">
        <v>610</v>
      </c>
      <c r="I2924" s="8">
        <f t="shared" si="193"/>
        <v>30500</v>
      </c>
      <c r="J2924" s="521">
        <v>600</v>
      </c>
      <c r="K2924" s="521">
        <f t="shared" si="191"/>
        <v>10</v>
      </c>
      <c r="L2924" s="522">
        <f t="shared" si="190"/>
        <v>500</v>
      </c>
      <c r="M2924" s="523">
        <f t="shared" si="192"/>
        <v>1.6393442622950821E-2</v>
      </c>
      <c r="N2924" s="2" t="s">
        <v>40</v>
      </c>
      <c r="O2924" s="15" t="s">
        <v>39</v>
      </c>
    </row>
    <row r="2925" spans="1:15">
      <c r="A2925" s="70">
        <v>2025</v>
      </c>
      <c r="B2925" s="16" t="s">
        <v>1</v>
      </c>
      <c r="C2925" s="393" t="s">
        <v>3959</v>
      </c>
      <c r="D2925" s="2" t="s">
        <v>68</v>
      </c>
      <c r="E2925" s="39" t="s">
        <v>962</v>
      </c>
      <c r="F2925" s="96">
        <v>823.5</v>
      </c>
      <c r="G2925" s="1" t="s">
        <v>37</v>
      </c>
      <c r="H2925" s="8">
        <v>365</v>
      </c>
      <c r="I2925" s="8">
        <f t="shared" si="193"/>
        <v>300577.5</v>
      </c>
      <c r="J2925" s="521">
        <v>363</v>
      </c>
      <c r="K2925" s="521">
        <f t="shared" si="191"/>
        <v>2</v>
      </c>
      <c r="L2925" s="522">
        <f t="shared" si="190"/>
        <v>1647</v>
      </c>
      <c r="M2925" s="523">
        <f t="shared" si="192"/>
        <v>5.4794520547945206E-3</v>
      </c>
      <c r="N2925" s="2" t="s">
        <v>22</v>
      </c>
      <c r="O2925" s="15" t="s">
        <v>105</v>
      </c>
    </row>
    <row r="2926" spans="1:15">
      <c r="A2926" s="70">
        <v>2025</v>
      </c>
      <c r="B2926" s="16" t="s">
        <v>1</v>
      </c>
      <c r="C2926" s="393" t="s">
        <v>3960</v>
      </c>
      <c r="D2926" s="2" t="s">
        <v>466</v>
      </c>
      <c r="E2926" s="39" t="s">
        <v>3961</v>
      </c>
      <c r="F2926" s="96">
        <v>8</v>
      </c>
      <c r="G2926" s="1" t="s">
        <v>302</v>
      </c>
      <c r="H2926" s="8">
        <v>40500</v>
      </c>
      <c r="I2926" s="8">
        <f t="shared" si="193"/>
        <v>324000</v>
      </c>
      <c r="J2926" s="521">
        <v>39000</v>
      </c>
      <c r="K2926" s="521">
        <f t="shared" si="191"/>
        <v>1500</v>
      </c>
      <c r="L2926" s="522">
        <f t="shared" si="190"/>
        <v>12000</v>
      </c>
      <c r="M2926" s="523">
        <f t="shared" si="192"/>
        <v>3.7037037037037035E-2</v>
      </c>
      <c r="N2926" s="2" t="s">
        <v>22</v>
      </c>
      <c r="O2926" s="15" t="s">
        <v>39</v>
      </c>
    </row>
    <row r="2927" spans="1:15">
      <c r="A2927" s="70">
        <v>2025</v>
      </c>
      <c r="B2927" s="16" t="s">
        <v>1</v>
      </c>
      <c r="C2927" s="393" t="s">
        <v>3960</v>
      </c>
      <c r="D2927" s="2" t="s">
        <v>466</v>
      </c>
      <c r="E2927" s="39" t="s">
        <v>3962</v>
      </c>
      <c r="F2927" s="96">
        <v>8</v>
      </c>
      <c r="G2927" s="1" t="s">
        <v>19</v>
      </c>
      <c r="H2927" s="8">
        <v>9623</v>
      </c>
      <c r="I2927" s="8">
        <f t="shared" si="193"/>
        <v>76984</v>
      </c>
      <c r="J2927" s="521">
        <v>9000</v>
      </c>
      <c r="K2927" s="521">
        <f t="shared" si="191"/>
        <v>623</v>
      </c>
      <c r="L2927" s="522">
        <f t="shared" si="190"/>
        <v>4984</v>
      </c>
      <c r="M2927" s="523">
        <f t="shared" si="192"/>
        <v>6.4740725345526343E-2</v>
      </c>
      <c r="N2927" s="2" t="s">
        <v>22</v>
      </c>
      <c r="O2927" s="15" t="s">
        <v>39</v>
      </c>
    </row>
    <row r="2928" spans="1:15">
      <c r="A2928" s="70">
        <v>2025</v>
      </c>
      <c r="B2928" s="16" t="s">
        <v>1</v>
      </c>
      <c r="C2928" s="393" t="s">
        <v>3963</v>
      </c>
      <c r="D2928" s="2" t="s">
        <v>708</v>
      </c>
      <c r="E2928" s="39" t="s">
        <v>46</v>
      </c>
      <c r="F2928" s="96">
        <v>700</v>
      </c>
      <c r="G2928" s="1" t="s">
        <v>37</v>
      </c>
      <c r="H2928" s="8">
        <v>376.1</v>
      </c>
      <c r="I2928" s="8">
        <f t="shared" si="193"/>
        <v>263270</v>
      </c>
      <c r="J2928" s="521">
        <v>365.1</v>
      </c>
      <c r="K2928" s="521">
        <f t="shared" si="191"/>
        <v>11</v>
      </c>
      <c r="L2928" s="522">
        <f t="shared" si="190"/>
        <v>7700</v>
      </c>
      <c r="M2928" s="523">
        <f t="shared" si="192"/>
        <v>2.9247540547726665E-2</v>
      </c>
      <c r="N2928" s="2" t="s">
        <v>40</v>
      </c>
      <c r="O2928" s="15" t="s">
        <v>105</v>
      </c>
    </row>
    <row r="2929" spans="1:15">
      <c r="A2929" s="70">
        <v>2025</v>
      </c>
      <c r="B2929" s="16" t="s">
        <v>1</v>
      </c>
      <c r="C2929" s="393" t="s">
        <v>3963</v>
      </c>
      <c r="D2929" s="2" t="s">
        <v>708</v>
      </c>
      <c r="E2929" s="39" t="s">
        <v>45</v>
      </c>
      <c r="F2929" s="96">
        <v>1500</v>
      </c>
      <c r="G2929" s="1" t="s">
        <v>37</v>
      </c>
      <c r="H2929" s="8">
        <v>375.94</v>
      </c>
      <c r="I2929" s="8">
        <f t="shared" si="193"/>
        <v>563910</v>
      </c>
      <c r="J2929" s="521">
        <v>364.94</v>
      </c>
      <c r="K2929" s="521">
        <f t="shared" si="191"/>
        <v>11</v>
      </c>
      <c r="L2929" s="522">
        <f t="shared" si="190"/>
        <v>16500</v>
      </c>
      <c r="M2929" s="523">
        <f t="shared" si="192"/>
        <v>2.9259988296004683E-2</v>
      </c>
      <c r="N2929" s="2" t="s">
        <v>40</v>
      </c>
      <c r="O2929" s="15" t="s">
        <v>105</v>
      </c>
    </row>
    <row r="2930" spans="1:15">
      <c r="A2930" s="70">
        <v>2025</v>
      </c>
      <c r="B2930" s="16" t="s">
        <v>1</v>
      </c>
      <c r="C2930" s="393" t="s">
        <v>3963</v>
      </c>
      <c r="D2930" s="2" t="s">
        <v>708</v>
      </c>
      <c r="E2930" s="39" t="s">
        <v>49</v>
      </c>
      <c r="F2930" s="96">
        <v>2000</v>
      </c>
      <c r="G2930" s="1" t="s">
        <v>37</v>
      </c>
      <c r="H2930" s="8">
        <v>377.3</v>
      </c>
      <c r="I2930" s="8">
        <f t="shared" si="193"/>
        <v>754600</v>
      </c>
      <c r="J2930" s="521">
        <v>366.3</v>
      </c>
      <c r="K2930" s="521">
        <f t="shared" si="191"/>
        <v>11</v>
      </c>
      <c r="L2930" s="522">
        <f t="shared" si="190"/>
        <v>22000</v>
      </c>
      <c r="M2930" s="523">
        <f t="shared" si="192"/>
        <v>2.9154518950437316E-2</v>
      </c>
      <c r="N2930" s="2" t="s">
        <v>40</v>
      </c>
      <c r="O2930" s="15" t="s">
        <v>105</v>
      </c>
    </row>
    <row r="2931" spans="1:15">
      <c r="A2931" s="70">
        <v>2025</v>
      </c>
      <c r="B2931" s="16" t="s">
        <v>1</v>
      </c>
      <c r="C2931" s="393" t="s">
        <v>3963</v>
      </c>
      <c r="D2931" s="2" t="s">
        <v>708</v>
      </c>
      <c r="E2931" s="39" t="s">
        <v>207</v>
      </c>
      <c r="F2931" s="96">
        <v>500</v>
      </c>
      <c r="G2931" s="1" t="s">
        <v>37</v>
      </c>
      <c r="H2931" s="8">
        <v>376.17</v>
      </c>
      <c r="I2931" s="8">
        <f t="shared" si="193"/>
        <v>188085</v>
      </c>
      <c r="J2931" s="521">
        <v>365.17</v>
      </c>
      <c r="K2931" s="521">
        <f t="shared" si="191"/>
        <v>11</v>
      </c>
      <c r="L2931" s="522">
        <f t="shared" si="190"/>
        <v>5500</v>
      </c>
      <c r="M2931" s="523">
        <f t="shared" si="192"/>
        <v>2.9242097987611983E-2</v>
      </c>
      <c r="N2931" s="2" t="s">
        <v>40</v>
      </c>
      <c r="O2931" s="15" t="s">
        <v>105</v>
      </c>
    </row>
    <row r="2932" spans="1:15">
      <c r="A2932" s="70">
        <v>2025</v>
      </c>
      <c r="B2932" s="16" t="s">
        <v>1</v>
      </c>
      <c r="C2932" s="393" t="s">
        <v>3963</v>
      </c>
      <c r="D2932" s="2" t="s">
        <v>708</v>
      </c>
      <c r="E2932" s="39" t="s">
        <v>206</v>
      </c>
      <c r="F2932" s="96">
        <v>1000</v>
      </c>
      <c r="G2932" s="1" t="s">
        <v>37</v>
      </c>
      <c r="H2932" s="8">
        <v>375.71</v>
      </c>
      <c r="I2932" s="8">
        <f t="shared" si="193"/>
        <v>375710</v>
      </c>
      <c r="J2932" s="521">
        <v>364.71</v>
      </c>
      <c r="K2932" s="521">
        <f t="shared" si="191"/>
        <v>11</v>
      </c>
      <c r="L2932" s="522">
        <f t="shared" si="190"/>
        <v>11000</v>
      </c>
      <c r="M2932" s="523">
        <f t="shared" si="192"/>
        <v>2.927790050837082E-2</v>
      </c>
      <c r="N2932" s="2" t="s">
        <v>40</v>
      </c>
      <c r="O2932" s="15" t="s">
        <v>105</v>
      </c>
    </row>
    <row r="2933" spans="1:15">
      <c r="A2933" s="70">
        <v>2025</v>
      </c>
      <c r="B2933" s="16" t="s">
        <v>1</v>
      </c>
      <c r="C2933" s="393" t="s">
        <v>3963</v>
      </c>
      <c r="D2933" s="2" t="s">
        <v>708</v>
      </c>
      <c r="E2933" s="39" t="s">
        <v>3964</v>
      </c>
      <c r="F2933" s="96">
        <v>1000</v>
      </c>
      <c r="G2933" s="1" t="s">
        <v>37</v>
      </c>
      <c r="H2933" s="8">
        <v>386.67</v>
      </c>
      <c r="I2933" s="8">
        <f t="shared" si="193"/>
        <v>386670</v>
      </c>
      <c r="J2933" s="521">
        <v>375.67</v>
      </c>
      <c r="K2933" s="521">
        <f t="shared" si="191"/>
        <v>11</v>
      </c>
      <c r="L2933" s="522">
        <f t="shared" si="190"/>
        <v>11000</v>
      </c>
      <c r="M2933" s="523">
        <f t="shared" si="192"/>
        <v>2.8448030620425686E-2</v>
      </c>
      <c r="N2933" s="2" t="s">
        <v>40</v>
      </c>
      <c r="O2933" s="15" t="s">
        <v>105</v>
      </c>
    </row>
    <row r="2934" spans="1:15">
      <c r="A2934" s="70">
        <v>2025</v>
      </c>
      <c r="B2934" s="16" t="s">
        <v>1</v>
      </c>
      <c r="C2934" s="393" t="s">
        <v>3963</v>
      </c>
      <c r="D2934" s="2" t="s">
        <v>708</v>
      </c>
      <c r="E2934" s="39" t="s">
        <v>51</v>
      </c>
      <c r="F2934" s="96">
        <v>1800</v>
      </c>
      <c r="G2934" s="1" t="s">
        <v>37</v>
      </c>
      <c r="H2934" s="8">
        <v>378.44</v>
      </c>
      <c r="I2934" s="8">
        <f t="shared" si="193"/>
        <v>681192</v>
      </c>
      <c r="J2934" s="521">
        <v>367.44</v>
      </c>
      <c r="K2934" s="521">
        <f t="shared" si="191"/>
        <v>11</v>
      </c>
      <c r="L2934" s="522">
        <f t="shared" si="190"/>
        <v>19800</v>
      </c>
      <c r="M2934" s="523">
        <f t="shared" si="192"/>
        <v>2.9066694852552585E-2</v>
      </c>
      <c r="N2934" s="2" t="s">
        <v>40</v>
      </c>
      <c r="O2934" s="15" t="s">
        <v>105</v>
      </c>
    </row>
    <row r="2935" spans="1:15">
      <c r="A2935" s="70">
        <v>2025</v>
      </c>
      <c r="B2935" s="16" t="s">
        <v>1</v>
      </c>
      <c r="C2935" s="393" t="s">
        <v>3963</v>
      </c>
      <c r="D2935" s="2" t="s">
        <v>708</v>
      </c>
      <c r="E2935" s="39" t="s">
        <v>209</v>
      </c>
      <c r="F2935" s="96">
        <v>200</v>
      </c>
      <c r="G2935" s="1" t="s">
        <v>37</v>
      </c>
      <c r="H2935" s="8">
        <v>375.7</v>
      </c>
      <c r="I2935" s="8">
        <f t="shared" si="193"/>
        <v>75140</v>
      </c>
      <c r="J2935" s="521">
        <v>364.7</v>
      </c>
      <c r="K2935" s="521">
        <f t="shared" si="191"/>
        <v>11</v>
      </c>
      <c r="L2935" s="522">
        <f t="shared" si="190"/>
        <v>2200</v>
      </c>
      <c r="M2935" s="523">
        <f t="shared" si="192"/>
        <v>2.9278679797710941E-2</v>
      </c>
      <c r="N2935" s="2" t="s">
        <v>40</v>
      </c>
      <c r="O2935" s="15" t="s">
        <v>105</v>
      </c>
    </row>
    <row r="2936" spans="1:15">
      <c r="A2936" s="70">
        <v>2025</v>
      </c>
      <c r="B2936" s="16" t="s">
        <v>1</v>
      </c>
      <c r="C2936" s="393" t="s">
        <v>3963</v>
      </c>
      <c r="D2936" s="2" t="s">
        <v>708</v>
      </c>
      <c r="E2936" s="39" t="s">
        <v>52</v>
      </c>
      <c r="F2936" s="96">
        <v>1200</v>
      </c>
      <c r="G2936" s="1" t="s">
        <v>37</v>
      </c>
      <c r="H2936" s="8">
        <v>375.69</v>
      </c>
      <c r="I2936" s="8">
        <f t="shared" ref="I2936:I2958" si="195">H2936*F2936</f>
        <v>450828</v>
      </c>
      <c r="J2936" s="521">
        <v>364.69</v>
      </c>
      <c r="K2936" s="521">
        <f t="shared" si="191"/>
        <v>11</v>
      </c>
      <c r="L2936" s="522">
        <f t="shared" si="190"/>
        <v>13200</v>
      </c>
      <c r="M2936" s="523">
        <f t="shared" si="192"/>
        <v>2.9279459128536824E-2</v>
      </c>
      <c r="N2936" s="2" t="s">
        <v>40</v>
      </c>
      <c r="O2936" s="15" t="s">
        <v>105</v>
      </c>
    </row>
    <row r="2937" spans="1:15">
      <c r="A2937" s="70">
        <v>2025</v>
      </c>
      <c r="B2937" s="16" t="s">
        <v>1</v>
      </c>
      <c r="C2937" s="393" t="s">
        <v>3963</v>
      </c>
      <c r="D2937" s="2" t="s">
        <v>708</v>
      </c>
      <c r="E2937" s="39" t="s">
        <v>709</v>
      </c>
      <c r="F2937" s="96">
        <v>1100</v>
      </c>
      <c r="G2937" s="1" t="s">
        <v>37</v>
      </c>
      <c r="H2937" s="8">
        <v>374.09</v>
      </c>
      <c r="I2937" s="8">
        <f t="shared" si="195"/>
        <v>411499</v>
      </c>
      <c r="J2937" s="521">
        <v>363.09</v>
      </c>
      <c r="K2937" s="521">
        <f t="shared" si="191"/>
        <v>11</v>
      </c>
      <c r="L2937" s="522">
        <f t="shared" si="190"/>
        <v>12100</v>
      </c>
      <c r="M2937" s="523">
        <f t="shared" si="192"/>
        <v>2.9404688711272692E-2</v>
      </c>
      <c r="N2937" s="2" t="s">
        <v>40</v>
      </c>
      <c r="O2937" s="15" t="s">
        <v>105</v>
      </c>
    </row>
    <row r="2938" spans="1:15">
      <c r="A2938" s="70">
        <v>2025</v>
      </c>
      <c r="B2938" s="16" t="s">
        <v>1</v>
      </c>
      <c r="C2938" s="393" t="s">
        <v>3963</v>
      </c>
      <c r="D2938" s="2" t="s">
        <v>708</v>
      </c>
      <c r="E2938" s="39" t="s">
        <v>3841</v>
      </c>
      <c r="F2938" s="96">
        <v>400</v>
      </c>
      <c r="G2938" s="1" t="s">
        <v>37</v>
      </c>
      <c r="H2938" s="8">
        <v>375.69</v>
      </c>
      <c r="I2938" s="8">
        <f t="shared" si="195"/>
        <v>150276</v>
      </c>
      <c r="J2938" s="521">
        <v>364.69</v>
      </c>
      <c r="K2938" s="521">
        <f t="shared" si="191"/>
        <v>11</v>
      </c>
      <c r="L2938" s="522">
        <f t="shared" si="190"/>
        <v>4400</v>
      </c>
      <c r="M2938" s="523">
        <f t="shared" si="192"/>
        <v>2.9279459128536824E-2</v>
      </c>
      <c r="N2938" s="2" t="s">
        <v>40</v>
      </c>
      <c r="O2938" s="15" t="s">
        <v>105</v>
      </c>
    </row>
    <row r="2939" spans="1:15">
      <c r="A2939" s="70">
        <v>2025</v>
      </c>
      <c r="B2939" s="16" t="s">
        <v>1</v>
      </c>
      <c r="C2939" s="393" t="s">
        <v>3963</v>
      </c>
      <c r="D2939" s="2" t="s">
        <v>708</v>
      </c>
      <c r="E2939" s="39" t="s">
        <v>210</v>
      </c>
      <c r="F2939" s="96">
        <v>500</v>
      </c>
      <c r="G2939" s="1" t="s">
        <v>37</v>
      </c>
      <c r="H2939" s="8">
        <v>374.28</v>
      </c>
      <c r="I2939" s="8">
        <f t="shared" si="195"/>
        <v>187140</v>
      </c>
      <c r="J2939" s="521">
        <v>363.28</v>
      </c>
      <c r="K2939" s="521">
        <f t="shared" si="191"/>
        <v>11</v>
      </c>
      <c r="L2939" s="522">
        <f t="shared" ref="L2939:L3002" si="196">K2939*F2939</f>
        <v>5500</v>
      </c>
      <c r="M2939" s="523">
        <f t="shared" si="192"/>
        <v>2.9389761675750779E-2</v>
      </c>
      <c r="N2939" s="2" t="s">
        <v>40</v>
      </c>
      <c r="O2939" s="15" t="s">
        <v>105</v>
      </c>
    </row>
    <row r="2940" spans="1:15">
      <c r="A2940" s="70">
        <v>2025</v>
      </c>
      <c r="B2940" s="16" t="s">
        <v>1</v>
      </c>
      <c r="C2940" s="393" t="s">
        <v>3965</v>
      </c>
      <c r="D2940" s="2" t="s">
        <v>2294</v>
      </c>
      <c r="E2940" s="39" t="s">
        <v>3966</v>
      </c>
      <c r="F2940" s="96">
        <v>1</v>
      </c>
      <c r="G2940" s="1" t="s">
        <v>285</v>
      </c>
      <c r="H2940" s="8">
        <v>37972</v>
      </c>
      <c r="I2940" s="8">
        <f t="shared" si="195"/>
        <v>37972</v>
      </c>
      <c r="J2940" s="521">
        <v>37000</v>
      </c>
      <c r="K2940" s="521">
        <f t="shared" si="191"/>
        <v>972</v>
      </c>
      <c r="L2940" s="522">
        <f t="shared" si="196"/>
        <v>972</v>
      </c>
      <c r="M2940" s="523">
        <f t="shared" si="192"/>
        <v>2.5597808911829768E-2</v>
      </c>
      <c r="N2940" s="2" t="s">
        <v>40</v>
      </c>
      <c r="O2940" s="15" t="s">
        <v>105</v>
      </c>
    </row>
    <row r="2941" spans="1:15">
      <c r="A2941" s="70">
        <v>2025</v>
      </c>
      <c r="B2941" s="16" t="s">
        <v>1</v>
      </c>
      <c r="C2941" s="393" t="s">
        <v>3967</v>
      </c>
      <c r="D2941" s="2" t="s">
        <v>1042</v>
      </c>
      <c r="E2941" s="39" t="s">
        <v>711</v>
      </c>
      <c r="F2941" s="96">
        <v>9119</v>
      </c>
      <c r="G2941" s="1" t="s">
        <v>37</v>
      </c>
      <c r="H2941" s="8">
        <v>364</v>
      </c>
      <c r="I2941" s="8">
        <f t="shared" si="195"/>
        <v>3319316</v>
      </c>
      <c r="J2941" s="521">
        <v>363</v>
      </c>
      <c r="K2941" s="521">
        <f t="shared" si="191"/>
        <v>1</v>
      </c>
      <c r="L2941" s="522">
        <f t="shared" si="196"/>
        <v>9119</v>
      </c>
      <c r="M2941" s="523">
        <f t="shared" si="192"/>
        <v>2.7472527472527475E-3</v>
      </c>
      <c r="N2941" s="2" t="s">
        <v>40</v>
      </c>
      <c r="O2941" s="15" t="s">
        <v>105</v>
      </c>
    </row>
    <row r="2942" spans="1:15">
      <c r="A2942" s="70">
        <v>2025</v>
      </c>
      <c r="B2942" s="16" t="s">
        <v>1</v>
      </c>
      <c r="C2942" s="393" t="s">
        <v>3968</v>
      </c>
      <c r="D2942" s="2" t="s">
        <v>17</v>
      </c>
      <c r="E2942" s="39" t="s">
        <v>3919</v>
      </c>
      <c r="F2942" s="96">
        <v>48</v>
      </c>
      <c r="G2942" s="1" t="s">
        <v>19</v>
      </c>
      <c r="H2942" s="8">
        <v>70</v>
      </c>
      <c r="I2942" s="8">
        <f t="shared" si="195"/>
        <v>3360</v>
      </c>
      <c r="J2942" s="521">
        <v>50</v>
      </c>
      <c r="K2942" s="521">
        <f t="shared" si="191"/>
        <v>20</v>
      </c>
      <c r="L2942" s="522">
        <f t="shared" si="196"/>
        <v>960</v>
      </c>
      <c r="M2942" s="523">
        <f t="shared" si="192"/>
        <v>0.2857142857142857</v>
      </c>
      <c r="N2942" s="2" t="s">
        <v>40</v>
      </c>
      <c r="O2942" s="15" t="s">
        <v>39</v>
      </c>
    </row>
    <row r="2943" spans="1:15">
      <c r="A2943" s="70">
        <v>2025</v>
      </c>
      <c r="B2943" s="16" t="s">
        <v>1</v>
      </c>
      <c r="C2943" s="393" t="s">
        <v>3968</v>
      </c>
      <c r="D2943" s="2" t="s">
        <v>17</v>
      </c>
      <c r="E2943" s="39" t="s">
        <v>3920</v>
      </c>
      <c r="F2943" s="96">
        <v>288</v>
      </c>
      <c r="G2943" s="1" t="s">
        <v>19</v>
      </c>
      <c r="H2943" s="8">
        <v>70</v>
      </c>
      <c r="I2943" s="8">
        <f t="shared" si="195"/>
        <v>20160</v>
      </c>
      <c r="J2943" s="521">
        <v>55</v>
      </c>
      <c r="K2943" s="521">
        <f t="shared" si="191"/>
        <v>15</v>
      </c>
      <c r="L2943" s="522">
        <f t="shared" si="196"/>
        <v>4320</v>
      </c>
      <c r="M2943" s="523">
        <f t="shared" si="192"/>
        <v>0.21428571428571427</v>
      </c>
      <c r="N2943" s="2" t="s">
        <v>40</v>
      </c>
      <c r="O2943" s="15" t="s">
        <v>39</v>
      </c>
    </row>
    <row r="2944" spans="1:15">
      <c r="A2944" s="70">
        <v>2025</v>
      </c>
      <c r="B2944" s="16" t="s">
        <v>1</v>
      </c>
      <c r="C2944" s="393" t="s">
        <v>3969</v>
      </c>
      <c r="D2944" s="2" t="s">
        <v>892</v>
      </c>
      <c r="E2944" s="39" t="s">
        <v>3970</v>
      </c>
      <c r="F2944" s="96">
        <v>212</v>
      </c>
      <c r="G2944" s="1" t="s">
        <v>19</v>
      </c>
      <c r="H2944" s="8">
        <v>1450</v>
      </c>
      <c r="I2944" s="8">
        <f t="shared" si="195"/>
        <v>307400</v>
      </c>
      <c r="J2944" s="521">
        <v>1377.5</v>
      </c>
      <c r="K2944" s="521">
        <f t="shared" si="191"/>
        <v>72.5</v>
      </c>
      <c r="L2944" s="522">
        <f t="shared" si="196"/>
        <v>15370</v>
      </c>
      <c r="M2944" s="523">
        <f t="shared" si="192"/>
        <v>0.05</v>
      </c>
      <c r="N2944" s="2" t="s">
        <v>40</v>
      </c>
      <c r="O2944" s="15" t="s">
        <v>105</v>
      </c>
    </row>
    <row r="2945" spans="1:15">
      <c r="A2945" s="70">
        <v>2025</v>
      </c>
      <c r="B2945" s="16" t="s">
        <v>1</v>
      </c>
      <c r="C2945" s="393" t="s">
        <v>3969</v>
      </c>
      <c r="D2945" s="2" t="s">
        <v>892</v>
      </c>
      <c r="E2945" s="39" t="s">
        <v>3971</v>
      </c>
      <c r="F2945" s="96">
        <v>3223</v>
      </c>
      <c r="G2945" s="1" t="s">
        <v>19</v>
      </c>
      <c r="H2945" s="8">
        <v>740</v>
      </c>
      <c r="I2945" s="8">
        <f t="shared" si="195"/>
        <v>2385020</v>
      </c>
      <c r="J2945" s="521">
        <v>703</v>
      </c>
      <c r="K2945" s="521">
        <f t="shared" si="191"/>
        <v>37</v>
      </c>
      <c r="L2945" s="522">
        <f t="shared" si="196"/>
        <v>119251</v>
      </c>
      <c r="M2945" s="523">
        <f t="shared" si="192"/>
        <v>0.05</v>
      </c>
      <c r="N2945" s="2" t="s">
        <v>40</v>
      </c>
      <c r="O2945" s="15" t="s">
        <v>105</v>
      </c>
    </row>
    <row r="2946" spans="1:15">
      <c r="A2946" s="70">
        <v>2025</v>
      </c>
      <c r="B2946" s="16" t="s">
        <v>1</v>
      </c>
      <c r="C2946" s="393" t="s">
        <v>3969</v>
      </c>
      <c r="D2946" s="2" t="s">
        <v>892</v>
      </c>
      <c r="E2946" s="39" t="s">
        <v>3972</v>
      </c>
      <c r="F2946" s="96">
        <v>202</v>
      </c>
      <c r="G2946" s="1" t="s">
        <v>19</v>
      </c>
      <c r="H2946" s="8">
        <v>480</v>
      </c>
      <c r="I2946" s="8">
        <f t="shared" si="195"/>
        <v>96960</v>
      </c>
      <c r="J2946" s="521">
        <v>456</v>
      </c>
      <c r="K2946" s="521">
        <f t="shared" si="191"/>
        <v>24</v>
      </c>
      <c r="L2946" s="522">
        <f t="shared" si="196"/>
        <v>4848</v>
      </c>
      <c r="M2946" s="523">
        <f t="shared" si="192"/>
        <v>0.05</v>
      </c>
      <c r="N2946" s="2" t="s">
        <v>40</v>
      </c>
      <c r="O2946" s="15" t="s">
        <v>105</v>
      </c>
    </row>
    <row r="2947" spans="1:15">
      <c r="A2947" s="70">
        <v>2025</v>
      </c>
      <c r="B2947" s="16" t="s">
        <v>1</v>
      </c>
      <c r="C2947" s="393" t="s">
        <v>3973</v>
      </c>
      <c r="D2947" s="2" t="s">
        <v>200</v>
      </c>
      <c r="E2947" s="39" t="s">
        <v>3274</v>
      </c>
      <c r="F2947" s="96">
        <v>1</v>
      </c>
      <c r="G2947" s="1" t="s">
        <v>302</v>
      </c>
      <c r="H2947" s="8">
        <v>36500</v>
      </c>
      <c r="I2947" s="8">
        <f t="shared" si="195"/>
        <v>36500</v>
      </c>
      <c r="J2947" s="521">
        <v>34000</v>
      </c>
      <c r="K2947" s="521">
        <f t="shared" ref="K2947:K3010" si="197">H2947-J2947</f>
        <v>2500</v>
      </c>
      <c r="L2947" s="522">
        <f t="shared" si="196"/>
        <v>2500</v>
      </c>
      <c r="M2947" s="523">
        <f t="shared" ref="M2947:M3010" si="198">K2947/H2947</f>
        <v>6.8493150684931503E-2</v>
      </c>
      <c r="N2947" s="2" t="s">
        <v>40</v>
      </c>
      <c r="O2947" s="15" t="s">
        <v>39</v>
      </c>
    </row>
    <row r="2948" spans="1:15">
      <c r="A2948" s="70">
        <v>2025</v>
      </c>
      <c r="B2948" s="16" t="s">
        <v>1</v>
      </c>
      <c r="C2948" s="393" t="s">
        <v>3974</v>
      </c>
      <c r="D2948" s="2" t="s">
        <v>1488</v>
      </c>
      <c r="E2948" s="39" t="s">
        <v>755</v>
      </c>
      <c r="F2948" s="96">
        <v>2078</v>
      </c>
      <c r="G2948" s="1" t="s">
        <v>37</v>
      </c>
      <c r="H2948" s="8">
        <v>370</v>
      </c>
      <c r="I2948" s="8">
        <f t="shared" si="195"/>
        <v>768860</v>
      </c>
      <c r="J2948" s="521">
        <v>365</v>
      </c>
      <c r="K2948" s="521">
        <f t="shared" si="197"/>
        <v>5</v>
      </c>
      <c r="L2948" s="522">
        <f t="shared" si="196"/>
        <v>10390</v>
      </c>
      <c r="M2948" s="523">
        <f t="shared" si="198"/>
        <v>1.3513513513513514E-2</v>
      </c>
      <c r="N2948" s="2" t="s">
        <v>22</v>
      </c>
      <c r="O2948" s="15" t="s">
        <v>105</v>
      </c>
    </row>
    <row r="2949" spans="1:15">
      <c r="A2949" s="70">
        <v>2025</v>
      </c>
      <c r="B2949" s="16" t="s">
        <v>1</v>
      </c>
      <c r="C2949" s="393" t="s">
        <v>3975</v>
      </c>
      <c r="D2949" s="2" t="s">
        <v>2167</v>
      </c>
      <c r="E2949" s="39" t="s">
        <v>2502</v>
      </c>
      <c r="F2949" s="96">
        <v>3000</v>
      </c>
      <c r="G2949" s="1" t="s">
        <v>3976</v>
      </c>
      <c r="H2949" s="8">
        <v>128.69999999999999</v>
      </c>
      <c r="I2949" s="8">
        <f t="shared" si="195"/>
        <v>386099.99999999994</v>
      </c>
      <c r="J2949" s="521">
        <v>115.5</v>
      </c>
      <c r="K2949" s="521">
        <f t="shared" si="197"/>
        <v>13.199999999999989</v>
      </c>
      <c r="L2949" s="522">
        <f t="shared" si="196"/>
        <v>39599.999999999964</v>
      </c>
      <c r="M2949" s="523">
        <f t="shared" si="198"/>
        <v>0.10256410256410249</v>
      </c>
      <c r="N2949" s="2" t="s">
        <v>40</v>
      </c>
      <c r="O2949" s="15" t="s">
        <v>105</v>
      </c>
    </row>
    <row r="2950" spans="1:15">
      <c r="A2950" s="70">
        <v>2025</v>
      </c>
      <c r="B2950" s="16" t="s">
        <v>1</v>
      </c>
      <c r="C2950" s="393" t="s">
        <v>3977</v>
      </c>
      <c r="D2950" s="2" t="s">
        <v>590</v>
      </c>
      <c r="E2950" s="39" t="s">
        <v>3978</v>
      </c>
      <c r="F2950" s="96">
        <v>1</v>
      </c>
      <c r="G2950" s="1" t="s">
        <v>302</v>
      </c>
      <c r="H2950" s="8">
        <v>129000</v>
      </c>
      <c r="I2950" s="8">
        <f t="shared" si="195"/>
        <v>129000</v>
      </c>
      <c r="J2950" s="521">
        <v>120000</v>
      </c>
      <c r="K2950" s="521">
        <f t="shared" si="197"/>
        <v>9000</v>
      </c>
      <c r="L2950" s="522">
        <f t="shared" si="196"/>
        <v>9000</v>
      </c>
      <c r="M2950" s="523">
        <f t="shared" si="198"/>
        <v>6.9767441860465115E-2</v>
      </c>
      <c r="N2950" s="2" t="s">
        <v>40</v>
      </c>
      <c r="O2950" s="15" t="s">
        <v>39</v>
      </c>
    </row>
    <row r="2951" spans="1:15">
      <c r="A2951" s="70">
        <v>2025</v>
      </c>
      <c r="B2951" s="16" t="s">
        <v>1</v>
      </c>
      <c r="C2951" s="393" t="s">
        <v>3977</v>
      </c>
      <c r="D2951" s="2" t="s">
        <v>590</v>
      </c>
      <c r="E2951" s="39" t="s">
        <v>3979</v>
      </c>
      <c r="F2951" s="96">
        <v>5</v>
      </c>
      <c r="G2951" s="1" t="s">
        <v>302</v>
      </c>
      <c r="H2951" s="8">
        <v>129000</v>
      </c>
      <c r="I2951" s="8">
        <f t="shared" si="195"/>
        <v>645000</v>
      </c>
      <c r="J2951" s="521">
        <v>120000</v>
      </c>
      <c r="K2951" s="521">
        <f t="shared" si="197"/>
        <v>9000</v>
      </c>
      <c r="L2951" s="522">
        <f t="shared" si="196"/>
        <v>45000</v>
      </c>
      <c r="M2951" s="523">
        <f t="shared" si="198"/>
        <v>6.9767441860465115E-2</v>
      </c>
      <c r="N2951" s="2" t="s">
        <v>40</v>
      </c>
      <c r="O2951" s="15" t="s">
        <v>39</v>
      </c>
    </row>
    <row r="2952" spans="1:15">
      <c r="A2952" s="70">
        <v>2025</v>
      </c>
      <c r="B2952" s="16" t="s">
        <v>1</v>
      </c>
      <c r="C2952" s="393" t="s">
        <v>3980</v>
      </c>
      <c r="D2952" s="2" t="s">
        <v>1948</v>
      </c>
      <c r="E2952" s="39" t="s">
        <v>3981</v>
      </c>
      <c r="F2952" s="96">
        <v>1</v>
      </c>
      <c r="G2952" s="1" t="s">
        <v>19</v>
      </c>
      <c r="H2952" s="8">
        <v>5890</v>
      </c>
      <c r="I2952" s="8">
        <f t="shared" si="195"/>
        <v>5890</v>
      </c>
      <c r="J2952" s="521">
        <v>5300</v>
      </c>
      <c r="K2952" s="521">
        <f t="shared" si="197"/>
        <v>590</v>
      </c>
      <c r="L2952" s="522">
        <f t="shared" si="196"/>
        <v>590</v>
      </c>
      <c r="M2952" s="523">
        <f t="shared" si="198"/>
        <v>0.100169779286927</v>
      </c>
      <c r="N2952" s="2" t="s">
        <v>22</v>
      </c>
      <c r="O2952" s="15" t="s">
        <v>105</v>
      </c>
    </row>
    <row r="2953" spans="1:15">
      <c r="A2953" s="70">
        <v>2025</v>
      </c>
      <c r="B2953" s="16" t="s">
        <v>1</v>
      </c>
      <c r="C2953" s="393" t="s">
        <v>3982</v>
      </c>
      <c r="D2953" s="2" t="s">
        <v>94</v>
      </c>
      <c r="E2953" s="39" t="s">
        <v>546</v>
      </c>
      <c r="F2953" s="96">
        <v>200</v>
      </c>
      <c r="G2953" s="1" t="s">
        <v>19</v>
      </c>
      <c r="H2953" s="8">
        <v>190</v>
      </c>
      <c r="I2953" s="8">
        <f t="shared" si="195"/>
        <v>38000</v>
      </c>
      <c r="J2953" s="521">
        <v>182.25</v>
      </c>
      <c r="K2953" s="521">
        <f t="shared" si="197"/>
        <v>7.75</v>
      </c>
      <c r="L2953" s="522">
        <f t="shared" si="196"/>
        <v>1550</v>
      </c>
      <c r="M2953" s="523">
        <f t="shared" si="198"/>
        <v>4.0789473684210528E-2</v>
      </c>
      <c r="N2953" s="2" t="s">
        <v>22</v>
      </c>
      <c r="O2953" s="15" t="s">
        <v>105</v>
      </c>
    </row>
    <row r="2954" spans="1:15">
      <c r="A2954" s="70">
        <v>2025</v>
      </c>
      <c r="B2954" s="16" t="s">
        <v>1</v>
      </c>
      <c r="C2954" s="393" t="s">
        <v>3982</v>
      </c>
      <c r="D2954" s="2" t="s">
        <v>94</v>
      </c>
      <c r="E2954" s="39" t="s">
        <v>458</v>
      </c>
      <c r="F2954" s="96">
        <v>200</v>
      </c>
      <c r="G2954" s="1" t="s">
        <v>19</v>
      </c>
      <c r="H2954" s="8">
        <v>9.5</v>
      </c>
      <c r="I2954" s="8">
        <f t="shared" si="195"/>
        <v>1900</v>
      </c>
      <c r="J2954" s="521">
        <v>9.35</v>
      </c>
      <c r="K2954" s="521">
        <f t="shared" si="197"/>
        <v>0.15000000000000036</v>
      </c>
      <c r="L2954" s="522">
        <f t="shared" si="196"/>
        <v>30.000000000000071</v>
      </c>
      <c r="M2954" s="523">
        <f t="shared" si="198"/>
        <v>1.5789473684210565E-2</v>
      </c>
      <c r="N2954" s="2" t="s">
        <v>22</v>
      </c>
      <c r="O2954" s="15" t="s">
        <v>105</v>
      </c>
    </row>
    <row r="2955" spans="1:15">
      <c r="A2955" s="70">
        <v>2025</v>
      </c>
      <c r="B2955" s="16" t="s">
        <v>1</v>
      </c>
      <c r="C2955" s="393" t="s">
        <v>3983</v>
      </c>
      <c r="D2955" s="2" t="s">
        <v>599</v>
      </c>
      <c r="E2955" s="39" t="s">
        <v>600</v>
      </c>
      <c r="F2955" s="96">
        <v>144</v>
      </c>
      <c r="G2955" s="1" t="s">
        <v>19</v>
      </c>
      <c r="H2955" s="8">
        <v>265</v>
      </c>
      <c r="I2955" s="8">
        <f t="shared" si="195"/>
        <v>38160</v>
      </c>
      <c r="J2955" s="521">
        <v>260</v>
      </c>
      <c r="K2955" s="521">
        <f t="shared" si="197"/>
        <v>5</v>
      </c>
      <c r="L2955" s="522">
        <f t="shared" si="196"/>
        <v>720</v>
      </c>
      <c r="M2955" s="523">
        <f t="shared" si="198"/>
        <v>1.8867924528301886E-2</v>
      </c>
      <c r="N2955" s="2" t="s">
        <v>40</v>
      </c>
      <c r="O2955" s="15" t="s">
        <v>39</v>
      </c>
    </row>
    <row r="2956" spans="1:15">
      <c r="A2956" s="70">
        <v>2025</v>
      </c>
      <c r="B2956" s="16" t="s">
        <v>1</v>
      </c>
      <c r="C2956" s="393" t="s">
        <v>3984</v>
      </c>
      <c r="D2956" s="2" t="s">
        <v>599</v>
      </c>
      <c r="E2956" s="39" t="s">
        <v>600</v>
      </c>
      <c r="F2956" s="96">
        <v>126</v>
      </c>
      <c r="G2956" s="1" t="s">
        <v>19</v>
      </c>
      <c r="H2956" s="8">
        <v>265</v>
      </c>
      <c r="I2956" s="8">
        <f t="shared" si="195"/>
        <v>33390</v>
      </c>
      <c r="J2956" s="521">
        <v>260</v>
      </c>
      <c r="K2956" s="521">
        <f t="shared" si="197"/>
        <v>5</v>
      </c>
      <c r="L2956" s="522">
        <f t="shared" si="196"/>
        <v>630</v>
      </c>
      <c r="M2956" s="523">
        <f t="shared" si="198"/>
        <v>1.8867924528301886E-2</v>
      </c>
      <c r="N2956" s="2" t="s">
        <v>40</v>
      </c>
      <c r="O2956" s="15" t="s">
        <v>39</v>
      </c>
    </row>
    <row r="2957" spans="1:15">
      <c r="A2957" s="70">
        <v>2025</v>
      </c>
      <c r="B2957" s="16" t="s">
        <v>1</v>
      </c>
      <c r="C2957" s="393" t="s">
        <v>3985</v>
      </c>
      <c r="D2957" s="2" t="s">
        <v>192</v>
      </c>
      <c r="E2957" s="39" t="s">
        <v>813</v>
      </c>
      <c r="F2957" s="96">
        <v>320000</v>
      </c>
      <c r="G2957" s="1" t="s">
        <v>37</v>
      </c>
      <c r="H2957" s="8">
        <v>52.5</v>
      </c>
      <c r="I2957" s="8">
        <f t="shared" si="195"/>
        <v>16800000</v>
      </c>
      <c r="J2957" s="521">
        <v>49</v>
      </c>
      <c r="K2957" s="521">
        <f t="shared" si="197"/>
        <v>3.5</v>
      </c>
      <c r="L2957" s="522">
        <f t="shared" si="196"/>
        <v>1120000</v>
      </c>
      <c r="M2957" s="523">
        <f t="shared" si="198"/>
        <v>6.6666666666666666E-2</v>
      </c>
      <c r="N2957" s="2" t="s">
        <v>22</v>
      </c>
      <c r="O2957" s="15" t="s">
        <v>39</v>
      </c>
    </row>
    <row r="2958" spans="1:15">
      <c r="A2958" s="70">
        <v>2025</v>
      </c>
      <c r="B2958" s="16" t="s">
        <v>1</v>
      </c>
      <c r="C2958" s="393" t="s">
        <v>3986</v>
      </c>
      <c r="D2958" s="2" t="s">
        <v>192</v>
      </c>
      <c r="E2958" s="404" t="s">
        <v>502</v>
      </c>
      <c r="F2958" s="96">
        <v>200000</v>
      </c>
      <c r="G2958" s="1" t="s">
        <v>37</v>
      </c>
      <c r="H2958" s="8">
        <v>54.5</v>
      </c>
      <c r="I2958" s="8">
        <f t="shared" si="195"/>
        <v>10900000</v>
      </c>
      <c r="J2958" s="521">
        <v>51.5</v>
      </c>
      <c r="K2958" s="521">
        <f t="shared" si="197"/>
        <v>3</v>
      </c>
      <c r="L2958" s="522">
        <f t="shared" si="196"/>
        <v>600000</v>
      </c>
      <c r="M2958" s="523">
        <f t="shared" si="198"/>
        <v>5.5045871559633031E-2</v>
      </c>
      <c r="N2958" s="2" t="s">
        <v>22</v>
      </c>
      <c r="O2958" s="15" t="s">
        <v>39</v>
      </c>
    </row>
    <row r="2959" spans="1:15">
      <c r="A2959" s="70">
        <v>2025</v>
      </c>
      <c r="B2959" s="16" t="s">
        <v>1</v>
      </c>
      <c r="C2959" s="393" t="s">
        <v>3637</v>
      </c>
      <c r="D2959" s="2" t="s">
        <v>2342</v>
      </c>
      <c r="E2959" s="39" t="s">
        <v>2514</v>
      </c>
      <c r="F2959" s="96">
        <v>1</v>
      </c>
      <c r="G2959" s="1" t="s">
        <v>285</v>
      </c>
      <c r="H2959" s="8">
        <v>3500</v>
      </c>
      <c r="I2959" s="8">
        <v>3500</v>
      </c>
      <c r="J2959" s="521">
        <v>0</v>
      </c>
      <c r="K2959" s="521">
        <f t="shared" si="197"/>
        <v>3500</v>
      </c>
      <c r="L2959" s="522">
        <f t="shared" si="196"/>
        <v>3500</v>
      </c>
      <c r="M2959" s="523">
        <f t="shared" si="198"/>
        <v>1</v>
      </c>
      <c r="N2959" s="2" t="s">
        <v>40</v>
      </c>
      <c r="O2959" s="15" t="s">
        <v>105</v>
      </c>
    </row>
    <row r="2960" spans="1:15">
      <c r="A2960" s="70">
        <v>2025</v>
      </c>
      <c r="B2960" s="16" t="s">
        <v>1</v>
      </c>
      <c r="C2960" s="393" t="s">
        <v>3987</v>
      </c>
      <c r="D2960" s="2" t="s">
        <v>2028</v>
      </c>
      <c r="E2960" s="39" t="s">
        <v>2514</v>
      </c>
      <c r="F2960" s="96">
        <v>1</v>
      </c>
      <c r="G2960" s="1" t="s">
        <v>285</v>
      </c>
      <c r="H2960" s="8">
        <v>3500</v>
      </c>
      <c r="I2960" s="8">
        <v>3500</v>
      </c>
      <c r="J2960" s="521">
        <v>0</v>
      </c>
      <c r="K2960" s="521">
        <f t="shared" si="197"/>
        <v>3500</v>
      </c>
      <c r="L2960" s="522">
        <f t="shared" si="196"/>
        <v>3500</v>
      </c>
      <c r="M2960" s="523">
        <f t="shared" si="198"/>
        <v>1</v>
      </c>
      <c r="N2960" s="2" t="s">
        <v>40</v>
      </c>
      <c r="O2960" s="15" t="s">
        <v>105</v>
      </c>
    </row>
    <row r="2961" spans="1:15">
      <c r="A2961" s="70">
        <v>2025</v>
      </c>
      <c r="B2961" s="16" t="s">
        <v>1</v>
      </c>
      <c r="C2961" s="393" t="s">
        <v>3988</v>
      </c>
      <c r="D2961" s="2" t="s">
        <v>3847</v>
      </c>
      <c r="E2961" s="39" t="s">
        <v>2514</v>
      </c>
      <c r="F2961" s="96">
        <v>1</v>
      </c>
      <c r="G2961" s="1" t="s">
        <v>285</v>
      </c>
      <c r="H2961" s="8">
        <v>3500</v>
      </c>
      <c r="I2961" s="8">
        <v>3500</v>
      </c>
      <c r="J2961" s="521">
        <v>0</v>
      </c>
      <c r="K2961" s="521">
        <f t="shared" si="197"/>
        <v>3500</v>
      </c>
      <c r="L2961" s="522">
        <f t="shared" si="196"/>
        <v>3500</v>
      </c>
      <c r="M2961" s="523">
        <f t="shared" si="198"/>
        <v>1</v>
      </c>
      <c r="N2961" s="2" t="s">
        <v>40</v>
      </c>
      <c r="O2961" s="15" t="s">
        <v>105</v>
      </c>
    </row>
    <row r="2962" spans="1:15">
      <c r="A2962" s="70">
        <v>2025</v>
      </c>
      <c r="B2962" s="16" t="s">
        <v>1</v>
      </c>
      <c r="C2962" s="393" t="s">
        <v>3989</v>
      </c>
      <c r="D2962" s="2" t="s">
        <v>617</v>
      </c>
      <c r="E2962" s="39" t="s">
        <v>233</v>
      </c>
      <c r="F2962" s="96">
        <v>17</v>
      </c>
      <c r="G2962" s="1" t="s">
        <v>37</v>
      </c>
      <c r="H2962" s="8">
        <v>27.5</v>
      </c>
      <c r="I2962" s="8">
        <f t="shared" ref="I2962:I2995" si="199">H2962*F2962</f>
        <v>467.5</v>
      </c>
      <c r="J2962" s="521">
        <v>27</v>
      </c>
      <c r="K2962" s="521">
        <f t="shared" si="197"/>
        <v>0.5</v>
      </c>
      <c r="L2962" s="522">
        <f t="shared" si="196"/>
        <v>8.5</v>
      </c>
      <c r="M2962" s="523">
        <f t="shared" si="198"/>
        <v>1.8181818181818181E-2</v>
      </c>
      <c r="N2962" s="2" t="s">
        <v>40</v>
      </c>
      <c r="O2962" s="15" t="s">
        <v>39</v>
      </c>
    </row>
    <row r="2963" spans="1:15">
      <c r="A2963" s="70">
        <v>2025</v>
      </c>
      <c r="B2963" s="16" t="s">
        <v>1</v>
      </c>
      <c r="C2963" s="393" t="s">
        <v>3989</v>
      </c>
      <c r="D2963" s="2" t="s">
        <v>617</v>
      </c>
      <c r="E2963" s="39" t="s">
        <v>233</v>
      </c>
      <c r="F2963" s="96">
        <v>6000</v>
      </c>
      <c r="G2963" s="1" t="s">
        <v>37</v>
      </c>
      <c r="H2963" s="8">
        <v>27.5</v>
      </c>
      <c r="I2963" s="8">
        <f t="shared" si="199"/>
        <v>165000</v>
      </c>
      <c r="J2963" s="521">
        <v>27</v>
      </c>
      <c r="K2963" s="521">
        <f t="shared" si="197"/>
        <v>0.5</v>
      </c>
      <c r="L2963" s="522">
        <f t="shared" si="196"/>
        <v>3000</v>
      </c>
      <c r="M2963" s="523">
        <f t="shared" si="198"/>
        <v>1.8181818181818181E-2</v>
      </c>
      <c r="N2963" s="2" t="s">
        <v>40</v>
      </c>
      <c r="O2963" s="15" t="s">
        <v>39</v>
      </c>
    </row>
    <row r="2964" spans="1:15">
      <c r="A2964" s="70">
        <v>2025</v>
      </c>
      <c r="B2964" s="16" t="s">
        <v>1</v>
      </c>
      <c r="C2964" s="393" t="s">
        <v>3990</v>
      </c>
      <c r="D2964" s="2" t="s">
        <v>617</v>
      </c>
      <c r="E2964" s="39" t="s">
        <v>230</v>
      </c>
      <c r="F2964" s="96">
        <v>52</v>
      </c>
      <c r="G2964" s="1" t="s">
        <v>37</v>
      </c>
      <c r="H2964" s="8">
        <v>27.5</v>
      </c>
      <c r="I2964" s="8">
        <f t="shared" si="199"/>
        <v>1430</v>
      </c>
      <c r="J2964" s="521">
        <v>27</v>
      </c>
      <c r="K2964" s="521">
        <f t="shared" si="197"/>
        <v>0.5</v>
      </c>
      <c r="L2964" s="522">
        <f t="shared" si="196"/>
        <v>26</v>
      </c>
      <c r="M2964" s="523">
        <f t="shared" si="198"/>
        <v>1.8181818181818181E-2</v>
      </c>
      <c r="N2964" s="2" t="s">
        <v>40</v>
      </c>
      <c r="O2964" s="15" t="s">
        <v>39</v>
      </c>
    </row>
    <row r="2965" spans="1:15">
      <c r="A2965" s="70">
        <v>2025</v>
      </c>
      <c r="B2965" s="16" t="s">
        <v>1</v>
      </c>
      <c r="C2965" s="393" t="s">
        <v>3990</v>
      </c>
      <c r="D2965" s="2" t="s">
        <v>617</v>
      </c>
      <c r="E2965" s="39" t="s">
        <v>230</v>
      </c>
      <c r="F2965" s="96">
        <v>3000</v>
      </c>
      <c r="G2965" s="1" t="s">
        <v>37</v>
      </c>
      <c r="H2965" s="8">
        <v>27.5</v>
      </c>
      <c r="I2965" s="8">
        <f t="shared" si="199"/>
        <v>82500</v>
      </c>
      <c r="J2965" s="521">
        <v>27</v>
      </c>
      <c r="K2965" s="521">
        <f t="shared" si="197"/>
        <v>0.5</v>
      </c>
      <c r="L2965" s="522">
        <f t="shared" si="196"/>
        <v>1500</v>
      </c>
      <c r="M2965" s="523">
        <f t="shared" si="198"/>
        <v>1.8181818181818181E-2</v>
      </c>
      <c r="N2965" s="2" t="s">
        <v>40</v>
      </c>
      <c r="O2965" s="15" t="s">
        <v>39</v>
      </c>
    </row>
    <row r="2966" spans="1:15">
      <c r="A2966" s="70">
        <v>2025</v>
      </c>
      <c r="B2966" s="16" t="s">
        <v>1</v>
      </c>
      <c r="C2966" s="393" t="s">
        <v>3990</v>
      </c>
      <c r="D2966" s="2" t="s">
        <v>617</v>
      </c>
      <c r="E2966" s="39" t="s">
        <v>230</v>
      </c>
      <c r="F2966" s="96">
        <v>3000</v>
      </c>
      <c r="G2966" s="1" t="s">
        <v>37</v>
      </c>
      <c r="H2966" s="8">
        <v>27.5</v>
      </c>
      <c r="I2966" s="8">
        <f t="shared" si="199"/>
        <v>82500</v>
      </c>
      <c r="J2966" s="521">
        <v>27</v>
      </c>
      <c r="K2966" s="521">
        <f t="shared" si="197"/>
        <v>0.5</v>
      </c>
      <c r="L2966" s="522">
        <f t="shared" si="196"/>
        <v>1500</v>
      </c>
      <c r="M2966" s="523">
        <f t="shared" si="198"/>
        <v>1.8181818181818181E-2</v>
      </c>
      <c r="N2966" s="2" t="s">
        <v>40</v>
      </c>
      <c r="O2966" s="15" t="s">
        <v>39</v>
      </c>
    </row>
    <row r="2967" spans="1:15">
      <c r="A2967" s="70">
        <v>2025</v>
      </c>
      <c r="B2967" s="16" t="s">
        <v>1</v>
      </c>
      <c r="C2967" s="393" t="s">
        <v>3990</v>
      </c>
      <c r="D2967" s="2" t="s">
        <v>617</v>
      </c>
      <c r="E2967" s="39" t="s">
        <v>996</v>
      </c>
      <c r="F2967" s="96">
        <v>3000</v>
      </c>
      <c r="G2967" s="1" t="s">
        <v>37</v>
      </c>
      <c r="H2967" s="8">
        <v>27.5</v>
      </c>
      <c r="I2967" s="8">
        <f t="shared" si="199"/>
        <v>82500</v>
      </c>
      <c r="J2967" s="521">
        <v>27</v>
      </c>
      <c r="K2967" s="521">
        <f t="shared" si="197"/>
        <v>0.5</v>
      </c>
      <c r="L2967" s="522">
        <f t="shared" si="196"/>
        <v>1500</v>
      </c>
      <c r="M2967" s="523">
        <f t="shared" si="198"/>
        <v>1.8181818181818181E-2</v>
      </c>
      <c r="N2967" s="2" t="s">
        <v>40</v>
      </c>
      <c r="O2967" s="15" t="s">
        <v>39</v>
      </c>
    </row>
    <row r="2968" spans="1:15">
      <c r="A2968" s="70">
        <v>2025</v>
      </c>
      <c r="B2968" s="16" t="s">
        <v>1</v>
      </c>
      <c r="C2968" s="393" t="s">
        <v>3991</v>
      </c>
      <c r="D2968" s="2" t="s">
        <v>617</v>
      </c>
      <c r="E2968" s="39" t="s">
        <v>233</v>
      </c>
      <c r="F2968" s="96">
        <v>6176</v>
      </c>
      <c r="G2968" s="1" t="s">
        <v>37</v>
      </c>
      <c r="H2968" s="8">
        <v>27.5</v>
      </c>
      <c r="I2968" s="8">
        <f t="shared" si="199"/>
        <v>169840</v>
      </c>
      <c r="J2968" s="521">
        <v>27</v>
      </c>
      <c r="K2968" s="521">
        <f t="shared" si="197"/>
        <v>0.5</v>
      </c>
      <c r="L2968" s="522">
        <f t="shared" si="196"/>
        <v>3088</v>
      </c>
      <c r="M2968" s="523">
        <f t="shared" si="198"/>
        <v>1.8181818181818181E-2</v>
      </c>
      <c r="N2968" s="2" t="s">
        <v>40</v>
      </c>
      <c r="O2968" s="15" t="s">
        <v>39</v>
      </c>
    </row>
    <row r="2969" spans="1:15">
      <c r="A2969" s="70">
        <v>2025</v>
      </c>
      <c r="B2969" s="16" t="s">
        <v>1</v>
      </c>
      <c r="C2969" s="393" t="s">
        <v>3991</v>
      </c>
      <c r="D2969" s="2" t="s">
        <v>617</v>
      </c>
      <c r="E2969" s="39" t="s">
        <v>230</v>
      </c>
      <c r="F2969" s="96">
        <v>3000</v>
      </c>
      <c r="G2969" s="1" t="s">
        <v>37</v>
      </c>
      <c r="H2969" s="8">
        <v>27.5</v>
      </c>
      <c r="I2969" s="8">
        <f t="shared" si="199"/>
        <v>82500</v>
      </c>
      <c r="J2969" s="521">
        <v>27</v>
      </c>
      <c r="K2969" s="521">
        <f t="shared" si="197"/>
        <v>0.5</v>
      </c>
      <c r="L2969" s="522">
        <f t="shared" si="196"/>
        <v>1500</v>
      </c>
      <c r="M2969" s="523">
        <f t="shared" si="198"/>
        <v>1.8181818181818181E-2</v>
      </c>
      <c r="N2969" s="2" t="s">
        <v>40</v>
      </c>
      <c r="O2969" s="15" t="s">
        <v>39</v>
      </c>
    </row>
    <row r="2970" spans="1:15">
      <c r="A2970" s="70">
        <v>2025</v>
      </c>
      <c r="B2970" s="16" t="s">
        <v>1</v>
      </c>
      <c r="C2970" s="393" t="s">
        <v>3991</v>
      </c>
      <c r="D2970" s="2" t="s">
        <v>617</v>
      </c>
      <c r="E2970" s="39" t="s">
        <v>275</v>
      </c>
      <c r="F2970" s="96">
        <v>9000</v>
      </c>
      <c r="G2970" s="1" t="s">
        <v>37</v>
      </c>
      <c r="H2970" s="8">
        <v>27.5</v>
      </c>
      <c r="I2970" s="8">
        <f t="shared" si="199"/>
        <v>247500</v>
      </c>
      <c r="J2970" s="521">
        <v>27</v>
      </c>
      <c r="K2970" s="521">
        <f t="shared" si="197"/>
        <v>0.5</v>
      </c>
      <c r="L2970" s="522">
        <f t="shared" si="196"/>
        <v>4500</v>
      </c>
      <c r="M2970" s="523">
        <f t="shared" si="198"/>
        <v>1.8181818181818181E-2</v>
      </c>
      <c r="N2970" s="2" t="s">
        <v>40</v>
      </c>
      <c r="O2970" s="15" t="s">
        <v>39</v>
      </c>
    </row>
    <row r="2971" spans="1:15">
      <c r="A2971" s="70">
        <v>2025</v>
      </c>
      <c r="B2971" s="16" t="s">
        <v>1</v>
      </c>
      <c r="C2971" s="393" t="s">
        <v>3992</v>
      </c>
      <c r="D2971" s="2" t="s">
        <v>617</v>
      </c>
      <c r="E2971" s="39" t="s">
        <v>275</v>
      </c>
      <c r="F2971" s="96">
        <v>6000</v>
      </c>
      <c r="G2971" s="1" t="s">
        <v>37</v>
      </c>
      <c r="H2971" s="8">
        <v>27.5</v>
      </c>
      <c r="I2971" s="8">
        <f t="shared" si="199"/>
        <v>165000</v>
      </c>
      <c r="J2971" s="521">
        <v>27</v>
      </c>
      <c r="K2971" s="521">
        <f t="shared" si="197"/>
        <v>0.5</v>
      </c>
      <c r="L2971" s="522">
        <f t="shared" si="196"/>
        <v>3000</v>
      </c>
      <c r="M2971" s="523">
        <f t="shared" si="198"/>
        <v>1.8181818181818181E-2</v>
      </c>
      <c r="N2971" s="2" t="s">
        <v>40</v>
      </c>
      <c r="O2971" s="15" t="s">
        <v>39</v>
      </c>
    </row>
    <row r="2972" spans="1:15">
      <c r="A2972" s="70">
        <v>2025</v>
      </c>
      <c r="B2972" s="16" t="s">
        <v>1</v>
      </c>
      <c r="C2972" s="393" t="s">
        <v>3993</v>
      </c>
      <c r="D2972" s="2" t="s">
        <v>335</v>
      </c>
      <c r="E2972" s="39" t="s">
        <v>336</v>
      </c>
      <c r="F2972" s="96">
        <v>28000</v>
      </c>
      <c r="G2972" s="1" t="s">
        <v>3976</v>
      </c>
      <c r="H2972" s="8">
        <v>35</v>
      </c>
      <c r="I2972" s="8">
        <f t="shared" si="199"/>
        <v>980000</v>
      </c>
      <c r="J2972" s="521">
        <v>33.75</v>
      </c>
      <c r="K2972" s="521">
        <f t="shared" si="197"/>
        <v>1.25</v>
      </c>
      <c r="L2972" s="522">
        <f t="shared" si="196"/>
        <v>35000</v>
      </c>
      <c r="M2972" s="523">
        <f t="shared" si="198"/>
        <v>3.5714285714285712E-2</v>
      </c>
      <c r="N2972" s="2" t="s">
        <v>40</v>
      </c>
      <c r="O2972" s="15" t="s">
        <v>39</v>
      </c>
    </row>
    <row r="2973" spans="1:15">
      <c r="A2973" s="70">
        <v>2025</v>
      </c>
      <c r="B2973" s="16" t="s">
        <v>1</v>
      </c>
      <c r="C2973" s="393" t="s">
        <v>3994</v>
      </c>
      <c r="D2973" s="2" t="s">
        <v>335</v>
      </c>
      <c r="E2973" s="39" t="s">
        <v>336</v>
      </c>
      <c r="F2973" s="96">
        <v>14000</v>
      </c>
      <c r="G2973" s="1" t="s">
        <v>3976</v>
      </c>
      <c r="H2973" s="8">
        <v>35</v>
      </c>
      <c r="I2973" s="8">
        <f t="shared" si="199"/>
        <v>490000</v>
      </c>
      <c r="J2973" s="521">
        <v>33.75</v>
      </c>
      <c r="K2973" s="521">
        <f t="shared" si="197"/>
        <v>1.25</v>
      </c>
      <c r="L2973" s="522">
        <f t="shared" si="196"/>
        <v>17500</v>
      </c>
      <c r="M2973" s="523">
        <f t="shared" si="198"/>
        <v>3.5714285714285712E-2</v>
      </c>
      <c r="N2973" s="2" t="s">
        <v>40</v>
      </c>
      <c r="O2973" s="15" t="s">
        <v>39</v>
      </c>
    </row>
    <row r="2974" spans="1:15">
      <c r="A2974" s="70">
        <v>2025</v>
      </c>
      <c r="B2974" s="16" t="s">
        <v>1</v>
      </c>
      <c r="C2974" s="393" t="s">
        <v>3995</v>
      </c>
      <c r="D2974" s="2" t="s">
        <v>335</v>
      </c>
      <c r="E2974" s="39" t="s">
        <v>336</v>
      </c>
      <c r="F2974" s="96">
        <v>70000</v>
      </c>
      <c r="G2974" s="1" t="s">
        <v>3976</v>
      </c>
      <c r="H2974" s="8">
        <v>35</v>
      </c>
      <c r="I2974" s="8">
        <f t="shared" si="199"/>
        <v>2450000</v>
      </c>
      <c r="J2974" s="521">
        <v>33.75</v>
      </c>
      <c r="K2974" s="521">
        <f t="shared" si="197"/>
        <v>1.25</v>
      </c>
      <c r="L2974" s="522">
        <f t="shared" si="196"/>
        <v>87500</v>
      </c>
      <c r="M2974" s="523">
        <f t="shared" si="198"/>
        <v>3.5714285714285712E-2</v>
      </c>
      <c r="N2974" s="2" t="s">
        <v>40</v>
      </c>
      <c r="O2974" s="15" t="s">
        <v>39</v>
      </c>
    </row>
    <row r="2975" spans="1:15">
      <c r="A2975" s="70">
        <v>2025</v>
      </c>
      <c r="B2975" s="16" t="s">
        <v>1</v>
      </c>
      <c r="C2975" s="393" t="s">
        <v>3996</v>
      </c>
      <c r="D2975" s="2" t="s">
        <v>335</v>
      </c>
      <c r="E2975" s="39" t="s">
        <v>336</v>
      </c>
      <c r="F2975" s="96">
        <v>84000</v>
      </c>
      <c r="G2975" s="1" t="s">
        <v>3976</v>
      </c>
      <c r="H2975" s="8">
        <v>35</v>
      </c>
      <c r="I2975" s="8">
        <f t="shared" si="199"/>
        <v>2940000</v>
      </c>
      <c r="J2975" s="521">
        <v>33.75</v>
      </c>
      <c r="K2975" s="521">
        <f t="shared" si="197"/>
        <v>1.25</v>
      </c>
      <c r="L2975" s="522">
        <f t="shared" si="196"/>
        <v>105000</v>
      </c>
      <c r="M2975" s="523">
        <f t="shared" si="198"/>
        <v>3.5714285714285712E-2</v>
      </c>
      <c r="N2975" s="2" t="s">
        <v>40</v>
      </c>
      <c r="O2975" s="15" t="s">
        <v>39</v>
      </c>
    </row>
    <row r="2976" spans="1:15">
      <c r="A2976" s="70">
        <v>2025</v>
      </c>
      <c r="B2976" s="424" t="s">
        <v>895</v>
      </c>
      <c r="C2976" s="71" t="s">
        <v>3997</v>
      </c>
      <c r="D2976" s="2" t="s">
        <v>57</v>
      </c>
      <c r="E2976" s="150" t="s">
        <v>3998</v>
      </c>
      <c r="F2976" s="96">
        <v>1</v>
      </c>
      <c r="G2976" s="484" t="s">
        <v>59</v>
      </c>
      <c r="H2976" s="8">
        <v>348060</v>
      </c>
      <c r="I2976" s="8">
        <f t="shared" si="199"/>
        <v>348060</v>
      </c>
      <c r="J2976" s="521">
        <v>338976</v>
      </c>
      <c r="K2976" s="521">
        <f t="shared" si="197"/>
        <v>9084</v>
      </c>
      <c r="L2976" s="522">
        <f t="shared" si="196"/>
        <v>9084</v>
      </c>
      <c r="M2976" s="523">
        <f t="shared" si="198"/>
        <v>2.6098948457162558E-2</v>
      </c>
      <c r="N2976" s="2" t="s">
        <v>40</v>
      </c>
      <c r="O2976" s="15" t="s">
        <v>105</v>
      </c>
    </row>
    <row r="2977" spans="1:15">
      <c r="A2977" s="70">
        <v>2025</v>
      </c>
      <c r="B2977" s="16" t="s">
        <v>895</v>
      </c>
      <c r="C2977" s="71" t="s">
        <v>3999</v>
      </c>
      <c r="D2977" s="2" t="s">
        <v>149</v>
      </c>
      <c r="E2977" s="150" t="s">
        <v>4000</v>
      </c>
      <c r="F2977" s="96">
        <v>1</v>
      </c>
      <c r="G2977" s="484" t="s">
        <v>59</v>
      </c>
      <c r="H2977" s="8">
        <v>13850</v>
      </c>
      <c r="I2977" s="8">
        <f t="shared" si="199"/>
        <v>13850</v>
      </c>
      <c r="J2977" s="521">
        <v>13500</v>
      </c>
      <c r="K2977" s="521">
        <f t="shared" si="197"/>
        <v>350</v>
      </c>
      <c r="L2977" s="522">
        <f t="shared" si="196"/>
        <v>350</v>
      </c>
      <c r="M2977" s="523">
        <f t="shared" si="198"/>
        <v>2.5270758122743681E-2</v>
      </c>
      <c r="N2977" s="2" t="s">
        <v>22</v>
      </c>
      <c r="O2977" s="15" t="s">
        <v>105</v>
      </c>
    </row>
    <row r="2978" spans="1:15">
      <c r="A2978" s="70">
        <v>2025</v>
      </c>
      <c r="B2978" s="16" t="s">
        <v>895</v>
      </c>
      <c r="C2978" s="71" t="s">
        <v>4001</v>
      </c>
      <c r="D2978" s="2" t="s">
        <v>4002</v>
      </c>
      <c r="E2978" s="150" t="s">
        <v>4003</v>
      </c>
      <c r="F2978" s="96">
        <v>270</v>
      </c>
      <c r="G2978" s="484" t="s">
        <v>499</v>
      </c>
      <c r="H2978" s="8">
        <v>57</v>
      </c>
      <c r="I2978" s="8">
        <f t="shared" si="199"/>
        <v>15390</v>
      </c>
      <c r="J2978" s="539">
        <v>52</v>
      </c>
      <c r="K2978" s="521">
        <f t="shared" si="197"/>
        <v>5</v>
      </c>
      <c r="L2978" s="522">
        <f t="shared" si="196"/>
        <v>1350</v>
      </c>
      <c r="M2978" s="523">
        <f t="shared" si="198"/>
        <v>8.771929824561403E-2</v>
      </c>
      <c r="N2978" s="2" t="s">
        <v>22</v>
      </c>
      <c r="O2978" s="15" t="s">
        <v>105</v>
      </c>
    </row>
    <row r="2979" spans="1:15">
      <c r="A2979" s="70">
        <v>2025</v>
      </c>
      <c r="B2979" s="16" t="s">
        <v>895</v>
      </c>
      <c r="C2979" s="71" t="s">
        <v>4004</v>
      </c>
      <c r="D2979" s="2" t="s">
        <v>1948</v>
      </c>
      <c r="E2979" s="150" t="s">
        <v>4005</v>
      </c>
      <c r="F2979" s="96">
        <v>5</v>
      </c>
      <c r="G2979" s="484" t="s">
        <v>19</v>
      </c>
      <c r="H2979" s="8">
        <v>780</v>
      </c>
      <c r="I2979" s="8">
        <f t="shared" si="199"/>
        <v>3900</v>
      </c>
      <c r="J2979" s="539">
        <v>665</v>
      </c>
      <c r="K2979" s="521">
        <f t="shared" si="197"/>
        <v>115</v>
      </c>
      <c r="L2979" s="522">
        <f t="shared" si="196"/>
        <v>575</v>
      </c>
      <c r="M2979" s="523">
        <f t="shared" si="198"/>
        <v>0.14743589743589744</v>
      </c>
      <c r="N2979" s="2" t="s">
        <v>22</v>
      </c>
      <c r="O2979" s="15" t="s">
        <v>105</v>
      </c>
    </row>
    <row r="2980" spans="1:15">
      <c r="A2980" s="70">
        <v>2025</v>
      </c>
      <c r="B2980" s="16" t="s">
        <v>895</v>
      </c>
      <c r="C2980" s="71" t="s">
        <v>4006</v>
      </c>
      <c r="D2980" s="2" t="s">
        <v>1204</v>
      </c>
      <c r="E2980" s="150" t="s">
        <v>1982</v>
      </c>
      <c r="F2980" s="96">
        <v>90</v>
      </c>
      <c r="G2980" s="484" t="s">
        <v>19</v>
      </c>
      <c r="H2980" s="8">
        <v>15</v>
      </c>
      <c r="I2980" s="8">
        <f t="shared" si="199"/>
        <v>1350</v>
      </c>
      <c r="J2980" s="539">
        <v>14</v>
      </c>
      <c r="K2980" s="521">
        <f t="shared" si="197"/>
        <v>1</v>
      </c>
      <c r="L2980" s="522">
        <f t="shared" si="196"/>
        <v>90</v>
      </c>
      <c r="M2980" s="523">
        <f t="shared" si="198"/>
        <v>6.6666666666666666E-2</v>
      </c>
      <c r="N2980" s="2" t="s">
        <v>40</v>
      </c>
      <c r="O2980" s="15" t="s">
        <v>105</v>
      </c>
    </row>
    <row r="2981" spans="1:15">
      <c r="A2981" s="70">
        <v>2025</v>
      </c>
      <c r="B2981" s="16" t="s">
        <v>895</v>
      </c>
      <c r="C2981" s="71" t="s">
        <v>4007</v>
      </c>
      <c r="D2981" s="2" t="s">
        <v>1430</v>
      </c>
      <c r="E2981" s="150" t="s">
        <v>859</v>
      </c>
      <c r="F2981" s="150">
        <v>8000</v>
      </c>
      <c r="G2981" s="484" t="s">
        <v>3976</v>
      </c>
      <c r="H2981" s="8">
        <v>90</v>
      </c>
      <c r="I2981" s="8">
        <f t="shared" si="199"/>
        <v>720000</v>
      </c>
      <c r="J2981" s="539">
        <v>89.5</v>
      </c>
      <c r="K2981" s="521">
        <f t="shared" si="197"/>
        <v>0.5</v>
      </c>
      <c r="L2981" s="522">
        <f t="shared" si="196"/>
        <v>4000</v>
      </c>
      <c r="M2981" s="523">
        <f t="shared" si="198"/>
        <v>5.5555555555555558E-3</v>
      </c>
      <c r="N2981" s="2" t="s">
        <v>22</v>
      </c>
      <c r="O2981" s="15" t="s">
        <v>39</v>
      </c>
    </row>
    <row r="2982" spans="1:15">
      <c r="A2982" s="70">
        <v>2025</v>
      </c>
      <c r="B2982" s="16" t="s">
        <v>895</v>
      </c>
      <c r="C2982" s="71" t="s">
        <v>4008</v>
      </c>
      <c r="D2982" s="2" t="s">
        <v>107</v>
      </c>
      <c r="E2982" s="150" t="s">
        <v>816</v>
      </c>
      <c r="F2982" s="150">
        <v>8</v>
      </c>
      <c r="G2982" s="484" t="s">
        <v>19</v>
      </c>
      <c r="H2982" s="8">
        <v>2880</v>
      </c>
      <c r="I2982" s="8">
        <f t="shared" si="199"/>
        <v>23040</v>
      </c>
      <c r="J2982" s="539">
        <v>2625</v>
      </c>
      <c r="K2982" s="521">
        <f t="shared" si="197"/>
        <v>255</v>
      </c>
      <c r="L2982" s="522">
        <f t="shared" si="196"/>
        <v>2040</v>
      </c>
      <c r="M2982" s="523">
        <f t="shared" si="198"/>
        <v>8.8541666666666671E-2</v>
      </c>
      <c r="N2982" s="2" t="s">
        <v>22</v>
      </c>
      <c r="O2982" s="15" t="s">
        <v>105</v>
      </c>
    </row>
    <row r="2983" spans="1:15">
      <c r="A2983" s="70">
        <v>2025</v>
      </c>
      <c r="B2983" s="16" t="s">
        <v>895</v>
      </c>
      <c r="C2983" s="71" t="s">
        <v>4009</v>
      </c>
      <c r="D2983" s="2" t="s">
        <v>935</v>
      </c>
      <c r="E2983" s="150" t="s">
        <v>4010</v>
      </c>
      <c r="F2983" s="478">
        <v>46</v>
      </c>
      <c r="G2983" s="484" t="s">
        <v>19</v>
      </c>
      <c r="H2983" s="8">
        <v>8250</v>
      </c>
      <c r="I2983" s="8">
        <f t="shared" si="199"/>
        <v>379500</v>
      </c>
      <c r="J2983" s="539">
        <v>8200</v>
      </c>
      <c r="K2983" s="521">
        <f t="shared" si="197"/>
        <v>50</v>
      </c>
      <c r="L2983" s="522">
        <f t="shared" si="196"/>
        <v>2300</v>
      </c>
      <c r="M2983" s="523">
        <f t="shared" si="198"/>
        <v>6.0606060606060606E-3</v>
      </c>
      <c r="N2983" s="2" t="s">
        <v>22</v>
      </c>
      <c r="O2983" s="15" t="s">
        <v>39</v>
      </c>
    </row>
    <row r="2984" spans="1:15">
      <c r="A2984" s="70">
        <v>2025</v>
      </c>
      <c r="B2984" s="16" t="s">
        <v>895</v>
      </c>
      <c r="C2984" s="71" t="s">
        <v>4009</v>
      </c>
      <c r="D2984" s="2" t="s">
        <v>935</v>
      </c>
      <c r="E2984" s="150" t="s">
        <v>4011</v>
      </c>
      <c r="F2984" s="478">
        <v>46</v>
      </c>
      <c r="G2984" s="484" t="s">
        <v>19</v>
      </c>
      <c r="H2984" s="8">
        <v>22200</v>
      </c>
      <c r="I2984" s="8">
        <f t="shared" si="199"/>
        <v>1021200</v>
      </c>
      <c r="J2984" s="539">
        <v>22150</v>
      </c>
      <c r="K2984" s="521">
        <f t="shared" si="197"/>
        <v>50</v>
      </c>
      <c r="L2984" s="522">
        <f t="shared" si="196"/>
        <v>2300</v>
      </c>
      <c r="M2984" s="523">
        <f t="shared" si="198"/>
        <v>2.2522522522522522E-3</v>
      </c>
      <c r="N2984" s="2" t="s">
        <v>22</v>
      </c>
      <c r="O2984" s="15" t="s">
        <v>39</v>
      </c>
    </row>
    <row r="2985" spans="1:15">
      <c r="A2985" s="70">
        <v>2025</v>
      </c>
      <c r="B2985" s="16" t="s">
        <v>895</v>
      </c>
      <c r="C2985" s="71" t="s">
        <v>4009</v>
      </c>
      <c r="D2985" s="2" t="s">
        <v>935</v>
      </c>
      <c r="E2985" s="2" t="s">
        <v>4012</v>
      </c>
      <c r="F2985" s="31">
        <v>46</v>
      </c>
      <c r="G2985" s="484" t="s">
        <v>19</v>
      </c>
      <c r="H2985" s="8">
        <v>22200</v>
      </c>
      <c r="I2985" s="8">
        <f t="shared" si="199"/>
        <v>1021200</v>
      </c>
      <c r="J2985" s="539">
        <v>22150</v>
      </c>
      <c r="K2985" s="521">
        <f t="shared" si="197"/>
        <v>50</v>
      </c>
      <c r="L2985" s="522">
        <f t="shared" si="196"/>
        <v>2300</v>
      </c>
      <c r="M2985" s="523">
        <f t="shared" si="198"/>
        <v>2.2522522522522522E-3</v>
      </c>
      <c r="N2985" s="2" t="s">
        <v>22</v>
      </c>
      <c r="O2985" s="15" t="s">
        <v>39</v>
      </c>
    </row>
    <row r="2986" spans="1:15">
      <c r="A2986" s="70">
        <v>2025</v>
      </c>
      <c r="B2986" s="16" t="s">
        <v>895</v>
      </c>
      <c r="C2986" s="71" t="s">
        <v>4009</v>
      </c>
      <c r="D2986" s="2" t="s">
        <v>935</v>
      </c>
      <c r="E2986" s="2" t="s">
        <v>4013</v>
      </c>
      <c r="F2986" s="31">
        <v>46</v>
      </c>
      <c r="G2986" s="484" t="s">
        <v>19</v>
      </c>
      <c r="H2986" s="8">
        <v>4950</v>
      </c>
      <c r="I2986" s="8">
        <f t="shared" si="199"/>
        <v>227700</v>
      </c>
      <c r="J2986" s="539">
        <v>4930</v>
      </c>
      <c r="K2986" s="521">
        <f t="shared" si="197"/>
        <v>20</v>
      </c>
      <c r="L2986" s="522">
        <f t="shared" si="196"/>
        <v>920</v>
      </c>
      <c r="M2986" s="523">
        <f t="shared" si="198"/>
        <v>4.0404040404040404E-3</v>
      </c>
      <c r="N2986" s="2" t="s">
        <v>22</v>
      </c>
      <c r="O2986" s="15" t="s">
        <v>39</v>
      </c>
    </row>
    <row r="2987" spans="1:15">
      <c r="A2987" s="70">
        <v>2025</v>
      </c>
      <c r="B2987" s="16" t="s">
        <v>895</v>
      </c>
      <c r="C2987" s="71" t="s">
        <v>4014</v>
      </c>
      <c r="D2987" s="2" t="s">
        <v>192</v>
      </c>
      <c r="E2987" s="2" t="s">
        <v>2502</v>
      </c>
      <c r="F2987" s="96">
        <v>6000</v>
      </c>
      <c r="G2987" s="1" t="s">
        <v>337</v>
      </c>
      <c r="H2987" s="8">
        <v>184.26</v>
      </c>
      <c r="I2987" s="8">
        <f t="shared" si="199"/>
        <v>1105560</v>
      </c>
      <c r="J2987" s="539">
        <v>147.5</v>
      </c>
      <c r="K2987" s="521">
        <f t="shared" si="197"/>
        <v>36.759999999999991</v>
      </c>
      <c r="L2987" s="522">
        <f t="shared" si="196"/>
        <v>220559.99999999994</v>
      </c>
      <c r="M2987" s="523">
        <f t="shared" si="198"/>
        <v>0.19950070552480187</v>
      </c>
      <c r="N2987" s="2" t="s">
        <v>22</v>
      </c>
      <c r="O2987" s="15" t="s">
        <v>105</v>
      </c>
    </row>
    <row r="2988" spans="1:15">
      <c r="A2988" s="70">
        <v>2025</v>
      </c>
      <c r="B2988" s="16" t="s">
        <v>895</v>
      </c>
      <c r="C2988" s="71" t="s">
        <v>4015</v>
      </c>
      <c r="D2988" s="2" t="s">
        <v>57</v>
      </c>
      <c r="E2988" s="2" t="s">
        <v>4016</v>
      </c>
      <c r="F2988" s="96">
        <v>1</v>
      </c>
      <c r="G2988" s="1" t="s">
        <v>4017</v>
      </c>
      <c r="H2988" s="8">
        <v>774048.7</v>
      </c>
      <c r="I2988" s="8">
        <f t="shared" si="199"/>
        <v>774048.7</v>
      </c>
      <c r="J2988" s="539">
        <v>766023.7</v>
      </c>
      <c r="K2988" s="521">
        <f t="shared" si="197"/>
        <v>8025</v>
      </c>
      <c r="L2988" s="522">
        <f t="shared" si="196"/>
        <v>8025</v>
      </c>
      <c r="M2988" s="523">
        <f t="shared" si="198"/>
        <v>1.0367564728162453E-2</v>
      </c>
      <c r="N2988" s="2" t="s">
        <v>40</v>
      </c>
      <c r="O2988" s="15" t="s">
        <v>105</v>
      </c>
    </row>
    <row r="2989" spans="1:15">
      <c r="A2989" s="70">
        <v>2025</v>
      </c>
      <c r="B2989" s="16" t="s">
        <v>895</v>
      </c>
      <c r="C2989" s="71" t="s">
        <v>4018</v>
      </c>
      <c r="D2989" s="2" t="s">
        <v>57</v>
      </c>
      <c r="E2989" s="2" t="s">
        <v>4019</v>
      </c>
      <c r="F2989" s="96">
        <v>1</v>
      </c>
      <c r="G2989" s="1" t="s">
        <v>4017</v>
      </c>
      <c r="H2989" s="8">
        <v>903133.5</v>
      </c>
      <c r="I2989" s="8">
        <f t="shared" si="199"/>
        <v>903133.5</v>
      </c>
      <c r="J2989" s="539">
        <v>894145.5</v>
      </c>
      <c r="K2989" s="521">
        <f t="shared" si="197"/>
        <v>8988</v>
      </c>
      <c r="L2989" s="522">
        <f t="shared" si="196"/>
        <v>8988</v>
      </c>
      <c r="M2989" s="523">
        <f t="shared" si="198"/>
        <v>9.952017060600676E-3</v>
      </c>
      <c r="N2989" s="2" t="s">
        <v>40</v>
      </c>
      <c r="O2989" s="15" t="s">
        <v>105</v>
      </c>
    </row>
    <row r="2990" spans="1:15">
      <c r="A2990" s="70">
        <v>2025</v>
      </c>
      <c r="B2990" s="16" t="s">
        <v>895</v>
      </c>
      <c r="C2990" s="71" t="s">
        <v>4020</v>
      </c>
      <c r="D2990" s="2" t="s">
        <v>57</v>
      </c>
      <c r="E2990" s="2" t="s">
        <v>4021</v>
      </c>
      <c r="F2990" s="96">
        <v>1</v>
      </c>
      <c r="G2990" s="1" t="s">
        <v>4017</v>
      </c>
      <c r="H2990" s="8">
        <v>506645</v>
      </c>
      <c r="I2990" s="8">
        <f t="shared" si="199"/>
        <v>506645</v>
      </c>
      <c r="J2990" s="539">
        <v>501830</v>
      </c>
      <c r="K2990" s="521">
        <f t="shared" si="197"/>
        <v>4815</v>
      </c>
      <c r="L2990" s="522">
        <f t="shared" si="196"/>
        <v>4815</v>
      </c>
      <c r="M2990" s="523">
        <f t="shared" si="198"/>
        <v>9.5036958817317843E-3</v>
      </c>
      <c r="N2990" s="2" t="s">
        <v>40</v>
      </c>
      <c r="O2990" s="15" t="s">
        <v>105</v>
      </c>
    </row>
    <row r="2991" spans="1:15">
      <c r="A2991" s="70">
        <v>2025</v>
      </c>
      <c r="B2991" s="16" t="s">
        <v>895</v>
      </c>
      <c r="C2991" s="71" t="s">
        <v>4022</v>
      </c>
      <c r="D2991" s="2" t="s">
        <v>200</v>
      </c>
      <c r="E2991" s="2" t="s">
        <v>4023</v>
      </c>
      <c r="F2991" s="96">
        <v>1</v>
      </c>
      <c r="G2991" s="1" t="s">
        <v>19</v>
      </c>
      <c r="H2991" s="8">
        <v>48500</v>
      </c>
      <c r="I2991" s="8">
        <f t="shared" si="199"/>
        <v>48500</v>
      </c>
      <c r="J2991" s="539">
        <v>47000</v>
      </c>
      <c r="K2991" s="521">
        <f t="shared" si="197"/>
        <v>1500</v>
      </c>
      <c r="L2991" s="522">
        <f t="shared" si="196"/>
        <v>1500</v>
      </c>
      <c r="M2991" s="523">
        <f t="shared" si="198"/>
        <v>3.0927835051546393E-2</v>
      </c>
      <c r="N2991" s="2" t="s">
        <v>22</v>
      </c>
      <c r="O2991" s="15" t="s">
        <v>39</v>
      </c>
    </row>
    <row r="2992" spans="1:15">
      <c r="A2992" s="70">
        <v>2025</v>
      </c>
      <c r="B2992" s="16" t="s">
        <v>895</v>
      </c>
      <c r="C2992" s="71" t="s">
        <v>4024</v>
      </c>
      <c r="D2992" s="2" t="s">
        <v>3320</v>
      </c>
      <c r="E2992" s="2" t="s">
        <v>3322</v>
      </c>
      <c r="F2992" s="96">
        <v>2360</v>
      </c>
      <c r="G2992" s="1" t="s">
        <v>19</v>
      </c>
      <c r="H2992" s="8">
        <v>175</v>
      </c>
      <c r="I2992" s="8">
        <f t="shared" si="199"/>
        <v>413000</v>
      </c>
      <c r="J2992" s="539">
        <v>155</v>
      </c>
      <c r="K2992" s="521">
        <f t="shared" si="197"/>
        <v>20</v>
      </c>
      <c r="L2992" s="522">
        <f t="shared" si="196"/>
        <v>47200</v>
      </c>
      <c r="M2992" s="523">
        <f t="shared" si="198"/>
        <v>0.11428571428571428</v>
      </c>
      <c r="N2992" s="2" t="s">
        <v>40</v>
      </c>
      <c r="O2992" s="15" t="s">
        <v>39</v>
      </c>
    </row>
    <row r="2993" spans="1:15">
      <c r="A2993" s="70">
        <v>2025</v>
      </c>
      <c r="B2993" s="16" t="s">
        <v>895</v>
      </c>
      <c r="C2993" s="71" t="s">
        <v>4025</v>
      </c>
      <c r="D2993" s="2" t="s">
        <v>68</v>
      </c>
      <c r="E2993" s="14" t="s">
        <v>755</v>
      </c>
      <c r="F2993" s="96">
        <v>286915.20000000001</v>
      </c>
      <c r="G2993" s="1" t="s">
        <v>37</v>
      </c>
      <c r="H2993" s="8">
        <v>370</v>
      </c>
      <c r="I2993" s="8">
        <f t="shared" si="199"/>
        <v>106158624</v>
      </c>
      <c r="J2993" s="539">
        <v>363</v>
      </c>
      <c r="K2993" s="521">
        <f t="shared" si="197"/>
        <v>7</v>
      </c>
      <c r="L2993" s="522">
        <f t="shared" si="196"/>
        <v>2008406.4000000001</v>
      </c>
      <c r="M2993" s="523">
        <f t="shared" si="198"/>
        <v>1.891891891891892E-2</v>
      </c>
      <c r="N2993" s="2" t="s">
        <v>22</v>
      </c>
      <c r="O2993" s="15" t="s">
        <v>105</v>
      </c>
    </row>
    <row r="2994" spans="1:15">
      <c r="A2994" s="70">
        <v>2025</v>
      </c>
      <c r="B2994" s="16" t="s">
        <v>895</v>
      </c>
      <c r="C2994" s="71" t="s">
        <v>4026</v>
      </c>
      <c r="D2994" s="2" t="s">
        <v>329</v>
      </c>
      <c r="E2994" s="2" t="s">
        <v>330</v>
      </c>
      <c r="F2994" s="96">
        <v>3</v>
      </c>
      <c r="G2994" s="1" t="s">
        <v>701</v>
      </c>
      <c r="H2994" s="8">
        <v>10200</v>
      </c>
      <c r="I2994" s="8">
        <f t="shared" si="199"/>
        <v>30600</v>
      </c>
      <c r="J2994" s="539">
        <v>10100</v>
      </c>
      <c r="K2994" s="521">
        <f t="shared" si="197"/>
        <v>100</v>
      </c>
      <c r="L2994" s="522">
        <f t="shared" si="196"/>
        <v>300</v>
      </c>
      <c r="M2994" s="523">
        <f t="shared" si="198"/>
        <v>9.8039215686274508E-3</v>
      </c>
      <c r="N2994" s="2" t="s">
        <v>40</v>
      </c>
      <c r="O2994" s="15" t="s">
        <v>39</v>
      </c>
    </row>
    <row r="2995" spans="1:15">
      <c r="A2995" s="70">
        <v>2025</v>
      </c>
      <c r="B2995" s="16" t="s">
        <v>895</v>
      </c>
      <c r="C2995" s="71" t="s">
        <v>4027</v>
      </c>
      <c r="D2995" s="2" t="s">
        <v>1042</v>
      </c>
      <c r="E2995" s="2" t="s">
        <v>711</v>
      </c>
      <c r="F2995" s="96">
        <v>4455</v>
      </c>
      <c r="G2995" s="1" t="s">
        <v>37</v>
      </c>
      <c r="H2995" s="8">
        <v>361</v>
      </c>
      <c r="I2995" s="8">
        <f t="shared" si="199"/>
        <v>1608255</v>
      </c>
      <c r="J2995" s="539">
        <v>359</v>
      </c>
      <c r="K2995" s="521">
        <f t="shared" si="197"/>
        <v>2</v>
      </c>
      <c r="L2995" s="522">
        <f t="shared" si="196"/>
        <v>8910</v>
      </c>
      <c r="M2995" s="523">
        <f t="shared" si="198"/>
        <v>5.5401662049861496E-3</v>
      </c>
      <c r="N2995" s="2" t="s">
        <v>40</v>
      </c>
      <c r="O2995" s="15" t="s">
        <v>105</v>
      </c>
    </row>
    <row r="2996" spans="1:15">
      <c r="A2996" s="70">
        <v>2025</v>
      </c>
      <c r="B2996" s="16" t="s">
        <v>895</v>
      </c>
      <c r="C2996" s="71" t="s">
        <v>4028</v>
      </c>
      <c r="D2996" s="2" t="s">
        <v>708</v>
      </c>
      <c r="E2996" s="2" t="s">
        <v>3616</v>
      </c>
      <c r="F2996" s="96">
        <v>400</v>
      </c>
      <c r="G2996" s="1" t="s">
        <v>37</v>
      </c>
      <c r="H2996" s="8">
        <v>373.41</v>
      </c>
      <c r="I2996" s="8">
        <f>H2996*F2995</f>
        <v>1663541.55</v>
      </c>
      <c r="J2996" s="539">
        <v>370.41</v>
      </c>
      <c r="K2996" s="521">
        <f t="shared" si="197"/>
        <v>3</v>
      </c>
      <c r="L2996" s="522">
        <f t="shared" si="196"/>
        <v>1200</v>
      </c>
      <c r="M2996" s="523">
        <f t="shared" si="198"/>
        <v>8.0340644331967533E-3</v>
      </c>
      <c r="N2996" s="2" t="s">
        <v>40</v>
      </c>
      <c r="O2996" s="15" t="s">
        <v>105</v>
      </c>
    </row>
    <row r="2997" spans="1:15">
      <c r="A2997" s="70">
        <v>2025</v>
      </c>
      <c r="B2997" s="16" t="s">
        <v>895</v>
      </c>
      <c r="C2997" s="71" t="s">
        <v>4028</v>
      </c>
      <c r="D2997" s="2" t="s">
        <v>708</v>
      </c>
      <c r="E2997" s="2" t="s">
        <v>1135</v>
      </c>
      <c r="F2997" s="96">
        <v>700</v>
      </c>
      <c r="G2997" s="1" t="s">
        <v>37</v>
      </c>
      <c r="H2997" s="8">
        <v>372.91</v>
      </c>
      <c r="I2997" s="8">
        <f t="shared" ref="I2997:I3060" si="200">H2997*F2997</f>
        <v>261037.00000000003</v>
      </c>
      <c r="J2997" s="539">
        <v>369.91</v>
      </c>
      <c r="K2997" s="521">
        <f t="shared" si="197"/>
        <v>3</v>
      </c>
      <c r="L2997" s="522">
        <f t="shared" si="196"/>
        <v>2100</v>
      </c>
      <c r="M2997" s="523">
        <f t="shared" si="198"/>
        <v>8.0448365557373083E-3</v>
      </c>
      <c r="N2997" s="2" t="s">
        <v>40</v>
      </c>
      <c r="O2997" s="15" t="s">
        <v>105</v>
      </c>
    </row>
    <row r="2998" spans="1:15">
      <c r="A2998" s="70">
        <v>2025</v>
      </c>
      <c r="B2998" s="16" t="s">
        <v>895</v>
      </c>
      <c r="C2998" s="71" t="s">
        <v>4028</v>
      </c>
      <c r="D2998" s="2" t="s">
        <v>708</v>
      </c>
      <c r="E2998" s="2" t="s">
        <v>209</v>
      </c>
      <c r="F2998" s="96">
        <v>500</v>
      </c>
      <c r="G2998" s="1" t="s">
        <v>37</v>
      </c>
      <c r="H2998" s="8">
        <v>374.22</v>
      </c>
      <c r="I2998" s="8">
        <f t="shared" si="200"/>
        <v>187110</v>
      </c>
      <c r="J2998" s="539">
        <v>371.22</v>
      </c>
      <c r="K2998" s="521">
        <f t="shared" si="197"/>
        <v>3</v>
      </c>
      <c r="L2998" s="522">
        <f t="shared" si="196"/>
        <v>1500</v>
      </c>
      <c r="M2998" s="523">
        <f t="shared" si="198"/>
        <v>8.0166746833413502E-3</v>
      </c>
      <c r="N2998" s="2" t="s">
        <v>40</v>
      </c>
      <c r="O2998" s="15" t="s">
        <v>105</v>
      </c>
    </row>
    <row r="2999" spans="1:15">
      <c r="A2999" s="70">
        <v>2025</v>
      </c>
      <c r="B2999" s="16" t="s">
        <v>895</v>
      </c>
      <c r="C2999" s="71" t="s">
        <v>4028</v>
      </c>
      <c r="D2999" s="2" t="s">
        <v>708</v>
      </c>
      <c r="E2999" s="2" t="s">
        <v>709</v>
      </c>
      <c r="F2999" s="96">
        <v>600</v>
      </c>
      <c r="G2999" s="1" t="s">
        <v>37</v>
      </c>
      <c r="H2999" s="8">
        <v>372.61</v>
      </c>
      <c r="I2999" s="8">
        <f t="shared" si="200"/>
        <v>223566</v>
      </c>
      <c r="J2999" s="539">
        <v>369.61</v>
      </c>
      <c r="K2999" s="521">
        <f t="shared" si="197"/>
        <v>3</v>
      </c>
      <c r="L2999" s="522">
        <f t="shared" si="196"/>
        <v>1800</v>
      </c>
      <c r="M2999" s="523">
        <f t="shared" si="198"/>
        <v>8.0513137060196985E-3</v>
      </c>
      <c r="N2999" s="2" t="s">
        <v>40</v>
      </c>
      <c r="O2999" s="15" t="s">
        <v>105</v>
      </c>
    </row>
    <row r="3000" spans="1:15">
      <c r="A3000" s="70">
        <v>2025</v>
      </c>
      <c r="B3000" s="16" t="s">
        <v>895</v>
      </c>
      <c r="C3000" s="71" t="s">
        <v>4028</v>
      </c>
      <c r="D3000" s="2" t="s">
        <v>708</v>
      </c>
      <c r="E3000" s="2" t="s">
        <v>1663</v>
      </c>
      <c r="F3000" s="96">
        <v>770</v>
      </c>
      <c r="G3000" s="1" t="s">
        <v>37</v>
      </c>
      <c r="H3000" s="8">
        <v>372.08</v>
      </c>
      <c r="I3000" s="8">
        <f t="shared" si="200"/>
        <v>286501.59999999998</v>
      </c>
      <c r="J3000" s="539">
        <v>369.08</v>
      </c>
      <c r="K3000" s="521">
        <f t="shared" si="197"/>
        <v>3</v>
      </c>
      <c r="L3000" s="522">
        <f t="shared" si="196"/>
        <v>2310</v>
      </c>
      <c r="M3000" s="523">
        <f t="shared" si="198"/>
        <v>8.0627821973769092E-3</v>
      </c>
      <c r="N3000" s="2" t="s">
        <v>40</v>
      </c>
      <c r="O3000" s="15" t="s">
        <v>105</v>
      </c>
    </row>
    <row r="3001" spans="1:15">
      <c r="A3001" s="70">
        <v>2025</v>
      </c>
      <c r="B3001" s="16" t="s">
        <v>895</v>
      </c>
      <c r="C3001" s="71" t="s">
        <v>4029</v>
      </c>
      <c r="D3001" s="2" t="s">
        <v>17</v>
      </c>
      <c r="E3001" s="2" t="s">
        <v>3919</v>
      </c>
      <c r="F3001" s="96">
        <v>1</v>
      </c>
      <c r="G3001" s="1" t="s">
        <v>19</v>
      </c>
      <c r="H3001" s="8">
        <v>70</v>
      </c>
      <c r="I3001" s="8">
        <f t="shared" si="200"/>
        <v>70</v>
      </c>
      <c r="J3001" s="539">
        <v>50</v>
      </c>
      <c r="K3001" s="521">
        <f t="shared" si="197"/>
        <v>20</v>
      </c>
      <c r="L3001" s="522">
        <f t="shared" si="196"/>
        <v>20</v>
      </c>
      <c r="M3001" s="523">
        <f t="shared" si="198"/>
        <v>0.2857142857142857</v>
      </c>
      <c r="N3001" s="2" t="s">
        <v>40</v>
      </c>
      <c r="O3001" s="15" t="s">
        <v>39</v>
      </c>
    </row>
    <row r="3002" spans="1:15">
      <c r="A3002" s="70">
        <v>2025</v>
      </c>
      <c r="B3002" s="16" t="s">
        <v>895</v>
      </c>
      <c r="C3002" s="71" t="s">
        <v>4029</v>
      </c>
      <c r="D3002" s="2" t="s">
        <v>17</v>
      </c>
      <c r="E3002" s="2" t="s">
        <v>3920</v>
      </c>
      <c r="F3002" s="96">
        <v>6</v>
      </c>
      <c r="G3002" s="1" t="s">
        <v>19</v>
      </c>
      <c r="H3002" s="8">
        <v>70</v>
      </c>
      <c r="I3002" s="8">
        <f t="shared" si="200"/>
        <v>420</v>
      </c>
      <c r="J3002" s="539">
        <v>55</v>
      </c>
      <c r="K3002" s="521">
        <f t="shared" si="197"/>
        <v>15</v>
      </c>
      <c r="L3002" s="522">
        <f t="shared" si="196"/>
        <v>90</v>
      </c>
      <c r="M3002" s="523">
        <f t="shared" si="198"/>
        <v>0.21428571428571427</v>
      </c>
      <c r="N3002" s="2" t="s">
        <v>40</v>
      </c>
      <c r="O3002" s="15" t="s">
        <v>39</v>
      </c>
    </row>
    <row r="3003" spans="1:15">
      <c r="A3003" s="70">
        <v>2025</v>
      </c>
      <c r="B3003" s="16" t="s">
        <v>895</v>
      </c>
      <c r="C3003" s="71" t="s">
        <v>4030</v>
      </c>
      <c r="D3003" s="2" t="s">
        <v>617</v>
      </c>
      <c r="E3003" s="2" t="s">
        <v>230</v>
      </c>
      <c r="F3003" s="96">
        <v>6000</v>
      </c>
      <c r="G3003" s="1" t="s">
        <v>37</v>
      </c>
      <c r="H3003" s="8">
        <v>27</v>
      </c>
      <c r="I3003" s="8">
        <f t="shared" si="200"/>
        <v>162000</v>
      </c>
      <c r="J3003" s="539">
        <v>26.5</v>
      </c>
      <c r="K3003" s="521">
        <f t="shared" si="197"/>
        <v>0.5</v>
      </c>
      <c r="L3003" s="522">
        <f t="shared" ref="L3003:L3066" si="201">K3003*F3003</f>
        <v>3000</v>
      </c>
      <c r="M3003" s="523">
        <f t="shared" si="198"/>
        <v>1.8518518518518517E-2</v>
      </c>
      <c r="N3003" s="2" t="s">
        <v>40</v>
      </c>
      <c r="O3003" s="15" t="s">
        <v>39</v>
      </c>
    </row>
    <row r="3004" spans="1:15">
      <c r="A3004" s="70">
        <v>2025</v>
      </c>
      <c r="B3004" s="16" t="s">
        <v>895</v>
      </c>
      <c r="C3004" s="71" t="s">
        <v>4030</v>
      </c>
      <c r="D3004" s="2" t="s">
        <v>617</v>
      </c>
      <c r="E3004" s="2" t="s">
        <v>233</v>
      </c>
      <c r="F3004" s="96">
        <v>9000</v>
      </c>
      <c r="G3004" s="1" t="s">
        <v>37</v>
      </c>
      <c r="H3004" s="8">
        <v>27</v>
      </c>
      <c r="I3004" s="8">
        <f t="shared" si="200"/>
        <v>243000</v>
      </c>
      <c r="J3004" s="539">
        <v>25.5</v>
      </c>
      <c r="K3004" s="521">
        <f t="shared" si="197"/>
        <v>1.5</v>
      </c>
      <c r="L3004" s="522">
        <f t="shared" si="201"/>
        <v>13500</v>
      </c>
      <c r="M3004" s="523">
        <f t="shared" si="198"/>
        <v>5.5555555555555552E-2</v>
      </c>
      <c r="N3004" s="2" t="s">
        <v>40</v>
      </c>
      <c r="O3004" s="15" t="s">
        <v>39</v>
      </c>
    </row>
    <row r="3005" spans="1:15">
      <c r="A3005" s="70">
        <v>2025</v>
      </c>
      <c r="B3005" s="16" t="s">
        <v>895</v>
      </c>
      <c r="C3005" s="71" t="s">
        <v>4031</v>
      </c>
      <c r="D3005" s="2" t="s">
        <v>935</v>
      </c>
      <c r="E3005" s="2" t="s">
        <v>4032</v>
      </c>
      <c r="F3005" s="96">
        <v>19</v>
      </c>
      <c r="G3005" s="1" t="s">
        <v>19</v>
      </c>
      <c r="H3005" s="8">
        <v>7700</v>
      </c>
      <c r="I3005" s="8">
        <f t="shared" si="200"/>
        <v>146300</v>
      </c>
      <c r="J3005" s="539">
        <v>7630.2631578947367</v>
      </c>
      <c r="K3005" s="521">
        <f t="shared" si="197"/>
        <v>69.736842105263349</v>
      </c>
      <c r="L3005" s="522">
        <f t="shared" si="201"/>
        <v>1325.0000000000036</v>
      </c>
      <c r="M3005" s="523">
        <f t="shared" si="198"/>
        <v>9.0567327409432925E-3</v>
      </c>
      <c r="N3005" s="2" t="s">
        <v>22</v>
      </c>
      <c r="O3005" s="15" t="s">
        <v>39</v>
      </c>
    </row>
    <row r="3006" spans="1:15">
      <c r="A3006" s="70">
        <v>2025</v>
      </c>
      <c r="B3006" s="16" t="s">
        <v>895</v>
      </c>
      <c r="C3006" s="71" t="s">
        <v>4031</v>
      </c>
      <c r="D3006" s="2" t="s">
        <v>935</v>
      </c>
      <c r="E3006" s="2" t="s">
        <v>4033</v>
      </c>
      <c r="F3006" s="96">
        <v>19</v>
      </c>
      <c r="G3006" s="1" t="s">
        <v>19</v>
      </c>
      <c r="H3006" s="8">
        <v>18000</v>
      </c>
      <c r="I3006" s="8">
        <f t="shared" si="200"/>
        <v>342000</v>
      </c>
      <c r="J3006" s="539">
        <v>17930.263157894737</v>
      </c>
      <c r="K3006" s="521">
        <f t="shared" si="197"/>
        <v>69.736842105263349</v>
      </c>
      <c r="L3006" s="522">
        <f t="shared" si="201"/>
        <v>1325.0000000000036</v>
      </c>
      <c r="M3006" s="523">
        <f t="shared" si="198"/>
        <v>3.8742690058479637E-3</v>
      </c>
      <c r="N3006" s="2" t="s">
        <v>22</v>
      </c>
      <c r="O3006" s="15" t="s">
        <v>39</v>
      </c>
    </row>
    <row r="3007" spans="1:15">
      <c r="A3007" s="70">
        <v>2025</v>
      </c>
      <c r="B3007" s="16" t="s">
        <v>895</v>
      </c>
      <c r="C3007" s="71" t="s">
        <v>4031</v>
      </c>
      <c r="D3007" s="2" t="s">
        <v>935</v>
      </c>
      <c r="E3007" s="2" t="s">
        <v>4034</v>
      </c>
      <c r="F3007" s="96">
        <v>19</v>
      </c>
      <c r="G3007" s="1" t="s">
        <v>19</v>
      </c>
      <c r="H3007" s="8">
        <v>18000</v>
      </c>
      <c r="I3007" s="8">
        <f t="shared" si="200"/>
        <v>342000</v>
      </c>
      <c r="J3007" s="539">
        <v>17930.263157894737</v>
      </c>
      <c r="K3007" s="521">
        <f t="shared" si="197"/>
        <v>69.736842105263349</v>
      </c>
      <c r="L3007" s="522">
        <f t="shared" si="201"/>
        <v>1325.0000000000036</v>
      </c>
      <c r="M3007" s="523">
        <f t="shared" si="198"/>
        <v>3.8742690058479637E-3</v>
      </c>
      <c r="N3007" s="2" t="s">
        <v>22</v>
      </c>
      <c r="O3007" s="15" t="s">
        <v>39</v>
      </c>
    </row>
    <row r="3008" spans="1:15">
      <c r="A3008" s="70">
        <v>2025</v>
      </c>
      <c r="B3008" s="16" t="s">
        <v>895</v>
      </c>
      <c r="C3008" s="71" t="s">
        <v>4031</v>
      </c>
      <c r="D3008" s="2" t="s">
        <v>935</v>
      </c>
      <c r="E3008" s="2" t="s">
        <v>4035</v>
      </c>
      <c r="F3008" s="96">
        <v>19</v>
      </c>
      <c r="G3008" s="1" t="s">
        <v>19</v>
      </c>
      <c r="H3008" s="8">
        <v>5000</v>
      </c>
      <c r="I3008" s="8">
        <f t="shared" si="200"/>
        <v>95000</v>
      </c>
      <c r="J3008" s="539">
        <v>4930.2631578947367</v>
      </c>
      <c r="K3008" s="521">
        <f t="shared" si="197"/>
        <v>69.736842105263349</v>
      </c>
      <c r="L3008" s="522">
        <f t="shared" si="201"/>
        <v>1325.0000000000036</v>
      </c>
      <c r="M3008" s="523">
        <f t="shared" si="198"/>
        <v>1.394736842105267E-2</v>
      </c>
      <c r="N3008" s="2" t="s">
        <v>22</v>
      </c>
      <c r="O3008" s="15" t="s">
        <v>39</v>
      </c>
    </row>
    <row r="3009" spans="1:15">
      <c r="A3009" s="70">
        <v>2025</v>
      </c>
      <c r="B3009" s="16" t="s">
        <v>895</v>
      </c>
      <c r="C3009" s="71" t="s">
        <v>4036</v>
      </c>
      <c r="D3009" s="2" t="s">
        <v>1227</v>
      </c>
      <c r="E3009" s="2" t="s">
        <v>4037</v>
      </c>
      <c r="F3009" s="96">
        <v>432</v>
      </c>
      <c r="G3009" s="1" t="s">
        <v>19</v>
      </c>
      <c r="H3009" s="8">
        <v>2980</v>
      </c>
      <c r="I3009" s="8">
        <f t="shared" si="200"/>
        <v>1287360</v>
      </c>
      <c r="J3009" s="539">
        <v>2860</v>
      </c>
      <c r="K3009" s="521">
        <f t="shared" si="197"/>
        <v>120</v>
      </c>
      <c r="L3009" s="522">
        <f t="shared" si="201"/>
        <v>51840</v>
      </c>
      <c r="M3009" s="523">
        <f t="shared" si="198"/>
        <v>4.0268456375838924E-2</v>
      </c>
      <c r="N3009" s="2" t="s">
        <v>40</v>
      </c>
      <c r="O3009" s="15" t="s">
        <v>39</v>
      </c>
    </row>
    <row r="3010" spans="1:15">
      <c r="A3010" s="70">
        <v>2025</v>
      </c>
      <c r="B3010" s="16" t="s">
        <v>895</v>
      </c>
      <c r="C3010" s="71" t="s">
        <v>4038</v>
      </c>
      <c r="D3010" s="2" t="s">
        <v>3893</v>
      </c>
      <c r="E3010" s="2" t="s">
        <v>3907</v>
      </c>
      <c r="F3010" s="96">
        <v>1</v>
      </c>
      <c r="G3010" s="1" t="s">
        <v>19</v>
      </c>
      <c r="H3010" s="8">
        <v>405</v>
      </c>
      <c r="I3010" s="8">
        <f t="shared" si="200"/>
        <v>405</v>
      </c>
      <c r="J3010" s="539">
        <v>400</v>
      </c>
      <c r="K3010" s="521">
        <f t="shared" si="197"/>
        <v>5</v>
      </c>
      <c r="L3010" s="522">
        <f t="shared" si="201"/>
        <v>5</v>
      </c>
      <c r="M3010" s="523">
        <f t="shared" si="198"/>
        <v>1.2345679012345678E-2</v>
      </c>
      <c r="N3010" s="2" t="s">
        <v>40</v>
      </c>
      <c r="O3010" s="15" t="s">
        <v>39</v>
      </c>
    </row>
    <row r="3011" spans="1:15">
      <c r="A3011" s="70">
        <v>2025</v>
      </c>
      <c r="B3011" s="16" t="s">
        <v>895</v>
      </c>
      <c r="C3011" s="71" t="s">
        <v>4039</v>
      </c>
      <c r="D3011" s="2" t="s">
        <v>858</v>
      </c>
      <c r="E3011" s="2" t="s">
        <v>859</v>
      </c>
      <c r="F3011" s="96">
        <v>9200</v>
      </c>
      <c r="G3011" s="1" t="s">
        <v>337</v>
      </c>
      <c r="H3011" s="8">
        <v>98</v>
      </c>
      <c r="I3011" s="8">
        <f t="shared" si="200"/>
        <v>901600</v>
      </c>
      <c r="J3011" s="539">
        <v>89</v>
      </c>
      <c r="K3011" s="521">
        <f t="shared" ref="K3011:K3074" si="202">H3011-J3011</f>
        <v>9</v>
      </c>
      <c r="L3011" s="522">
        <f t="shared" si="201"/>
        <v>82800</v>
      </c>
      <c r="M3011" s="523">
        <f t="shared" ref="M3011:M3074" si="203">K3011/H3011</f>
        <v>9.1836734693877556E-2</v>
      </c>
      <c r="N3011" s="2" t="s">
        <v>22</v>
      </c>
      <c r="O3011" s="15" t="s">
        <v>39</v>
      </c>
    </row>
    <row r="3012" spans="1:15">
      <c r="A3012" s="70">
        <v>2025</v>
      </c>
      <c r="B3012" s="16" t="s">
        <v>895</v>
      </c>
      <c r="C3012" s="71" t="s">
        <v>4040</v>
      </c>
      <c r="D3012" s="2" t="s">
        <v>329</v>
      </c>
      <c r="E3012" s="2" t="s">
        <v>3958</v>
      </c>
      <c r="F3012" s="96">
        <v>50</v>
      </c>
      <c r="G3012" s="1" t="s">
        <v>1368</v>
      </c>
      <c r="H3012" s="8">
        <v>610</v>
      </c>
      <c r="I3012" s="8">
        <f t="shared" si="200"/>
        <v>30500</v>
      </c>
      <c r="J3012" s="539">
        <v>600</v>
      </c>
      <c r="K3012" s="521">
        <f t="shared" si="202"/>
        <v>10</v>
      </c>
      <c r="L3012" s="522">
        <f t="shared" si="201"/>
        <v>500</v>
      </c>
      <c r="M3012" s="523">
        <f t="shared" si="203"/>
        <v>1.6393442622950821E-2</v>
      </c>
      <c r="N3012" s="2" t="s">
        <v>40</v>
      </c>
      <c r="O3012" s="15" t="s">
        <v>39</v>
      </c>
    </row>
    <row r="3013" spans="1:15">
      <c r="A3013" s="70">
        <v>2025</v>
      </c>
      <c r="B3013" s="16" t="s">
        <v>895</v>
      </c>
      <c r="C3013" s="71" t="s">
        <v>4040</v>
      </c>
      <c r="D3013" s="2" t="s">
        <v>329</v>
      </c>
      <c r="E3013" s="2" t="s">
        <v>4041</v>
      </c>
      <c r="F3013" s="96">
        <v>20</v>
      </c>
      <c r="G3013" s="1" t="s">
        <v>1368</v>
      </c>
      <c r="H3013" s="8">
        <v>1285</v>
      </c>
      <c r="I3013" s="8">
        <f t="shared" si="200"/>
        <v>25700</v>
      </c>
      <c r="J3013" s="539">
        <v>1265</v>
      </c>
      <c r="K3013" s="521">
        <f t="shared" si="202"/>
        <v>20</v>
      </c>
      <c r="L3013" s="522">
        <f t="shared" si="201"/>
        <v>400</v>
      </c>
      <c r="M3013" s="523">
        <f t="shared" si="203"/>
        <v>1.556420233463035E-2</v>
      </c>
      <c r="N3013" s="2" t="s">
        <v>40</v>
      </c>
      <c r="O3013" s="15" t="s">
        <v>39</v>
      </c>
    </row>
    <row r="3014" spans="1:15">
      <c r="A3014" s="70">
        <v>2025</v>
      </c>
      <c r="B3014" s="16" t="s">
        <v>895</v>
      </c>
      <c r="C3014" s="71" t="s">
        <v>4040</v>
      </c>
      <c r="D3014" s="2" t="s">
        <v>329</v>
      </c>
      <c r="E3014" s="2" t="s">
        <v>4042</v>
      </c>
      <c r="F3014" s="96">
        <v>40</v>
      </c>
      <c r="G3014" s="1" t="s">
        <v>1368</v>
      </c>
      <c r="H3014" s="8">
        <v>1080</v>
      </c>
      <c r="I3014" s="8">
        <f t="shared" si="200"/>
        <v>43200</v>
      </c>
      <c r="J3014" s="539">
        <v>1070</v>
      </c>
      <c r="K3014" s="521">
        <f t="shared" si="202"/>
        <v>10</v>
      </c>
      <c r="L3014" s="522">
        <f t="shared" si="201"/>
        <v>400</v>
      </c>
      <c r="M3014" s="523">
        <f t="shared" si="203"/>
        <v>9.2592592592592587E-3</v>
      </c>
      <c r="N3014" s="2" t="s">
        <v>40</v>
      </c>
      <c r="O3014" s="15" t="s">
        <v>39</v>
      </c>
    </row>
    <row r="3015" spans="1:15">
      <c r="A3015" s="70">
        <v>2025</v>
      </c>
      <c r="B3015" s="16" t="s">
        <v>895</v>
      </c>
      <c r="C3015" s="71" t="s">
        <v>4040</v>
      </c>
      <c r="D3015" s="2" t="s">
        <v>329</v>
      </c>
      <c r="E3015" s="2" t="s">
        <v>3880</v>
      </c>
      <c r="F3015" s="96">
        <v>20</v>
      </c>
      <c r="G3015" s="1" t="s">
        <v>1368</v>
      </c>
      <c r="H3015" s="8">
        <v>2710</v>
      </c>
      <c r="I3015" s="8">
        <f t="shared" si="200"/>
        <v>54200</v>
      </c>
      <c r="J3015" s="539">
        <v>2700</v>
      </c>
      <c r="K3015" s="521">
        <f t="shared" si="202"/>
        <v>10</v>
      </c>
      <c r="L3015" s="522">
        <f t="shared" si="201"/>
        <v>200</v>
      </c>
      <c r="M3015" s="523">
        <f t="shared" si="203"/>
        <v>3.6900369003690036E-3</v>
      </c>
      <c r="N3015" s="2" t="s">
        <v>40</v>
      </c>
      <c r="O3015" s="15" t="s">
        <v>39</v>
      </c>
    </row>
    <row r="3016" spans="1:15">
      <c r="A3016" s="70">
        <v>2025</v>
      </c>
      <c r="B3016" s="16" t="s">
        <v>895</v>
      </c>
      <c r="C3016" s="71" t="s">
        <v>4040</v>
      </c>
      <c r="D3016" s="2" t="s">
        <v>329</v>
      </c>
      <c r="E3016" s="2" t="s">
        <v>4043</v>
      </c>
      <c r="F3016" s="96">
        <v>20</v>
      </c>
      <c r="G3016" s="1" t="s">
        <v>1368</v>
      </c>
      <c r="H3016" s="8">
        <v>405</v>
      </c>
      <c r="I3016" s="8">
        <f t="shared" si="200"/>
        <v>8100</v>
      </c>
      <c r="J3016" s="539">
        <v>395</v>
      </c>
      <c r="K3016" s="521">
        <f t="shared" si="202"/>
        <v>10</v>
      </c>
      <c r="L3016" s="522">
        <f t="shared" si="201"/>
        <v>200</v>
      </c>
      <c r="M3016" s="523">
        <f t="shared" si="203"/>
        <v>2.4691358024691357E-2</v>
      </c>
      <c r="N3016" s="2" t="s">
        <v>40</v>
      </c>
      <c r="O3016" s="15" t="s">
        <v>39</v>
      </c>
    </row>
    <row r="3017" spans="1:15">
      <c r="A3017" s="70">
        <v>2025</v>
      </c>
      <c r="B3017" s="16" t="s">
        <v>895</v>
      </c>
      <c r="C3017" s="71" t="s">
        <v>4040</v>
      </c>
      <c r="D3017" s="2" t="s">
        <v>329</v>
      </c>
      <c r="E3017" s="2" t="s">
        <v>4044</v>
      </c>
      <c r="F3017" s="96">
        <v>10</v>
      </c>
      <c r="G3017" s="1" t="s">
        <v>1368</v>
      </c>
      <c r="H3017" s="8">
        <v>590</v>
      </c>
      <c r="I3017" s="8">
        <f t="shared" si="200"/>
        <v>5900</v>
      </c>
      <c r="J3017" s="539">
        <v>580</v>
      </c>
      <c r="K3017" s="521">
        <f t="shared" si="202"/>
        <v>10</v>
      </c>
      <c r="L3017" s="522">
        <f t="shared" si="201"/>
        <v>100</v>
      </c>
      <c r="M3017" s="523">
        <f t="shared" si="203"/>
        <v>1.6949152542372881E-2</v>
      </c>
      <c r="N3017" s="2" t="s">
        <v>40</v>
      </c>
      <c r="O3017" s="15" t="s">
        <v>39</v>
      </c>
    </row>
    <row r="3018" spans="1:15">
      <c r="A3018" s="70">
        <v>2025</v>
      </c>
      <c r="B3018" s="16" t="s">
        <v>895</v>
      </c>
      <c r="C3018" s="71" t="s">
        <v>4040</v>
      </c>
      <c r="D3018" s="2" t="s">
        <v>329</v>
      </c>
      <c r="E3018" s="2" t="s">
        <v>1367</v>
      </c>
      <c r="F3018" s="96">
        <v>50</v>
      </c>
      <c r="G3018" s="1" t="s">
        <v>1368</v>
      </c>
      <c r="H3018" s="8">
        <v>1930</v>
      </c>
      <c r="I3018" s="8">
        <f t="shared" si="200"/>
        <v>96500</v>
      </c>
      <c r="J3018" s="539">
        <v>1925</v>
      </c>
      <c r="K3018" s="521">
        <f t="shared" si="202"/>
        <v>5</v>
      </c>
      <c r="L3018" s="522">
        <f t="shared" si="201"/>
        <v>250</v>
      </c>
      <c r="M3018" s="523">
        <f t="shared" si="203"/>
        <v>2.5906735751295338E-3</v>
      </c>
      <c r="N3018" s="2" t="s">
        <v>40</v>
      </c>
      <c r="O3018" s="15" t="s">
        <v>39</v>
      </c>
    </row>
    <row r="3019" spans="1:15">
      <c r="A3019" s="70">
        <v>2025</v>
      </c>
      <c r="B3019" s="16" t="s">
        <v>895</v>
      </c>
      <c r="C3019" s="71" t="s">
        <v>4040</v>
      </c>
      <c r="D3019" s="2" t="s">
        <v>329</v>
      </c>
      <c r="E3019" s="2" t="s">
        <v>2160</v>
      </c>
      <c r="F3019" s="96">
        <v>20</v>
      </c>
      <c r="G3019" s="1" t="s">
        <v>1368</v>
      </c>
      <c r="H3019" s="8">
        <v>4420</v>
      </c>
      <c r="I3019" s="8">
        <f t="shared" si="200"/>
        <v>88400</v>
      </c>
      <c r="J3019" s="539">
        <v>4400</v>
      </c>
      <c r="K3019" s="521">
        <f t="shared" si="202"/>
        <v>20</v>
      </c>
      <c r="L3019" s="522">
        <f t="shared" si="201"/>
        <v>400</v>
      </c>
      <c r="M3019" s="523">
        <f t="shared" si="203"/>
        <v>4.5248868778280547E-3</v>
      </c>
      <c r="N3019" s="2" t="s">
        <v>40</v>
      </c>
      <c r="O3019" s="15" t="s">
        <v>39</v>
      </c>
    </row>
    <row r="3020" spans="1:15">
      <c r="A3020" s="70">
        <v>2025</v>
      </c>
      <c r="B3020" s="16" t="s">
        <v>895</v>
      </c>
      <c r="C3020" s="71" t="s">
        <v>4045</v>
      </c>
      <c r="D3020" s="2" t="s">
        <v>166</v>
      </c>
      <c r="E3020" s="2" t="s">
        <v>3062</v>
      </c>
      <c r="F3020" s="96">
        <v>27790</v>
      </c>
      <c r="G3020" s="1" t="s">
        <v>37</v>
      </c>
      <c r="H3020" s="8">
        <v>30.88</v>
      </c>
      <c r="I3020" s="8">
        <f t="shared" si="200"/>
        <v>858155.2</v>
      </c>
      <c r="J3020" s="539">
        <v>26</v>
      </c>
      <c r="K3020" s="521">
        <f t="shared" si="202"/>
        <v>4.879999999999999</v>
      </c>
      <c r="L3020" s="522">
        <f t="shared" si="201"/>
        <v>135615.19999999998</v>
      </c>
      <c r="M3020" s="523">
        <f t="shared" si="203"/>
        <v>0.15803108808290153</v>
      </c>
      <c r="N3020" s="2" t="s">
        <v>40</v>
      </c>
      <c r="O3020" s="15" t="s">
        <v>105</v>
      </c>
    </row>
    <row r="3021" spans="1:15">
      <c r="A3021" s="70">
        <v>2025</v>
      </c>
      <c r="B3021" s="16" t="s">
        <v>895</v>
      </c>
      <c r="C3021" s="71" t="s">
        <v>4046</v>
      </c>
      <c r="D3021" s="2" t="s">
        <v>708</v>
      </c>
      <c r="E3021" s="2" t="s">
        <v>4047</v>
      </c>
      <c r="F3021" s="96">
        <v>30000</v>
      </c>
      <c r="G3021" s="1" t="s">
        <v>37</v>
      </c>
      <c r="H3021" s="8">
        <v>357</v>
      </c>
      <c r="I3021" s="8">
        <f t="shared" si="200"/>
        <v>10710000</v>
      </c>
      <c r="J3021" s="539">
        <v>353</v>
      </c>
      <c r="K3021" s="521">
        <f t="shared" si="202"/>
        <v>4</v>
      </c>
      <c r="L3021" s="522">
        <f t="shared" si="201"/>
        <v>120000</v>
      </c>
      <c r="M3021" s="523">
        <f t="shared" si="203"/>
        <v>1.1204481792717087E-2</v>
      </c>
      <c r="N3021" s="2" t="s">
        <v>22</v>
      </c>
      <c r="O3021" s="15" t="s">
        <v>105</v>
      </c>
    </row>
    <row r="3022" spans="1:15">
      <c r="A3022" s="70">
        <v>2025</v>
      </c>
      <c r="B3022" s="16" t="s">
        <v>895</v>
      </c>
      <c r="C3022" s="71" t="s">
        <v>4048</v>
      </c>
      <c r="D3022" s="2" t="s">
        <v>192</v>
      </c>
      <c r="E3022" s="2" t="s">
        <v>4049</v>
      </c>
      <c r="F3022" s="96">
        <v>4</v>
      </c>
      <c r="G3022" s="1" t="s">
        <v>19</v>
      </c>
      <c r="H3022" s="8">
        <v>23340</v>
      </c>
      <c r="I3022" s="8">
        <f t="shared" si="200"/>
        <v>93360</v>
      </c>
      <c r="J3022" s="539">
        <v>22840</v>
      </c>
      <c r="K3022" s="521">
        <f t="shared" si="202"/>
        <v>500</v>
      </c>
      <c r="L3022" s="522">
        <f t="shared" si="201"/>
        <v>2000</v>
      </c>
      <c r="M3022" s="523">
        <f t="shared" si="203"/>
        <v>2.1422450728363324E-2</v>
      </c>
      <c r="N3022" s="2" t="s">
        <v>40</v>
      </c>
      <c r="O3022" s="15" t="s">
        <v>105</v>
      </c>
    </row>
    <row r="3023" spans="1:15">
      <c r="A3023" s="70">
        <v>2025</v>
      </c>
      <c r="B3023" s="16" t="s">
        <v>895</v>
      </c>
      <c r="C3023" s="71" t="s">
        <v>4050</v>
      </c>
      <c r="D3023" s="2" t="s">
        <v>166</v>
      </c>
      <c r="E3023" s="2" t="s">
        <v>3062</v>
      </c>
      <c r="F3023" s="96">
        <v>15890</v>
      </c>
      <c r="G3023" s="1" t="s">
        <v>37</v>
      </c>
      <c r="H3023" s="8">
        <v>30.88</v>
      </c>
      <c r="I3023" s="8">
        <f t="shared" si="200"/>
        <v>490683.2</v>
      </c>
      <c r="J3023" s="539">
        <v>26</v>
      </c>
      <c r="K3023" s="521">
        <f t="shared" si="202"/>
        <v>4.879999999999999</v>
      </c>
      <c r="L3023" s="522">
        <f t="shared" si="201"/>
        <v>77543.199999999983</v>
      </c>
      <c r="M3023" s="523">
        <f t="shared" si="203"/>
        <v>0.15803108808290153</v>
      </c>
      <c r="N3023" s="2" t="s">
        <v>40</v>
      </c>
      <c r="O3023" s="15" t="s">
        <v>105</v>
      </c>
    </row>
    <row r="3024" spans="1:15">
      <c r="A3024" s="70">
        <v>2025</v>
      </c>
      <c r="B3024" s="16" t="s">
        <v>895</v>
      </c>
      <c r="C3024" s="71" t="s">
        <v>4051</v>
      </c>
      <c r="D3024" s="2" t="s">
        <v>174</v>
      </c>
      <c r="E3024" s="2" t="s">
        <v>4052</v>
      </c>
      <c r="F3024" s="96">
        <v>200</v>
      </c>
      <c r="G3024" s="1" t="s">
        <v>19</v>
      </c>
      <c r="H3024" s="8">
        <v>250</v>
      </c>
      <c r="I3024" s="8">
        <f t="shared" si="200"/>
        <v>50000</v>
      </c>
      <c r="J3024" s="539">
        <v>245</v>
      </c>
      <c r="K3024" s="521">
        <f t="shared" si="202"/>
        <v>5</v>
      </c>
      <c r="L3024" s="522">
        <f t="shared" si="201"/>
        <v>1000</v>
      </c>
      <c r="M3024" s="523">
        <f t="shared" si="203"/>
        <v>0.02</v>
      </c>
      <c r="N3024" s="2" t="s">
        <v>40</v>
      </c>
      <c r="O3024" s="15" t="s">
        <v>105</v>
      </c>
    </row>
    <row r="3025" spans="1:15">
      <c r="A3025" s="70">
        <v>2025</v>
      </c>
      <c r="B3025" s="16" t="s">
        <v>895</v>
      </c>
      <c r="C3025" s="71" t="s">
        <v>4051</v>
      </c>
      <c r="D3025" s="2" t="s">
        <v>174</v>
      </c>
      <c r="E3025" s="2" t="s">
        <v>4053</v>
      </c>
      <c r="F3025" s="96">
        <v>100</v>
      </c>
      <c r="G3025" s="1" t="s">
        <v>19</v>
      </c>
      <c r="H3025" s="8">
        <v>350</v>
      </c>
      <c r="I3025" s="8">
        <f t="shared" si="200"/>
        <v>35000</v>
      </c>
      <c r="J3025" s="539">
        <v>345</v>
      </c>
      <c r="K3025" s="521">
        <f t="shared" si="202"/>
        <v>5</v>
      </c>
      <c r="L3025" s="522">
        <f t="shared" si="201"/>
        <v>500</v>
      </c>
      <c r="M3025" s="523">
        <f t="shared" si="203"/>
        <v>1.4285714285714285E-2</v>
      </c>
      <c r="N3025" s="2" t="s">
        <v>40</v>
      </c>
      <c r="O3025" s="15" t="s">
        <v>105</v>
      </c>
    </row>
    <row r="3026" spans="1:15">
      <c r="A3026" s="70">
        <v>2025</v>
      </c>
      <c r="B3026" s="16" t="s">
        <v>895</v>
      </c>
      <c r="C3026" s="71" t="s">
        <v>4054</v>
      </c>
      <c r="D3026" s="2" t="s">
        <v>68</v>
      </c>
      <c r="E3026" s="2" t="s">
        <v>755</v>
      </c>
      <c r="F3026" s="96">
        <v>1374.3</v>
      </c>
      <c r="G3026" s="1" t="s">
        <v>37</v>
      </c>
      <c r="H3026" s="8">
        <v>375</v>
      </c>
      <c r="I3026" s="8">
        <f t="shared" si="200"/>
        <v>515362.5</v>
      </c>
      <c r="J3026" s="539">
        <v>360</v>
      </c>
      <c r="K3026" s="521">
        <f t="shared" si="202"/>
        <v>15</v>
      </c>
      <c r="L3026" s="522">
        <f t="shared" si="201"/>
        <v>20614.5</v>
      </c>
      <c r="M3026" s="523">
        <f t="shared" si="203"/>
        <v>0.04</v>
      </c>
      <c r="N3026" s="2" t="s">
        <v>22</v>
      </c>
      <c r="O3026" s="15" t="s">
        <v>105</v>
      </c>
    </row>
    <row r="3027" spans="1:15">
      <c r="A3027" s="70">
        <v>2025</v>
      </c>
      <c r="B3027" s="16" t="s">
        <v>895</v>
      </c>
      <c r="C3027" s="71" t="s">
        <v>4055</v>
      </c>
      <c r="D3027" s="2" t="s">
        <v>4056</v>
      </c>
      <c r="E3027" s="2" t="s">
        <v>4057</v>
      </c>
      <c r="F3027" s="96">
        <v>1</v>
      </c>
      <c r="G3027" s="1" t="s">
        <v>19</v>
      </c>
      <c r="H3027" s="8">
        <v>26000</v>
      </c>
      <c r="I3027" s="8">
        <f t="shared" si="200"/>
        <v>26000</v>
      </c>
      <c r="J3027" s="539">
        <v>22000</v>
      </c>
      <c r="K3027" s="521">
        <f t="shared" si="202"/>
        <v>4000</v>
      </c>
      <c r="L3027" s="522">
        <f t="shared" si="201"/>
        <v>4000</v>
      </c>
      <c r="M3027" s="523">
        <f t="shared" si="203"/>
        <v>0.15384615384615385</v>
      </c>
      <c r="N3027" s="2" t="s">
        <v>22</v>
      </c>
      <c r="O3027" s="15" t="s">
        <v>105</v>
      </c>
    </row>
    <row r="3028" spans="1:15">
      <c r="A3028" s="70">
        <v>2025</v>
      </c>
      <c r="B3028" s="16" t="s">
        <v>895</v>
      </c>
      <c r="C3028" s="71" t="s">
        <v>4058</v>
      </c>
      <c r="D3028" s="2" t="s">
        <v>166</v>
      </c>
      <c r="E3028" s="2" t="s">
        <v>4059</v>
      </c>
      <c r="F3028" s="96">
        <v>5210</v>
      </c>
      <c r="G3028" s="1" t="s">
        <v>37</v>
      </c>
      <c r="H3028" s="8">
        <v>30.88</v>
      </c>
      <c r="I3028" s="8">
        <f t="shared" si="200"/>
        <v>160884.79999999999</v>
      </c>
      <c r="J3028" s="539">
        <v>26</v>
      </c>
      <c r="K3028" s="521">
        <f t="shared" si="202"/>
        <v>4.879999999999999</v>
      </c>
      <c r="L3028" s="522">
        <f t="shared" si="201"/>
        <v>25424.799999999996</v>
      </c>
      <c r="M3028" s="523">
        <f t="shared" si="203"/>
        <v>0.15803108808290153</v>
      </c>
      <c r="N3028" s="2" t="s">
        <v>40</v>
      </c>
      <c r="O3028" s="15" t="s">
        <v>105</v>
      </c>
    </row>
    <row r="3029" spans="1:15">
      <c r="A3029" s="70">
        <v>2025</v>
      </c>
      <c r="B3029" s="16" t="s">
        <v>895</v>
      </c>
      <c r="C3029" s="71" t="s">
        <v>4060</v>
      </c>
      <c r="D3029" s="2" t="s">
        <v>1042</v>
      </c>
      <c r="E3029" s="2" t="s">
        <v>711</v>
      </c>
      <c r="F3029" s="96">
        <v>3023</v>
      </c>
      <c r="G3029" s="1" t="s">
        <v>37</v>
      </c>
      <c r="H3029" s="8">
        <v>390</v>
      </c>
      <c r="I3029" s="8">
        <f t="shared" si="200"/>
        <v>1178970</v>
      </c>
      <c r="J3029" s="539">
        <v>361</v>
      </c>
      <c r="K3029" s="521">
        <f t="shared" si="202"/>
        <v>29</v>
      </c>
      <c r="L3029" s="522">
        <f t="shared" si="201"/>
        <v>87667</v>
      </c>
      <c r="M3029" s="523">
        <f t="shared" si="203"/>
        <v>7.4358974358974358E-2</v>
      </c>
      <c r="N3029" s="2" t="s">
        <v>40</v>
      </c>
      <c r="O3029" s="15" t="s">
        <v>105</v>
      </c>
    </row>
    <row r="3030" spans="1:15">
      <c r="A3030" s="70">
        <v>2025</v>
      </c>
      <c r="B3030" s="16" t="s">
        <v>895</v>
      </c>
      <c r="C3030" s="71" t="s">
        <v>4061</v>
      </c>
      <c r="D3030" s="2" t="s">
        <v>200</v>
      </c>
      <c r="E3030" s="2" t="s">
        <v>4062</v>
      </c>
      <c r="F3030" s="96">
        <v>1</v>
      </c>
      <c r="G3030" s="1" t="s">
        <v>302</v>
      </c>
      <c r="H3030" s="8">
        <v>26500</v>
      </c>
      <c r="I3030" s="8">
        <f t="shared" si="200"/>
        <v>26500</v>
      </c>
      <c r="J3030" s="539">
        <v>25500</v>
      </c>
      <c r="K3030" s="521">
        <f t="shared" si="202"/>
        <v>1000</v>
      </c>
      <c r="L3030" s="522">
        <f t="shared" si="201"/>
        <v>1000</v>
      </c>
      <c r="M3030" s="523">
        <f t="shared" si="203"/>
        <v>3.7735849056603772E-2</v>
      </c>
      <c r="N3030" s="2" t="s">
        <v>40</v>
      </c>
      <c r="O3030" s="15" t="s">
        <v>39</v>
      </c>
    </row>
    <row r="3031" spans="1:15">
      <c r="A3031" s="70">
        <v>2025</v>
      </c>
      <c r="B3031" s="16" t="s">
        <v>895</v>
      </c>
      <c r="C3031" s="71" t="s">
        <v>4063</v>
      </c>
      <c r="D3031" s="2" t="s">
        <v>1042</v>
      </c>
      <c r="E3031" s="2" t="s">
        <v>711</v>
      </c>
      <c r="F3031" s="96">
        <v>3124</v>
      </c>
      <c r="G3031" s="1" t="s">
        <v>37</v>
      </c>
      <c r="H3031" s="8">
        <v>390</v>
      </c>
      <c r="I3031" s="8">
        <f t="shared" si="200"/>
        <v>1218360</v>
      </c>
      <c r="J3031" s="539">
        <v>361</v>
      </c>
      <c r="K3031" s="521">
        <f t="shared" si="202"/>
        <v>29</v>
      </c>
      <c r="L3031" s="522">
        <f t="shared" si="201"/>
        <v>90596</v>
      </c>
      <c r="M3031" s="523">
        <f t="shared" si="203"/>
        <v>7.4358974358974358E-2</v>
      </c>
      <c r="N3031" s="2" t="s">
        <v>22</v>
      </c>
      <c r="O3031" s="15" t="s">
        <v>105</v>
      </c>
    </row>
    <row r="3032" spans="1:15">
      <c r="A3032" s="70">
        <v>2025</v>
      </c>
      <c r="B3032" s="16" t="s">
        <v>895</v>
      </c>
      <c r="C3032" s="71" t="s">
        <v>4064</v>
      </c>
      <c r="D3032" s="2" t="s">
        <v>24</v>
      </c>
      <c r="E3032" s="2" t="s">
        <v>4065</v>
      </c>
      <c r="F3032" s="96">
        <v>1</v>
      </c>
      <c r="G3032" s="1" t="s">
        <v>19</v>
      </c>
      <c r="H3032" s="8">
        <v>29760</v>
      </c>
      <c r="I3032" s="8">
        <f t="shared" si="200"/>
        <v>29760</v>
      </c>
      <c r="J3032" s="539">
        <v>29260</v>
      </c>
      <c r="K3032" s="521">
        <f t="shared" si="202"/>
        <v>500</v>
      </c>
      <c r="L3032" s="522">
        <f t="shared" si="201"/>
        <v>500</v>
      </c>
      <c r="M3032" s="523">
        <f t="shared" si="203"/>
        <v>1.6801075268817203E-2</v>
      </c>
      <c r="N3032" s="2" t="s">
        <v>22</v>
      </c>
      <c r="O3032" s="15" t="s">
        <v>4066</v>
      </c>
    </row>
    <row r="3033" spans="1:15">
      <c r="A3033" s="70">
        <v>2025</v>
      </c>
      <c r="B3033" s="16" t="s">
        <v>895</v>
      </c>
      <c r="C3033" s="71" t="s">
        <v>4067</v>
      </c>
      <c r="D3033" s="2" t="s">
        <v>398</v>
      </c>
      <c r="E3033" s="2" t="s">
        <v>4068</v>
      </c>
      <c r="F3033" s="96">
        <v>1</v>
      </c>
      <c r="G3033" s="1" t="s">
        <v>285</v>
      </c>
      <c r="H3033" s="8">
        <v>35000</v>
      </c>
      <c r="I3033" s="8">
        <f t="shared" si="200"/>
        <v>35000</v>
      </c>
      <c r="J3033" s="539">
        <v>32000</v>
      </c>
      <c r="K3033" s="521">
        <f t="shared" si="202"/>
        <v>3000</v>
      </c>
      <c r="L3033" s="522">
        <f t="shared" si="201"/>
        <v>3000</v>
      </c>
      <c r="M3033" s="523">
        <f t="shared" si="203"/>
        <v>8.5714285714285715E-2</v>
      </c>
      <c r="N3033" s="2" t="s">
        <v>40</v>
      </c>
      <c r="O3033" s="15" t="s">
        <v>4066</v>
      </c>
    </row>
    <row r="3034" spans="1:15">
      <c r="A3034" s="70">
        <v>2025</v>
      </c>
      <c r="B3034" s="16" t="s">
        <v>895</v>
      </c>
      <c r="C3034" s="71" t="s">
        <v>4069</v>
      </c>
      <c r="D3034" s="2" t="s">
        <v>1458</v>
      </c>
      <c r="E3034" s="26" t="s">
        <v>4070</v>
      </c>
      <c r="F3034" s="96">
        <v>3</v>
      </c>
      <c r="G3034" s="1" t="s">
        <v>6</v>
      </c>
      <c r="H3034" s="8">
        <v>11500</v>
      </c>
      <c r="I3034" s="8">
        <f t="shared" si="200"/>
        <v>34500</v>
      </c>
      <c r="J3034" s="539">
        <v>11000</v>
      </c>
      <c r="K3034" s="521">
        <f t="shared" si="202"/>
        <v>500</v>
      </c>
      <c r="L3034" s="522">
        <f t="shared" si="201"/>
        <v>1500</v>
      </c>
      <c r="M3034" s="523">
        <f t="shared" si="203"/>
        <v>4.3478260869565216E-2</v>
      </c>
      <c r="N3034" s="2" t="s">
        <v>22</v>
      </c>
      <c r="O3034" s="15" t="s">
        <v>4066</v>
      </c>
    </row>
    <row r="3035" spans="1:15">
      <c r="A3035" s="70">
        <v>2025</v>
      </c>
      <c r="B3035" s="16" t="s">
        <v>895</v>
      </c>
      <c r="C3035" s="71" t="s">
        <v>4071</v>
      </c>
      <c r="D3035" s="2" t="s">
        <v>345</v>
      </c>
      <c r="E3035" s="2" t="s">
        <v>4072</v>
      </c>
      <c r="F3035" s="96">
        <v>2</v>
      </c>
      <c r="G3035" s="1" t="s">
        <v>302</v>
      </c>
      <c r="H3035" s="8">
        <v>2087000</v>
      </c>
      <c r="I3035" s="8">
        <f t="shared" si="200"/>
        <v>4174000</v>
      </c>
      <c r="J3035" s="539">
        <v>2040000</v>
      </c>
      <c r="K3035" s="521">
        <f t="shared" si="202"/>
        <v>47000</v>
      </c>
      <c r="L3035" s="522">
        <f t="shared" si="201"/>
        <v>94000</v>
      </c>
      <c r="M3035" s="523">
        <f t="shared" si="203"/>
        <v>2.2520364159080018E-2</v>
      </c>
      <c r="N3035" s="2" t="s">
        <v>40</v>
      </c>
      <c r="O3035" s="15" t="s">
        <v>4066</v>
      </c>
    </row>
    <row r="3036" spans="1:15">
      <c r="A3036" s="70">
        <v>2025</v>
      </c>
      <c r="B3036" s="16" t="s">
        <v>895</v>
      </c>
      <c r="C3036" s="71" t="s">
        <v>4073</v>
      </c>
      <c r="D3036" s="2" t="s">
        <v>2294</v>
      </c>
      <c r="E3036" s="2" t="s">
        <v>4074</v>
      </c>
      <c r="F3036" s="96">
        <v>1</v>
      </c>
      <c r="G3036" s="1" t="s">
        <v>285</v>
      </c>
      <c r="H3036" s="8">
        <v>7820</v>
      </c>
      <c r="I3036" s="8">
        <f t="shared" si="200"/>
        <v>7820</v>
      </c>
      <c r="J3036" s="539">
        <v>7500</v>
      </c>
      <c r="K3036" s="521">
        <f t="shared" si="202"/>
        <v>320</v>
      </c>
      <c r="L3036" s="522">
        <f t="shared" si="201"/>
        <v>320</v>
      </c>
      <c r="M3036" s="523">
        <f t="shared" si="203"/>
        <v>4.0920716112531973E-2</v>
      </c>
      <c r="N3036" s="2" t="s">
        <v>40</v>
      </c>
      <c r="O3036" s="15" t="s">
        <v>4066</v>
      </c>
    </row>
    <row r="3037" spans="1:15">
      <c r="A3037" s="70">
        <v>2025</v>
      </c>
      <c r="B3037" s="16" t="s">
        <v>895</v>
      </c>
      <c r="C3037" s="71" t="s">
        <v>4075</v>
      </c>
      <c r="D3037" s="2" t="s">
        <v>1948</v>
      </c>
      <c r="E3037" s="2" t="s">
        <v>4076</v>
      </c>
      <c r="F3037" s="96">
        <v>1</v>
      </c>
      <c r="G3037" s="1" t="s">
        <v>3462</v>
      </c>
      <c r="H3037" s="8">
        <v>4105</v>
      </c>
      <c r="I3037" s="8">
        <f t="shared" si="200"/>
        <v>4105</v>
      </c>
      <c r="J3037" s="539">
        <v>3694.5</v>
      </c>
      <c r="K3037" s="521">
        <f t="shared" si="202"/>
        <v>410.5</v>
      </c>
      <c r="L3037" s="522">
        <f t="shared" si="201"/>
        <v>410.5</v>
      </c>
      <c r="M3037" s="523">
        <f t="shared" si="203"/>
        <v>0.1</v>
      </c>
      <c r="N3037" s="2" t="s">
        <v>22</v>
      </c>
      <c r="O3037" s="15" t="s">
        <v>4066</v>
      </c>
    </row>
    <row r="3038" spans="1:15">
      <c r="A3038" s="70">
        <v>2025</v>
      </c>
      <c r="B3038" s="16" t="s">
        <v>895</v>
      </c>
      <c r="C3038" s="71" t="s">
        <v>4077</v>
      </c>
      <c r="D3038" s="2" t="s">
        <v>398</v>
      </c>
      <c r="E3038" s="2" t="s">
        <v>4078</v>
      </c>
      <c r="F3038" s="96">
        <v>1</v>
      </c>
      <c r="G3038" s="1" t="s">
        <v>285</v>
      </c>
      <c r="H3038" s="8">
        <v>152000</v>
      </c>
      <c r="I3038" s="8">
        <f t="shared" si="200"/>
        <v>152000</v>
      </c>
      <c r="J3038" s="539">
        <v>145000</v>
      </c>
      <c r="K3038" s="521">
        <f t="shared" si="202"/>
        <v>7000</v>
      </c>
      <c r="L3038" s="522">
        <f t="shared" si="201"/>
        <v>7000</v>
      </c>
      <c r="M3038" s="523">
        <f t="shared" si="203"/>
        <v>4.6052631578947366E-2</v>
      </c>
      <c r="N3038" s="2" t="s">
        <v>40</v>
      </c>
      <c r="O3038" s="15" t="s">
        <v>4066</v>
      </c>
    </row>
    <row r="3039" spans="1:15">
      <c r="A3039" s="70">
        <v>2025</v>
      </c>
      <c r="B3039" s="16" t="s">
        <v>895</v>
      </c>
      <c r="C3039" s="71" t="s">
        <v>4079</v>
      </c>
      <c r="D3039" s="39" t="s">
        <v>329</v>
      </c>
      <c r="E3039" s="39" t="s">
        <v>379</v>
      </c>
      <c r="F3039" s="96">
        <v>30</v>
      </c>
      <c r="G3039" s="1" t="s">
        <v>2541</v>
      </c>
      <c r="H3039" s="8">
        <v>4550</v>
      </c>
      <c r="I3039" s="8">
        <f t="shared" si="200"/>
        <v>136500</v>
      </c>
      <c r="J3039" s="539">
        <v>4515</v>
      </c>
      <c r="K3039" s="521">
        <f t="shared" si="202"/>
        <v>35</v>
      </c>
      <c r="L3039" s="522">
        <f t="shared" si="201"/>
        <v>1050</v>
      </c>
      <c r="M3039" s="523">
        <f t="shared" si="203"/>
        <v>7.6923076923076927E-3</v>
      </c>
      <c r="N3039" s="2" t="s">
        <v>40</v>
      </c>
      <c r="O3039" s="15" t="s">
        <v>39</v>
      </c>
    </row>
    <row r="3040" spans="1:15">
      <c r="A3040" s="70">
        <v>2025</v>
      </c>
      <c r="B3040" s="16" t="s">
        <v>895</v>
      </c>
      <c r="C3040" s="71" t="s">
        <v>4079</v>
      </c>
      <c r="D3040" s="39" t="s">
        <v>329</v>
      </c>
      <c r="E3040" s="39" t="s">
        <v>4080</v>
      </c>
      <c r="F3040" s="96">
        <v>40</v>
      </c>
      <c r="G3040" s="1" t="s">
        <v>2541</v>
      </c>
      <c r="H3040" s="8">
        <v>2295</v>
      </c>
      <c r="I3040" s="8">
        <f t="shared" si="200"/>
        <v>91800</v>
      </c>
      <c r="J3040" s="539">
        <v>2255</v>
      </c>
      <c r="K3040" s="521">
        <f t="shared" si="202"/>
        <v>40</v>
      </c>
      <c r="L3040" s="522">
        <f t="shared" si="201"/>
        <v>1600</v>
      </c>
      <c r="M3040" s="523">
        <f t="shared" si="203"/>
        <v>1.7429193899782137E-2</v>
      </c>
      <c r="N3040" s="2" t="s">
        <v>40</v>
      </c>
      <c r="O3040" s="15" t="s">
        <v>39</v>
      </c>
    </row>
    <row r="3041" spans="1:15">
      <c r="A3041" s="70">
        <v>2025</v>
      </c>
      <c r="B3041" s="16" t="s">
        <v>895</v>
      </c>
      <c r="C3041" s="71" t="s">
        <v>4079</v>
      </c>
      <c r="D3041" s="39" t="s">
        <v>329</v>
      </c>
      <c r="E3041" s="39" t="s">
        <v>4081</v>
      </c>
      <c r="F3041" s="96">
        <v>10</v>
      </c>
      <c r="G3041" s="1" t="s">
        <v>2541</v>
      </c>
      <c r="H3041" s="8">
        <v>3680</v>
      </c>
      <c r="I3041" s="8">
        <f t="shared" si="200"/>
        <v>36800</v>
      </c>
      <c r="J3041" s="539">
        <v>3530</v>
      </c>
      <c r="K3041" s="521">
        <f t="shared" si="202"/>
        <v>150</v>
      </c>
      <c r="L3041" s="522">
        <f t="shared" si="201"/>
        <v>1500</v>
      </c>
      <c r="M3041" s="523">
        <f t="shared" si="203"/>
        <v>4.0760869565217392E-2</v>
      </c>
      <c r="N3041" s="2" t="s">
        <v>40</v>
      </c>
      <c r="O3041" s="15" t="s">
        <v>39</v>
      </c>
    </row>
    <row r="3042" spans="1:15">
      <c r="A3042" s="70">
        <v>2025</v>
      </c>
      <c r="B3042" s="16" t="s">
        <v>895</v>
      </c>
      <c r="C3042" s="71" t="s">
        <v>4082</v>
      </c>
      <c r="D3042" s="39" t="s">
        <v>3235</v>
      </c>
      <c r="E3042" s="39" t="s">
        <v>274</v>
      </c>
      <c r="F3042" s="96">
        <v>6000</v>
      </c>
      <c r="G3042" s="1" t="s">
        <v>37</v>
      </c>
      <c r="H3042" s="8">
        <v>27</v>
      </c>
      <c r="I3042" s="8">
        <f t="shared" si="200"/>
        <v>162000</v>
      </c>
      <c r="J3042" s="539">
        <v>26.5</v>
      </c>
      <c r="K3042" s="521">
        <f t="shared" si="202"/>
        <v>0.5</v>
      </c>
      <c r="L3042" s="522">
        <f t="shared" si="201"/>
        <v>3000</v>
      </c>
      <c r="M3042" s="523">
        <f t="shared" si="203"/>
        <v>1.8518518518518517E-2</v>
      </c>
      <c r="N3042" s="2" t="s">
        <v>40</v>
      </c>
      <c r="O3042" s="15" t="s">
        <v>39</v>
      </c>
    </row>
    <row r="3043" spans="1:15">
      <c r="A3043" s="70">
        <v>2025</v>
      </c>
      <c r="B3043" s="16" t="s">
        <v>895</v>
      </c>
      <c r="C3043" s="71" t="s">
        <v>4083</v>
      </c>
      <c r="D3043" s="39" t="s">
        <v>617</v>
      </c>
      <c r="E3043" s="39" t="s">
        <v>275</v>
      </c>
      <c r="F3043" s="96">
        <v>6000</v>
      </c>
      <c r="G3043" s="1" t="s">
        <v>37</v>
      </c>
      <c r="H3043" s="8">
        <v>27.5</v>
      </c>
      <c r="I3043" s="8">
        <f t="shared" si="200"/>
        <v>165000</v>
      </c>
      <c r="J3043" s="539">
        <v>27</v>
      </c>
      <c r="K3043" s="521">
        <f t="shared" si="202"/>
        <v>0.5</v>
      </c>
      <c r="L3043" s="522">
        <f t="shared" si="201"/>
        <v>3000</v>
      </c>
      <c r="M3043" s="523">
        <f t="shared" si="203"/>
        <v>1.8181818181818181E-2</v>
      </c>
      <c r="N3043" s="2" t="s">
        <v>40</v>
      </c>
      <c r="O3043" s="15" t="s">
        <v>39</v>
      </c>
    </row>
    <row r="3044" spans="1:15">
      <c r="A3044" s="70">
        <v>2025</v>
      </c>
      <c r="B3044" s="16" t="s">
        <v>895</v>
      </c>
      <c r="C3044" s="71" t="s">
        <v>4083</v>
      </c>
      <c r="D3044" s="39" t="s">
        <v>617</v>
      </c>
      <c r="E3044" s="39" t="s">
        <v>996</v>
      </c>
      <c r="F3044" s="96">
        <v>6000</v>
      </c>
      <c r="G3044" s="1" t="s">
        <v>37</v>
      </c>
      <c r="H3044" s="8">
        <v>27.5</v>
      </c>
      <c r="I3044" s="8">
        <f t="shared" si="200"/>
        <v>165000</v>
      </c>
      <c r="J3044" s="539">
        <v>27</v>
      </c>
      <c r="K3044" s="521">
        <f t="shared" si="202"/>
        <v>0.5</v>
      </c>
      <c r="L3044" s="522">
        <f t="shared" si="201"/>
        <v>3000</v>
      </c>
      <c r="M3044" s="523">
        <f t="shared" si="203"/>
        <v>1.8181818181818181E-2</v>
      </c>
      <c r="N3044" s="2" t="s">
        <v>40</v>
      </c>
      <c r="O3044" s="15" t="s">
        <v>39</v>
      </c>
    </row>
    <row r="3045" spans="1:15">
      <c r="A3045" s="70">
        <v>2025</v>
      </c>
      <c r="B3045" s="16" t="s">
        <v>895</v>
      </c>
      <c r="C3045" s="71" t="s">
        <v>4084</v>
      </c>
      <c r="D3045" s="39" t="s">
        <v>617</v>
      </c>
      <c r="E3045" s="39" t="s">
        <v>230</v>
      </c>
      <c r="F3045" s="96">
        <v>3000</v>
      </c>
      <c r="G3045" s="1" t="s">
        <v>37</v>
      </c>
      <c r="H3045" s="8">
        <v>27</v>
      </c>
      <c r="I3045" s="8">
        <f t="shared" si="200"/>
        <v>81000</v>
      </c>
      <c r="J3045" s="539">
        <v>26.5</v>
      </c>
      <c r="K3045" s="521">
        <f t="shared" si="202"/>
        <v>0.5</v>
      </c>
      <c r="L3045" s="522">
        <f t="shared" si="201"/>
        <v>1500</v>
      </c>
      <c r="M3045" s="523">
        <f t="shared" si="203"/>
        <v>1.8518518518518517E-2</v>
      </c>
      <c r="N3045" s="2" t="s">
        <v>40</v>
      </c>
      <c r="O3045" s="15" t="s">
        <v>39</v>
      </c>
    </row>
    <row r="3046" spans="1:15">
      <c r="A3046" s="70">
        <v>2025</v>
      </c>
      <c r="B3046" s="16" t="s">
        <v>895</v>
      </c>
      <c r="C3046" s="71" t="s">
        <v>4084</v>
      </c>
      <c r="D3046" s="39" t="s">
        <v>617</v>
      </c>
      <c r="E3046" s="39" t="s">
        <v>233</v>
      </c>
      <c r="F3046" s="96">
        <v>3000</v>
      </c>
      <c r="G3046" s="1" t="s">
        <v>37</v>
      </c>
      <c r="H3046" s="8">
        <v>27</v>
      </c>
      <c r="I3046" s="8">
        <f t="shared" si="200"/>
        <v>81000</v>
      </c>
      <c r="J3046" s="539">
        <v>25.5</v>
      </c>
      <c r="K3046" s="521">
        <f t="shared" si="202"/>
        <v>1.5</v>
      </c>
      <c r="L3046" s="522">
        <f t="shared" si="201"/>
        <v>4500</v>
      </c>
      <c r="M3046" s="523">
        <f t="shared" si="203"/>
        <v>5.5555555555555552E-2</v>
      </c>
      <c r="N3046" s="2" t="s">
        <v>40</v>
      </c>
      <c r="O3046" s="15" t="s">
        <v>39</v>
      </c>
    </row>
    <row r="3047" spans="1:15">
      <c r="A3047" s="70">
        <v>2025</v>
      </c>
      <c r="B3047" s="16" t="s">
        <v>895</v>
      </c>
      <c r="C3047" s="71" t="s">
        <v>4084</v>
      </c>
      <c r="D3047" s="39" t="s">
        <v>617</v>
      </c>
      <c r="E3047" s="39" t="s">
        <v>230</v>
      </c>
      <c r="F3047" s="96">
        <v>3000</v>
      </c>
      <c r="G3047" s="1" t="s">
        <v>37</v>
      </c>
      <c r="H3047" s="8">
        <v>27</v>
      </c>
      <c r="I3047" s="8">
        <f t="shared" si="200"/>
        <v>81000</v>
      </c>
      <c r="J3047" s="539">
        <v>26.5</v>
      </c>
      <c r="K3047" s="521">
        <f t="shared" si="202"/>
        <v>0.5</v>
      </c>
      <c r="L3047" s="522">
        <f t="shared" si="201"/>
        <v>1500</v>
      </c>
      <c r="M3047" s="523">
        <f t="shared" si="203"/>
        <v>1.8518518518518517E-2</v>
      </c>
      <c r="N3047" s="2" t="s">
        <v>40</v>
      </c>
      <c r="O3047" s="15" t="s">
        <v>39</v>
      </c>
    </row>
    <row r="3048" spans="1:15">
      <c r="A3048" s="70">
        <v>2025</v>
      </c>
      <c r="B3048" s="16" t="s">
        <v>895</v>
      </c>
      <c r="C3048" s="71" t="s">
        <v>4084</v>
      </c>
      <c r="D3048" s="39" t="s">
        <v>617</v>
      </c>
      <c r="E3048" s="39" t="s">
        <v>233</v>
      </c>
      <c r="F3048" s="96">
        <v>6000</v>
      </c>
      <c r="G3048" s="1" t="s">
        <v>37</v>
      </c>
      <c r="H3048" s="8">
        <v>27</v>
      </c>
      <c r="I3048" s="8">
        <f t="shared" si="200"/>
        <v>162000</v>
      </c>
      <c r="J3048" s="539">
        <v>25.5</v>
      </c>
      <c r="K3048" s="521">
        <f t="shared" si="202"/>
        <v>1.5</v>
      </c>
      <c r="L3048" s="522">
        <f t="shared" si="201"/>
        <v>9000</v>
      </c>
      <c r="M3048" s="523">
        <f t="shared" si="203"/>
        <v>5.5555555555555552E-2</v>
      </c>
      <c r="N3048" s="2" t="s">
        <v>40</v>
      </c>
      <c r="O3048" s="15" t="s">
        <v>39</v>
      </c>
    </row>
    <row r="3049" spans="1:15">
      <c r="A3049" s="70">
        <v>2025</v>
      </c>
      <c r="B3049" s="16" t="s">
        <v>895</v>
      </c>
      <c r="C3049" s="71" t="s">
        <v>4085</v>
      </c>
      <c r="D3049" s="39" t="s">
        <v>617</v>
      </c>
      <c r="E3049" s="39" t="s">
        <v>2345</v>
      </c>
      <c r="F3049" s="96">
        <v>3000</v>
      </c>
      <c r="G3049" s="1" t="s">
        <v>37</v>
      </c>
      <c r="H3049" s="8">
        <v>27</v>
      </c>
      <c r="I3049" s="8">
        <f t="shared" si="200"/>
        <v>81000</v>
      </c>
      <c r="J3049" s="539">
        <v>25.5</v>
      </c>
      <c r="K3049" s="521">
        <f t="shared" si="202"/>
        <v>1.5</v>
      </c>
      <c r="L3049" s="522">
        <f t="shared" si="201"/>
        <v>4500</v>
      </c>
      <c r="M3049" s="523">
        <f t="shared" si="203"/>
        <v>5.5555555555555552E-2</v>
      </c>
      <c r="N3049" s="2" t="s">
        <v>40</v>
      </c>
      <c r="O3049" s="15" t="s">
        <v>39</v>
      </c>
    </row>
    <row r="3050" spans="1:15">
      <c r="A3050" s="70">
        <v>2025</v>
      </c>
      <c r="B3050" s="16" t="s">
        <v>895</v>
      </c>
      <c r="C3050" s="71" t="s">
        <v>4086</v>
      </c>
      <c r="D3050" s="39" t="s">
        <v>617</v>
      </c>
      <c r="E3050" s="39" t="s">
        <v>233</v>
      </c>
      <c r="F3050" s="96">
        <v>6000</v>
      </c>
      <c r="G3050" s="1" t="s">
        <v>37</v>
      </c>
      <c r="H3050" s="8">
        <v>27</v>
      </c>
      <c r="I3050" s="8">
        <f t="shared" si="200"/>
        <v>162000</v>
      </c>
      <c r="J3050" s="539">
        <v>26.5</v>
      </c>
      <c r="K3050" s="521">
        <f t="shared" si="202"/>
        <v>0.5</v>
      </c>
      <c r="L3050" s="522">
        <f t="shared" si="201"/>
        <v>3000</v>
      </c>
      <c r="M3050" s="523">
        <f t="shared" si="203"/>
        <v>1.8518518518518517E-2</v>
      </c>
      <c r="N3050" s="2" t="s">
        <v>40</v>
      </c>
      <c r="O3050" s="15" t="s">
        <v>39</v>
      </c>
    </row>
    <row r="3051" spans="1:15">
      <c r="A3051" s="70">
        <v>2025</v>
      </c>
      <c r="B3051" s="16" t="s">
        <v>895</v>
      </c>
      <c r="C3051" s="71" t="s">
        <v>4086</v>
      </c>
      <c r="D3051" s="39" t="s">
        <v>617</v>
      </c>
      <c r="E3051" s="39" t="s">
        <v>1729</v>
      </c>
      <c r="F3051" s="96">
        <v>3000</v>
      </c>
      <c r="G3051" s="1" t="s">
        <v>37</v>
      </c>
      <c r="H3051" s="8">
        <v>27</v>
      </c>
      <c r="I3051" s="8">
        <f t="shared" si="200"/>
        <v>81000</v>
      </c>
      <c r="J3051" s="539">
        <v>25.5</v>
      </c>
      <c r="K3051" s="521">
        <f t="shared" si="202"/>
        <v>1.5</v>
      </c>
      <c r="L3051" s="522">
        <f t="shared" si="201"/>
        <v>4500</v>
      </c>
      <c r="M3051" s="523">
        <f t="shared" si="203"/>
        <v>5.5555555555555552E-2</v>
      </c>
      <c r="N3051" s="2" t="s">
        <v>40</v>
      </c>
      <c r="O3051" s="15" t="s">
        <v>39</v>
      </c>
    </row>
    <row r="3052" spans="1:15">
      <c r="A3052" s="70">
        <v>2025</v>
      </c>
      <c r="B3052" s="16" t="s">
        <v>895</v>
      </c>
      <c r="C3052" s="71" t="s">
        <v>4086</v>
      </c>
      <c r="D3052" s="39" t="s">
        <v>617</v>
      </c>
      <c r="E3052" s="39" t="s">
        <v>275</v>
      </c>
      <c r="F3052" s="96">
        <v>3000</v>
      </c>
      <c r="G3052" s="1" t="s">
        <v>37</v>
      </c>
      <c r="H3052" s="8">
        <v>27</v>
      </c>
      <c r="I3052" s="8">
        <f t="shared" si="200"/>
        <v>81000</v>
      </c>
      <c r="J3052" s="539">
        <v>26.5</v>
      </c>
      <c r="K3052" s="521">
        <f t="shared" si="202"/>
        <v>0.5</v>
      </c>
      <c r="L3052" s="522">
        <f t="shared" si="201"/>
        <v>1500</v>
      </c>
      <c r="M3052" s="523">
        <f t="shared" si="203"/>
        <v>1.8518518518518517E-2</v>
      </c>
      <c r="N3052" s="2" t="s">
        <v>40</v>
      </c>
      <c r="O3052" s="15" t="s">
        <v>39</v>
      </c>
    </row>
    <row r="3053" spans="1:15">
      <c r="A3053" s="70">
        <v>2025</v>
      </c>
      <c r="B3053" s="16" t="s">
        <v>895</v>
      </c>
      <c r="C3053" s="71" t="s">
        <v>4086</v>
      </c>
      <c r="D3053" s="39" t="s">
        <v>617</v>
      </c>
      <c r="E3053" s="39" t="s">
        <v>333</v>
      </c>
      <c r="F3053" s="96">
        <v>3000</v>
      </c>
      <c r="G3053" s="1" t="s">
        <v>37</v>
      </c>
      <c r="H3053" s="8">
        <v>27</v>
      </c>
      <c r="I3053" s="8">
        <f t="shared" si="200"/>
        <v>81000</v>
      </c>
      <c r="J3053" s="539">
        <v>26.5</v>
      </c>
      <c r="K3053" s="521">
        <f t="shared" si="202"/>
        <v>0.5</v>
      </c>
      <c r="L3053" s="522">
        <f t="shared" si="201"/>
        <v>1500</v>
      </c>
      <c r="M3053" s="523">
        <f t="shared" si="203"/>
        <v>1.8518518518518517E-2</v>
      </c>
      <c r="N3053" s="2" t="s">
        <v>40</v>
      </c>
      <c r="O3053" s="15" t="s">
        <v>39</v>
      </c>
    </row>
    <row r="3054" spans="1:15">
      <c r="A3054" s="70">
        <v>2025</v>
      </c>
      <c r="B3054" s="16" t="s">
        <v>895</v>
      </c>
      <c r="C3054" s="437" t="s">
        <v>4087</v>
      </c>
      <c r="D3054" s="39" t="s">
        <v>335</v>
      </c>
      <c r="E3054" s="39" t="s">
        <v>336</v>
      </c>
      <c r="F3054" s="96">
        <v>98000</v>
      </c>
      <c r="G3054" s="1" t="s">
        <v>337</v>
      </c>
      <c r="H3054" s="8">
        <v>35</v>
      </c>
      <c r="I3054" s="8">
        <f t="shared" si="200"/>
        <v>3430000</v>
      </c>
      <c r="J3054" s="539">
        <v>33.75</v>
      </c>
      <c r="K3054" s="521">
        <f t="shared" si="202"/>
        <v>1.25</v>
      </c>
      <c r="L3054" s="522">
        <f t="shared" si="201"/>
        <v>122500</v>
      </c>
      <c r="M3054" s="523">
        <f t="shared" si="203"/>
        <v>3.5714285714285712E-2</v>
      </c>
      <c r="N3054" s="2" t="s">
        <v>22</v>
      </c>
      <c r="O3054" s="15" t="s">
        <v>39</v>
      </c>
    </row>
    <row r="3055" spans="1:15">
      <c r="A3055" s="70">
        <v>2025</v>
      </c>
      <c r="B3055" s="424" t="s">
        <v>998</v>
      </c>
      <c r="C3055" s="71" t="s">
        <v>4088</v>
      </c>
      <c r="D3055" s="2" t="s">
        <v>94</v>
      </c>
      <c r="E3055" s="2" t="s">
        <v>613</v>
      </c>
      <c r="F3055" s="96">
        <v>300</v>
      </c>
      <c r="G3055" s="1" t="s">
        <v>19</v>
      </c>
      <c r="H3055" s="506">
        <v>26</v>
      </c>
      <c r="I3055" s="8">
        <f t="shared" si="200"/>
        <v>7800</v>
      </c>
      <c r="J3055" s="539">
        <v>24.6</v>
      </c>
      <c r="K3055" s="521">
        <f t="shared" si="202"/>
        <v>1.3999999999999986</v>
      </c>
      <c r="L3055" s="522">
        <f t="shared" si="201"/>
        <v>419.99999999999955</v>
      </c>
      <c r="M3055" s="523">
        <f t="shared" si="203"/>
        <v>5.3846153846153794E-2</v>
      </c>
      <c r="N3055" s="2" t="s">
        <v>22</v>
      </c>
      <c r="O3055" s="15" t="s">
        <v>105</v>
      </c>
    </row>
    <row r="3056" spans="1:15">
      <c r="A3056" s="70">
        <v>2025</v>
      </c>
      <c r="B3056" s="16" t="s">
        <v>998</v>
      </c>
      <c r="C3056" s="71" t="s">
        <v>4088</v>
      </c>
      <c r="D3056" s="2" t="s">
        <v>94</v>
      </c>
      <c r="E3056" s="2" t="s">
        <v>550</v>
      </c>
      <c r="F3056" s="96">
        <v>200</v>
      </c>
      <c r="G3056" s="1" t="s">
        <v>19</v>
      </c>
      <c r="H3056" s="506">
        <v>50</v>
      </c>
      <c r="I3056" s="8">
        <f t="shared" si="200"/>
        <v>10000</v>
      </c>
      <c r="J3056" s="539">
        <v>47.56</v>
      </c>
      <c r="K3056" s="521">
        <f t="shared" si="202"/>
        <v>2.4399999999999977</v>
      </c>
      <c r="L3056" s="522">
        <f t="shared" si="201"/>
        <v>487.99999999999955</v>
      </c>
      <c r="M3056" s="523">
        <f t="shared" si="203"/>
        <v>4.8799999999999955E-2</v>
      </c>
      <c r="N3056" s="2" t="s">
        <v>22</v>
      </c>
      <c r="O3056" s="15" t="s">
        <v>105</v>
      </c>
    </row>
    <row r="3057" spans="1:15">
      <c r="A3057" s="70">
        <v>2025</v>
      </c>
      <c r="B3057" s="16" t="s">
        <v>998</v>
      </c>
      <c r="C3057" s="71" t="s">
        <v>4089</v>
      </c>
      <c r="D3057" s="2" t="s">
        <v>279</v>
      </c>
      <c r="E3057" s="2" t="s">
        <v>3724</v>
      </c>
      <c r="F3057" s="96">
        <v>6000</v>
      </c>
      <c r="G3057" s="1" t="s">
        <v>19</v>
      </c>
      <c r="H3057" s="498">
        <v>18.239999999999998</v>
      </c>
      <c r="I3057" s="8">
        <f t="shared" si="200"/>
        <v>109439.99999999999</v>
      </c>
      <c r="J3057" s="539">
        <v>15.92</v>
      </c>
      <c r="K3057" s="521">
        <f t="shared" si="202"/>
        <v>2.3199999999999985</v>
      </c>
      <c r="L3057" s="522">
        <f t="shared" si="201"/>
        <v>13919.999999999991</v>
      </c>
      <c r="M3057" s="523">
        <f t="shared" si="203"/>
        <v>0.12719298245614027</v>
      </c>
      <c r="N3057" s="2" t="s">
        <v>40</v>
      </c>
      <c r="O3057" s="15" t="s">
        <v>105</v>
      </c>
    </row>
    <row r="3058" spans="1:15">
      <c r="A3058" s="70">
        <v>2025</v>
      </c>
      <c r="B3058" s="16" t="s">
        <v>998</v>
      </c>
      <c r="C3058" s="71" t="s">
        <v>4089</v>
      </c>
      <c r="D3058" s="2" t="s">
        <v>279</v>
      </c>
      <c r="E3058" s="2" t="s">
        <v>4090</v>
      </c>
      <c r="F3058" s="96">
        <v>700</v>
      </c>
      <c r="G3058" s="1" t="s">
        <v>19</v>
      </c>
      <c r="H3058" s="498">
        <v>70.959999999999994</v>
      </c>
      <c r="I3058" s="8">
        <f t="shared" si="200"/>
        <v>49671.999999999993</v>
      </c>
      <c r="J3058" s="539">
        <v>68.13</v>
      </c>
      <c r="K3058" s="521">
        <f t="shared" si="202"/>
        <v>2.8299999999999983</v>
      </c>
      <c r="L3058" s="522">
        <f t="shared" si="201"/>
        <v>1980.9999999999989</v>
      </c>
      <c r="M3058" s="523">
        <f t="shared" si="203"/>
        <v>3.9881623449830872E-2</v>
      </c>
      <c r="N3058" s="2" t="s">
        <v>40</v>
      </c>
      <c r="O3058" s="15" t="s">
        <v>105</v>
      </c>
    </row>
    <row r="3059" spans="1:15">
      <c r="A3059" s="70">
        <v>2025</v>
      </c>
      <c r="B3059" s="16" t="s">
        <v>998</v>
      </c>
      <c r="C3059" s="71" t="s">
        <v>4089</v>
      </c>
      <c r="D3059" s="2" t="s">
        <v>279</v>
      </c>
      <c r="E3059" s="2" t="s">
        <v>4091</v>
      </c>
      <c r="F3059" s="96">
        <v>600</v>
      </c>
      <c r="G3059" s="1" t="s">
        <v>19</v>
      </c>
      <c r="H3059" s="8">
        <v>9.31</v>
      </c>
      <c r="I3059" s="8">
        <f t="shared" si="200"/>
        <v>5586</v>
      </c>
      <c r="J3059" s="539">
        <v>8.82</v>
      </c>
      <c r="K3059" s="521">
        <f t="shared" si="202"/>
        <v>0.49000000000000021</v>
      </c>
      <c r="L3059" s="522">
        <f t="shared" si="201"/>
        <v>294.00000000000011</v>
      </c>
      <c r="M3059" s="523">
        <f t="shared" si="203"/>
        <v>5.2631578947368439E-2</v>
      </c>
      <c r="N3059" s="2" t="s">
        <v>40</v>
      </c>
      <c r="O3059" s="15" t="s">
        <v>105</v>
      </c>
    </row>
    <row r="3060" spans="1:15">
      <c r="A3060" s="70">
        <v>2025</v>
      </c>
      <c r="B3060" s="16" t="s">
        <v>998</v>
      </c>
      <c r="C3060" s="71" t="s">
        <v>4089</v>
      </c>
      <c r="D3060" s="2" t="s">
        <v>279</v>
      </c>
      <c r="E3060" s="2" t="s">
        <v>4092</v>
      </c>
      <c r="F3060" s="96">
        <v>200</v>
      </c>
      <c r="G3060" s="1" t="s">
        <v>19</v>
      </c>
      <c r="H3060" s="8">
        <v>9.31</v>
      </c>
      <c r="I3060" s="8">
        <f t="shared" si="200"/>
        <v>1862</v>
      </c>
      <c r="J3060" s="539">
        <v>8.82</v>
      </c>
      <c r="K3060" s="521">
        <f t="shared" si="202"/>
        <v>0.49000000000000021</v>
      </c>
      <c r="L3060" s="522">
        <f t="shared" si="201"/>
        <v>98.000000000000043</v>
      </c>
      <c r="M3060" s="523">
        <f t="shared" si="203"/>
        <v>5.2631578947368439E-2</v>
      </c>
      <c r="N3060" s="2" t="s">
        <v>40</v>
      </c>
      <c r="O3060" s="15" t="s">
        <v>105</v>
      </c>
    </row>
    <row r="3061" spans="1:15">
      <c r="A3061" s="70">
        <v>2025</v>
      </c>
      <c r="B3061" s="16" t="s">
        <v>998</v>
      </c>
      <c r="C3061" s="71" t="s">
        <v>4093</v>
      </c>
      <c r="D3061" s="2" t="s">
        <v>1204</v>
      </c>
      <c r="E3061" s="2" t="s">
        <v>1205</v>
      </c>
      <c r="F3061" s="96">
        <v>900</v>
      </c>
      <c r="G3061" s="1" t="s">
        <v>19</v>
      </c>
      <c r="H3061" s="8">
        <v>7.8</v>
      </c>
      <c r="I3061" s="8">
        <f t="shared" ref="I3061:I3124" si="204">H3061*F3061</f>
        <v>7020</v>
      </c>
      <c r="J3061" s="539">
        <v>6.5</v>
      </c>
      <c r="K3061" s="521">
        <f t="shared" si="202"/>
        <v>1.2999999999999998</v>
      </c>
      <c r="L3061" s="522">
        <f t="shared" si="201"/>
        <v>1169.9999999999998</v>
      </c>
      <c r="M3061" s="523">
        <f t="shared" si="203"/>
        <v>0.16666666666666666</v>
      </c>
      <c r="N3061" s="2" t="s">
        <v>40</v>
      </c>
      <c r="O3061" s="15" t="s">
        <v>105</v>
      </c>
    </row>
    <row r="3062" spans="1:15">
      <c r="A3062" s="70">
        <v>2025</v>
      </c>
      <c r="B3062" s="16" t="s">
        <v>998</v>
      </c>
      <c r="C3062" s="71" t="s">
        <v>4094</v>
      </c>
      <c r="D3062" s="2" t="s">
        <v>1119</v>
      </c>
      <c r="E3062" s="2" t="s">
        <v>3355</v>
      </c>
      <c r="F3062" s="96">
        <v>91</v>
      </c>
      <c r="G3062" s="1" t="s">
        <v>19</v>
      </c>
      <c r="H3062" s="8">
        <v>1850</v>
      </c>
      <c r="I3062" s="8">
        <f t="shared" si="204"/>
        <v>168350</v>
      </c>
      <c r="J3062" s="539">
        <v>1600</v>
      </c>
      <c r="K3062" s="521">
        <f t="shared" si="202"/>
        <v>250</v>
      </c>
      <c r="L3062" s="522">
        <f t="shared" si="201"/>
        <v>22750</v>
      </c>
      <c r="M3062" s="523">
        <f t="shared" si="203"/>
        <v>0.13513513513513514</v>
      </c>
      <c r="N3062" s="2" t="s">
        <v>22</v>
      </c>
      <c r="O3062" s="15" t="s">
        <v>39</v>
      </c>
    </row>
    <row r="3063" spans="1:15">
      <c r="A3063" s="70">
        <v>2025</v>
      </c>
      <c r="B3063" s="16" t="s">
        <v>998</v>
      </c>
      <c r="C3063" s="71" t="s">
        <v>4094</v>
      </c>
      <c r="D3063" s="2" t="s">
        <v>1119</v>
      </c>
      <c r="E3063" s="2" t="s">
        <v>4095</v>
      </c>
      <c r="F3063" s="96">
        <v>114</v>
      </c>
      <c r="G3063" s="1" t="s">
        <v>19</v>
      </c>
      <c r="H3063" s="8">
        <v>1000</v>
      </c>
      <c r="I3063" s="8">
        <f t="shared" si="204"/>
        <v>114000</v>
      </c>
      <c r="J3063" s="539">
        <v>760</v>
      </c>
      <c r="K3063" s="521">
        <f t="shared" si="202"/>
        <v>240</v>
      </c>
      <c r="L3063" s="522">
        <f t="shared" si="201"/>
        <v>27360</v>
      </c>
      <c r="M3063" s="523">
        <f t="shared" si="203"/>
        <v>0.24</v>
      </c>
      <c r="N3063" s="2" t="s">
        <v>22</v>
      </c>
      <c r="O3063" s="15" t="s">
        <v>39</v>
      </c>
    </row>
    <row r="3064" spans="1:15">
      <c r="A3064" s="70">
        <v>2025</v>
      </c>
      <c r="B3064" s="16" t="s">
        <v>998</v>
      </c>
      <c r="C3064" s="71" t="s">
        <v>4094</v>
      </c>
      <c r="D3064" s="2" t="s">
        <v>1119</v>
      </c>
      <c r="E3064" s="2" t="s">
        <v>4096</v>
      </c>
      <c r="F3064" s="96">
        <v>156</v>
      </c>
      <c r="G3064" s="1" t="s">
        <v>19</v>
      </c>
      <c r="H3064" s="8">
        <v>1050</v>
      </c>
      <c r="I3064" s="8">
        <f t="shared" si="204"/>
        <v>163800</v>
      </c>
      <c r="J3064" s="539">
        <v>930</v>
      </c>
      <c r="K3064" s="521">
        <f t="shared" si="202"/>
        <v>120</v>
      </c>
      <c r="L3064" s="522">
        <f t="shared" si="201"/>
        <v>18720</v>
      </c>
      <c r="M3064" s="523">
        <f t="shared" si="203"/>
        <v>0.11428571428571428</v>
      </c>
      <c r="N3064" s="2" t="s">
        <v>22</v>
      </c>
      <c r="O3064" s="15" t="s">
        <v>39</v>
      </c>
    </row>
    <row r="3065" spans="1:15">
      <c r="A3065" s="70">
        <v>2025</v>
      </c>
      <c r="B3065" s="16" t="s">
        <v>998</v>
      </c>
      <c r="C3065" s="71" t="s">
        <v>4094</v>
      </c>
      <c r="D3065" s="2" t="s">
        <v>1119</v>
      </c>
      <c r="E3065" s="2" t="s">
        <v>4097</v>
      </c>
      <c r="F3065" s="96">
        <v>276</v>
      </c>
      <c r="G3065" s="1" t="s">
        <v>19</v>
      </c>
      <c r="H3065" s="8">
        <v>1020</v>
      </c>
      <c r="I3065" s="8">
        <f t="shared" si="204"/>
        <v>281520</v>
      </c>
      <c r="J3065" s="539">
        <v>880</v>
      </c>
      <c r="K3065" s="521">
        <f t="shared" si="202"/>
        <v>140</v>
      </c>
      <c r="L3065" s="522">
        <f t="shared" si="201"/>
        <v>38640</v>
      </c>
      <c r="M3065" s="523">
        <f t="shared" si="203"/>
        <v>0.13725490196078433</v>
      </c>
      <c r="N3065" s="2" t="s">
        <v>22</v>
      </c>
      <c r="O3065" s="15" t="s">
        <v>39</v>
      </c>
    </row>
    <row r="3066" spans="1:15">
      <c r="A3066" s="70">
        <v>2025</v>
      </c>
      <c r="B3066" s="16" t="s">
        <v>998</v>
      </c>
      <c r="C3066" s="71" t="s">
        <v>4098</v>
      </c>
      <c r="D3066" s="2" t="s">
        <v>4099</v>
      </c>
      <c r="E3066" s="2" t="s">
        <v>2848</v>
      </c>
      <c r="F3066" s="96">
        <v>6200</v>
      </c>
      <c r="G3066" s="1" t="s">
        <v>19</v>
      </c>
      <c r="H3066" s="8">
        <v>60</v>
      </c>
      <c r="I3066" s="8">
        <f t="shared" si="204"/>
        <v>372000</v>
      </c>
      <c r="J3066" s="539">
        <v>40</v>
      </c>
      <c r="K3066" s="521">
        <f t="shared" si="202"/>
        <v>20</v>
      </c>
      <c r="L3066" s="522">
        <f t="shared" si="201"/>
        <v>124000</v>
      </c>
      <c r="M3066" s="523">
        <f t="shared" si="203"/>
        <v>0.33333333333333331</v>
      </c>
      <c r="N3066" s="2" t="s">
        <v>22</v>
      </c>
      <c r="O3066" s="15" t="s">
        <v>39</v>
      </c>
    </row>
    <row r="3067" spans="1:15">
      <c r="A3067" s="70">
        <v>2025</v>
      </c>
      <c r="B3067" s="16" t="s">
        <v>998</v>
      </c>
      <c r="C3067" s="71" t="s">
        <v>4100</v>
      </c>
      <c r="D3067" s="2" t="s">
        <v>4099</v>
      </c>
      <c r="E3067" s="2" t="s">
        <v>4101</v>
      </c>
      <c r="F3067" s="96">
        <v>52</v>
      </c>
      <c r="G3067" s="1" t="s">
        <v>302</v>
      </c>
      <c r="H3067" s="8">
        <v>2885</v>
      </c>
      <c r="I3067" s="8">
        <f t="shared" si="204"/>
        <v>150020</v>
      </c>
      <c r="J3067" s="539">
        <v>2740.75</v>
      </c>
      <c r="K3067" s="521">
        <f t="shared" si="202"/>
        <v>144.25</v>
      </c>
      <c r="L3067" s="522">
        <f t="shared" ref="L3067:L3130" si="205">K3067*F3067</f>
        <v>7501</v>
      </c>
      <c r="M3067" s="523">
        <f t="shared" si="203"/>
        <v>0.05</v>
      </c>
      <c r="N3067" s="2" t="s">
        <v>22</v>
      </c>
      <c r="O3067" s="15" t="s">
        <v>39</v>
      </c>
    </row>
    <row r="3068" spans="1:15">
      <c r="A3068" s="70">
        <v>2025</v>
      </c>
      <c r="B3068" s="16" t="s">
        <v>998</v>
      </c>
      <c r="C3068" s="71" t="s">
        <v>4100</v>
      </c>
      <c r="D3068" s="2" t="s">
        <v>4099</v>
      </c>
      <c r="E3068" s="2" t="s">
        <v>4102</v>
      </c>
      <c r="F3068" s="96">
        <v>104</v>
      </c>
      <c r="G3068" s="1" t="s">
        <v>302</v>
      </c>
      <c r="H3068" s="8">
        <v>710</v>
      </c>
      <c r="I3068" s="8">
        <f t="shared" si="204"/>
        <v>73840</v>
      </c>
      <c r="J3068" s="539">
        <v>674.5</v>
      </c>
      <c r="K3068" s="521">
        <f t="shared" si="202"/>
        <v>35.5</v>
      </c>
      <c r="L3068" s="522">
        <f t="shared" si="205"/>
        <v>3692</v>
      </c>
      <c r="M3068" s="523">
        <f t="shared" si="203"/>
        <v>0.05</v>
      </c>
      <c r="N3068" s="2" t="s">
        <v>22</v>
      </c>
      <c r="O3068" s="15" t="s">
        <v>39</v>
      </c>
    </row>
    <row r="3069" spans="1:15">
      <c r="A3069" s="70">
        <v>2025</v>
      </c>
      <c r="B3069" s="16" t="s">
        <v>998</v>
      </c>
      <c r="C3069" s="71" t="s">
        <v>4100</v>
      </c>
      <c r="D3069" s="2" t="s">
        <v>4099</v>
      </c>
      <c r="E3069" s="2" t="s">
        <v>4103</v>
      </c>
      <c r="F3069" s="96">
        <v>104</v>
      </c>
      <c r="G3069" s="1" t="s">
        <v>19</v>
      </c>
      <c r="H3069" s="8">
        <v>710</v>
      </c>
      <c r="I3069" s="8">
        <f t="shared" si="204"/>
        <v>73840</v>
      </c>
      <c r="J3069" s="539">
        <v>674.5</v>
      </c>
      <c r="K3069" s="521">
        <f t="shared" si="202"/>
        <v>35.5</v>
      </c>
      <c r="L3069" s="522">
        <f t="shared" si="205"/>
        <v>3692</v>
      </c>
      <c r="M3069" s="523">
        <f t="shared" si="203"/>
        <v>0.05</v>
      </c>
      <c r="N3069" s="2" t="s">
        <v>22</v>
      </c>
      <c r="O3069" s="15" t="s">
        <v>39</v>
      </c>
    </row>
    <row r="3070" spans="1:15">
      <c r="A3070" s="70">
        <v>2025</v>
      </c>
      <c r="B3070" s="16" t="s">
        <v>998</v>
      </c>
      <c r="C3070" s="71" t="s">
        <v>4100</v>
      </c>
      <c r="D3070" s="2" t="s">
        <v>4099</v>
      </c>
      <c r="E3070" s="2" t="s">
        <v>4102</v>
      </c>
      <c r="F3070" s="96">
        <v>40</v>
      </c>
      <c r="G3070" s="1" t="s">
        <v>302</v>
      </c>
      <c r="H3070" s="8">
        <v>710</v>
      </c>
      <c r="I3070" s="8">
        <f t="shared" si="204"/>
        <v>28400</v>
      </c>
      <c r="J3070" s="539">
        <v>674.5</v>
      </c>
      <c r="K3070" s="521">
        <f t="shared" si="202"/>
        <v>35.5</v>
      </c>
      <c r="L3070" s="522">
        <f t="shared" si="205"/>
        <v>1420</v>
      </c>
      <c r="M3070" s="523">
        <f t="shared" si="203"/>
        <v>0.05</v>
      </c>
      <c r="N3070" s="2" t="s">
        <v>22</v>
      </c>
      <c r="O3070" s="15" t="s">
        <v>39</v>
      </c>
    </row>
    <row r="3071" spans="1:15">
      <c r="A3071" s="70">
        <v>2025</v>
      </c>
      <c r="B3071" s="16" t="s">
        <v>998</v>
      </c>
      <c r="C3071" s="71" t="s">
        <v>4100</v>
      </c>
      <c r="D3071" s="2" t="s">
        <v>4099</v>
      </c>
      <c r="E3071" s="2" t="s">
        <v>4103</v>
      </c>
      <c r="F3071" s="96">
        <v>40</v>
      </c>
      <c r="G3071" s="1" t="s">
        <v>19</v>
      </c>
      <c r="H3071" s="8">
        <v>710</v>
      </c>
      <c r="I3071" s="8">
        <f t="shared" si="204"/>
        <v>28400</v>
      </c>
      <c r="J3071" s="539">
        <v>674.5</v>
      </c>
      <c r="K3071" s="521">
        <f t="shared" si="202"/>
        <v>35.5</v>
      </c>
      <c r="L3071" s="522">
        <f t="shared" si="205"/>
        <v>1420</v>
      </c>
      <c r="M3071" s="523">
        <f t="shared" si="203"/>
        <v>0.05</v>
      </c>
      <c r="N3071" s="2" t="s">
        <v>22</v>
      </c>
      <c r="O3071" s="15" t="s">
        <v>39</v>
      </c>
    </row>
    <row r="3072" spans="1:15">
      <c r="A3072" s="70">
        <v>2025</v>
      </c>
      <c r="B3072" s="16" t="s">
        <v>998</v>
      </c>
      <c r="C3072" s="71" t="s">
        <v>4100</v>
      </c>
      <c r="D3072" s="2" t="s">
        <v>4099</v>
      </c>
      <c r="E3072" s="2" t="s">
        <v>4101</v>
      </c>
      <c r="F3072" s="96">
        <v>20</v>
      </c>
      <c r="G3072" s="1" t="s">
        <v>302</v>
      </c>
      <c r="H3072" s="8">
        <v>2885</v>
      </c>
      <c r="I3072" s="8">
        <f t="shared" si="204"/>
        <v>57700</v>
      </c>
      <c r="J3072" s="539">
        <v>2740.75</v>
      </c>
      <c r="K3072" s="521">
        <f t="shared" si="202"/>
        <v>144.25</v>
      </c>
      <c r="L3072" s="522">
        <f t="shared" si="205"/>
        <v>2885</v>
      </c>
      <c r="M3072" s="523">
        <f t="shared" si="203"/>
        <v>0.05</v>
      </c>
      <c r="N3072" s="2" t="s">
        <v>22</v>
      </c>
      <c r="O3072" s="15" t="s">
        <v>39</v>
      </c>
    </row>
    <row r="3073" spans="1:15">
      <c r="A3073" s="70">
        <v>2025</v>
      </c>
      <c r="B3073" s="16" t="s">
        <v>998</v>
      </c>
      <c r="C3073" s="71" t="s">
        <v>4104</v>
      </c>
      <c r="D3073" s="2" t="s">
        <v>174</v>
      </c>
      <c r="E3073" s="2" t="s">
        <v>4105</v>
      </c>
      <c r="F3073" s="96">
        <v>5</v>
      </c>
      <c r="G3073" s="1" t="s">
        <v>19</v>
      </c>
      <c r="H3073" s="8">
        <v>315</v>
      </c>
      <c r="I3073" s="8">
        <f t="shared" si="204"/>
        <v>1575</v>
      </c>
      <c r="J3073" s="539">
        <v>310</v>
      </c>
      <c r="K3073" s="521">
        <f t="shared" si="202"/>
        <v>5</v>
      </c>
      <c r="L3073" s="522">
        <f t="shared" si="205"/>
        <v>25</v>
      </c>
      <c r="M3073" s="523">
        <f t="shared" si="203"/>
        <v>1.5873015873015872E-2</v>
      </c>
      <c r="N3073" s="2" t="s">
        <v>40</v>
      </c>
      <c r="O3073" s="15" t="s">
        <v>105</v>
      </c>
    </row>
    <row r="3074" spans="1:15">
      <c r="A3074" s="70">
        <v>2025</v>
      </c>
      <c r="B3074" s="16" t="s">
        <v>998</v>
      </c>
      <c r="C3074" s="71" t="s">
        <v>4104</v>
      </c>
      <c r="D3074" s="2" t="s">
        <v>174</v>
      </c>
      <c r="E3074" s="2" t="s">
        <v>4053</v>
      </c>
      <c r="F3074" s="96">
        <v>200</v>
      </c>
      <c r="G3074" s="1" t="s">
        <v>19</v>
      </c>
      <c r="H3074" s="8">
        <v>350</v>
      </c>
      <c r="I3074" s="8">
        <f t="shared" si="204"/>
        <v>70000</v>
      </c>
      <c r="J3074" s="539">
        <v>345</v>
      </c>
      <c r="K3074" s="521">
        <f t="shared" si="202"/>
        <v>5</v>
      </c>
      <c r="L3074" s="522">
        <f t="shared" si="205"/>
        <v>1000</v>
      </c>
      <c r="M3074" s="523">
        <f t="shared" si="203"/>
        <v>1.4285714285714285E-2</v>
      </c>
      <c r="N3074" s="2" t="s">
        <v>40</v>
      </c>
      <c r="O3074" s="15" t="s">
        <v>105</v>
      </c>
    </row>
    <row r="3075" spans="1:15">
      <c r="A3075" s="70">
        <v>2025</v>
      </c>
      <c r="B3075" s="16" t="s">
        <v>998</v>
      </c>
      <c r="C3075" s="71" t="s">
        <v>4104</v>
      </c>
      <c r="D3075" s="2" t="s">
        <v>174</v>
      </c>
      <c r="E3075" s="2" t="s">
        <v>4052</v>
      </c>
      <c r="F3075" s="96">
        <v>300</v>
      </c>
      <c r="G3075" s="1" t="s">
        <v>19</v>
      </c>
      <c r="H3075" s="8">
        <v>250</v>
      </c>
      <c r="I3075" s="8">
        <f t="shared" si="204"/>
        <v>75000</v>
      </c>
      <c r="J3075" s="539">
        <v>245</v>
      </c>
      <c r="K3075" s="521">
        <f t="shared" ref="K3075:K3138" si="206">H3075-J3075</f>
        <v>5</v>
      </c>
      <c r="L3075" s="522">
        <f t="shared" si="205"/>
        <v>1500</v>
      </c>
      <c r="M3075" s="523">
        <f t="shared" ref="M3075:M3138" si="207">K3075/H3075</f>
        <v>0.02</v>
      </c>
      <c r="N3075" s="2" t="s">
        <v>40</v>
      </c>
      <c r="O3075" s="15" t="s">
        <v>105</v>
      </c>
    </row>
    <row r="3076" spans="1:15">
      <c r="A3076" s="70">
        <v>2025</v>
      </c>
      <c r="B3076" s="16" t="s">
        <v>998</v>
      </c>
      <c r="C3076" s="71" t="s">
        <v>4106</v>
      </c>
      <c r="D3076" s="2" t="s">
        <v>1119</v>
      </c>
      <c r="E3076" s="2" t="s">
        <v>3487</v>
      </c>
      <c r="F3076" s="96">
        <v>101</v>
      </c>
      <c r="G3076" s="1" t="s">
        <v>19</v>
      </c>
      <c r="H3076" s="8">
        <v>380</v>
      </c>
      <c r="I3076" s="8">
        <f t="shared" si="204"/>
        <v>38380</v>
      </c>
      <c r="J3076" s="539">
        <v>260</v>
      </c>
      <c r="K3076" s="521">
        <f t="shared" si="206"/>
        <v>120</v>
      </c>
      <c r="L3076" s="522">
        <f t="shared" si="205"/>
        <v>12120</v>
      </c>
      <c r="M3076" s="523">
        <f t="shared" si="207"/>
        <v>0.31578947368421051</v>
      </c>
      <c r="N3076" s="2" t="s">
        <v>22</v>
      </c>
      <c r="O3076" s="15" t="s">
        <v>39</v>
      </c>
    </row>
    <row r="3077" spans="1:15">
      <c r="A3077" s="70">
        <v>2025</v>
      </c>
      <c r="B3077" s="16" t="s">
        <v>998</v>
      </c>
      <c r="C3077" s="71" t="s">
        <v>4107</v>
      </c>
      <c r="D3077" s="2" t="s">
        <v>270</v>
      </c>
      <c r="E3077" s="2" t="s">
        <v>4108</v>
      </c>
      <c r="F3077" s="96">
        <v>2</v>
      </c>
      <c r="G3077" s="1" t="s">
        <v>302</v>
      </c>
      <c r="H3077" s="8">
        <v>124260</v>
      </c>
      <c r="I3077" s="8">
        <f t="shared" si="204"/>
        <v>248520</v>
      </c>
      <c r="J3077" s="539">
        <v>122400</v>
      </c>
      <c r="K3077" s="521">
        <f t="shared" si="206"/>
        <v>1860</v>
      </c>
      <c r="L3077" s="522">
        <f t="shared" si="205"/>
        <v>3720</v>
      </c>
      <c r="M3077" s="523">
        <f t="shared" si="207"/>
        <v>1.496861419604056E-2</v>
      </c>
      <c r="N3077" s="2" t="s">
        <v>40</v>
      </c>
      <c r="O3077" s="15" t="s">
        <v>105</v>
      </c>
    </row>
    <row r="3078" spans="1:15">
      <c r="A3078" s="70">
        <v>2025</v>
      </c>
      <c r="B3078" s="16" t="s">
        <v>998</v>
      </c>
      <c r="C3078" s="71" t="s">
        <v>4109</v>
      </c>
      <c r="D3078" s="2" t="s">
        <v>94</v>
      </c>
      <c r="E3078" s="2" t="s">
        <v>4110</v>
      </c>
      <c r="F3078" s="96">
        <v>300</v>
      </c>
      <c r="G3078" s="1" t="s">
        <v>19</v>
      </c>
      <c r="H3078" s="8">
        <v>15.5</v>
      </c>
      <c r="I3078" s="8">
        <f t="shared" si="204"/>
        <v>4650</v>
      </c>
      <c r="J3078" s="539">
        <v>14.76</v>
      </c>
      <c r="K3078" s="521">
        <f t="shared" si="206"/>
        <v>0.74000000000000021</v>
      </c>
      <c r="L3078" s="522">
        <f t="shared" si="205"/>
        <v>222.00000000000006</v>
      </c>
      <c r="M3078" s="523">
        <f t="shared" si="207"/>
        <v>4.7741935483870984E-2</v>
      </c>
      <c r="N3078" s="2" t="s">
        <v>22</v>
      </c>
      <c r="O3078" s="15" t="s">
        <v>105</v>
      </c>
    </row>
    <row r="3079" spans="1:15">
      <c r="A3079" s="70">
        <v>2025</v>
      </c>
      <c r="B3079" s="16" t="s">
        <v>998</v>
      </c>
      <c r="C3079" s="71" t="s">
        <v>4109</v>
      </c>
      <c r="D3079" s="2" t="s">
        <v>94</v>
      </c>
      <c r="E3079" s="2" t="s">
        <v>550</v>
      </c>
      <c r="F3079" s="96">
        <v>200</v>
      </c>
      <c r="G3079" s="1" t="s">
        <v>19</v>
      </c>
      <c r="H3079" s="8">
        <v>50</v>
      </c>
      <c r="I3079" s="8">
        <f t="shared" si="204"/>
        <v>10000</v>
      </c>
      <c r="J3079" s="539">
        <v>47.56</v>
      </c>
      <c r="K3079" s="521">
        <f t="shared" si="206"/>
        <v>2.4399999999999977</v>
      </c>
      <c r="L3079" s="522">
        <f t="shared" si="205"/>
        <v>487.99999999999955</v>
      </c>
      <c r="M3079" s="523">
        <f t="shared" si="207"/>
        <v>4.8799999999999955E-2</v>
      </c>
      <c r="N3079" s="2" t="s">
        <v>22</v>
      </c>
      <c r="O3079" s="15" t="s">
        <v>105</v>
      </c>
    </row>
    <row r="3080" spans="1:15">
      <c r="A3080" s="70">
        <v>2025</v>
      </c>
      <c r="B3080" s="16" t="s">
        <v>998</v>
      </c>
      <c r="C3080" s="71" t="s">
        <v>4109</v>
      </c>
      <c r="D3080" s="2" t="s">
        <v>94</v>
      </c>
      <c r="E3080" s="2" t="s">
        <v>457</v>
      </c>
      <c r="F3080" s="96">
        <v>200</v>
      </c>
      <c r="G3080" s="1" t="s">
        <v>19</v>
      </c>
      <c r="H3080" s="8">
        <v>5.25</v>
      </c>
      <c r="I3080" s="8">
        <f t="shared" si="204"/>
        <v>1050</v>
      </c>
      <c r="J3080" s="539">
        <v>5.0999999999999996</v>
      </c>
      <c r="K3080" s="521">
        <f t="shared" si="206"/>
        <v>0.15000000000000036</v>
      </c>
      <c r="L3080" s="522">
        <f t="shared" si="205"/>
        <v>30.000000000000071</v>
      </c>
      <c r="M3080" s="523">
        <f t="shared" si="207"/>
        <v>2.857142857142864E-2</v>
      </c>
      <c r="N3080" s="2" t="s">
        <v>22</v>
      </c>
      <c r="O3080" s="15" t="s">
        <v>105</v>
      </c>
    </row>
    <row r="3081" spans="1:15">
      <c r="A3081" s="70">
        <v>2025</v>
      </c>
      <c r="B3081" s="16" t="s">
        <v>998</v>
      </c>
      <c r="C3081" s="71" t="s">
        <v>4111</v>
      </c>
      <c r="D3081" s="2" t="s">
        <v>94</v>
      </c>
      <c r="E3081" s="2" t="s">
        <v>973</v>
      </c>
      <c r="F3081" s="96">
        <v>2</v>
      </c>
      <c r="G3081" s="1" t="s">
        <v>29</v>
      </c>
      <c r="H3081" s="8">
        <v>6800</v>
      </c>
      <c r="I3081" s="8">
        <f t="shared" si="204"/>
        <v>13600</v>
      </c>
      <c r="J3081" s="539">
        <v>6363</v>
      </c>
      <c r="K3081" s="521">
        <f t="shared" si="206"/>
        <v>437</v>
      </c>
      <c r="L3081" s="522">
        <f t="shared" si="205"/>
        <v>874</v>
      </c>
      <c r="M3081" s="523">
        <f t="shared" si="207"/>
        <v>6.4264705882352946E-2</v>
      </c>
      <c r="N3081" s="2" t="s">
        <v>22</v>
      </c>
      <c r="O3081" s="15" t="s">
        <v>105</v>
      </c>
    </row>
    <row r="3082" spans="1:15">
      <c r="A3082" s="70">
        <v>2025</v>
      </c>
      <c r="B3082" s="16" t="s">
        <v>998</v>
      </c>
      <c r="C3082" s="71" t="s">
        <v>4112</v>
      </c>
      <c r="D3082" s="2" t="s">
        <v>1119</v>
      </c>
      <c r="E3082" s="2" t="s">
        <v>3476</v>
      </c>
      <c r="F3082" s="96">
        <v>2037</v>
      </c>
      <c r="G3082" s="1" t="s">
        <v>19</v>
      </c>
      <c r="H3082" s="8">
        <v>45</v>
      </c>
      <c r="I3082" s="8">
        <f t="shared" si="204"/>
        <v>91665</v>
      </c>
      <c r="J3082" s="539">
        <v>26</v>
      </c>
      <c r="K3082" s="521">
        <f t="shared" si="206"/>
        <v>19</v>
      </c>
      <c r="L3082" s="522">
        <f t="shared" si="205"/>
        <v>38703</v>
      </c>
      <c r="M3082" s="523">
        <f t="shared" si="207"/>
        <v>0.42222222222222222</v>
      </c>
      <c r="N3082" s="2" t="s">
        <v>22</v>
      </c>
      <c r="O3082" s="15" t="s">
        <v>39</v>
      </c>
    </row>
    <row r="3083" spans="1:15">
      <c r="A3083" s="70">
        <v>2025</v>
      </c>
      <c r="B3083" s="16" t="s">
        <v>998</v>
      </c>
      <c r="C3083" s="71" t="s">
        <v>4113</v>
      </c>
      <c r="D3083" s="2" t="s">
        <v>3847</v>
      </c>
      <c r="E3083" s="2" t="s">
        <v>3848</v>
      </c>
      <c r="F3083" s="96">
        <v>15</v>
      </c>
      <c r="G3083" s="1" t="s">
        <v>19</v>
      </c>
      <c r="H3083" s="8">
        <v>10296</v>
      </c>
      <c r="I3083" s="8">
        <f t="shared" si="204"/>
        <v>154440</v>
      </c>
      <c r="J3083" s="539">
        <v>10098</v>
      </c>
      <c r="K3083" s="521">
        <f t="shared" si="206"/>
        <v>198</v>
      </c>
      <c r="L3083" s="522">
        <f t="shared" si="205"/>
        <v>2970</v>
      </c>
      <c r="M3083" s="523">
        <f t="shared" si="207"/>
        <v>1.9230769230769232E-2</v>
      </c>
      <c r="N3083" s="2" t="s">
        <v>40</v>
      </c>
      <c r="O3083" s="15" t="s">
        <v>105</v>
      </c>
    </row>
    <row r="3084" spans="1:15">
      <c r="A3084" s="70">
        <v>2025</v>
      </c>
      <c r="B3084" s="16" t="s">
        <v>998</v>
      </c>
      <c r="C3084" s="71" t="s">
        <v>4114</v>
      </c>
      <c r="D3084" s="2" t="s">
        <v>35</v>
      </c>
      <c r="E3084" s="150" t="s">
        <v>1130</v>
      </c>
      <c r="F3084" s="457">
        <v>3641</v>
      </c>
      <c r="G3084" s="484" t="s">
        <v>37</v>
      </c>
      <c r="H3084" s="151">
        <v>380</v>
      </c>
      <c r="I3084" s="8">
        <f t="shared" si="204"/>
        <v>1383580</v>
      </c>
      <c r="J3084" s="539">
        <v>375</v>
      </c>
      <c r="K3084" s="521">
        <f t="shared" si="206"/>
        <v>5</v>
      </c>
      <c r="L3084" s="522">
        <f t="shared" si="205"/>
        <v>18205</v>
      </c>
      <c r="M3084" s="523">
        <f t="shared" si="207"/>
        <v>1.3157894736842105E-2</v>
      </c>
      <c r="N3084" s="2" t="s">
        <v>40</v>
      </c>
      <c r="O3084" s="15" t="s">
        <v>105</v>
      </c>
    </row>
    <row r="3085" spans="1:15">
      <c r="A3085" s="70">
        <v>2025</v>
      </c>
      <c r="B3085" s="16" t="s">
        <v>998</v>
      </c>
      <c r="C3085" s="71" t="s">
        <v>4114</v>
      </c>
      <c r="D3085" s="2" t="s">
        <v>35</v>
      </c>
      <c r="E3085" s="150" t="s">
        <v>2176</v>
      </c>
      <c r="F3085" s="457">
        <v>290</v>
      </c>
      <c r="G3085" s="484" t="s">
        <v>37</v>
      </c>
      <c r="H3085" s="151">
        <v>387</v>
      </c>
      <c r="I3085" s="8">
        <f t="shared" si="204"/>
        <v>112230</v>
      </c>
      <c r="J3085" s="539">
        <v>382</v>
      </c>
      <c r="K3085" s="521">
        <f t="shared" si="206"/>
        <v>5</v>
      </c>
      <c r="L3085" s="522">
        <f t="shared" si="205"/>
        <v>1450</v>
      </c>
      <c r="M3085" s="523">
        <f t="shared" si="207"/>
        <v>1.2919896640826873E-2</v>
      </c>
      <c r="N3085" s="2" t="s">
        <v>40</v>
      </c>
      <c r="O3085" s="15" t="s">
        <v>105</v>
      </c>
    </row>
    <row r="3086" spans="1:15">
      <c r="A3086" s="70">
        <v>2025</v>
      </c>
      <c r="B3086" s="16" t="s">
        <v>998</v>
      </c>
      <c r="C3086" s="71" t="s">
        <v>4115</v>
      </c>
      <c r="D3086" s="2" t="s">
        <v>192</v>
      </c>
      <c r="E3086" s="150" t="s">
        <v>694</v>
      </c>
      <c r="F3086" s="457">
        <v>80</v>
      </c>
      <c r="G3086" s="484" t="s">
        <v>19</v>
      </c>
      <c r="H3086" s="151">
        <v>5780</v>
      </c>
      <c r="I3086" s="8">
        <f t="shared" si="204"/>
        <v>462400</v>
      </c>
      <c r="J3086" s="539">
        <v>5640</v>
      </c>
      <c r="K3086" s="521">
        <f t="shared" si="206"/>
        <v>140</v>
      </c>
      <c r="L3086" s="522">
        <f t="shared" si="205"/>
        <v>11200</v>
      </c>
      <c r="M3086" s="523">
        <f t="shared" si="207"/>
        <v>2.4221453287197232E-2</v>
      </c>
      <c r="N3086" s="2" t="s">
        <v>22</v>
      </c>
      <c r="O3086" s="15" t="s">
        <v>39</v>
      </c>
    </row>
    <row r="3087" spans="1:15">
      <c r="A3087" s="70">
        <v>2025</v>
      </c>
      <c r="B3087" s="16" t="s">
        <v>998</v>
      </c>
      <c r="C3087" s="71" t="s">
        <v>4116</v>
      </c>
      <c r="D3087" s="2" t="s">
        <v>4099</v>
      </c>
      <c r="E3087" s="150" t="s">
        <v>4117</v>
      </c>
      <c r="F3087" s="457">
        <v>135</v>
      </c>
      <c r="G3087" s="484" t="s">
        <v>19</v>
      </c>
      <c r="H3087" s="151">
        <v>2470</v>
      </c>
      <c r="I3087" s="8">
        <f t="shared" si="204"/>
        <v>333450</v>
      </c>
      <c r="J3087" s="539">
        <v>2400</v>
      </c>
      <c r="K3087" s="521">
        <f t="shared" si="206"/>
        <v>70</v>
      </c>
      <c r="L3087" s="522">
        <f t="shared" si="205"/>
        <v>9450</v>
      </c>
      <c r="M3087" s="523">
        <f t="shared" si="207"/>
        <v>2.8340080971659919E-2</v>
      </c>
      <c r="N3087" s="2" t="s">
        <v>22</v>
      </c>
      <c r="O3087" s="15" t="s">
        <v>39</v>
      </c>
    </row>
    <row r="3088" spans="1:15">
      <c r="A3088" s="70">
        <v>2025</v>
      </c>
      <c r="B3088" s="16" t="s">
        <v>998</v>
      </c>
      <c r="C3088" s="71" t="s">
        <v>4118</v>
      </c>
      <c r="D3088" s="2" t="s">
        <v>1000</v>
      </c>
      <c r="E3088" s="150" t="s">
        <v>1001</v>
      </c>
      <c r="F3088" s="457">
        <v>49</v>
      </c>
      <c r="G3088" s="484" t="s">
        <v>302</v>
      </c>
      <c r="H3088" s="151">
        <v>1900</v>
      </c>
      <c r="I3088" s="8">
        <f t="shared" si="204"/>
        <v>93100</v>
      </c>
      <c r="J3088" s="539">
        <v>1500</v>
      </c>
      <c r="K3088" s="521">
        <f t="shared" si="206"/>
        <v>400</v>
      </c>
      <c r="L3088" s="522">
        <f t="shared" si="205"/>
        <v>19600</v>
      </c>
      <c r="M3088" s="523">
        <f t="shared" si="207"/>
        <v>0.21052631578947367</v>
      </c>
      <c r="N3088" s="2" t="s">
        <v>22</v>
      </c>
      <c r="O3088" s="15" t="s">
        <v>39</v>
      </c>
    </row>
    <row r="3089" spans="1:15">
      <c r="A3089" s="70">
        <v>2025</v>
      </c>
      <c r="B3089" s="16" t="s">
        <v>998</v>
      </c>
      <c r="C3089" s="71" t="s">
        <v>4119</v>
      </c>
      <c r="D3089" s="2" t="s">
        <v>94</v>
      </c>
      <c r="E3089" s="150" t="s">
        <v>546</v>
      </c>
      <c r="F3089" s="457">
        <v>100</v>
      </c>
      <c r="G3089" s="484" t="s">
        <v>19</v>
      </c>
      <c r="H3089" s="151">
        <v>190</v>
      </c>
      <c r="I3089" s="8">
        <f t="shared" si="204"/>
        <v>19000</v>
      </c>
      <c r="J3089" s="539">
        <v>182.25</v>
      </c>
      <c r="K3089" s="521">
        <f t="shared" si="206"/>
        <v>7.75</v>
      </c>
      <c r="L3089" s="522">
        <f t="shared" si="205"/>
        <v>775</v>
      </c>
      <c r="M3089" s="523">
        <f t="shared" si="207"/>
        <v>4.0789473684210528E-2</v>
      </c>
      <c r="N3089" s="2" t="s">
        <v>22</v>
      </c>
      <c r="O3089" s="15" t="s">
        <v>105</v>
      </c>
    </row>
    <row r="3090" spans="1:15">
      <c r="A3090" s="70">
        <v>2025</v>
      </c>
      <c r="B3090" s="16" t="s">
        <v>998</v>
      </c>
      <c r="C3090" s="71" t="s">
        <v>4120</v>
      </c>
      <c r="D3090" s="2" t="s">
        <v>1119</v>
      </c>
      <c r="E3090" s="2" t="s">
        <v>4121</v>
      </c>
      <c r="F3090" s="96">
        <v>4</v>
      </c>
      <c r="G3090" s="484" t="s">
        <v>19</v>
      </c>
      <c r="H3090" s="8">
        <v>750</v>
      </c>
      <c r="I3090" s="8">
        <f t="shared" si="204"/>
        <v>3000</v>
      </c>
      <c r="J3090" s="539">
        <v>710</v>
      </c>
      <c r="K3090" s="521">
        <f t="shared" si="206"/>
        <v>40</v>
      </c>
      <c r="L3090" s="522">
        <f t="shared" si="205"/>
        <v>160</v>
      </c>
      <c r="M3090" s="523">
        <f t="shared" si="207"/>
        <v>5.3333333333333337E-2</v>
      </c>
      <c r="N3090" s="2" t="s">
        <v>22</v>
      </c>
      <c r="O3090" s="15" t="s">
        <v>39</v>
      </c>
    </row>
    <row r="3091" spans="1:15">
      <c r="A3091" s="70">
        <v>2025</v>
      </c>
      <c r="B3091" s="16" t="s">
        <v>998</v>
      </c>
      <c r="C3091" s="71" t="s">
        <v>4120</v>
      </c>
      <c r="D3091" s="2" t="s">
        <v>1119</v>
      </c>
      <c r="E3091" s="2" t="s">
        <v>4122</v>
      </c>
      <c r="F3091" s="96">
        <v>16</v>
      </c>
      <c r="G3091" s="484" t="s">
        <v>19</v>
      </c>
      <c r="H3091" s="8">
        <v>800</v>
      </c>
      <c r="I3091" s="8">
        <f t="shared" si="204"/>
        <v>12800</v>
      </c>
      <c r="J3091" s="539">
        <v>780</v>
      </c>
      <c r="K3091" s="521">
        <f t="shared" si="206"/>
        <v>20</v>
      </c>
      <c r="L3091" s="522">
        <f t="shared" si="205"/>
        <v>320</v>
      </c>
      <c r="M3091" s="523">
        <f t="shared" si="207"/>
        <v>2.5000000000000001E-2</v>
      </c>
      <c r="N3091" s="2" t="s">
        <v>22</v>
      </c>
      <c r="O3091" s="15" t="s">
        <v>39</v>
      </c>
    </row>
    <row r="3092" spans="1:15">
      <c r="A3092" s="70">
        <v>2025</v>
      </c>
      <c r="B3092" s="16" t="s">
        <v>998</v>
      </c>
      <c r="C3092" s="71" t="s">
        <v>4120</v>
      </c>
      <c r="D3092" s="2" t="s">
        <v>1119</v>
      </c>
      <c r="E3092" s="2" t="s">
        <v>4123</v>
      </c>
      <c r="F3092" s="96">
        <v>4</v>
      </c>
      <c r="G3092" s="484" t="s">
        <v>19</v>
      </c>
      <c r="H3092" s="8">
        <v>850</v>
      </c>
      <c r="I3092" s="8">
        <f t="shared" si="204"/>
        <v>3400</v>
      </c>
      <c r="J3092" s="539">
        <v>790</v>
      </c>
      <c r="K3092" s="521">
        <f t="shared" si="206"/>
        <v>60</v>
      </c>
      <c r="L3092" s="522">
        <f t="shared" si="205"/>
        <v>240</v>
      </c>
      <c r="M3092" s="523">
        <f t="shared" si="207"/>
        <v>7.0588235294117646E-2</v>
      </c>
      <c r="N3092" s="2" t="s">
        <v>22</v>
      </c>
      <c r="O3092" s="15" t="s">
        <v>39</v>
      </c>
    </row>
    <row r="3093" spans="1:15">
      <c r="A3093" s="70">
        <v>2025</v>
      </c>
      <c r="B3093" s="16" t="s">
        <v>998</v>
      </c>
      <c r="C3093" s="71" t="s">
        <v>4120</v>
      </c>
      <c r="D3093" s="2" t="s">
        <v>1119</v>
      </c>
      <c r="E3093" s="2" t="s">
        <v>4124</v>
      </c>
      <c r="F3093" s="96">
        <v>8</v>
      </c>
      <c r="G3093" s="484" t="s">
        <v>19</v>
      </c>
      <c r="H3093" s="8">
        <v>800</v>
      </c>
      <c r="I3093" s="8">
        <f t="shared" si="204"/>
        <v>6400</v>
      </c>
      <c r="J3093" s="539">
        <v>780</v>
      </c>
      <c r="K3093" s="521">
        <f t="shared" si="206"/>
        <v>20</v>
      </c>
      <c r="L3093" s="522">
        <f t="shared" si="205"/>
        <v>160</v>
      </c>
      <c r="M3093" s="523">
        <f t="shared" si="207"/>
        <v>2.5000000000000001E-2</v>
      </c>
      <c r="N3093" s="2" t="s">
        <v>22</v>
      </c>
      <c r="O3093" s="15" t="s">
        <v>39</v>
      </c>
    </row>
    <row r="3094" spans="1:15">
      <c r="A3094" s="70">
        <v>2025</v>
      </c>
      <c r="B3094" s="16" t="s">
        <v>998</v>
      </c>
      <c r="C3094" s="71" t="s">
        <v>4120</v>
      </c>
      <c r="D3094" s="2" t="s">
        <v>1119</v>
      </c>
      <c r="E3094" s="2" t="s">
        <v>4125</v>
      </c>
      <c r="F3094" s="96">
        <v>8</v>
      </c>
      <c r="G3094" s="484" t="s">
        <v>19</v>
      </c>
      <c r="H3094" s="8">
        <v>790</v>
      </c>
      <c r="I3094" s="8">
        <f t="shared" si="204"/>
        <v>6320</v>
      </c>
      <c r="J3094" s="539">
        <v>770</v>
      </c>
      <c r="K3094" s="521">
        <f t="shared" si="206"/>
        <v>20</v>
      </c>
      <c r="L3094" s="522">
        <f t="shared" si="205"/>
        <v>160</v>
      </c>
      <c r="M3094" s="523">
        <f t="shared" si="207"/>
        <v>2.5316455696202531E-2</v>
      </c>
      <c r="N3094" s="2" t="s">
        <v>22</v>
      </c>
      <c r="O3094" s="15" t="s">
        <v>39</v>
      </c>
    </row>
    <row r="3095" spans="1:15">
      <c r="A3095" s="70">
        <v>2025</v>
      </c>
      <c r="B3095" s="16" t="s">
        <v>998</v>
      </c>
      <c r="C3095" s="71" t="s">
        <v>4126</v>
      </c>
      <c r="D3095" s="2" t="s">
        <v>200</v>
      </c>
      <c r="E3095" s="2" t="s">
        <v>4127</v>
      </c>
      <c r="F3095" s="96">
        <v>5</v>
      </c>
      <c r="G3095" s="1" t="s">
        <v>302</v>
      </c>
      <c r="H3095" s="8">
        <v>30500</v>
      </c>
      <c r="I3095" s="8">
        <f t="shared" si="204"/>
        <v>152500</v>
      </c>
      <c r="J3095" s="539">
        <v>29000</v>
      </c>
      <c r="K3095" s="521">
        <f t="shared" si="206"/>
        <v>1500</v>
      </c>
      <c r="L3095" s="522">
        <f t="shared" si="205"/>
        <v>7500</v>
      </c>
      <c r="M3095" s="523">
        <f t="shared" si="207"/>
        <v>4.9180327868852458E-2</v>
      </c>
      <c r="N3095" s="2" t="s">
        <v>40</v>
      </c>
      <c r="O3095" s="15" t="s">
        <v>39</v>
      </c>
    </row>
    <row r="3096" spans="1:15">
      <c r="A3096" s="70">
        <v>2025</v>
      </c>
      <c r="B3096" s="16" t="s">
        <v>998</v>
      </c>
      <c r="C3096" s="71" t="s">
        <v>4128</v>
      </c>
      <c r="D3096" s="2" t="s">
        <v>68</v>
      </c>
      <c r="E3096" s="2" t="s">
        <v>755</v>
      </c>
      <c r="F3096" s="96">
        <v>1100.4000000000001</v>
      </c>
      <c r="G3096" s="1" t="s">
        <v>37</v>
      </c>
      <c r="H3096" s="8">
        <v>380</v>
      </c>
      <c r="I3096" s="8">
        <f t="shared" si="204"/>
        <v>418152.00000000006</v>
      </c>
      <c r="J3096" s="539">
        <v>370</v>
      </c>
      <c r="K3096" s="521">
        <f t="shared" si="206"/>
        <v>10</v>
      </c>
      <c r="L3096" s="522">
        <f t="shared" si="205"/>
        <v>11004</v>
      </c>
      <c r="M3096" s="523">
        <f t="shared" si="207"/>
        <v>2.6315789473684209E-2</v>
      </c>
      <c r="N3096" s="2" t="s">
        <v>22</v>
      </c>
      <c r="O3096" s="15" t="s">
        <v>105</v>
      </c>
    </row>
    <row r="3097" spans="1:15">
      <c r="A3097" s="70">
        <v>2025</v>
      </c>
      <c r="B3097" s="16" t="s">
        <v>998</v>
      </c>
      <c r="C3097" s="71" t="s">
        <v>4129</v>
      </c>
      <c r="D3097" s="2" t="s">
        <v>94</v>
      </c>
      <c r="E3097" s="2" t="s">
        <v>613</v>
      </c>
      <c r="F3097" s="96">
        <v>300</v>
      </c>
      <c r="G3097" s="1" t="s">
        <v>19</v>
      </c>
      <c r="H3097" s="8">
        <v>26</v>
      </c>
      <c r="I3097" s="8">
        <f t="shared" si="204"/>
        <v>7800</v>
      </c>
      <c r="J3097" s="539">
        <v>24.6</v>
      </c>
      <c r="K3097" s="521">
        <f t="shared" si="206"/>
        <v>1.3999999999999986</v>
      </c>
      <c r="L3097" s="522">
        <f t="shared" si="205"/>
        <v>419.99999999999955</v>
      </c>
      <c r="M3097" s="523">
        <f t="shared" si="207"/>
        <v>5.3846153846153794E-2</v>
      </c>
      <c r="N3097" s="2" t="s">
        <v>22</v>
      </c>
      <c r="O3097" s="15" t="s">
        <v>105</v>
      </c>
    </row>
    <row r="3098" spans="1:15">
      <c r="A3098" s="70">
        <v>2025</v>
      </c>
      <c r="B3098" s="16" t="s">
        <v>998</v>
      </c>
      <c r="C3098" s="71" t="s">
        <v>4130</v>
      </c>
      <c r="D3098" s="2" t="s">
        <v>94</v>
      </c>
      <c r="E3098" s="2" t="s">
        <v>613</v>
      </c>
      <c r="F3098" s="96">
        <v>500</v>
      </c>
      <c r="G3098" s="1" t="s">
        <v>19</v>
      </c>
      <c r="H3098" s="8">
        <v>26</v>
      </c>
      <c r="I3098" s="8">
        <f t="shared" si="204"/>
        <v>13000</v>
      </c>
      <c r="J3098" s="539">
        <v>24.6</v>
      </c>
      <c r="K3098" s="521">
        <f t="shared" si="206"/>
        <v>1.3999999999999986</v>
      </c>
      <c r="L3098" s="522">
        <f t="shared" si="205"/>
        <v>699.99999999999932</v>
      </c>
      <c r="M3098" s="523">
        <f t="shared" si="207"/>
        <v>5.3846153846153794E-2</v>
      </c>
      <c r="N3098" s="2" t="s">
        <v>22</v>
      </c>
      <c r="O3098" s="15" t="s">
        <v>105</v>
      </c>
    </row>
    <row r="3099" spans="1:15">
      <c r="A3099" s="70">
        <v>2025</v>
      </c>
      <c r="B3099" s="16" t="s">
        <v>998</v>
      </c>
      <c r="C3099" s="71" t="s">
        <v>4130</v>
      </c>
      <c r="D3099" s="2" t="s">
        <v>94</v>
      </c>
      <c r="E3099" s="2" t="s">
        <v>1504</v>
      </c>
      <c r="F3099" s="96">
        <v>100</v>
      </c>
      <c r="G3099" s="1" t="s">
        <v>19</v>
      </c>
      <c r="H3099" s="8">
        <v>2.6</v>
      </c>
      <c r="I3099" s="8">
        <f t="shared" si="204"/>
        <v>260</v>
      </c>
      <c r="J3099" s="539">
        <v>2.5499999999999998</v>
      </c>
      <c r="K3099" s="521">
        <f t="shared" si="206"/>
        <v>5.0000000000000266E-2</v>
      </c>
      <c r="L3099" s="522">
        <f t="shared" si="205"/>
        <v>5.0000000000000266</v>
      </c>
      <c r="M3099" s="523">
        <f t="shared" si="207"/>
        <v>1.9230769230769332E-2</v>
      </c>
      <c r="N3099" s="2" t="s">
        <v>22</v>
      </c>
      <c r="O3099" s="15" t="s">
        <v>105</v>
      </c>
    </row>
    <row r="3100" spans="1:15">
      <c r="A3100" s="70">
        <v>2025</v>
      </c>
      <c r="B3100" s="16" t="s">
        <v>998</v>
      </c>
      <c r="C3100" s="71" t="s">
        <v>4131</v>
      </c>
      <c r="D3100" s="2" t="s">
        <v>1042</v>
      </c>
      <c r="E3100" s="2" t="s">
        <v>711</v>
      </c>
      <c r="F3100" s="96">
        <v>2998</v>
      </c>
      <c r="G3100" s="1" t="s">
        <v>37</v>
      </c>
      <c r="H3100" s="8">
        <v>387</v>
      </c>
      <c r="I3100" s="8">
        <f t="shared" si="204"/>
        <v>1160226</v>
      </c>
      <c r="J3100" s="539">
        <v>357</v>
      </c>
      <c r="K3100" s="521">
        <f t="shared" si="206"/>
        <v>30</v>
      </c>
      <c r="L3100" s="522">
        <f t="shared" si="205"/>
        <v>89940</v>
      </c>
      <c r="M3100" s="523">
        <f t="shared" si="207"/>
        <v>7.7519379844961239E-2</v>
      </c>
      <c r="N3100" s="2" t="s">
        <v>22</v>
      </c>
      <c r="O3100" s="15" t="s">
        <v>105</v>
      </c>
    </row>
    <row r="3101" spans="1:15">
      <c r="A3101" s="70">
        <v>2025</v>
      </c>
      <c r="B3101" s="16" t="s">
        <v>998</v>
      </c>
      <c r="C3101" s="71" t="s">
        <v>4132</v>
      </c>
      <c r="D3101" s="2" t="s">
        <v>68</v>
      </c>
      <c r="E3101" s="2" t="s">
        <v>755</v>
      </c>
      <c r="F3101" s="96">
        <v>562.6</v>
      </c>
      <c r="G3101" s="1" t="s">
        <v>37</v>
      </c>
      <c r="H3101" s="8">
        <v>380</v>
      </c>
      <c r="I3101" s="8">
        <f t="shared" si="204"/>
        <v>213788</v>
      </c>
      <c r="J3101" s="539">
        <v>370</v>
      </c>
      <c r="K3101" s="521">
        <f t="shared" si="206"/>
        <v>10</v>
      </c>
      <c r="L3101" s="522">
        <f t="shared" si="205"/>
        <v>5626</v>
      </c>
      <c r="M3101" s="523">
        <f t="shared" si="207"/>
        <v>2.6315789473684209E-2</v>
      </c>
      <c r="N3101" s="2" t="s">
        <v>22</v>
      </c>
      <c r="O3101" s="15" t="s">
        <v>105</v>
      </c>
    </row>
    <row r="3102" spans="1:15">
      <c r="A3102" s="70">
        <v>2025</v>
      </c>
      <c r="B3102" s="16" t="s">
        <v>998</v>
      </c>
      <c r="C3102" s="71" t="s">
        <v>4133</v>
      </c>
      <c r="D3102" s="2" t="s">
        <v>166</v>
      </c>
      <c r="E3102" s="2" t="s">
        <v>4134</v>
      </c>
      <c r="F3102" s="96">
        <v>1860</v>
      </c>
      <c r="G3102" s="1" t="s">
        <v>37</v>
      </c>
      <c r="H3102" s="8">
        <v>354.1</v>
      </c>
      <c r="I3102" s="8">
        <f t="shared" si="204"/>
        <v>658626</v>
      </c>
      <c r="J3102" s="539">
        <v>346.84</v>
      </c>
      <c r="K3102" s="521">
        <f t="shared" si="206"/>
        <v>7.2600000000000477</v>
      </c>
      <c r="L3102" s="522">
        <f t="shared" si="205"/>
        <v>13503.600000000089</v>
      </c>
      <c r="M3102" s="523">
        <f t="shared" si="207"/>
        <v>2.0502682857949865E-2</v>
      </c>
      <c r="N3102" s="2" t="s">
        <v>22</v>
      </c>
      <c r="O3102" s="15" t="s">
        <v>105</v>
      </c>
    </row>
    <row r="3103" spans="1:15">
      <c r="A3103" s="70">
        <v>2025</v>
      </c>
      <c r="B3103" s="16" t="s">
        <v>998</v>
      </c>
      <c r="C3103" s="71" t="s">
        <v>4133</v>
      </c>
      <c r="D3103" s="2" t="s">
        <v>166</v>
      </c>
      <c r="E3103" s="2" t="s">
        <v>4135</v>
      </c>
      <c r="F3103" s="96">
        <v>16800</v>
      </c>
      <c r="G3103" s="1" t="s">
        <v>37</v>
      </c>
      <c r="H3103" s="8">
        <v>354.1</v>
      </c>
      <c r="I3103" s="8">
        <f t="shared" si="204"/>
        <v>5948880</v>
      </c>
      <c r="J3103" s="539">
        <v>345.19</v>
      </c>
      <c r="K3103" s="521">
        <f t="shared" si="206"/>
        <v>8.910000000000025</v>
      </c>
      <c r="L3103" s="522">
        <f t="shared" si="205"/>
        <v>149688.00000000041</v>
      </c>
      <c r="M3103" s="523">
        <f t="shared" si="207"/>
        <v>2.5162383507483829E-2</v>
      </c>
      <c r="N3103" s="2" t="s">
        <v>22</v>
      </c>
      <c r="O3103" s="15" t="s">
        <v>105</v>
      </c>
    </row>
    <row r="3104" spans="1:15">
      <c r="A3104" s="70">
        <v>2025</v>
      </c>
      <c r="B3104" s="16" t="s">
        <v>998</v>
      </c>
      <c r="C3104" s="71" t="s">
        <v>4136</v>
      </c>
      <c r="D3104" s="2" t="s">
        <v>2711</v>
      </c>
      <c r="E3104" s="39" t="s">
        <v>2514</v>
      </c>
      <c r="F3104" s="96">
        <v>1</v>
      </c>
      <c r="G3104" s="1" t="s">
        <v>285</v>
      </c>
      <c r="H3104" s="8">
        <v>3500</v>
      </c>
      <c r="I3104" s="8">
        <f t="shared" si="204"/>
        <v>3500</v>
      </c>
      <c r="J3104" s="539">
        <v>0</v>
      </c>
      <c r="K3104" s="521">
        <f t="shared" si="206"/>
        <v>3500</v>
      </c>
      <c r="L3104" s="522">
        <f t="shared" si="205"/>
        <v>3500</v>
      </c>
      <c r="M3104" s="523">
        <f t="shared" si="207"/>
        <v>1</v>
      </c>
      <c r="N3104" s="2" t="s">
        <v>40</v>
      </c>
      <c r="O3104" s="15" t="s">
        <v>105</v>
      </c>
    </row>
    <row r="3105" spans="1:15">
      <c r="A3105" s="70">
        <v>2025</v>
      </c>
      <c r="B3105" s="16" t="s">
        <v>998</v>
      </c>
      <c r="C3105" s="71" t="s">
        <v>4137</v>
      </c>
      <c r="D3105" s="2" t="s">
        <v>200</v>
      </c>
      <c r="E3105" s="2" t="s">
        <v>4138</v>
      </c>
      <c r="F3105" s="96">
        <v>2</v>
      </c>
      <c r="G3105" s="1" t="s">
        <v>19</v>
      </c>
      <c r="H3105" s="8">
        <v>8500</v>
      </c>
      <c r="I3105" s="8">
        <f t="shared" si="204"/>
        <v>17000</v>
      </c>
      <c r="J3105" s="539">
        <v>7300</v>
      </c>
      <c r="K3105" s="521">
        <f t="shared" si="206"/>
        <v>1200</v>
      </c>
      <c r="L3105" s="522">
        <f t="shared" si="205"/>
        <v>2400</v>
      </c>
      <c r="M3105" s="523">
        <f t="shared" si="207"/>
        <v>0.14117647058823529</v>
      </c>
      <c r="N3105" s="2" t="s">
        <v>40</v>
      </c>
      <c r="O3105" s="15" t="s">
        <v>39</v>
      </c>
    </row>
    <row r="3106" spans="1:15">
      <c r="A3106" s="70">
        <v>2025</v>
      </c>
      <c r="B3106" s="16" t="s">
        <v>998</v>
      </c>
      <c r="C3106" s="71" t="s">
        <v>4139</v>
      </c>
      <c r="D3106" s="2" t="s">
        <v>1000</v>
      </c>
      <c r="E3106" s="2" t="s">
        <v>4140</v>
      </c>
      <c r="F3106" s="96">
        <v>42</v>
      </c>
      <c r="G3106" s="1" t="s">
        <v>302</v>
      </c>
      <c r="H3106" s="8">
        <v>1300</v>
      </c>
      <c r="I3106" s="8">
        <f t="shared" si="204"/>
        <v>54600</v>
      </c>
      <c r="J3106" s="539">
        <v>1200</v>
      </c>
      <c r="K3106" s="521">
        <f t="shared" si="206"/>
        <v>100</v>
      </c>
      <c r="L3106" s="522">
        <f t="shared" si="205"/>
        <v>4200</v>
      </c>
      <c r="M3106" s="523">
        <f t="shared" si="207"/>
        <v>7.6923076923076927E-2</v>
      </c>
      <c r="N3106" s="2" t="s">
        <v>22</v>
      </c>
      <c r="O3106" s="15" t="s">
        <v>39</v>
      </c>
    </row>
    <row r="3107" spans="1:15">
      <c r="A3107" s="70">
        <v>2025</v>
      </c>
      <c r="B3107" s="16" t="s">
        <v>998</v>
      </c>
      <c r="C3107" s="71" t="s">
        <v>4141</v>
      </c>
      <c r="D3107" s="2" t="s">
        <v>200</v>
      </c>
      <c r="E3107" s="2" t="s">
        <v>4142</v>
      </c>
      <c r="F3107" s="96">
        <v>1</v>
      </c>
      <c r="G3107" s="1" t="s">
        <v>302</v>
      </c>
      <c r="H3107" s="8">
        <v>7500</v>
      </c>
      <c r="I3107" s="8">
        <f t="shared" si="204"/>
        <v>7500</v>
      </c>
      <c r="J3107" s="539">
        <v>6750</v>
      </c>
      <c r="K3107" s="521">
        <f t="shared" si="206"/>
        <v>750</v>
      </c>
      <c r="L3107" s="522">
        <f t="shared" si="205"/>
        <v>750</v>
      </c>
      <c r="M3107" s="523">
        <f t="shared" si="207"/>
        <v>0.1</v>
      </c>
      <c r="N3107" s="2" t="s">
        <v>22</v>
      </c>
      <c r="O3107" s="15" t="s">
        <v>39</v>
      </c>
    </row>
    <row r="3108" spans="1:15">
      <c r="A3108" s="70">
        <v>2025</v>
      </c>
      <c r="B3108" s="16" t="s">
        <v>998</v>
      </c>
      <c r="C3108" s="71" t="s">
        <v>4141</v>
      </c>
      <c r="D3108" s="2" t="s">
        <v>200</v>
      </c>
      <c r="E3108" s="2" t="s">
        <v>3363</v>
      </c>
      <c r="F3108" s="96">
        <v>1</v>
      </c>
      <c r="G3108" s="1" t="s">
        <v>302</v>
      </c>
      <c r="H3108" s="8">
        <v>15500</v>
      </c>
      <c r="I3108" s="8">
        <f t="shared" si="204"/>
        <v>15500</v>
      </c>
      <c r="J3108" s="539">
        <v>13950</v>
      </c>
      <c r="K3108" s="521">
        <f t="shared" si="206"/>
        <v>1550</v>
      </c>
      <c r="L3108" s="522">
        <f t="shared" si="205"/>
        <v>1550</v>
      </c>
      <c r="M3108" s="523">
        <f t="shared" si="207"/>
        <v>0.1</v>
      </c>
      <c r="N3108" s="2" t="s">
        <v>22</v>
      </c>
      <c r="O3108" s="15" t="s">
        <v>39</v>
      </c>
    </row>
    <row r="3109" spans="1:15">
      <c r="A3109" s="70">
        <v>2025</v>
      </c>
      <c r="B3109" s="16" t="s">
        <v>998</v>
      </c>
      <c r="C3109" s="71" t="s">
        <v>4141</v>
      </c>
      <c r="D3109" s="2" t="s">
        <v>200</v>
      </c>
      <c r="E3109" s="2" t="s">
        <v>4143</v>
      </c>
      <c r="F3109" s="96">
        <v>1</v>
      </c>
      <c r="G3109" s="1" t="s">
        <v>302</v>
      </c>
      <c r="H3109" s="8">
        <v>72500</v>
      </c>
      <c r="I3109" s="8">
        <f t="shared" si="204"/>
        <v>72500</v>
      </c>
      <c r="J3109" s="539">
        <v>65250</v>
      </c>
      <c r="K3109" s="521">
        <f t="shared" si="206"/>
        <v>7250</v>
      </c>
      <c r="L3109" s="522">
        <f t="shared" si="205"/>
        <v>7250</v>
      </c>
      <c r="M3109" s="523">
        <f t="shared" si="207"/>
        <v>0.1</v>
      </c>
      <c r="N3109" s="2" t="s">
        <v>22</v>
      </c>
      <c r="O3109" s="15" t="s">
        <v>39</v>
      </c>
    </row>
    <row r="3110" spans="1:15">
      <c r="A3110" s="70">
        <v>2025</v>
      </c>
      <c r="B3110" s="16" t="s">
        <v>998</v>
      </c>
      <c r="C3110" s="71" t="s">
        <v>4144</v>
      </c>
      <c r="D3110" s="2" t="s">
        <v>200</v>
      </c>
      <c r="E3110" s="2" t="s">
        <v>4142</v>
      </c>
      <c r="F3110" s="96">
        <v>1</v>
      </c>
      <c r="G3110" s="1" t="s">
        <v>19</v>
      </c>
      <c r="H3110" s="8">
        <v>7500</v>
      </c>
      <c r="I3110" s="8">
        <f t="shared" si="204"/>
        <v>7500</v>
      </c>
      <c r="J3110" s="539">
        <v>6750</v>
      </c>
      <c r="K3110" s="521">
        <f t="shared" si="206"/>
        <v>750</v>
      </c>
      <c r="L3110" s="522">
        <f t="shared" si="205"/>
        <v>750</v>
      </c>
      <c r="M3110" s="523">
        <f t="shared" si="207"/>
        <v>0.1</v>
      </c>
      <c r="N3110" s="2" t="s">
        <v>22</v>
      </c>
      <c r="O3110" s="15" t="s">
        <v>39</v>
      </c>
    </row>
    <row r="3111" spans="1:15">
      <c r="A3111" s="70">
        <v>2025</v>
      </c>
      <c r="B3111" s="16" t="s">
        <v>998</v>
      </c>
      <c r="C3111" s="71" t="s">
        <v>4144</v>
      </c>
      <c r="D3111" s="2" t="s">
        <v>200</v>
      </c>
      <c r="E3111" s="2" t="s">
        <v>4142</v>
      </c>
      <c r="F3111" s="96">
        <v>1</v>
      </c>
      <c r="G3111" s="1" t="s">
        <v>19</v>
      </c>
      <c r="H3111" s="8">
        <v>7500</v>
      </c>
      <c r="I3111" s="8">
        <f t="shared" si="204"/>
        <v>7500</v>
      </c>
      <c r="J3111" s="539">
        <v>6750</v>
      </c>
      <c r="K3111" s="521">
        <f t="shared" si="206"/>
        <v>750</v>
      </c>
      <c r="L3111" s="522">
        <f t="shared" si="205"/>
        <v>750</v>
      </c>
      <c r="M3111" s="523">
        <f t="shared" si="207"/>
        <v>0.1</v>
      </c>
      <c r="N3111" s="2" t="s">
        <v>22</v>
      </c>
      <c r="O3111" s="15" t="s">
        <v>39</v>
      </c>
    </row>
    <row r="3112" spans="1:15">
      <c r="A3112" s="70">
        <v>2025</v>
      </c>
      <c r="B3112" s="16" t="s">
        <v>998</v>
      </c>
      <c r="C3112" s="71" t="s">
        <v>4144</v>
      </c>
      <c r="D3112" s="2" t="s">
        <v>200</v>
      </c>
      <c r="E3112" s="2" t="s">
        <v>4145</v>
      </c>
      <c r="F3112" s="96">
        <v>1</v>
      </c>
      <c r="G3112" s="1" t="s">
        <v>302</v>
      </c>
      <c r="H3112" s="8">
        <v>66500</v>
      </c>
      <c r="I3112" s="8">
        <f t="shared" si="204"/>
        <v>66500</v>
      </c>
      <c r="J3112" s="539">
        <v>59850</v>
      </c>
      <c r="K3112" s="521">
        <f t="shared" si="206"/>
        <v>6650</v>
      </c>
      <c r="L3112" s="522">
        <f t="shared" si="205"/>
        <v>6650</v>
      </c>
      <c r="M3112" s="523">
        <f t="shared" si="207"/>
        <v>0.1</v>
      </c>
      <c r="N3112" s="2" t="s">
        <v>22</v>
      </c>
      <c r="O3112" s="15" t="s">
        <v>39</v>
      </c>
    </row>
    <row r="3113" spans="1:15">
      <c r="A3113" s="70">
        <v>2025</v>
      </c>
      <c r="B3113" s="16" t="s">
        <v>998</v>
      </c>
      <c r="C3113" s="71" t="s">
        <v>4144</v>
      </c>
      <c r="D3113" s="2" t="s">
        <v>200</v>
      </c>
      <c r="E3113" s="150" t="s">
        <v>4146</v>
      </c>
      <c r="F3113" s="464">
        <v>1</v>
      </c>
      <c r="G3113" s="1" t="s">
        <v>302</v>
      </c>
      <c r="H3113" s="8">
        <v>15500</v>
      </c>
      <c r="I3113" s="8">
        <f t="shared" si="204"/>
        <v>15500</v>
      </c>
      <c r="J3113" s="539">
        <v>13950</v>
      </c>
      <c r="K3113" s="521">
        <f t="shared" si="206"/>
        <v>1550</v>
      </c>
      <c r="L3113" s="522">
        <f t="shared" si="205"/>
        <v>1550</v>
      </c>
      <c r="M3113" s="523">
        <f t="shared" si="207"/>
        <v>0.1</v>
      </c>
      <c r="N3113" s="2" t="s">
        <v>22</v>
      </c>
      <c r="O3113" s="15" t="s">
        <v>39</v>
      </c>
    </row>
    <row r="3114" spans="1:15">
      <c r="A3114" s="70">
        <v>2025</v>
      </c>
      <c r="B3114" s="16" t="s">
        <v>998</v>
      </c>
      <c r="C3114" s="71" t="s">
        <v>4144</v>
      </c>
      <c r="D3114" s="2" t="s">
        <v>200</v>
      </c>
      <c r="E3114" s="150" t="s">
        <v>4145</v>
      </c>
      <c r="F3114" s="464">
        <v>1</v>
      </c>
      <c r="G3114" s="1" t="s">
        <v>302</v>
      </c>
      <c r="H3114" s="8">
        <v>66500</v>
      </c>
      <c r="I3114" s="8">
        <f t="shared" si="204"/>
        <v>66500</v>
      </c>
      <c r="J3114" s="539">
        <v>59850</v>
      </c>
      <c r="K3114" s="521">
        <f t="shared" si="206"/>
        <v>6650</v>
      </c>
      <c r="L3114" s="522">
        <f t="shared" si="205"/>
        <v>6650</v>
      </c>
      <c r="M3114" s="523">
        <f t="shared" si="207"/>
        <v>0.1</v>
      </c>
      <c r="N3114" s="2" t="s">
        <v>22</v>
      </c>
      <c r="O3114" s="15" t="s">
        <v>39</v>
      </c>
    </row>
    <row r="3115" spans="1:15">
      <c r="A3115" s="70">
        <v>2025</v>
      </c>
      <c r="B3115" s="16" t="s">
        <v>998</v>
      </c>
      <c r="C3115" s="71" t="s">
        <v>4144</v>
      </c>
      <c r="D3115" s="2" t="s">
        <v>200</v>
      </c>
      <c r="E3115" s="150" t="s">
        <v>4147</v>
      </c>
      <c r="F3115" s="464">
        <v>1</v>
      </c>
      <c r="G3115" s="1" t="s">
        <v>302</v>
      </c>
      <c r="H3115" s="8">
        <v>15500</v>
      </c>
      <c r="I3115" s="8">
        <f t="shared" si="204"/>
        <v>15500</v>
      </c>
      <c r="J3115" s="539">
        <v>13950</v>
      </c>
      <c r="K3115" s="521">
        <f t="shared" si="206"/>
        <v>1550</v>
      </c>
      <c r="L3115" s="522">
        <f t="shared" si="205"/>
        <v>1550</v>
      </c>
      <c r="M3115" s="523">
        <f t="shared" si="207"/>
        <v>0.1</v>
      </c>
      <c r="N3115" s="2" t="s">
        <v>22</v>
      </c>
      <c r="O3115" s="15" t="s">
        <v>39</v>
      </c>
    </row>
    <row r="3116" spans="1:15">
      <c r="A3116" s="70">
        <v>2025</v>
      </c>
      <c r="B3116" s="16" t="s">
        <v>998</v>
      </c>
      <c r="C3116" s="71" t="s">
        <v>4148</v>
      </c>
      <c r="D3116" s="2" t="s">
        <v>200</v>
      </c>
      <c r="E3116" s="150" t="s">
        <v>4142</v>
      </c>
      <c r="F3116" s="464">
        <v>2</v>
      </c>
      <c r="G3116" s="1" t="s">
        <v>19</v>
      </c>
      <c r="H3116" s="8">
        <v>7500</v>
      </c>
      <c r="I3116" s="8">
        <f t="shared" si="204"/>
        <v>15000</v>
      </c>
      <c r="J3116" s="539">
        <v>6750</v>
      </c>
      <c r="K3116" s="521">
        <f t="shared" si="206"/>
        <v>750</v>
      </c>
      <c r="L3116" s="522">
        <f t="shared" si="205"/>
        <v>1500</v>
      </c>
      <c r="M3116" s="523">
        <f t="shared" si="207"/>
        <v>0.1</v>
      </c>
      <c r="N3116" s="2" t="s">
        <v>22</v>
      </c>
      <c r="O3116" s="15" t="s">
        <v>39</v>
      </c>
    </row>
    <row r="3117" spans="1:15">
      <c r="A3117" s="70">
        <v>2025</v>
      </c>
      <c r="B3117" s="16" t="s">
        <v>998</v>
      </c>
      <c r="C3117" s="71" t="s">
        <v>4148</v>
      </c>
      <c r="D3117" s="2" t="s">
        <v>200</v>
      </c>
      <c r="E3117" s="150" t="s">
        <v>3363</v>
      </c>
      <c r="F3117" s="464">
        <v>2</v>
      </c>
      <c r="G3117" s="1" t="s">
        <v>302</v>
      </c>
      <c r="H3117" s="8">
        <v>15500</v>
      </c>
      <c r="I3117" s="8">
        <f t="shared" si="204"/>
        <v>31000</v>
      </c>
      <c r="J3117" s="539">
        <v>13950</v>
      </c>
      <c r="K3117" s="521">
        <f t="shared" si="206"/>
        <v>1550</v>
      </c>
      <c r="L3117" s="522">
        <f t="shared" si="205"/>
        <v>3100</v>
      </c>
      <c r="M3117" s="523">
        <f t="shared" si="207"/>
        <v>0.1</v>
      </c>
      <c r="N3117" s="2" t="s">
        <v>22</v>
      </c>
      <c r="O3117" s="15" t="s">
        <v>39</v>
      </c>
    </row>
    <row r="3118" spans="1:15">
      <c r="A3118" s="70">
        <v>2025</v>
      </c>
      <c r="B3118" s="16" t="s">
        <v>998</v>
      </c>
      <c r="C3118" s="71" t="s">
        <v>4148</v>
      </c>
      <c r="D3118" s="2" t="s">
        <v>200</v>
      </c>
      <c r="E3118" s="150" t="s">
        <v>4142</v>
      </c>
      <c r="F3118" s="464">
        <v>2</v>
      </c>
      <c r="G3118" s="1" t="s">
        <v>19</v>
      </c>
      <c r="H3118" s="8">
        <v>7500</v>
      </c>
      <c r="I3118" s="8">
        <f t="shared" si="204"/>
        <v>15000</v>
      </c>
      <c r="J3118" s="539">
        <v>6750</v>
      </c>
      <c r="K3118" s="521">
        <f t="shared" si="206"/>
        <v>750</v>
      </c>
      <c r="L3118" s="522">
        <f t="shared" si="205"/>
        <v>1500</v>
      </c>
      <c r="M3118" s="523">
        <f t="shared" si="207"/>
        <v>0.1</v>
      </c>
      <c r="N3118" s="2" t="s">
        <v>22</v>
      </c>
      <c r="O3118" s="15" t="s">
        <v>39</v>
      </c>
    </row>
    <row r="3119" spans="1:15">
      <c r="A3119" s="70">
        <v>2025</v>
      </c>
      <c r="B3119" s="16" t="s">
        <v>998</v>
      </c>
      <c r="C3119" s="71" t="s">
        <v>4148</v>
      </c>
      <c r="D3119" s="2" t="s">
        <v>200</v>
      </c>
      <c r="E3119" s="150" t="s">
        <v>3363</v>
      </c>
      <c r="F3119" s="464">
        <v>2</v>
      </c>
      <c r="G3119" s="1" t="s">
        <v>302</v>
      </c>
      <c r="H3119" s="8">
        <v>15500</v>
      </c>
      <c r="I3119" s="8">
        <f t="shared" si="204"/>
        <v>31000</v>
      </c>
      <c r="J3119" s="539">
        <v>13950</v>
      </c>
      <c r="K3119" s="521">
        <f t="shared" si="206"/>
        <v>1550</v>
      </c>
      <c r="L3119" s="522">
        <f t="shared" si="205"/>
        <v>3100</v>
      </c>
      <c r="M3119" s="523">
        <f t="shared" si="207"/>
        <v>0.1</v>
      </c>
      <c r="N3119" s="2" t="s">
        <v>22</v>
      </c>
      <c r="O3119" s="15" t="s">
        <v>39</v>
      </c>
    </row>
    <row r="3120" spans="1:15">
      <c r="A3120" s="70">
        <v>2025</v>
      </c>
      <c r="B3120" s="16" t="s">
        <v>998</v>
      </c>
      <c r="C3120" s="71" t="s">
        <v>4148</v>
      </c>
      <c r="D3120" s="2" t="s">
        <v>200</v>
      </c>
      <c r="E3120" s="150" t="s">
        <v>611</v>
      </c>
      <c r="F3120" s="464">
        <v>2</v>
      </c>
      <c r="G3120" s="1" t="s">
        <v>302</v>
      </c>
      <c r="H3120" s="8">
        <v>69500</v>
      </c>
      <c r="I3120" s="8">
        <f t="shared" si="204"/>
        <v>139000</v>
      </c>
      <c r="J3120" s="539">
        <v>62550</v>
      </c>
      <c r="K3120" s="521">
        <f t="shared" si="206"/>
        <v>6950</v>
      </c>
      <c r="L3120" s="522">
        <f t="shared" si="205"/>
        <v>13900</v>
      </c>
      <c r="M3120" s="523">
        <f t="shared" si="207"/>
        <v>0.1</v>
      </c>
      <c r="N3120" s="2" t="s">
        <v>22</v>
      </c>
      <c r="O3120" s="15" t="s">
        <v>39</v>
      </c>
    </row>
    <row r="3121" spans="1:15">
      <c r="A3121" s="70">
        <v>2025</v>
      </c>
      <c r="B3121" s="16" t="s">
        <v>998</v>
      </c>
      <c r="C3121" s="71" t="s">
        <v>4148</v>
      </c>
      <c r="D3121" s="2" t="s">
        <v>200</v>
      </c>
      <c r="E3121" s="2" t="s">
        <v>611</v>
      </c>
      <c r="F3121" s="96">
        <v>2</v>
      </c>
      <c r="G3121" s="1" t="s">
        <v>302</v>
      </c>
      <c r="H3121" s="8">
        <v>69500</v>
      </c>
      <c r="I3121" s="8">
        <f t="shared" si="204"/>
        <v>139000</v>
      </c>
      <c r="J3121" s="539">
        <v>62550</v>
      </c>
      <c r="K3121" s="521">
        <f t="shared" si="206"/>
        <v>6950</v>
      </c>
      <c r="L3121" s="522">
        <f t="shared" si="205"/>
        <v>13900</v>
      </c>
      <c r="M3121" s="523">
        <f t="shared" si="207"/>
        <v>0.1</v>
      </c>
      <c r="N3121" s="2" t="s">
        <v>22</v>
      </c>
      <c r="O3121" s="15" t="s">
        <v>39</v>
      </c>
    </row>
    <row r="3122" spans="1:15">
      <c r="A3122" s="70">
        <v>2025</v>
      </c>
      <c r="B3122" s="16" t="s">
        <v>998</v>
      </c>
      <c r="C3122" s="71" t="s">
        <v>4149</v>
      </c>
      <c r="D3122" s="2" t="s">
        <v>200</v>
      </c>
      <c r="E3122" s="2" t="s">
        <v>4150</v>
      </c>
      <c r="F3122" s="464">
        <v>2</v>
      </c>
      <c r="G3122" s="1" t="s">
        <v>302</v>
      </c>
      <c r="H3122" s="8">
        <v>89500</v>
      </c>
      <c r="I3122" s="8">
        <f t="shared" si="204"/>
        <v>179000</v>
      </c>
      <c r="J3122" s="539">
        <v>80550</v>
      </c>
      <c r="K3122" s="521">
        <f t="shared" si="206"/>
        <v>8950</v>
      </c>
      <c r="L3122" s="522">
        <f t="shared" si="205"/>
        <v>17900</v>
      </c>
      <c r="M3122" s="523">
        <f t="shared" si="207"/>
        <v>0.1</v>
      </c>
      <c r="N3122" s="2" t="s">
        <v>22</v>
      </c>
      <c r="O3122" s="15" t="s">
        <v>39</v>
      </c>
    </row>
    <row r="3123" spans="1:15">
      <c r="A3123" s="70">
        <v>2025</v>
      </c>
      <c r="B3123" s="16" t="s">
        <v>998</v>
      </c>
      <c r="C3123" s="71" t="s">
        <v>4149</v>
      </c>
      <c r="D3123" s="2" t="s">
        <v>200</v>
      </c>
      <c r="E3123" s="150" t="s">
        <v>4142</v>
      </c>
      <c r="F3123" s="464">
        <v>2</v>
      </c>
      <c r="G3123" s="1" t="s">
        <v>19</v>
      </c>
      <c r="H3123" s="8">
        <v>7500</v>
      </c>
      <c r="I3123" s="8">
        <f t="shared" si="204"/>
        <v>15000</v>
      </c>
      <c r="J3123" s="539">
        <v>6750</v>
      </c>
      <c r="K3123" s="521">
        <f t="shared" si="206"/>
        <v>750</v>
      </c>
      <c r="L3123" s="522">
        <f t="shared" si="205"/>
        <v>1500</v>
      </c>
      <c r="M3123" s="523">
        <f t="shared" si="207"/>
        <v>0.1</v>
      </c>
      <c r="N3123" s="2" t="s">
        <v>22</v>
      </c>
      <c r="O3123" s="15" t="s">
        <v>39</v>
      </c>
    </row>
    <row r="3124" spans="1:15">
      <c r="A3124" s="70">
        <v>2025</v>
      </c>
      <c r="B3124" s="16" t="s">
        <v>998</v>
      </c>
      <c r="C3124" s="71" t="s">
        <v>4151</v>
      </c>
      <c r="D3124" s="2" t="s">
        <v>4152</v>
      </c>
      <c r="E3124" s="150" t="s">
        <v>4153</v>
      </c>
      <c r="F3124" s="464">
        <v>32</v>
      </c>
      <c r="G3124" s="1" t="s">
        <v>19</v>
      </c>
      <c r="H3124" s="8">
        <v>150</v>
      </c>
      <c r="I3124" s="8">
        <f t="shared" si="204"/>
        <v>4800</v>
      </c>
      <c r="J3124" s="539">
        <v>102</v>
      </c>
      <c r="K3124" s="521">
        <f t="shared" si="206"/>
        <v>48</v>
      </c>
      <c r="L3124" s="522">
        <f t="shared" si="205"/>
        <v>1536</v>
      </c>
      <c r="M3124" s="523">
        <f t="shared" si="207"/>
        <v>0.32</v>
      </c>
      <c r="N3124" s="2" t="s">
        <v>40</v>
      </c>
      <c r="O3124" s="15" t="s">
        <v>39</v>
      </c>
    </row>
    <row r="3125" spans="1:15">
      <c r="A3125" s="70">
        <v>2025</v>
      </c>
      <c r="B3125" s="16" t="s">
        <v>998</v>
      </c>
      <c r="C3125" s="71" t="s">
        <v>4154</v>
      </c>
      <c r="D3125" s="2" t="s">
        <v>200</v>
      </c>
      <c r="E3125" s="150" t="s">
        <v>4142</v>
      </c>
      <c r="F3125" s="464">
        <v>1</v>
      </c>
      <c r="G3125" s="1" t="s">
        <v>19</v>
      </c>
      <c r="H3125" s="8">
        <v>7500</v>
      </c>
      <c r="I3125" s="8">
        <f t="shared" ref="I3125:I3188" si="208">H3125*F3125</f>
        <v>7500</v>
      </c>
      <c r="J3125" s="539">
        <v>6750</v>
      </c>
      <c r="K3125" s="521">
        <f t="shared" si="206"/>
        <v>750</v>
      </c>
      <c r="L3125" s="522">
        <f t="shared" si="205"/>
        <v>750</v>
      </c>
      <c r="M3125" s="523">
        <f t="shared" si="207"/>
        <v>0.1</v>
      </c>
      <c r="N3125" s="2" t="s">
        <v>22</v>
      </c>
      <c r="O3125" s="15" t="s">
        <v>39</v>
      </c>
    </row>
    <row r="3126" spans="1:15">
      <c r="A3126" s="70">
        <v>2025</v>
      </c>
      <c r="B3126" s="16" t="s">
        <v>998</v>
      </c>
      <c r="C3126" s="71" t="s">
        <v>4154</v>
      </c>
      <c r="D3126" s="2" t="s">
        <v>200</v>
      </c>
      <c r="E3126" s="150" t="s">
        <v>4155</v>
      </c>
      <c r="F3126" s="464">
        <v>1</v>
      </c>
      <c r="G3126" s="1" t="s">
        <v>302</v>
      </c>
      <c r="H3126" s="8">
        <v>63500</v>
      </c>
      <c r="I3126" s="8">
        <f t="shared" si="208"/>
        <v>63500</v>
      </c>
      <c r="J3126" s="539">
        <v>57150</v>
      </c>
      <c r="K3126" s="521">
        <f t="shared" si="206"/>
        <v>6350</v>
      </c>
      <c r="L3126" s="522">
        <f t="shared" si="205"/>
        <v>6350</v>
      </c>
      <c r="M3126" s="523">
        <f t="shared" si="207"/>
        <v>0.1</v>
      </c>
      <c r="N3126" s="2" t="s">
        <v>22</v>
      </c>
      <c r="O3126" s="15" t="s">
        <v>39</v>
      </c>
    </row>
    <row r="3127" spans="1:15">
      <c r="A3127" s="70">
        <v>2025</v>
      </c>
      <c r="B3127" s="16" t="s">
        <v>998</v>
      </c>
      <c r="C3127" s="71" t="s">
        <v>4154</v>
      </c>
      <c r="D3127" s="2" t="s">
        <v>200</v>
      </c>
      <c r="E3127" s="150" t="s">
        <v>4147</v>
      </c>
      <c r="F3127" s="464">
        <v>1</v>
      </c>
      <c r="G3127" s="1" t="s">
        <v>302</v>
      </c>
      <c r="H3127" s="8">
        <v>15500</v>
      </c>
      <c r="I3127" s="8">
        <f t="shared" si="208"/>
        <v>15500</v>
      </c>
      <c r="J3127" s="539">
        <v>13950</v>
      </c>
      <c r="K3127" s="521">
        <f t="shared" si="206"/>
        <v>1550</v>
      </c>
      <c r="L3127" s="522">
        <f t="shared" si="205"/>
        <v>1550</v>
      </c>
      <c r="M3127" s="523">
        <f t="shared" si="207"/>
        <v>0.1</v>
      </c>
      <c r="N3127" s="2" t="s">
        <v>22</v>
      </c>
      <c r="O3127" s="15" t="s">
        <v>39</v>
      </c>
    </row>
    <row r="3128" spans="1:15">
      <c r="A3128" s="70">
        <v>2025</v>
      </c>
      <c r="B3128" s="16" t="s">
        <v>998</v>
      </c>
      <c r="C3128" s="71" t="s">
        <v>4156</v>
      </c>
      <c r="D3128" s="2" t="s">
        <v>94</v>
      </c>
      <c r="E3128" s="150" t="s">
        <v>550</v>
      </c>
      <c r="F3128" s="464">
        <v>100</v>
      </c>
      <c r="G3128" s="1" t="s">
        <v>19</v>
      </c>
      <c r="H3128" s="8">
        <v>50</v>
      </c>
      <c r="I3128" s="8">
        <f t="shared" si="208"/>
        <v>5000</v>
      </c>
      <c r="J3128" s="539">
        <v>47.56</v>
      </c>
      <c r="K3128" s="521">
        <f t="shared" si="206"/>
        <v>2.4399999999999977</v>
      </c>
      <c r="L3128" s="522">
        <f t="shared" si="205"/>
        <v>243.99999999999977</v>
      </c>
      <c r="M3128" s="523">
        <f t="shared" si="207"/>
        <v>4.8799999999999955E-2</v>
      </c>
      <c r="N3128" s="2" t="s">
        <v>22</v>
      </c>
      <c r="O3128" s="15" t="s">
        <v>105</v>
      </c>
    </row>
    <row r="3129" spans="1:15">
      <c r="A3129" s="70">
        <v>2025</v>
      </c>
      <c r="B3129" s="16" t="s">
        <v>998</v>
      </c>
      <c r="C3129" s="71" t="s">
        <v>4157</v>
      </c>
      <c r="D3129" s="2" t="s">
        <v>3847</v>
      </c>
      <c r="E3129" s="150" t="s">
        <v>4158</v>
      </c>
      <c r="F3129" s="464">
        <v>50</v>
      </c>
      <c r="G3129" s="1" t="s">
        <v>19</v>
      </c>
      <c r="H3129" s="8">
        <v>9456.5</v>
      </c>
      <c r="I3129" s="8">
        <f t="shared" si="208"/>
        <v>472825</v>
      </c>
      <c r="J3129" s="539">
        <v>9267.3700000000008</v>
      </c>
      <c r="K3129" s="521">
        <f t="shared" si="206"/>
        <v>189.1299999999992</v>
      </c>
      <c r="L3129" s="522">
        <f t="shared" si="205"/>
        <v>9456.49999999996</v>
      </c>
      <c r="M3129" s="523">
        <f t="shared" si="207"/>
        <v>1.9999999999999914E-2</v>
      </c>
      <c r="N3129" s="2" t="s">
        <v>40</v>
      </c>
      <c r="O3129" s="15" t="s">
        <v>105</v>
      </c>
    </row>
    <row r="3130" spans="1:15">
      <c r="A3130" s="70">
        <v>2025</v>
      </c>
      <c r="B3130" s="16" t="s">
        <v>998</v>
      </c>
      <c r="C3130" s="71" t="s">
        <v>4159</v>
      </c>
      <c r="D3130" s="2" t="s">
        <v>166</v>
      </c>
      <c r="E3130" s="150" t="s">
        <v>4160</v>
      </c>
      <c r="F3130" s="464">
        <v>20030</v>
      </c>
      <c r="G3130" s="1" t="s">
        <v>37</v>
      </c>
      <c r="H3130" s="8">
        <v>356.07</v>
      </c>
      <c r="I3130" s="8">
        <f t="shared" si="208"/>
        <v>7132082.0999999996</v>
      </c>
      <c r="J3130" s="539">
        <v>344.36</v>
      </c>
      <c r="K3130" s="521">
        <f t="shared" si="206"/>
        <v>11.70999999999998</v>
      </c>
      <c r="L3130" s="522">
        <f t="shared" si="205"/>
        <v>234551.29999999958</v>
      </c>
      <c r="M3130" s="523">
        <f t="shared" si="207"/>
        <v>3.2886791922936441E-2</v>
      </c>
      <c r="N3130" s="2" t="s">
        <v>22</v>
      </c>
      <c r="O3130" s="15" t="s">
        <v>105</v>
      </c>
    </row>
    <row r="3131" spans="1:15">
      <c r="A3131" s="70">
        <v>2025</v>
      </c>
      <c r="B3131" s="16" t="s">
        <v>998</v>
      </c>
      <c r="C3131" s="71" t="s">
        <v>4161</v>
      </c>
      <c r="D3131" s="2" t="s">
        <v>200</v>
      </c>
      <c r="E3131" s="150" t="s">
        <v>4162</v>
      </c>
      <c r="F3131" s="464">
        <v>2</v>
      </c>
      <c r="G3131" s="1" t="s">
        <v>19</v>
      </c>
      <c r="H3131" s="8">
        <v>8500</v>
      </c>
      <c r="I3131" s="8">
        <f t="shared" si="208"/>
        <v>17000</v>
      </c>
      <c r="J3131" s="539">
        <v>7300</v>
      </c>
      <c r="K3131" s="521">
        <f t="shared" si="206"/>
        <v>1200</v>
      </c>
      <c r="L3131" s="522">
        <f t="shared" ref="L3131:L3140" si="209">K3131*F3131</f>
        <v>2400</v>
      </c>
      <c r="M3131" s="523">
        <f t="shared" si="207"/>
        <v>0.14117647058823529</v>
      </c>
      <c r="N3131" s="2" t="s">
        <v>40</v>
      </c>
      <c r="O3131" s="15" t="s">
        <v>39</v>
      </c>
    </row>
    <row r="3132" spans="1:15">
      <c r="A3132" s="70">
        <v>2025</v>
      </c>
      <c r="B3132" s="16" t="s">
        <v>998</v>
      </c>
      <c r="C3132" s="71" t="s">
        <v>4163</v>
      </c>
      <c r="D3132" s="2" t="s">
        <v>590</v>
      </c>
      <c r="E3132" s="150" t="s">
        <v>3363</v>
      </c>
      <c r="F3132" s="464">
        <v>72</v>
      </c>
      <c r="G3132" s="1" t="s">
        <v>302</v>
      </c>
      <c r="H3132" s="8">
        <v>17800</v>
      </c>
      <c r="I3132" s="8">
        <f t="shared" si="208"/>
        <v>1281600</v>
      </c>
      <c r="J3132" s="539">
        <v>15000</v>
      </c>
      <c r="K3132" s="521">
        <f t="shared" si="206"/>
        <v>2800</v>
      </c>
      <c r="L3132" s="522">
        <f t="shared" si="209"/>
        <v>201600</v>
      </c>
      <c r="M3132" s="523">
        <f t="shared" si="207"/>
        <v>0.15730337078651685</v>
      </c>
      <c r="N3132" s="2" t="s">
        <v>22</v>
      </c>
      <c r="O3132" s="15" t="s">
        <v>39</v>
      </c>
    </row>
    <row r="3133" spans="1:15">
      <c r="A3133" s="70">
        <v>2025</v>
      </c>
      <c r="B3133" s="16" t="s">
        <v>998</v>
      </c>
      <c r="C3133" s="71" t="s">
        <v>4163</v>
      </c>
      <c r="D3133" s="2" t="s">
        <v>590</v>
      </c>
      <c r="E3133" s="150" t="s">
        <v>4164</v>
      </c>
      <c r="F3133" s="464">
        <v>26</v>
      </c>
      <c r="G3133" s="1" t="s">
        <v>302</v>
      </c>
      <c r="H3133" s="8">
        <v>20800</v>
      </c>
      <c r="I3133" s="8">
        <f t="shared" si="208"/>
        <v>540800</v>
      </c>
      <c r="J3133" s="539">
        <v>18400</v>
      </c>
      <c r="K3133" s="521">
        <f t="shared" si="206"/>
        <v>2400</v>
      </c>
      <c r="L3133" s="522">
        <f t="shared" si="209"/>
        <v>62400</v>
      </c>
      <c r="M3133" s="523">
        <f t="shared" si="207"/>
        <v>0.11538461538461539</v>
      </c>
      <c r="N3133" s="2" t="s">
        <v>22</v>
      </c>
      <c r="O3133" s="15" t="s">
        <v>39</v>
      </c>
    </row>
    <row r="3134" spans="1:15">
      <c r="A3134" s="70">
        <v>2025</v>
      </c>
      <c r="B3134" s="16" t="s">
        <v>998</v>
      </c>
      <c r="C3134" s="71" t="s">
        <v>4163</v>
      </c>
      <c r="D3134" s="2" t="s">
        <v>590</v>
      </c>
      <c r="E3134" s="150" t="s">
        <v>3364</v>
      </c>
      <c r="F3134" s="464">
        <v>48</v>
      </c>
      <c r="G3134" s="1" t="s">
        <v>302</v>
      </c>
      <c r="H3134" s="8">
        <v>20800</v>
      </c>
      <c r="I3134" s="8">
        <f t="shared" si="208"/>
        <v>998400</v>
      </c>
      <c r="J3134" s="539">
        <v>18400</v>
      </c>
      <c r="K3134" s="521">
        <f t="shared" si="206"/>
        <v>2400</v>
      </c>
      <c r="L3134" s="522">
        <f t="shared" si="209"/>
        <v>115200</v>
      </c>
      <c r="M3134" s="523">
        <f t="shared" si="207"/>
        <v>0.11538461538461539</v>
      </c>
      <c r="N3134" s="2" t="s">
        <v>22</v>
      </c>
      <c r="O3134" s="15" t="s">
        <v>39</v>
      </c>
    </row>
    <row r="3135" spans="1:15">
      <c r="A3135" s="70">
        <v>2025</v>
      </c>
      <c r="B3135" s="16" t="s">
        <v>998</v>
      </c>
      <c r="C3135" s="71" t="s">
        <v>4163</v>
      </c>
      <c r="D3135" s="2" t="s">
        <v>590</v>
      </c>
      <c r="E3135" s="150" t="s">
        <v>3592</v>
      </c>
      <c r="F3135" s="464">
        <v>19</v>
      </c>
      <c r="G3135" s="1" t="s">
        <v>302</v>
      </c>
      <c r="H3135" s="8">
        <v>84700</v>
      </c>
      <c r="I3135" s="8">
        <f t="shared" si="208"/>
        <v>1609300</v>
      </c>
      <c r="J3135" s="539">
        <v>82000</v>
      </c>
      <c r="K3135" s="521">
        <f t="shared" si="206"/>
        <v>2700</v>
      </c>
      <c r="L3135" s="522">
        <f t="shared" si="209"/>
        <v>51300</v>
      </c>
      <c r="M3135" s="523">
        <f t="shared" si="207"/>
        <v>3.1877213695395513E-2</v>
      </c>
      <c r="N3135" s="2" t="s">
        <v>22</v>
      </c>
      <c r="O3135" s="15" t="s">
        <v>39</v>
      </c>
    </row>
    <row r="3136" spans="1:15">
      <c r="A3136" s="70">
        <v>2025</v>
      </c>
      <c r="B3136" s="16" t="s">
        <v>998</v>
      </c>
      <c r="C3136" s="71" t="s">
        <v>4163</v>
      </c>
      <c r="D3136" s="2" t="s">
        <v>590</v>
      </c>
      <c r="E3136" s="150" t="s">
        <v>3514</v>
      </c>
      <c r="F3136" s="464">
        <v>46</v>
      </c>
      <c r="G3136" s="1" t="s">
        <v>302</v>
      </c>
      <c r="H3136" s="8">
        <v>52000</v>
      </c>
      <c r="I3136" s="8">
        <f t="shared" si="208"/>
        <v>2392000</v>
      </c>
      <c r="J3136" s="539">
        <v>49000</v>
      </c>
      <c r="K3136" s="521">
        <f t="shared" si="206"/>
        <v>3000</v>
      </c>
      <c r="L3136" s="522">
        <f t="shared" si="209"/>
        <v>138000</v>
      </c>
      <c r="M3136" s="523">
        <f t="shared" si="207"/>
        <v>5.7692307692307696E-2</v>
      </c>
      <c r="N3136" s="2" t="s">
        <v>22</v>
      </c>
      <c r="O3136" s="15" t="s">
        <v>39</v>
      </c>
    </row>
    <row r="3137" spans="1:15">
      <c r="A3137" s="70">
        <v>2025</v>
      </c>
      <c r="B3137" s="16" t="s">
        <v>998</v>
      </c>
      <c r="C3137" s="71" t="s">
        <v>4163</v>
      </c>
      <c r="D3137" s="2" t="s">
        <v>590</v>
      </c>
      <c r="E3137" s="150" t="s">
        <v>3345</v>
      </c>
      <c r="F3137" s="464">
        <v>26</v>
      </c>
      <c r="G3137" s="1" t="s">
        <v>302</v>
      </c>
      <c r="H3137" s="8">
        <v>52000</v>
      </c>
      <c r="I3137" s="8">
        <f t="shared" si="208"/>
        <v>1352000</v>
      </c>
      <c r="J3137" s="539">
        <v>49000</v>
      </c>
      <c r="K3137" s="521">
        <f t="shared" si="206"/>
        <v>3000</v>
      </c>
      <c r="L3137" s="522">
        <f t="shared" si="209"/>
        <v>78000</v>
      </c>
      <c r="M3137" s="523">
        <f t="shared" si="207"/>
        <v>5.7692307692307696E-2</v>
      </c>
      <c r="N3137" s="2" t="s">
        <v>22</v>
      </c>
      <c r="O3137" s="15" t="s">
        <v>39</v>
      </c>
    </row>
    <row r="3138" spans="1:15">
      <c r="A3138" s="70">
        <v>2025</v>
      </c>
      <c r="B3138" s="16" t="s">
        <v>998</v>
      </c>
      <c r="C3138" s="71" t="s">
        <v>4163</v>
      </c>
      <c r="D3138" s="2" t="s">
        <v>590</v>
      </c>
      <c r="E3138" s="150" t="s">
        <v>4165</v>
      </c>
      <c r="F3138" s="464">
        <v>26</v>
      </c>
      <c r="G3138" s="1" t="s">
        <v>19</v>
      </c>
      <c r="H3138" s="8">
        <v>6500</v>
      </c>
      <c r="I3138" s="8">
        <f t="shared" si="208"/>
        <v>169000</v>
      </c>
      <c r="J3138" s="539">
        <v>6000</v>
      </c>
      <c r="K3138" s="521">
        <f t="shared" si="206"/>
        <v>500</v>
      </c>
      <c r="L3138" s="522">
        <f t="shared" si="209"/>
        <v>13000</v>
      </c>
      <c r="M3138" s="523">
        <f t="shared" si="207"/>
        <v>7.6923076923076927E-2</v>
      </c>
      <c r="N3138" s="2" t="s">
        <v>22</v>
      </c>
      <c r="O3138" s="15" t="s">
        <v>39</v>
      </c>
    </row>
    <row r="3139" spans="1:15">
      <c r="A3139" s="70">
        <v>2025</v>
      </c>
      <c r="B3139" s="16" t="s">
        <v>998</v>
      </c>
      <c r="C3139" s="71" t="s">
        <v>4166</v>
      </c>
      <c r="D3139" s="2" t="s">
        <v>1042</v>
      </c>
      <c r="E3139" s="150" t="s">
        <v>889</v>
      </c>
      <c r="F3139" s="464">
        <v>7948</v>
      </c>
      <c r="G3139" s="1" t="s">
        <v>37</v>
      </c>
      <c r="H3139" s="8">
        <v>357</v>
      </c>
      <c r="I3139" s="8">
        <f t="shared" si="208"/>
        <v>2837436</v>
      </c>
      <c r="J3139" s="539">
        <v>356.5</v>
      </c>
      <c r="K3139" s="521">
        <f t="shared" ref="K3139:K3202" si="210">H3139-J3139</f>
        <v>0.5</v>
      </c>
      <c r="L3139" s="522">
        <f t="shared" si="209"/>
        <v>3974</v>
      </c>
      <c r="M3139" s="523">
        <f t="shared" ref="M3139:M3202" si="211">K3139/H3139</f>
        <v>1.4005602240896359E-3</v>
      </c>
      <c r="N3139" s="2" t="s">
        <v>40</v>
      </c>
      <c r="O3139" s="15" t="s">
        <v>105</v>
      </c>
    </row>
    <row r="3140" spans="1:15">
      <c r="A3140" s="70">
        <v>2025</v>
      </c>
      <c r="B3140" s="16" t="s">
        <v>998</v>
      </c>
      <c r="C3140" s="71" t="s">
        <v>4167</v>
      </c>
      <c r="D3140" s="2" t="s">
        <v>1804</v>
      </c>
      <c r="E3140" s="150" t="s">
        <v>4168</v>
      </c>
      <c r="F3140" s="464">
        <v>1</v>
      </c>
      <c r="G3140" s="1" t="s">
        <v>285</v>
      </c>
      <c r="H3140" s="8">
        <v>66507.649999999994</v>
      </c>
      <c r="I3140" s="8">
        <f t="shared" si="208"/>
        <v>66507.649999999994</v>
      </c>
      <c r="J3140" s="539">
        <v>61522.82</v>
      </c>
      <c r="K3140" s="521">
        <f t="shared" si="210"/>
        <v>4984.8299999999945</v>
      </c>
      <c r="L3140" s="522">
        <f t="shared" si="209"/>
        <v>4984.8299999999945</v>
      </c>
      <c r="M3140" s="523">
        <f t="shared" si="211"/>
        <v>7.4951227415192015E-2</v>
      </c>
      <c r="N3140" s="2" t="s">
        <v>22</v>
      </c>
      <c r="O3140" s="15" t="s">
        <v>105</v>
      </c>
    </row>
    <row r="3141" spans="1:15">
      <c r="A3141" s="70">
        <v>2025</v>
      </c>
      <c r="B3141" s="16" t="s">
        <v>998</v>
      </c>
      <c r="C3141" s="71" t="s">
        <v>4169</v>
      </c>
      <c r="D3141" s="2" t="s">
        <v>4170</v>
      </c>
      <c r="E3141" s="150" t="s">
        <v>4171</v>
      </c>
      <c r="F3141" s="464">
        <v>2</v>
      </c>
      <c r="G3141" s="1" t="s">
        <v>19</v>
      </c>
      <c r="H3141" s="8">
        <v>18200</v>
      </c>
      <c r="I3141" s="8">
        <f t="shared" si="208"/>
        <v>36400</v>
      </c>
      <c r="J3141" s="539">
        <v>13900</v>
      </c>
      <c r="K3141" s="521">
        <f t="shared" si="210"/>
        <v>4300</v>
      </c>
      <c r="L3141" s="522">
        <v>13900</v>
      </c>
      <c r="M3141" s="523">
        <f t="shared" si="211"/>
        <v>0.23626373626373626</v>
      </c>
      <c r="N3141" s="2" t="s">
        <v>22</v>
      </c>
      <c r="O3141" s="15" t="s">
        <v>105</v>
      </c>
    </row>
    <row r="3142" spans="1:15">
      <c r="A3142" s="70">
        <v>2025</v>
      </c>
      <c r="B3142" s="16" t="s">
        <v>998</v>
      </c>
      <c r="C3142" s="71" t="s">
        <v>4172</v>
      </c>
      <c r="D3142" s="2" t="s">
        <v>329</v>
      </c>
      <c r="E3142" s="150" t="s">
        <v>4041</v>
      </c>
      <c r="F3142" s="464">
        <v>50</v>
      </c>
      <c r="G3142" s="1" t="s">
        <v>1368</v>
      </c>
      <c r="H3142" s="8">
        <v>1255</v>
      </c>
      <c r="I3142" s="8">
        <f t="shared" si="208"/>
        <v>62750</v>
      </c>
      <c r="J3142" s="539">
        <v>1250</v>
      </c>
      <c r="K3142" s="521">
        <f t="shared" si="210"/>
        <v>5</v>
      </c>
      <c r="L3142" s="522">
        <f t="shared" ref="L3142:L3205" si="212">K3142*F3142</f>
        <v>250</v>
      </c>
      <c r="M3142" s="523">
        <f t="shared" si="211"/>
        <v>3.9840637450199202E-3</v>
      </c>
      <c r="N3142" s="2" t="s">
        <v>20</v>
      </c>
      <c r="O3142" s="15" t="s">
        <v>39</v>
      </c>
    </row>
    <row r="3143" spans="1:15">
      <c r="A3143" s="70">
        <v>2025</v>
      </c>
      <c r="B3143" s="16" t="s">
        <v>998</v>
      </c>
      <c r="C3143" s="71" t="s">
        <v>4172</v>
      </c>
      <c r="D3143" s="2" t="s">
        <v>329</v>
      </c>
      <c r="E3143" s="150" t="s">
        <v>4042</v>
      </c>
      <c r="F3143" s="464">
        <v>50</v>
      </c>
      <c r="G3143" s="1" t="s">
        <v>1368</v>
      </c>
      <c r="H3143" s="8">
        <v>1098</v>
      </c>
      <c r="I3143" s="8">
        <f t="shared" si="208"/>
        <v>54900</v>
      </c>
      <c r="J3143" s="539">
        <v>1080</v>
      </c>
      <c r="K3143" s="521">
        <f t="shared" si="210"/>
        <v>18</v>
      </c>
      <c r="L3143" s="522">
        <f t="shared" si="212"/>
        <v>900</v>
      </c>
      <c r="M3143" s="523">
        <f t="shared" si="211"/>
        <v>1.6393442622950821E-2</v>
      </c>
      <c r="N3143" s="2" t="s">
        <v>20</v>
      </c>
      <c r="O3143" s="15" t="s">
        <v>39</v>
      </c>
    </row>
    <row r="3144" spans="1:15">
      <c r="A3144" s="70">
        <v>2025</v>
      </c>
      <c r="B3144" s="16" t="s">
        <v>998</v>
      </c>
      <c r="C3144" s="71" t="s">
        <v>4172</v>
      </c>
      <c r="D3144" s="2" t="s">
        <v>329</v>
      </c>
      <c r="E3144" s="150" t="s">
        <v>4173</v>
      </c>
      <c r="F3144" s="464">
        <v>20</v>
      </c>
      <c r="G3144" s="1" t="s">
        <v>1368</v>
      </c>
      <c r="H3144" s="8">
        <v>950</v>
      </c>
      <c r="I3144" s="8">
        <f t="shared" si="208"/>
        <v>19000</v>
      </c>
      <c r="J3144" s="539">
        <v>930</v>
      </c>
      <c r="K3144" s="521">
        <f t="shared" si="210"/>
        <v>20</v>
      </c>
      <c r="L3144" s="522">
        <f t="shared" si="212"/>
        <v>400</v>
      </c>
      <c r="M3144" s="523">
        <f t="shared" si="211"/>
        <v>2.1052631578947368E-2</v>
      </c>
      <c r="N3144" s="2" t="s">
        <v>20</v>
      </c>
      <c r="O3144" s="15" t="s">
        <v>39</v>
      </c>
    </row>
    <row r="3145" spans="1:15">
      <c r="A3145" s="70">
        <v>2025</v>
      </c>
      <c r="B3145" s="16" t="s">
        <v>998</v>
      </c>
      <c r="C3145" s="71" t="s">
        <v>4174</v>
      </c>
      <c r="D3145" s="2" t="s">
        <v>200</v>
      </c>
      <c r="E3145" s="150" t="s">
        <v>4062</v>
      </c>
      <c r="F3145" s="464">
        <v>1</v>
      </c>
      <c r="G3145" s="1" t="s">
        <v>302</v>
      </c>
      <c r="H3145" s="8">
        <v>26500</v>
      </c>
      <c r="I3145" s="8">
        <f t="shared" si="208"/>
        <v>26500</v>
      </c>
      <c r="J3145" s="539">
        <v>25500</v>
      </c>
      <c r="K3145" s="521">
        <f t="shared" si="210"/>
        <v>1000</v>
      </c>
      <c r="L3145" s="522">
        <f t="shared" si="212"/>
        <v>1000</v>
      </c>
      <c r="M3145" s="523">
        <f t="shared" si="211"/>
        <v>3.7735849056603772E-2</v>
      </c>
      <c r="N3145" s="2" t="s">
        <v>20</v>
      </c>
      <c r="O3145" s="15" t="s">
        <v>39</v>
      </c>
    </row>
    <row r="3146" spans="1:15">
      <c r="A3146" s="70">
        <v>2025</v>
      </c>
      <c r="B3146" s="16" t="s">
        <v>998</v>
      </c>
      <c r="C3146" s="71" t="s">
        <v>4175</v>
      </c>
      <c r="D3146" s="2" t="s">
        <v>345</v>
      </c>
      <c r="E3146" s="150" t="s">
        <v>4176</v>
      </c>
      <c r="F3146" s="464">
        <v>1</v>
      </c>
      <c r="G3146" s="1" t="s">
        <v>302</v>
      </c>
      <c r="H3146" s="8">
        <v>1237500</v>
      </c>
      <c r="I3146" s="8">
        <f t="shared" si="208"/>
        <v>1237500</v>
      </c>
      <c r="J3146" s="539">
        <v>1220000</v>
      </c>
      <c r="K3146" s="521">
        <f t="shared" si="210"/>
        <v>17500</v>
      </c>
      <c r="L3146" s="522">
        <f t="shared" si="212"/>
        <v>17500</v>
      </c>
      <c r="M3146" s="523">
        <f t="shared" si="211"/>
        <v>1.4141414141414142E-2</v>
      </c>
      <c r="N3146" s="2" t="s">
        <v>40</v>
      </c>
      <c r="O3146" s="15" t="s">
        <v>4066</v>
      </c>
    </row>
    <row r="3147" spans="1:15">
      <c r="A3147" s="70">
        <v>2025</v>
      </c>
      <c r="B3147" s="16" t="s">
        <v>998</v>
      </c>
      <c r="C3147" s="71" t="s">
        <v>4175</v>
      </c>
      <c r="D3147" s="2" t="s">
        <v>345</v>
      </c>
      <c r="E3147" s="150" t="s">
        <v>4177</v>
      </c>
      <c r="F3147" s="464">
        <v>1</v>
      </c>
      <c r="G3147" s="1" t="s">
        <v>302</v>
      </c>
      <c r="H3147" s="8">
        <v>3008000</v>
      </c>
      <c r="I3147" s="8">
        <f t="shared" si="208"/>
        <v>3008000</v>
      </c>
      <c r="J3147" s="539">
        <v>2970000</v>
      </c>
      <c r="K3147" s="521">
        <f t="shared" si="210"/>
        <v>38000</v>
      </c>
      <c r="L3147" s="522">
        <f t="shared" si="212"/>
        <v>38000</v>
      </c>
      <c r="M3147" s="523">
        <f t="shared" si="211"/>
        <v>1.2632978723404254E-2</v>
      </c>
      <c r="N3147" s="2" t="s">
        <v>40</v>
      </c>
      <c r="O3147" s="15" t="s">
        <v>4066</v>
      </c>
    </row>
    <row r="3148" spans="1:15">
      <c r="A3148" s="70">
        <v>2025</v>
      </c>
      <c r="B3148" s="16" t="s">
        <v>998</v>
      </c>
      <c r="C3148" s="71" t="s">
        <v>4178</v>
      </c>
      <c r="D3148" s="2" t="s">
        <v>4179</v>
      </c>
      <c r="E3148" s="150" t="s">
        <v>4180</v>
      </c>
      <c r="F3148" s="464">
        <v>1</v>
      </c>
      <c r="G3148" s="1" t="s">
        <v>285</v>
      </c>
      <c r="H3148" s="8">
        <v>1333169.6000000001</v>
      </c>
      <c r="I3148" s="8">
        <f t="shared" si="208"/>
        <v>1333169.6000000001</v>
      </c>
      <c r="J3148" s="539">
        <v>1300000</v>
      </c>
      <c r="K3148" s="521">
        <f t="shared" si="210"/>
        <v>33169.600000000093</v>
      </c>
      <c r="L3148" s="522">
        <f t="shared" si="212"/>
        <v>33169.600000000093</v>
      </c>
      <c r="M3148" s="523">
        <f t="shared" si="211"/>
        <v>2.4880255295350338E-2</v>
      </c>
      <c r="N3148" s="2" t="s">
        <v>40</v>
      </c>
      <c r="O3148" s="15" t="s">
        <v>4066</v>
      </c>
    </row>
    <row r="3149" spans="1:15">
      <c r="A3149" s="70">
        <v>2025</v>
      </c>
      <c r="B3149" s="16" t="s">
        <v>998</v>
      </c>
      <c r="C3149" s="71" t="s">
        <v>4181</v>
      </c>
      <c r="D3149" s="2" t="s">
        <v>1948</v>
      </c>
      <c r="E3149" s="150" t="s">
        <v>4182</v>
      </c>
      <c r="F3149" s="464">
        <v>1</v>
      </c>
      <c r="G3149" s="1" t="s">
        <v>19</v>
      </c>
      <c r="H3149" s="8">
        <v>6344</v>
      </c>
      <c r="I3149" s="8">
        <f t="shared" si="208"/>
        <v>6344</v>
      </c>
      <c r="J3149" s="539">
        <v>6026.8</v>
      </c>
      <c r="K3149" s="521">
        <f t="shared" si="210"/>
        <v>317.19999999999982</v>
      </c>
      <c r="L3149" s="522">
        <f t="shared" si="212"/>
        <v>317.19999999999982</v>
      </c>
      <c r="M3149" s="523">
        <f t="shared" si="211"/>
        <v>4.9999999999999968E-2</v>
      </c>
      <c r="N3149" s="2" t="s">
        <v>22</v>
      </c>
      <c r="O3149" s="15" t="s">
        <v>4066</v>
      </c>
    </row>
    <row r="3150" spans="1:15">
      <c r="A3150" s="70">
        <v>2025</v>
      </c>
      <c r="B3150" s="16" t="s">
        <v>998</v>
      </c>
      <c r="C3150" s="71" t="s">
        <v>4181</v>
      </c>
      <c r="D3150" s="2" t="s">
        <v>1948</v>
      </c>
      <c r="E3150" s="150" t="s">
        <v>4183</v>
      </c>
      <c r="F3150" s="464">
        <v>1</v>
      </c>
      <c r="G3150" s="1" t="s">
        <v>19</v>
      </c>
      <c r="H3150" s="8">
        <v>1075.05</v>
      </c>
      <c r="I3150" s="8">
        <f t="shared" si="208"/>
        <v>1075.05</v>
      </c>
      <c r="J3150" s="539">
        <v>1040</v>
      </c>
      <c r="K3150" s="521">
        <f t="shared" si="210"/>
        <v>35.049999999999955</v>
      </c>
      <c r="L3150" s="522">
        <f t="shared" si="212"/>
        <v>35.049999999999955</v>
      </c>
      <c r="M3150" s="523">
        <f t="shared" si="211"/>
        <v>3.2603134737919127E-2</v>
      </c>
      <c r="N3150" s="2" t="s">
        <v>22</v>
      </c>
      <c r="O3150" s="15" t="s">
        <v>4066</v>
      </c>
    </row>
    <row r="3151" spans="1:15">
      <c r="A3151" s="70">
        <v>2025</v>
      </c>
      <c r="B3151" s="16" t="s">
        <v>998</v>
      </c>
      <c r="C3151" s="71" t="s">
        <v>4184</v>
      </c>
      <c r="D3151" s="2" t="s">
        <v>118</v>
      </c>
      <c r="E3151" s="150" t="s">
        <v>4185</v>
      </c>
      <c r="F3151" s="464">
        <v>1</v>
      </c>
      <c r="G3151" s="1" t="s">
        <v>19</v>
      </c>
      <c r="H3151" s="8">
        <v>29000</v>
      </c>
      <c r="I3151" s="8">
        <f t="shared" si="208"/>
        <v>29000</v>
      </c>
      <c r="J3151" s="539">
        <v>28500</v>
      </c>
      <c r="K3151" s="521">
        <f t="shared" si="210"/>
        <v>500</v>
      </c>
      <c r="L3151" s="522">
        <f t="shared" si="212"/>
        <v>500</v>
      </c>
      <c r="M3151" s="523">
        <f t="shared" si="211"/>
        <v>1.7241379310344827E-2</v>
      </c>
      <c r="N3151" s="2" t="s">
        <v>22</v>
      </c>
      <c r="O3151" s="15" t="s">
        <v>4066</v>
      </c>
    </row>
    <row r="3152" spans="1:15">
      <c r="A3152" s="70">
        <v>2025</v>
      </c>
      <c r="B3152" s="16" t="s">
        <v>998</v>
      </c>
      <c r="C3152" s="71" t="s">
        <v>4186</v>
      </c>
      <c r="D3152" s="2" t="s">
        <v>89</v>
      </c>
      <c r="E3152" s="150" t="s">
        <v>4187</v>
      </c>
      <c r="F3152" s="464">
        <v>3</v>
      </c>
      <c r="G3152" s="1" t="s">
        <v>19</v>
      </c>
      <c r="H3152" s="8">
        <v>9080</v>
      </c>
      <c r="I3152" s="8">
        <f t="shared" si="208"/>
        <v>27240</v>
      </c>
      <c r="J3152" s="539">
        <v>8172</v>
      </c>
      <c r="K3152" s="521">
        <f t="shared" si="210"/>
        <v>908</v>
      </c>
      <c r="L3152" s="522">
        <f t="shared" si="212"/>
        <v>2724</v>
      </c>
      <c r="M3152" s="523">
        <f t="shared" si="211"/>
        <v>0.1</v>
      </c>
      <c r="N3152" s="2" t="s">
        <v>40</v>
      </c>
      <c r="O3152" s="15" t="s">
        <v>4066</v>
      </c>
    </row>
    <row r="3153" spans="1:15">
      <c r="A3153" s="70">
        <v>2025</v>
      </c>
      <c r="B3153" s="16" t="s">
        <v>998</v>
      </c>
      <c r="C3153" s="71" t="s">
        <v>4188</v>
      </c>
      <c r="D3153" s="2" t="s">
        <v>4179</v>
      </c>
      <c r="E3153" s="150" t="s">
        <v>4189</v>
      </c>
      <c r="F3153" s="464">
        <v>1</v>
      </c>
      <c r="G3153" s="1" t="s">
        <v>285</v>
      </c>
      <c r="H3153" s="8">
        <v>950000</v>
      </c>
      <c r="I3153" s="8">
        <f t="shared" si="208"/>
        <v>950000</v>
      </c>
      <c r="J3153" s="539">
        <v>946635.42</v>
      </c>
      <c r="K3153" s="521">
        <f t="shared" si="210"/>
        <v>3364.5799999999581</v>
      </c>
      <c r="L3153" s="522">
        <f t="shared" si="212"/>
        <v>3364.5799999999581</v>
      </c>
      <c r="M3153" s="523">
        <f t="shared" si="211"/>
        <v>3.5416631578946926E-3</v>
      </c>
      <c r="N3153" s="2" t="s">
        <v>30</v>
      </c>
      <c r="O3153" s="15" t="s">
        <v>4066</v>
      </c>
    </row>
    <row r="3154" spans="1:15">
      <c r="A3154" s="70">
        <v>2025</v>
      </c>
      <c r="B3154" s="16" t="s">
        <v>998</v>
      </c>
      <c r="C3154" s="71" t="s">
        <v>4190</v>
      </c>
      <c r="D3154" s="2" t="s">
        <v>4191</v>
      </c>
      <c r="E3154" s="441" t="s">
        <v>4192</v>
      </c>
      <c r="F3154" s="464">
        <v>1</v>
      </c>
      <c r="G3154" s="1" t="s">
        <v>285</v>
      </c>
      <c r="H3154" s="8">
        <v>82600</v>
      </c>
      <c r="I3154" s="8">
        <f t="shared" si="208"/>
        <v>82600</v>
      </c>
      <c r="J3154" s="539">
        <v>80000</v>
      </c>
      <c r="K3154" s="521">
        <f t="shared" si="210"/>
        <v>2600</v>
      </c>
      <c r="L3154" s="522">
        <f t="shared" si="212"/>
        <v>2600</v>
      </c>
      <c r="M3154" s="523">
        <f t="shared" si="211"/>
        <v>3.1476997578692496E-2</v>
      </c>
      <c r="N3154" s="2" t="s">
        <v>22</v>
      </c>
      <c r="O3154" s="15" t="s">
        <v>4066</v>
      </c>
    </row>
    <row r="3155" spans="1:15">
      <c r="A3155" s="70">
        <v>2025</v>
      </c>
      <c r="B3155" s="16" t="s">
        <v>998</v>
      </c>
      <c r="C3155" s="71" t="s">
        <v>4193</v>
      </c>
      <c r="D3155" s="2" t="s">
        <v>2294</v>
      </c>
      <c r="E3155" s="150" t="s">
        <v>4194</v>
      </c>
      <c r="F3155" s="464">
        <v>1</v>
      </c>
      <c r="G3155" s="1" t="s">
        <v>285</v>
      </c>
      <c r="H3155" s="8">
        <v>141139.5</v>
      </c>
      <c r="I3155" s="8">
        <f t="shared" si="208"/>
        <v>141139.5</v>
      </c>
      <c r="J3155" s="539">
        <v>138000</v>
      </c>
      <c r="K3155" s="521">
        <f t="shared" si="210"/>
        <v>3139.5</v>
      </c>
      <c r="L3155" s="522">
        <f t="shared" si="212"/>
        <v>3139.5</v>
      </c>
      <c r="M3155" s="523">
        <f t="shared" si="211"/>
        <v>2.2243950134441456E-2</v>
      </c>
      <c r="N3155" s="2" t="s">
        <v>22</v>
      </c>
      <c r="O3155" s="15" t="s">
        <v>4066</v>
      </c>
    </row>
    <row r="3156" spans="1:15">
      <c r="A3156" s="70">
        <v>2025</v>
      </c>
      <c r="B3156" s="16" t="s">
        <v>998</v>
      </c>
      <c r="C3156" s="71" t="s">
        <v>4195</v>
      </c>
      <c r="D3156" s="2" t="s">
        <v>2294</v>
      </c>
      <c r="E3156" s="150" t="s">
        <v>4196</v>
      </c>
      <c r="F3156" s="464">
        <v>1</v>
      </c>
      <c r="G3156" s="1" t="s">
        <v>285</v>
      </c>
      <c r="H3156" s="8">
        <v>43125</v>
      </c>
      <c r="I3156" s="8">
        <f t="shared" si="208"/>
        <v>43125</v>
      </c>
      <c r="J3156" s="539">
        <v>42000</v>
      </c>
      <c r="K3156" s="521">
        <f t="shared" si="210"/>
        <v>1125</v>
      </c>
      <c r="L3156" s="522">
        <f t="shared" si="212"/>
        <v>1125</v>
      </c>
      <c r="M3156" s="523">
        <f t="shared" si="211"/>
        <v>2.6086956521739129E-2</v>
      </c>
      <c r="N3156" s="2" t="s">
        <v>40</v>
      </c>
      <c r="O3156" s="15" t="s">
        <v>4066</v>
      </c>
    </row>
    <row r="3157" spans="1:15">
      <c r="A3157" s="70">
        <v>2025</v>
      </c>
      <c r="B3157" s="16" t="s">
        <v>998</v>
      </c>
      <c r="C3157" s="71" t="s">
        <v>4197</v>
      </c>
      <c r="D3157" s="2" t="s">
        <v>1948</v>
      </c>
      <c r="E3157" s="150" t="s">
        <v>4198</v>
      </c>
      <c r="F3157" s="464">
        <v>2</v>
      </c>
      <c r="G3157" s="1" t="s">
        <v>19</v>
      </c>
      <c r="H3157" s="8">
        <v>1730</v>
      </c>
      <c r="I3157" s="8">
        <f t="shared" si="208"/>
        <v>3460</v>
      </c>
      <c r="J3157" s="539">
        <v>1643.5</v>
      </c>
      <c r="K3157" s="521">
        <f t="shared" si="210"/>
        <v>86.5</v>
      </c>
      <c r="L3157" s="522">
        <f t="shared" si="212"/>
        <v>173</v>
      </c>
      <c r="M3157" s="523">
        <f t="shared" si="211"/>
        <v>0.05</v>
      </c>
      <c r="N3157" s="2" t="s">
        <v>22</v>
      </c>
      <c r="O3157" s="15" t="s">
        <v>4066</v>
      </c>
    </row>
    <row r="3158" spans="1:15">
      <c r="A3158" s="70">
        <v>2025</v>
      </c>
      <c r="B3158" s="16" t="s">
        <v>998</v>
      </c>
      <c r="C3158" s="71" t="s">
        <v>4199</v>
      </c>
      <c r="D3158" s="2" t="s">
        <v>345</v>
      </c>
      <c r="E3158" s="150" t="s">
        <v>4200</v>
      </c>
      <c r="F3158" s="464">
        <v>1</v>
      </c>
      <c r="G3158" s="1" t="s">
        <v>302</v>
      </c>
      <c r="H3158" s="8">
        <v>1323500</v>
      </c>
      <c r="I3158" s="8">
        <f t="shared" si="208"/>
        <v>1323500</v>
      </c>
      <c r="J3158" s="539">
        <v>1290000</v>
      </c>
      <c r="K3158" s="521">
        <f t="shared" si="210"/>
        <v>33500</v>
      </c>
      <c r="L3158" s="522">
        <f t="shared" si="212"/>
        <v>33500</v>
      </c>
      <c r="M3158" s="523">
        <f t="shared" si="211"/>
        <v>2.5311673592746504E-2</v>
      </c>
      <c r="N3158" s="2" t="s">
        <v>40</v>
      </c>
      <c r="O3158" s="15" t="s">
        <v>4066</v>
      </c>
    </row>
    <row r="3159" spans="1:15">
      <c r="A3159" s="70">
        <v>2025</v>
      </c>
      <c r="B3159" s="16" t="s">
        <v>998</v>
      </c>
      <c r="C3159" s="71" t="s">
        <v>4201</v>
      </c>
      <c r="D3159" s="2" t="s">
        <v>1461</v>
      </c>
      <c r="E3159" s="150" t="s">
        <v>4202</v>
      </c>
      <c r="F3159" s="464">
        <v>1</v>
      </c>
      <c r="G3159" s="1" t="s">
        <v>285</v>
      </c>
      <c r="H3159" s="8">
        <v>502200</v>
      </c>
      <c r="I3159" s="8">
        <f t="shared" si="208"/>
        <v>502200</v>
      </c>
      <c r="J3159" s="539">
        <v>450000</v>
      </c>
      <c r="K3159" s="521">
        <f t="shared" si="210"/>
        <v>52200</v>
      </c>
      <c r="L3159" s="522">
        <f t="shared" si="212"/>
        <v>52200</v>
      </c>
      <c r="M3159" s="523">
        <f t="shared" si="211"/>
        <v>0.1039426523297491</v>
      </c>
      <c r="N3159" s="2" t="s">
        <v>22</v>
      </c>
      <c r="O3159" s="15" t="s">
        <v>4066</v>
      </c>
    </row>
    <row r="3160" spans="1:15">
      <c r="A3160" s="70">
        <v>2025</v>
      </c>
      <c r="B3160" s="16" t="s">
        <v>998</v>
      </c>
      <c r="C3160" s="71" t="s">
        <v>4203</v>
      </c>
      <c r="D3160" s="2" t="s">
        <v>1390</v>
      </c>
      <c r="E3160" s="150" t="s">
        <v>4204</v>
      </c>
      <c r="F3160" s="464">
        <v>1</v>
      </c>
      <c r="G3160" s="1" t="s">
        <v>19</v>
      </c>
      <c r="H3160" s="8">
        <v>4663.55</v>
      </c>
      <c r="I3160" s="8">
        <f t="shared" si="208"/>
        <v>4663.55</v>
      </c>
      <c r="J3160" s="539">
        <v>4523.6400000000003</v>
      </c>
      <c r="K3160" s="521">
        <f t="shared" si="210"/>
        <v>139.90999999999985</v>
      </c>
      <c r="L3160" s="522">
        <f t="shared" si="212"/>
        <v>139.90999999999985</v>
      </c>
      <c r="M3160" s="523">
        <f t="shared" si="211"/>
        <v>3.0000750501227573E-2</v>
      </c>
      <c r="N3160" s="2" t="s">
        <v>40</v>
      </c>
      <c r="O3160" s="15" t="s">
        <v>4066</v>
      </c>
    </row>
    <row r="3161" spans="1:15">
      <c r="A3161" s="70">
        <v>2025</v>
      </c>
      <c r="B3161" s="16" t="s">
        <v>998</v>
      </c>
      <c r="C3161" s="71" t="s">
        <v>4205</v>
      </c>
      <c r="D3161" s="2" t="s">
        <v>946</v>
      </c>
      <c r="E3161" s="150" t="s">
        <v>4206</v>
      </c>
      <c r="F3161" s="464">
        <v>8000</v>
      </c>
      <c r="G3161" s="1" t="s">
        <v>615</v>
      </c>
      <c r="H3161" s="8">
        <v>22.5</v>
      </c>
      <c r="I3161" s="8">
        <f t="shared" si="208"/>
        <v>180000</v>
      </c>
      <c r="J3161" s="539">
        <v>20.93</v>
      </c>
      <c r="K3161" s="521">
        <f t="shared" si="210"/>
        <v>1.5700000000000003</v>
      </c>
      <c r="L3161" s="522">
        <f t="shared" si="212"/>
        <v>12560.000000000002</v>
      </c>
      <c r="M3161" s="523">
        <f t="shared" si="211"/>
        <v>6.9777777777777786E-2</v>
      </c>
      <c r="N3161" s="2" t="s">
        <v>40</v>
      </c>
      <c r="O3161" s="15" t="s">
        <v>4066</v>
      </c>
    </row>
    <row r="3162" spans="1:15">
      <c r="A3162" s="70">
        <v>2025</v>
      </c>
      <c r="B3162" s="16" t="s">
        <v>998</v>
      </c>
      <c r="C3162" s="71" t="s">
        <v>4207</v>
      </c>
      <c r="D3162" s="2" t="s">
        <v>398</v>
      </c>
      <c r="E3162" s="150" t="s">
        <v>4208</v>
      </c>
      <c r="F3162" s="464">
        <v>1</v>
      </c>
      <c r="G3162" s="1" t="s">
        <v>285</v>
      </c>
      <c r="H3162" s="8">
        <v>432500</v>
      </c>
      <c r="I3162" s="8">
        <f t="shared" si="208"/>
        <v>432500</v>
      </c>
      <c r="J3162" s="539">
        <v>420000</v>
      </c>
      <c r="K3162" s="521">
        <f t="shared" si="210"/>
        <v>12500</v>
      </c>
      <c r="L3162" s="522">
        <f t="shared" si="212"/>
        <v>12500</v>
      </c>
      <c r="M3162" s="523">
        <f t="shared" si="211"/>
        <v>2.8901734104046242E-2</v>
      </c>
      <c r="N3162" s="2" t="s">
        <v>40</v>
      </c>
      <c r="O3162" s="15" t="s">
        <v>4066</v>
      </c>
    </row>
    <row r="3163" spans="1:15">
      <c r="A3163" s="70">
        <v>2025</v>
      </c>
      <c r="B3163" s="16" t="s">
        <v>998</v>
      </c>
      <c r="C3163" s="71" t="s">
        <v>4209</v>
      </c>
      <c r="D3163" s="2" t="s">
        <v>57</v>
      </c>
      <c r="E3163" s="150" t="s">
        <v>4210</v>
      </c>
      <c r="F3163" s="464">
        <v>1</v>
      </c>
      <c r="G3163" s="1" t="s">
        <v>285</v>
      </c>
      <c r="H3163" s="8">
        <v>500770</v>
      </c>
      <c r="I3163" s="8">
        <f t="shared" si="208"/>
        <v>500770</v>
      </c>
      <c r="J3163" s="539">
        <v>489250</v>
      </c>
      <c r="K3163" s="521">
        <f t="shared" si="210"/>
        <v>11520</v>
      </c>
      <c r="L3163" s="522">
        <f t="shared" si="212"/>
        <v>11520</v>
      </c>
      <c r="M3163" s="523">
        <f t="shared" si="211"/>
        <v>2.3004572957645228E-2</v>
      </c>
      <c r="N3163" s="2" t="s">
        <v>40</v>
      </c>
      <c r="O3163" s="15" t="s">
        <v>4066</v>
      </c>
    </row>
    <row r="3164" spans="1:15">
      <c r="A3164" s="70">
        <v>2025</v>
      </c>
      <c r="B3164" s="16" t="s">
        <v>998</v>
      </c>
      <c r="C3164" s="71" t="s">
        <v>4211</v>
      </c>
      <c r="D3164" s="2" t="s">
        <v>118</v>
      </c>
      <c r="E3164" s="150" t="s">
        <v>4212</v>
      </c>
      <c r="F3164" s="464">
        <v>1</v>
      </c>
      <c r="G3164" s="1" t="s">
        <v>302</v>
      </c>
      <c r="H3164" s="8">
        <v>3498</v>
      </c>
      <c r="I3164" s="8">
        <f t="shared" si="208"/>
        <v>3498</v>
      </c>
      <c r="J3164" s="539">
        <v>2623.5</v>
      </c>
      <c r="K3164" s="521">
        <f t="shared" si="210"/>
        <v>874.5</v>
      </c>
      <c r="L3164" s="522">
        <f t="shared" si="212"/>
        <v>874.5</v>
      </c>
      <c r="M3164" s="523">
        <f t="shared" si="211"/>
        <v>0.25</v>
      </c>
      <c r="N3164" s="2" t="s">
        <v>22</v>
      </c>
      <c r="O3164" s="15" t="s">
        <v>4066</v>
      </c>
    </row>
    <row r="3165" spans="1:15">
      <c r="A3165" s="70">
        <v>2025</v>
      </c>
      <c r="B3165" s="16" t="s">
        <v>998</v>
      </c>
      <c r="C3165" s="71" t="s">
        <v>4213</v>
      </c>
      <c r="D3165" s="2" t="s">
        <v>4214</v>
      </c>
      <c r="E3165" s="150" t="s">
        <v>4215</v>
      </c>
      <c r="F3165" s="464">
        <v>2</v>
      </c>
      <c r="G3165" s="1" t="s">
        <v>19</v>
      </c>
      <c r="H3165" s="8">
        <v>25000</v>
      </c>
      <c r="I3165" s="8">
        <f t="shared" si="208"/>
        <v>50000</v>
      </c>
      <c r="J3165" s="539">
        <v>23750</v>
      </c>
      <c r="K3165" s="521">
        <f t="shared" si="210"/>
        <v>1250</v>
      </c>
      <c r="L3165" s="522">
        <f t="shared" si="212"/>
        <v>2500</v>
      </c>
      <c r="M3165" s="523">
        <f t="shared" si="211"/>
        <v>0.05</v>
      </c>
      <c r="N3165" s="2" t="s">
        <v>40</v>
      </c>
      <c r="O3165" s="15" t="s">
        <v>4066</v>
      </c>
    </row>
    <row r="3166" spans="1:15">
      <c r="A3166" s="70">
        <v>2025</v>
      </c>
      <c r="B3166" s="16" t="s">
        <v>998</v>
      </c>
      <c r="C3166" s="71" t="s">
        <v>4216</v>
      </c>
      <c r="D3166" s="2" t="s">
        <v>2934</v>
      </c>
      <c r="E3166" s="150" t="s">
        <v>4217</v>
      </c>
      <c r="F3166" s="464">
        <v>1</v>
      </c>
      <c r="G3166" s="1" t="s">
        <v>302</v>
      </c>
      <c r="H3166" s="8">
        <v>35450</v>
      </c>
      <c r="I3166" s="8">
        <f t="shared" si="208"/>
        <v>35450</v>
      </c>
      <c r="J3166" s="539">
        <v>33000</v>
      </c>
      <c r="K3166" s="521">
        <f t="shared" si="210"/>
        <v>2450</v>
      </c>
      <c r="L3166" s="522">
        <f t="shared" si="212"/>
        <v>2450</v>
      </c>
      <c r="M3166" s="523">
        <f t="shared" si="211"/>
        <v>6.9111424541607902E-2</v>
      </c>
      <c r="N3166" s="2" t="s">
        <v>40</v>
      </c>
      <c r="O3166" s="15" t="s">
        <v>4066</v>
      </c>
    </row>
    <row r="3167" spans="1:15">
      <c r="A3167" s="70">
        <v>2025</v>
      </c>
      <c r="B3167" s="16" t="s">
        <v>998</v>
      </c>
      <c r="C3167" s="71" t="s">
        <v>4218</v>
      </c>
      <c r="D3167" s="2" t="s">
        <v>118</v>
      </c>
      <c r="E3167" s="150" t="s">
        <v>4219</v>
      </c>
      <c r="F3167" s="464">
        <v>1</v>
      </c>
      <c r="G3167" s="1" t="s">
        <v>302</v>
      </c>
      <c r="H3167" s="8">
        <v>16750</v>
      </c>
      <c r="I3167" s="8">
        <f t="shared" si="208"/>
        <v>16750</v>
      </c>
      <c r="J3167" s="539">
        <v>11725</v>
      </c>
      <c r="K3167" s="521">
        <f t="shared" si="210"/>
        <v>5025</v>
      </c>
      <c r="L3167" s="522">
        <f t="shared" si="212"/>
        <v>5025</v>
      </c>
      <c r="M3167" s="523">
        <f t="shared" si="211"/>
        <v>0.3</v>
      </c>
      <c r="N3167" s="2" t="s">
        <v>22</v>
      </c>
      <c r="O3167" s="15" t="s">
        <v>4066</v>
      </c>
    </row>
    <row r="3168" spans="1:15">
      <c r="A3168" s="70">
        <v>2025</v>
      </c>
      <c r="B3168" s="16" t="s">
        <v>998</v>
      </c>
      <c r="C3168" s="71" t="s">
        <v>4220</v>
      </c>
      <c r="D3168" s="2" t="s">
        <v>57</v>
      </c>
      <c r="E3168" s="150" t="s">
        <v>4221</v>
      </c>
      <c r="F3168" s="464">
        <v>1</v>
      </c>
      <c r="G3168" s="1" t="s">
        <v>285</v>
      </c>
      <c r="H3168" s="8">
        <v>693710</v>
      </c>
      <c r="I3168" s="8">
        <f t="shared" si="208"/>
        <v>693710</v>
      </c>
      <c r="J3168" s="539">
        <v>687210</v>
      </c>
      <c r="K3168" s="521">
        <f t="shared" si="210"/>
        <v>6500</v>
      </c>
      <c r="L3168" s="522">
        <f t="shared" si="212"/>
        <v>6500</v>
      </c>
      <c r="M3168" s="523">
        <f t="shared" si="211"/>
        <v>9.3699096164103161E-3</v>
      </c>
      <c r="N3168" s="2" t="s">
        <v>40</v>
      </c>
      <c r="O3168" s="15" t="s">
        <v>4066</v>
      </c>
    </row>
    <row r="3169" spans="1:15">
      <c r="A3169" s="70">
        <v>2025</v>
      </c>
      <c r="B3169" s="16" t="s">
        <v>998</v>
      </c>
      <c r="C3169" s="71" t="s">
        <v>4222</v>
      </c>
      <c r="D3169" s="2" t="s">
        <v>57</v>
      </c>
      <c r="E3169" s="150" t="s">
        <v>4223</v>
      </c>
      <c r="F3169" s="464">
        <v>1</v>
      </c>
      <c r="G3169" s="1" t="s">
        <v>285</v>
      </c>
      <c r="H3169" s="8">
        <v>426650</v>
      </c>
      <c r="I3169" s="8">
        <f t="shared" si="208"/>
        <v>426650</v>
      </c>
      <c r="J3169" s="539">
        <v>421650</v>
      </c>
      <c r="K3169" s="521">
        <f t="shared" si="210"/>
        <v>5000</v>
      </c>
      <c r="L3169" s="522">
        <f t="shared" si="212"/>
        <v>5000</v>
      </c>
      <c r="M3169" s="523">
        <f t="shared" si="211"/>
        <v>1.1719207781553966E-2</v>
      </c>
      <c r="N3169" s="2" t="s">
        <v>40</v>
      </c>
      <c r="O3169" s="15" t="s">
        <v>4066</v>
      </c>
    </row>
    <row r="3170" spans="1:15">
      <c r="A3170" s="70">
        <v>2025</v>
      </c>
      <c r="B3170" s="16" t="s">
        <v>998</v>
      </c>
      <c r="C3170" s="71" t="s">
        <v>4224</v>
      </c>
      <c r="D3170" s="2" t="s">
        <v>345</v>
      </c>
      <c r="E3170" s="150" t="s">
        <v>4225</v>
      </c>
      <c r="F3170" s="464">
        <v>1</v>
      </c>
      <c r="G3170" s="1" t="s">
        <v>285</v>
      </c>
      <c r="H3170" s="8">
        <v>114490</v>
      </c>
      <c r="I3170" s="8">
        <f t="shared" si="208"/>
        <v>114490</v>
      </c>
      <c r="J3170" s="539">
        <v>109000</v>
      </c>
      <c r="K3170" s="521">
        <f t="shared" si="210"/>
        <v>5490</v>
      </c>
      <c r="L3170" s="522">
        <f t="shared" si="212"/>
        <v>5490</v>
      </c>
      <c r="M3170" s="523">
        <f t="shared" si="211"/>
        <v>4.7951786182199321E-2</v>
      </c>
      <c r="N3170" s="2" t="s">
        <v>40</v>
      </c>
      <c r="O3170" s="15" t="s">
        <v>4066</v>
      </c>
    </row>
    <row r="3171" spans="1:15">
      <c r="A3171" s="70">
        <v>2025</v>
      </c>
      <c r="B3171" s="16" t="s">
        <v>998</v>
      </c>
      <c r="C3171" s="71" t="s">
        <v>4226</v>
      </c>
      <c r="D3171" s="2" t="s">
        <v>1353</v>
      </c>
      <c r="E3171" s="150" t="s">
        <v>4227</v>
      </c>
      <c r="F3171" s="464">
        <v>4</v>
      </c>
      <c r="G3171" s="1" t="s">
        <v>19</v>
      </c>
      <c r="H3171" s="8">
        <v>3000</v>
      </c>
      <c r="I3171" s="8">
        <f t="shared" si="208"/>
        <v>12000</v>
      </c>
      <c r="J3171" s="539">
        <v>2700</v>
      </c>
      <c r="K3171" s="521">
        <f t="shared" si="210"/>
        <v>300</v>
      </c>
      <c r="L3171" s="522">
        <f t="shared" si="212"/>
        <v>1200</v>
      </c>
      <c r="M3171" s="523">
        <f t="shared" si="211"/>
        <v>0.1</v>
      </c>
      <c r="N3171" s="2" t="s">
        <v>40</v>
      </c>
      <c r="O3171" s="15" t="s">
        <v>4066</v>
      </c>
    </row>
    <row r="3172" spans="1:15">
      <c r="A3172" s="70">
        <v>2025</v>
      </c>
      <c r="B3172" s="16" t="s">
        <v>998</v>
      </c>
      <c r="C3172" s="71" t="s">
        <v>4228</v>
      </c>
      <c r="D3172" s="2" t="s">
        <v>1948</v>
      </c>
      <c r="E3172" s="150" t="s">
        <v>4229</v>
      </c>
      <c r="F3172" s="464">
        <v>5</v>
      </c>
      <c r="G3172" s="1" t="s">
        <v>19</v>
      </c>
      <c r="H3172" s="8">
        <v>1730</v>
      </c>
      <c r="I3172" s="8">
        <f t="shared" si="208"/>
        <v>8650</v>
      </c>
      <c r="J3172" s="539">
        <v>1643.5</v>
      </c>
      <c r="K3172" s="521">
        <f t="shared" si="210"/>
        <v>86.5</v>
      </c>
      <c r="L3172" s="522">
        <f t="shared" si="212"/>
        <v>432.5</v>
      </c>
      <c r="M3172" s="523">
        <f t="shared" si="211"/>
        <v>0.05</v>
      </c>
      <c r="N3172" s="2" t="s">
        <v>22</v>
      </c>
      <c r="O3172" s="15" t="s">
        <v>4066</v>
      </c>
    </row>
    <row r="3173" spans="1:15">
      <c r="A3173" s="70">
        <v>2025</v>
      </c>
      <c r="B3173" s="16" t="s">
        <v>998</v>
      </c>
      <c r="C3173" s="71" t="s">
        <v>4230</v>
      </c>
      <c r="D3173" s="2" t="s">
        <v>4231</v>
      </c>
      <c r="E3173" s="150" t="s">
        <v>4232</v>
      </c>
      <c r="F3173" s="464">
        <v>1</v>
      </c>
      <c r="G3173" s="1" t="s">
        <v>285</v>
      </c>
      <c r="H3173" s="8">
        <v>891216</v>
      </c>
      <c r="I3173" s="8">
        <f t="shared" si="208"/>
        <v>891216</v>
      </c>
      <c r="J3173" s="539">
        <v>888655</v>
      </c>
      <c r="K3173" s="521">
        <f t="shared" si="210"/>
        <v>2561</v>
      </c>
      <c r="L3173" s="522">
        <f t="shared" si="212"/>
        <v>2561</v>
      </c>
      <c r="M3173" s="523">
        <f t="shared" si="211"/>
        <v>2.8736019101990988E-3</v>
      </c>
      <c r="N3173" s="2" t="s">
        <v>22</v>
      </c>
      <c r="O3173" s="15" t="s">
        <v>4066</v>
      </c>
    </row>
    <row r="3174" spans="1:15">
      <c r="A3174" s="70">
        <v>2025</v>
      </c>
      <c r="B3174" s="16" t="s">
        <v>998</v>
      </c>
      <c r="C3174" s="71" t="s">
        <v>4233</v>
      </c>
      <c r="D3174" s="2" t="s">
        <v>1948</v>
      </c>
      <c r="E3174" s="150" t="s">
        <v>4183</v>
      </c>
      <c r="F3174" s="464">
        <v>1</v>
      </c>
      <c r="G3174" s="1" t="s">
        <v>19</v>
      </c>
      <c r="H3174" s="8">
        <v>1075.05</v>
      </c>
      <c r="I3174" s="8">
        <f t="shared" si="208"/>
        <v>1075.05</v>
      </c>
      <c r="J3174" s="539">
        <v>1040</v>
      </c>
      <c r="K3174" s="521">
        <f t="shared" si="210"/>
        <v>35.049999999999955</v>
      </c>
      <c r="L3174" s="522">
        <f t="shared" si="212"/>
        <v>35.049999999999955</v>
      </c>
      <c r="M3174" s="523">
        <f t="shared" si="211"/>
        <v>3.2603134737919127E-2</v>
      </c>
      <c r="N3174" s="2" t="s">
        <v>22</v>
      </c>
      <c r="O3174" s="15" t="s">
        <v>4066</v>
      </c>
    </row>
    <row r="3175" spans="1:15">
      <c r="A3175" s="70">
        <v>2025</v>
      </c>
      <c r="B3175" s="16" t="s">
        <v>998</v>
      </c>
      <c r="C3175" s="71" t="s">
        <v>4234</v>
      </c>
      <c r="D3175" s="2" t="s">
        <v>57</v>
      </c>
      <c r="E3175" s="150" t="s">
        <v>4235</v>
      </c>
      <c r="F3175" s="464">
        <v>1</v>
      </c>
      <c r="G3175" s="1" t="s">
        <v>285</v>
      </c>
      <c r="H3175" s="8">
        <v>11000</v>
      </c>
      <c r="I3175" s="8">
        <f t="shared" si="208"/>
        <v>11000</v>
      </c>
      <c r="J3175" s="539">
        <v>10000</v>
      </c>
      <c r="K3175" s="521">
        <f t="shared" si="210"/>
        <v>1000</v>
      </c>
      <c r="L3175" s="522">
        <f t="shared" si="212"/>
        <v>1000</v>
      </c>
      <c r="M3175" s="523">
        <f t="shared" si="211"/>
        <v>9.0909090909090912E-2</v>
      </c>
      <c r="N3175" s="2" t="s">
        <v>22</v>
      </c>
      <c r="O3175" s="15" t="s">
        <v>4066</v>
      </c>
    </row>
    <row r="3176" spans="1:15">
      <c r="A3176" s="70">
        <v>2025</v>
      </c>
      <c r="B3176" s="16" t="s">
        <v>998</v>
      </c>
      <c r="C3176" s="71" t="s">
        <v>4236</v>
      </c>
      <c r="D3176" s="2" t="s">
        <v>398</v>
      </c>
      <c r="E3176" s="150" t="s">
        <v>4237</v>
      </c>
      <c r="F3176" s="464">
        <v>1</v>
      </c>
      <c r="G3176" s="1" t="s">
        <v>285</v>
      </c>
      <c r="H3176" s="8">
        <v>48000</v>
      </c>
      <c r="I3176" s="8">
        <f t="shared" si="208"/>
        <v>48000</v>
      </c>
      <c r="J3176" s="539">
        <v>45000</v>
      </c>
      <c r="K3176" s="521">
        <f t="shared" si="210"/>
        <v>3000</v>
      </c>
      <c r="L3176" s="522">
        <f t="shared" si="212"/>
        <v>3000</v>
      </c>
      <c r="M3176" s="523">
        <f t="shared" si="211"/>
        <v>6.25E-2</v>
      </c>
      <c r="N3176" s="2" t="s">
        <v>40</v>
      </c>
      <c r="O3176" s="15" t="s">
        <v>4066</v>
      </c>
    </row>
    <row r="3177" spans="1:15">
      <c r="A3177" s="70">
        <v>2025</v>
      </c>
      <c r="B3177" s="16" t="s">
        <v>998</v>
      </c>
      <c r="C3177" s="71" t="s">
        <v>4238</v>
      </c>
      <c r="D3177" s="2" t="s">
        <v>617</v>
      </c>
      <c r="E3177" s="150" t="s">
        <v>275</v>
      </c>
      <c r="F3177" s="464">
        <v>3058</v>
      </c>
      <c r="G3177" s="1" t="s">
        <v>37</v>
      </c>
      <c r="H3177" s="8">
        <v>27</v>
      </c>
      <c r="I3177" s="8">
        <f t="shared" si="208"/>
        <v>82566</v>
      </c>
      <c r="J3177" s="539">
        <v>26.5</v>
      </c>
      <c r="K3177" s="521">
        <f t="shared" si="210"/>
        <v>0.5</v>
      </c>
      <c r="L3177" s="522">
        <f t="shared" si="212"/>
        <v>1529</v>
      </c>
      <c r="M3177" s="523">
        <f t="shared" si="211"/>
        <v>1.8518518518518517E-2</v>
      </c>
      <c r="N3177" s="2" t="s">
        <v>40</v>
      </c>
      <c r="O3177" s="15" t="s">
        <v>39</v>
      </c>
    </row>
    <row r="3178" spans="1:15">
      <c r="A3178" s="70">
        <v>2025</v>
      </c>
      <c r="B3178" s="16" t="s">
        <v>998</v>
      </c>
      <c r="C3178" s="71" t="s">
        <v>4238</v>
      </c>
      <c r="D3178" s="2" t="s">
        <v>617</v>
      </c>
      <c r="E3178" s="150" t="s">
        <v>996</v>
      </c>
      <c r="F3178" s="464">
        <v>3000</v>
      </c>
      <c r="G3178" s="1" t="s">
        <v>37</v>
      </c>
      <c r="H3178" s="8">
        <v>27</v>
      </c>
      <c r="I3178" s="8">
        <f t="shared" si="208"/>
        <v>81000</v>
      </c>
      <c r="J3178" s="539">
        <v>26.5</v>
      </c>
      <c r="K3178" s="521">
        <f t="shared" si="210"/>
        <v>0.5</v>
      </c>
      <c r="L3178" s="522">
        <f t="shared" si="212"/>
        <v>1500</v>
      </c>
      <c r="M3178" s="523">
        <f t="shared" si="211"/>
        <v>1.8518518518518517E-2</v>
      </c>
      <c r="N3178" s="2" t="s">
        <v>40</v>
      </c>
      <c r="O3178" s="15" t="s">
        <v>39</v>
      </c>
    </row>
    <row r="3179" spans="1:15">
      <c r="A3179" s="70">
        <v>2025</v>
      </c>
      <c r="B3179" s="16" t="s">
        <v>998</v>
      </c>
      <c r="C3179" s="71" t="s">
        <v>4239</v>
      </c>
      <c r="D3179" s="2" t="s">
        <v>617</v>
      </c>
      <c r="E3179" s="150" t="s">
        <v>275</v>
      </c>
      <c r="F3179" s="464">
        <v>3208</v>
      </c>
      <c r="G3179" s="1" t="s">
        <v>37</v>
      </c>
      <c r="H3179" s="8">
        <v>27</v>
      </c>
      <c r="I3179" s="8">
        <f t="shared" si="208"/>
        <v>86616</v>
      </c>
      <c r="J3179" s="539">
        <v>26.5</v>
      </c>
      <c r="K3179" s="521">
        <f t="shared" si="210"/>
        <v>0.5</v>
      </c>
      <c r="L3179" s="522">
        <f t="shared" si="212"/>
        <v>1604</v>
      </c>
      <c r="M3179" s="523">
        <f t="shared" si="211"/>
        <v>1.8518518518518517E-2</v>
      </c>
      <c r="N3179" s="2" t="s">
        <v>40</v>
      </c>
      <c r="O3179" s="15" t="s">
        <v>39</v>
      </c>
    </row>
    <row r="3180" spans="1:15">
      <c r="A3180" s="70">
        <v>2025</v>
      </c>
      <c r="B3180" s="16" t="s">
        <v>998</v>
      </c>
      <c r="C3180" s="71" t="s">
        <v>4240</v>
      </c>
      <c r="D3180" s="2" t="s">
        <v>617</v>
      </c>
      <c r="E3180" s="150" t="s">
        <v>275</v>
      </c>
      <c r="F3180" s="464">
        <v>6000</v>
      </c>
      <c r="G3180" s="1" t="s">
        <v>37</v>
      </c>
      <c r="H3180" s="8">
        <v>27</v>
      </c>
      <c r="I3180" s="8">
        <f t="shared" si="208"/>
        <v>162000</v>
      </c>
      <c r="J3180" s="539">
        <v>26.5</v>
      </c>
      <c r="K3180" s="521">
        <f t="shared" si="210"/>
        <v>0.5</v>
      </c>
      <c r="L3180" s="522">
        <f t="shared" si="212"/>
        <v>3000</v>
      </c>
      <c r="M3180" s="523">
        <f t="shared" si="211"/>
        <v>1.8518518518518517E-2</v>
      </c>
      <c r="N3180" s="2" t="s">
        <v>40</v>
      </c>
      <c r="O3180" s="15" t="s">
        <v>39</v>
      </c>
    </row>
    <row r="3181" spans="1:15">
      <c r="A3181" s="70">
        <v>2025</v>
      </c>
      <c r="B3181" s="16" t="s">
        <v>998</v>
      </c>
      <c r="C3181" s="71" t="s">
        <v>4240</v>
      </c>
      <c r="D3181" s="2" t="s">
        <v>617</v>
      </c>
      <c r="E3181" s="150" t="s">
        <v>333</v>
      </c>
      <c r="F3181" s="464">
        <v>3030</v>
      </c>
      <c r="G3181" s="1" t="s">
        <v>37</v>
      </c>
      <c r="H3181" s="8">
        <v>27</v>
      </c>
      <c r="I3181" s="8">
        <f t="shared" si="208"/>
        <v>81810</v>
      </c>
      <c r="J3181" s="539">
        <v>26.5</v>
      </c>
      <c r="K3181" s="521">
        <f t="shared" si="210"/>
        <v>0.5</v>
      </c>
      <c r="L3181" s="522">
        <f t="shared" si="212"/>
        <v>1515</v>
      </c>
      <c r="M3181" s="523">
        <f t="shared" si="211"/>
        <v>1.8518518518518517E-2</v>
      </c>
      <c r="N3181" s="2" t="s">
        <v>40</v>
      </c>
      <c r="O3181" s="15" t="s">
        <v>39</v>
      </c>
    </row>
    <row r="3182" spans="1:15">
      <c r="A3182" s="70">
        <v>2025</v>
      </c>
      <c r="B3182" s="16" t="s">
        <v>998</v>
      </c>
      <c r="C3182" s="71" t="s">
        <v>4241</v>
      </c>
      <c r="D3182" s="2" t="s">
        <v>617</v>
      </c>
      <c r="E3182" s="150" t="s">
        <v>996</v>
      </c>
      <c r="F3182" s="464">
        <v>3000</v>
      </c>
      <c r="G3182" s="1" t="s">
        <v>37</v>
      </c>
      <c r="H3182" s="8">
        <v>27</v>
      </c>
      <c r="I3182" s="8">
        <f t="shared" si="208"/>
        <v>81000</v>
      </c>
      <c r="J3182" s="539">
        <v>26.5</v>
      </c>
      <c r="K3182" s="521">
        <f t="shared" si="210"/>
        <v>0.5</v>
      </c>
      <c r="L3182" s="522">
        <f t="shared" si="212"/>
        <v>1500</v>
      </c>
      <c r="M3182" s="523">
        <f t="shared" si="211"/>
        <v>1.8518518518518517E-2</v>
      </c>
      <c r="N3182" s="2" t="s">
        <v>40</v>
      </c>
      <c r="O3182" s="15" t="s">
        <v>39</v>
      </c>
    </row>
    <row r="3183" spans="1:15">
      <c r="A3183" s="70">
        <v>2025</v>
      </c>
      <c r="B3183" s="16" t="s">
        <v>998</v>
      </c>
      <c r="C3183" s="71" t="s">
        <v>4242</v>
      </c>
      <c r="D3183" s="2" t="s">
        <v>858</v>
      </c>
      <c r="E3183" s="150" t="s">
        <v>859</v>
      </c>
      <c r="F3183" s="464">
        <v>600</v>
      </c>
      <c r="G3183" s="1" t="s">
        <v>337</v>
      </c>
      <c r="H3183" s="8">
        <v>98</v>
      </c>
      <c r="I3183" s="8">
        <f t="shared" si="208"/>
        <v>58800</v>
      </c>
      <c r="J3183" s="539">
        <v>89</v>
      </c>
      <c r="K3183" s="521">
        <f t="shared" si="210"/>
        <v>9</v>
      </c>
      <c r="L3183" s="522">
        <f t="shared" si="212"/>
        <v>5400</v>
      </c>
      <c r="M3183" s="523">
        <f t="shared" si="211"/>
        <v>9.1836734693877556E-2</v>
      </c>
      <c r="N3183" s="2" t="s">
        <v>22</v>
      </c>
      <c r="O3183" s="15" t="s">
        <v>39</v>
      </c>
    </row>
    <row r="3184" spans="1:15">
      <c r="A3184" s="70">
        <v>2025</v>
      </c>
      <c r="B3184" s="16" t="s">
        <v>998</v>
      </c>
      <c r="C3184" s="2" t="s">
        <v>4243</v>
      </c>
      <c r="D3184" s="2" t="s">
        <v>335</v>
      </c>
      <c r="E3184" s="150" t="s">
        <v>336</v>
      </c>
      <c r="F3184" s="464">
        <v>112000</v>
      </c>
      <c r="G3184" s="1" t="s">
        <v>337</v>
      </c>
      <c r="H3184" s="8">
        <v>35</v>
      </c>
      <c r="I3184" s="8">
        <f t="shared" si="208"/>
        <v>3920000</v>
      </c>
      <c r="J3184" s="539">
        <v>33.5</v>
      </c>
      <c r="K3184" s="521">
        <f t="shared" si="210"/>
        <v>1.5</v>
      </c>
      <c r="L3184" s="522">
        <f t="shared" si="212"/>
        <v>168000</v>
      </c>
      <c r="M3184" s="523">
        <f t="shared" si="211"/>
        <v>4.2857142857142858E-2</v>
      </c>
      <c r="N3184" s="2" t="s">
        <v>40</v>
      </c>
      <c r="O3184" s="15" t="s">
        <v>39</v>
      </c>
    </row>
    <row r="3185" spans="1:15">
      <c r="A3185" s="70">
        <v>2025</v>
      </c>
      <c r="B3185" s="16" t="s">
        <v>1083</v>
      </c>
      <c r="C3185" s="71" t="s">
        <v>4244</v>
      </c>
      <c r="D3185" s="2" t="s">
        <v>68</v>
      </c>
      <c r="E3185" s="2" t="s">
        <v>755</v>
      </c>
      <c r="F3185" s="96">
        <v>1211.2</v>
      </c>
      <c r="G3185" s="1" t="s">
        <v>37</v>
      </c>
      <c r="H3185" s="8">
        <v>385</v>
      </c>
      <c r="I3185" s="8">
        <f t="shared" si="208"/>
        <v>466312</v>
      </c>
      <c r="J3185" s="539">
        <v>379</v>
      </c>
      <c r="K3185" s="521">
        <f t="shared" si="210"/>
        <v>6</v>
      </c>
      <c r="L3185" s="522">
        <f t="shared" si="212"/>
        <v>7267.2000000000007</v>
      </c>
      <c r="M3185" s="523">
        <f t="shared" si="211"/>
        <v>1.5584415584415584E-2</v>
      </c>
      <c r="N3185" s="2" t="s">
        <v>22</v>
      </c>
      <c r="O3185" s="15" t="s">
        <v>105</v>
      </c>
    </row>
    <row r="3186" spans="1:15">
      <c r="A3186" s="70">
        <v>2025</v>
      </c>
      <c r="B3186" s="16" t="s">
        <v>1083</v>
      </c>
      <c r="C3186" s="71" t="s">
        <v>4245</v>
      </c>
      <c r="D3186" s="2" t="s">
        <v>192</v>
      </c>
      <c r="E3186" s="2" t="s">
        <v>2837</v>
      </c>
      <c r="F3186" s="96">
        <v>5</v>
      </c>
      <c r="G3186" s="1" t="s">
        <v>19</v>
      </c>
      <c r="H3186" s="8">
        <v>17290</v>
      </c>
      <c r="I3186" s="8">
        <f t="shared" si="208"/>
        <v>86450</v>
      </c>
      <c r="J3186" s="539">
        <v>16910</v>
      </c>
      <c r="K3186" s="521">
        <f t="shared" si="210"/>
        <v>380</v>
      </c>
      <c r="L3186" s="522">
        <f t="shared" si="212"/>
        <v>1900</v>
      </c>
      <c r="M3186" s="523">
        <f t="shared" si="211"/>
        <v>2.197802197802198E-2</v>
      </c>
      <c r="N3186" s="2" t="s">
        <v>40</v>
      </c>
      <c r="O3186" s="15" t="s">
        <v>105</v>
      </c>
    </row>
    <row r="3187" spans="1:15">
      <c r="A3187" s="70">
        <v>2025</v>
      </c>
      <c r="B3187" s="16" t="s">
        <v>1083</v>
      </c>
      <c r="C3187" s="71" t="s">
        <v>4246</v>
      </c>
      <c r="D3187" s="2" t="s">
        <v>270</v>
      </c>
      <c r="E3187" s="2" t="s">
        <v>4247</v>
      </c>
      <c r="F3187" s="96">
        <v>1</v>
      </c>
      <c r="G3187" s="1" t="s">
        <v>302</v>
      </c>
      <c r="H3187" s="8">
        <v>105604</v>
      </c>
      <c r="I3187" s="8">
        <f t="shared" si="208"/>
        <v>105604</v>
      </c>
      <c r="J3187" s="539">
        <v>103932</v>
      </c>
      <c r="K3187" s="521">
        <f t="shared" si="210"/>
        <v>1672</v>
      </c>
      <c r="L3187" s="522">
        <f t="shared" si="212"/>
        <v>1672</v>
      </c>
      <c r="M3187" s="523">
        <f t="shared" si="211"/>
        <v>1.5832733608575431E-2</v>
      </c>
      <c r="N3187" s="2" t="s">
        <v>40</v>
      </c>
      <c r="O3187" s="15" t="s">
        <v>105</v>
      </c>
    </row>
    <row r="3188" spans="1:15">
      <c r="A3188" s="70">
        <v>2025</v>
      </c>
      <c r="B3188" s="16" t="s">
        <v>1083</v>
      </c>
      <c r="C3188" s="71" t="s">
        <v>4248</v>
      </c>
      <c r="D3188" s="2" t="s">
        <v>17</v>
      </c>
      <c r="E3188" s="2" t="s">
        <v>4249</v>
      </c>
      <c r="F3188" s="96">
        <v>500</v>
      </c>
      <c r="G3188" s="1" t="s">
        <v>19</v>
      </c>
      <c r="H3188" s="8">
        <v>100</v>
      </c>
      <c r="I3188" s="8">
        <f t="shared" si="208"/>
        <v>50000</v>
      </c>
      <c r="J3188" s="539">
        <v>95</v>
      </c>
      <c r="K3188" s="521">
        <f t="shared" si="210"/>
        <v>5</v>
      </c>
      <c r="L3188" s="522">
        <f t="shared" si="212"/>
        <v>2500</v>
      </c>
      <c r="M3188" s="523">
        <f t="shared" si="211"/>
        <v>0.05</v>
      </c>
      <c r="N3188" s="2" t="s">
        <v>40</v>
      </c>
      <c r="O3188" s="15" t="s">
        <v>105</v>
      </c>
    </row>
    <row r="3189" spans="1:15">
      <c r="A3189" s="70">
        <v>2025</v>
      </c>
      <c r="B3189" s="16" t="s">
        <v>1083</v>
      </c>
      <c r="C3189" s="71" t="s">
        <v>4250</v>
      </c>
      <c r="D3189" s="2" t="s">
        <v>94</v>
      </c>
      <c r="E3189" s="2" t="s">
        <v>1038</v>
      </c>
      <c r="F3189" s="96">
        <v>100</v>
      </c>
      <c r="G3189" s="1" t="s">
        <v>19</v>
      </c>
      <c r="H3189" s="8">
        <v>15.5</v>
      </c>
      <c r="I3189" s="8">
        <f t="shared" ref="I3189:I3252" si="213">H3189*F3189</f>
        <v>1550</v>
      </c>
      <c r="J3189" s="539">
        <v>14.76</v>
      </c>
      <c r="K3189" s="521">
        <f t="shared" si="210"/>
        <v>0.74000000000000021</v>
      </c>
      <c r="L3189" s="522">
        <f t="shared" si="212"/>
        <v>74.000000000000028</v>
      </c>
      <c r="M3189" s="523">
        <f t="shared" si="211"/>
        <v>4.7741935483870984E-2</v>
      </c>
      <c r="N3189" s="2" t="s">
        <v>22</v>
      </c>
      <c r="O3189" s="15" t="s">
        <v>105</v>
      </c>
    </row>
    <row r="3190" spans="1:15">
      <c r="A3190" s="70">
        <v>2025</v>
      </c>
      <c r="B3190" s="16" t="s">
        <v>1083</v>
      </c>
      <c r="C3190" s="71" t="s">
        <v>4250</v>
      </c>
      <c r="D3190" s="2" t="s">
        <v>94</v>
      </c>
      <c r="E3190" s="2" t="s">
        <v>1316</v>
      </c>
      <c r="F3190" s="96">
        <v>100</v>
      </c>
      <c r="G3190" s="1" t="s">
        <v>19</v>
      </c>
      <c r="H3190" s="8">
        <v>15.5</v>
      </c>
      <c r="I3190" s="8">
        <f t="shared" si="213"/>
        <v>1550</v>
      </c>
      <c r="J3190" s="539">
        <v>14.76</v>
      </c>
      <c r="K3190" s="521">
        <f t="shared" si="210"/>
        <v>0.74000000000000021</v>
      </c>
      <c r="L3190" s="522">
        <f t="shared" si="212"/>
        <v>74.000000000000028</v>
      </c>
      <c r="M3190" s="523">
        <f t="shared" si="211"/>
        <v>4.7741935483870984E-2</v>
      </c>
      <c r="N3190" s="2" t="s">
        <v>22</v>
      </c>
      <c r="O3190" s="15" t="s">
        <v>105</v>
      </c>
    </row>
    <row r="3191" spans="1:15">
      <c r="A3191" s="70">
        <v>2025</v>
      </c>
      <c r="B3191" s="16" t="s">
        <v>1083</v>
      </c>
      <c r="C3191" s="71" t="s">
        <v>4250</v>
      </c>
      <c r="D3191" s="2" t="s">
        <v>94</v>
      </c>
      <c r="E3191" s="2" t="s">
        <v>550</v>
      </c>
      <c r="F3191" s="96">
        <v>300</v>
      </c>
      <c r="G3191" s="1" t="s">
        <v>19</v>
      </c>
      <c r="H3191" s="8">
        <v>50</v>
      </c>
      <c r="I3191" s="8">
        <f t="shared" si="213"/>
        <v>15000</v>
      </c>
      <c r="J3191" s="539">
        <v>47.56</v>
      </c>
      <c r="K3191" s="521">
        <f t="shared" si="210"/>
        <v>2.4399999999999977</v>
      </c>
      <c r="L3191" s="522">
        <f t="shared" si="212"/>
        <v>731.99999999999932</v>
      </c>
      <c r="M3191" s="523">
        <f t="shared" si="211"/>
        <v>4.8799999999999955E-2</v>
      </c>
      <c r="N3191" s="2" t="s">
        <v>22</v>
      </c>
      <c r="O3191" s="15" t="s">
        <v>105</v>
      </c>
    </row>
    <row r="3192" spans="1:15">
      <c r="A3192" s="70">
        <v>2025</v>
      </c>
      <c r="B3192" s="16" t="s">
        <v>1083</v>
      </c>
      <c r="C3192" s="71" t="s">
        <v>4250</v>
      </c>
      <c r="D3192" s="2" t="s">
        <v>94</v>
      </c>
      <c r="E3192" s="2" t="s">
        <v>546</v>
      </c>
      <c r="F3192" s="96">
        <v>200</v>
      </c>
      <c r="G3192" s="1" t="s">
        <v>19</v>
      </c>
      <c r="H3192" s="8">
        <v>190</v>
      </c>
      <c r="I3192" s="8">
        <f t="shared" si="213"/>
        <v>38000</v>
      </c>
      <c r="J3192" s="539">
        <v>182.25</v>
      </c>
      <c r="K3192" s="521">
        <f t="shared" si="210"/>
        <v>7.75</v>
      </c>
      <c r="L3192" s="522">
        <f t="shared" si="212"/>
        <v>1550</v>
      </c>
      <c r="M3192" s="523">
        <f t="shared" si="211"/>
        <v>4.0789473684210528E-2</v>
      </c>
      <c r="N3192" s="2" t="s">
        <v>22</v>
      </c>
      <c r="O3192" s="15" t="s">
        <v>105</v>
      </c>
    </row>
    <row r="3193" spans="1:15">
      <c r="A3193" s="70">
        <v>2025</v>
      </c>
      <c r="B3193" s="16" t="s">
        <v>1083</v>
      </c>
      <c r="C3193" s="71" t="s">
        <v>4250</v>
      </c>
      <c r="D3193" s="2" t="s">
        <v>94</v>
      </c>
      <c r="E3193" s="2" t="s">
        <v>457</v>
      </c>
      <c r="F3193" s="96">
        <v>200</v>
      </c>
      <c r="G3193" s="1" t="s">
        <v>19</v>
      </c>
      <c r="H3193" s="409">
        <v>5.25</v>
      </c>
      <c r="I3193" s="8">
        <f t="shared" si="213"/>
        <v>1050</v>
      </c>
      <c r="J3193" s="539">
        <v>5.0999999999999996</v>
      </c>
      <c r="K3193" s="521">
        <f t="shared" si="210"/>
        <v>0.15000000000000036</v>
      </c>
      <c r="L3193" s="522">
        <f t="shared" si="212"/>
        <v>30.000000000000071</v>
      </c>
      <c r="M3193" s="523">
        <f t="shared" si="211"/>
        <v>2.857142857142864E-2</v>
      </c>
      <c r="N3193" s="2" t="s">
        <v>22</v>
      </c>
      <c r="O3193" s="15" t="s">
        <v>105</v>
      </c>
    </row>
    <row r="3194" spans="1:15">
      <c r="A3194" s="70">
        <v>2025</v>
      </c>
      <c r="B3194" s="16" t="s">
        <v>1083</v>
      </c>
      <c r="C3194" s="71" t="s">
        <v>4250</v>
      </c>
      <c r="D3194" s="2" t="s">
        <v>94</v>
      </c>
      <c r="E3194" s="2" t="s">
        <v>458</v>
      </c>
      <c r="F3194" s="96">
        <v>100</v>
      </c>
      <c r="G3194" s="1" t="s">
        <v>19</v>
      </c>
      <c r="H3194" s="409">
        <v>9.5</v>
      </c>
      <c r="I3194" s="8">
        <f t="shared" si="213"/>
        <v>950</v>
      </c>
      <c r="J3194" s="539">
        <v>9.35</v>
      </c>
      <c r="K3194" s="521">
        <f t="shared" si="210"/>
        <v>0.15000000000000036</v>
      </c>
      <c r="L3194" s="522">
        <f t="shared" si="212"/>
        <v>15.000000000000036</v>
      </c>
      <c r="M3194" s="523">
        <f t="shared" si="211"/>
        <v>1.5789473684210565E-2</v>
      </c>
      <c r="N3194" s="2" t="s">
        <v>22</v>
      </c>
      <c r="O3194" s="15" t="s">
        <v>105</v>
      </c>
    </row>
    <row r="3195" spans="1:15">
      <c r="A3195" s="70">
        <v>2025</v>
      </c>
      <c r="B3195" s="16" t="s">
        <v>1083</v>
      </c>
      <c r="C3195" s="71" t="s">
        <v>4251</v>
      </c>
      <c r="D3195" s="2" t="s">
        <v>94</v>
      </c>
      <c r="E3195" s="2" t="s">
        <v>613</v>
      </c>
      <c r="F3195" s="96">
        <v>300</v>
      </c>
      <c r="G3195" s="1" t="s">
        <v>19</v>
      </c>
      <c r="H3195" s="8">
        <v>26</v>
      </c>
      <c r="I3195" s="8">
        <f t="shared" si="213"/>
        <v>7800</v>
      </c>
      <c r="J3195" s="539">
        <v>24.6</v>
      </c>
      <c r="K3195" s="521">
        <f t="shared" si="210"/>
        <v>1.3999999999999986</v>
      </c>
      <c r="L3195" s="522">
        <f t="shared" si="212"/>
        <v>419.99999999999955</v>
      </c>
      <c r="M3195" s="523">
        <f t="shared" si="211"/>
        <v>5.3846153846153794E-2</v>
      </c>
      <c r="N3195" s="2" t="s">
        <v>22</v>
      </c>
      <c r="O3195" s="15" t="s">
        <v>105</v>
      </c>
    </row>
    <row r="3196" spans="1:15">
      <c r="A3196" s="70">
        <v>2025</v>
      </c>
      <c r="B3196" s="16" t="s">
        <v>1083</v>
      </c>
      <c r="C3196" s="71" t="s">
        <v>4251</v>
      </c>
      <c r="D3196" s="2" t="s">
        <v>94</v>
      </c>
      <c r="E3196" s="2" t="s">
        <v>457</v>
      </c>
      <c r="F3196" s="96">
        <v>100</v>
      </c>
      <c r="G3196" s="1" t="s">
        <v>19</v>
      </c>
      <c r="H3196" s="409">
        <v>5.25</v>
      </c>
      <c r="I3196" s="8">
        <f t="shared" si="213"/>
        <v>525</v>
      </c>
      <c r="J3196" s="539">
        <v>5.0999999999999996</v>
      </c>
      <c r="K3196" s="521">
        <f t="shared" si="210"/>
        <v>0.15000000000000036</v>
      </c>
      <c r="L3196" s="522">
        <f t="shared" si="212"/>
        <v>15.000000000000036</v>
      </c>
      <c r="M3196" s="523">
        <f t="shared" si="211"/>
        <v>2.857142857142864E-2</v>
      </c>
      <c r="N3196" s="2" t="s">
        <v>22</v>
      </c>
      <c r="O3196" s="15" t="s">
        <v>105</v>
      </c>
    </row>
    <row r="3197" spans="1:15">
      <c r="A3197" s="70">
        <v>2025</v>
      </c>
      <c r="B3197" s="16" t="s">
        <v>1083</v>
      </c>
      <c r="C3197" s="71" t="s">
        <v>4252</v>
      </c>
      <c r="D3197" s="2" t="s">
        <v>926</v>
      </c>
      <c r="E3197" s="2" t="s">
        <v>2158</v>
      </c>
      <c r="F3197" s="96">
        <v>4</v>
      </c>
      <c r="G3197" s="1" t="s">
        <v>302</v>
      </c>
      <c r="H3197" s="8">
        <v>22445</v>
      </c>
      <c r="I3197" s="8">
        <f t="shared" si="213"/>
        <v>89780</v>
      </c>
      <c r="J3197" s="539">
        <v>19500</v>
      </c>
      <c r="K3197" s="521">
        <f t="shared" si="210"/>
        <v>2945</v>
      </c>
      <c r="L3197" s="522">
        <f t="shared" si="212"/>
        <v>11780</v>
      </c>
      <c r="M3197" s="523">
        <f t="shared" si="211"/>
        <v>0.1312096235241702</v>
      </c>
      <c r="N3197" s="2" t="s">
        <v>22</v>
      </c>
      <c r="O3197" s="15" t="s">
        <v>105</v>
      </c>
    </row>
    <row r="3198" spans="1:15">
      <c r="A3198" s="70">
        <v>2025</v>
      </c>
      <c r="B3198" s="16" t="s">
        <v>1083</v>
      </c>
      <c r="C3198" s="71" t="s">
        <v>4253</v>
      </c>
      <c r="D3198" s="2" t="s">
        <v>270</v>
      </c>
      <c r="E3198" s="2" t="s">
        <v>4254</v>
      </c>
      <c r="F3198" s="96">
        <v>230</v>
      </c>
      <c r="G3198" s="1" t="s">
        <v>37</v>
      </c>
      <c r="H3198" s="8">
        <v>380</v>
      </c>
      <c r="I3198" s="8">
        <f t="shared" si="213"/>
        <v>87400</v>
      </c>
      <c r="J3198" s="539">
        <v>375</v>
      </c>
      <c r="K3198" s="521">
        <f t="shared" si="210"/>
        <v>5</v>
      </c>
      <c r="L3198" s="522">
        <f t="shared" si="212"/>
        <v>1150</v>
      </c>
      <c r="M3198" s="523">
        <f t="shared" si="211"/>
        <v>1.3157894736842105E-2</v>
      </c>
      <c r="N3198" s="2" t="s">
        <v>22</v>
      </c>
      <c r="O3198" s="15" t="s">
        <v>105</v>
      </c>
    </row>
    <row r="3199" spans="1:15">
      <c r="A3199" s="70">
        <v>2025</v>
      </c>
      <c r="B3199" s="16" t="s">
        <v>1083</v>
      </c>
      <c r="C3199" s="71" t="s">
        <v>4255</v>
      </c>
      <c r="D3199" s="2" t="s">
        <v>304</v>
      </c>
      <c r="E3199" s="2" t="s">
        <v>4256</v>
      </c>
      <c r="F3199" s="96">
        <v>4</v>
      </c>
      <c r="G3199" s="1" t="s">
        <v>19</v>
      </c>
      <c r="H3199" s="8">
        <v>10000</v>
      </c>
      <c r="I3199" s="8">
        <f t="shared" si="213"/>
        <v>40000</v>
      </c>
      <c r="J3199" s="539">
        <v>9500</v>
      </c>
      <c r="K3199" s="521">
        <f t="shared" si="210"/>
        <v>500</v>
      </c>
      <c r="L3199" s="522">
        <f t="shared" si="212"/>
        <v>2000</v>
      </c>
      <c r="M3199" s="523">
        <f t="shared" si="211"/>
        <v>0.05</v>
      </c>
      <c r="N3199" s="2" t="s">
        <v>22</v>
      </c>
      <c r="O3199" s="15" t="s">
        <v>105</v>
      </c>
    </row>
    <row r="3200" spans="1:15">
      <c r="A3200" s="70">
        <v>2025</v>
      </c>
      <c r="B3200" s="16" t="s">
        <v>1083</v>
      </c>
      <c r="C3200" s="71" t="s">
        <v>4255</v>
      </c>
      <c r="D3200" s="2" t="s">
        <v>304</v>
      </c>
      <c r="E3200" s="2" t="s">
        <v>4257</v>
      </c>
      <c r="F3200" s="96">
        <v>10</v>
      </c>
      <c r="G3200" s="1" t="s">
        <v>19</v>
      </c>
      <c r="H3200" s="8">
        <v>11000</v>
      </c>
      <c r="I3200" s="8">
        <f t="shared" si="213"/>
        <v>110000</v>
      </c>
      <c r="J3200" s="539">
        <v>10500</v>
      </c>
      <c r="K3200" s="521">
        <f t="shared" si="210"/>
        <v>500</v>
      </c>
      <c r="L3200" s="522">
        <f t="shared" si="212"/>
        <v>5000</v>
      </c>
      <c r="M3200" s="523">
        <f t="shared" si="211"/>
        <v>4.5454545454545456E-2</v>
      </c>
      <c r="N3200" s="2" t="s">
        <v>22</v>
      </c>
      <c r="O3200" s="15" t="s">
        <v>105</v>
      </c>
    </row>
    <row r="3201" spans="1:15">
      <c r="A3201" s="70">
        <v>2025</v>
      </c>
      <c r="B3201" s="16" t="s">
        <v>1083</v>
      </c>
      <c r="C3201" s="71" t="s">
        <v>4258</v>
      </c>
      <c r="D3201" s="2" t="s">
        <v>270</v>
      </c>
      <c r="E3201" s="2" t="s">
        <v>72</v>
      </c>
      <c r="F3201" s="96">
        <v>1897</v>
      </c>
      <c r="G3201" s="1" t="s">
        <v>37</v>
      </c>
      <c r="H3201" s="8">
        <v>390</v>
      </c>
      <c r="I3201" s="8">
        <f t="shared" si="213"/>
        <v>739830</v>
      </c>
      <c r="J3201" s="539">
        <v>375</v>
      </c>
      <c r="K3201" s="521">
        <f t="shared" si="210"/>
        <v>15</v>
      </c>
      <c r="L3201" s="522">
        <f t="shared" si="212"/>
        <v>28455</v>
      </c>
      <c r="M3201" s="523">
        <f t="shared" si="211"/>
        <v>3.8461538461538464E-2</v>
      </c>
      <c r="N3201" s="2" t="s">
        <v>22</v>
      </c>
      <c r="O3201" s="15" t="s">
        <v>105</v>
      </c>
    </row>
    <row r="3202" spans="1:15">
      <c r="A3202" s="70">
        <v>2025</v>
      </c>
      <c r="B3202" s="16" t="s">
        <v>1083</v>
      </c>
      <c r="C3202" s="71" t="s">
        <v>4259</v>
      </c>
      <c r="D3202" s="2" t="s">
        <v>283</v>
      </c>
      <c r="E3202" s="2" t="s">
        <v>4260</v>
      </c>
      <c r="F3202" s="96">
        <v>2</v>
      </c>
      <c r="G3202" s="1" t="s">
        <v>285</v>
      </c>
      <c r="H3202" s="8">
        <v>40500</v>
      </c>
      <c r="I3202" s="8">
        <f t="shared" si="213"/>
        <v>81000</v>
      </c>
      <c r="J3202" s="539">
        <v>39500</v>
      </c>
      <c r="K3202" s="521">
        <f t="shared" si="210"/>
        <v>1000</v>
      </c>
      <c r="L3202" s="522">
        <f t="shared" si="212"/>
        <v>2000</v>
      </c>
      <c r="M3202" s="523">
        <f t="shared" si="211"/>
        <v>2.4691358024691357E-2</v>
      </c>
      <c r="N3202" s="2" t="s">
        <v>40</v>
      </c>
      <c r="O3202" s="15" t="s">
        <v>105</v>
      </c>
    </row>
    <row r="3203" spans="1:15">
      <c r="A3203" s="70">
        <v>2025</v>
      </c>
      <c r="B3203" s="16" t="s">
        <v>1083</v>
      </c>
      <c r="C3203" s="71" t="s">
        <v>4261</v>
      </c>
      <c r="D3203" s="2" t="s">
        <v>4099</v>
      </c>
      <c r="E3203" s="2" t="s">
        <v>4262</v>
      </c>
      <c r="F3203" s="96">
        <v>28</v>
      </c>
      <c r="G3203" s="1" t="s">
        <v>19</v>
      </c>
      <c r="H3203" s="8">
        <v>1935</v>
      </c>
      <c r="I3203" s="8">
        <f t="shared" si="213"/>
        <v>54180</v>
      </c>
      <c r="J3203" s="539">
        <v>950</v>
      </c>
      <c r="K3203" s="521">
        <f t="shared" ref="K3203:K3266" si="214">H3203-J3203</f>
        <v>985</v>
      </c>
      <c r="L3203" s="522">
        <f t="shared" si="212"/>
        <v>27580</v>
      </c>
      <c r="M3203" s="523">
        <f t="shared" ref="M3203:M3266" si="215">K3203/H3203</f>
        <v>0.50904392764857886</v>
      </c>
      <c r="N3203" s="2" t="s">
        <v>22</v>
      </c>
      <c r="O3203" s="15" t="s">
        <v>39</v>
      </c>
    </row>
    <row r="3204" spans="1:15">
      <c r="A3204" s="70">
        <v>2025</v>
      </c>
      <c r="B3204" s="16" t="s">
        <v>1083</v>
      </c>
      <c r="C3204" s="71" t="s">
        <v>4261</v>
      </c>
      <c r="D3204" s="2" t="s">
        <v>4099</v>
      </c>
      <c r="E3204" s="2" t="s">
        <v>4263</v>
      </c>
      <c r="F3204" s="96">
        <v>28</v>
      </c>
      <c r="G3204" s="1" t="s">
        <v>19</v>
      </c>
      <c r="H3204" s="8">
        <v>1880</v>
      </c>
      <c r="I3204" s="8">
        <f t="shared" si="213"/>
        <v>52640</v>
      </c>
      <c r="J3204" s="539">
        <v>978</v>
      </c>
      <c r="K3204" s="521">
        <f t="shared" si="214"/>
        <v>902</v>
      </c>
      <c r="L3204" s="522">
        <f t="shared" si="212"/>
        <v>25256</v>
      </c>
      <c r="M3204" s="523">
        <f t="shared" si="215"/>
        <v>0.47978723404255319</v>
      </c>
      <c r="N3204" s="2" t="s">
        <v>22</v>
      </c>
      <c r="O3204" s="15" t="s">
        <v>39</v>
      </c>
    </row>
    <row r="3205" spans="1:15">
      <c r="A3205" s="70">
        <v>2025</v>
      </c>
      <c r="B3205" s="16" t="s">
        <v>1083</v>
      </c>
      <c r="C3205" s="71" t="s">
        <v>4261</v>
      </c>
      <c r="D3205" s="2" t="s">
        <v>4099</v>
      </c>
      <c r="E3205" s="2" t="s">
        <v>4264</v>
      </c>
      <c r="F3205" s="96">
        <v>56</v>
      </c>
      <c r="G3205" s="1" t="s">
        <v>19</v>
      </c>
      <c r="H3205" s="8">
        <v>1580</v>
      </c>
      <c r="I3205" s="8">
        <f t="shared" si="213"/>
        <v>88480</v>
      </c>
      <c r="J3205" s="539">
        <v>840</v>
      </c>
      <c r="K3205" s="521">
        <f t="shared" si="214"/>
        <v>740</v>
      </c>
      <c r="L3205" s="522">
        <f t="shared" si="212"/>
        <v>41440</v>
      </c>
      <c r="M3205" s="523">
        <f t="shared" si="215"/>
        <v>0.46835443037974683</v>
      </c>
      <c r="N3205" s="2" t="s">
        <v>22</v>
      </c>
      <c r="O3205" s="15" t="s">
        <v>39</v>
      </c>
    </row>
    <row r="3206" spans="1:15">
      <c r="A3206" s="70">
        <v>2025</v>
      </c>
      <c r="B3206" s="16" t="s">
        <v>1083</v>
      </c>
      <c r="C3206" s="71" t="s">
        <v>4261</v>
      </c>
      <c r="D3206" s="2" t="s">
        <v>4099</v>
      </c>
      <c r="E3206" s="2" t="s">
        <v>4265</v>
      </c>
      <c r="F3206" s="96">
        <v>28</v>
      </c>
      <c r="G3206" s="1" t="s">
        <v>19</v>
      </c>
      <c r="H3206" s="8">
        <v>1370</v>
      </c>
      <c r="I3206" s="8">
        <f t="shared" si="213"/>
        <v>38360</v>
      </c>
      <c r="J3206" s="539">
        <v>640</v>
      </c>
      <c r="K3206" s="521">
        <f t="shared" si="214"/>
        <v>730</v>
      </c>
      <c r="L3206" s="522">
        <f t="shared" ref="L3206:L3269" si="216">K3206*F3206</f>
        <v>20440</v>
      </c>
      <c r="M3206" s="523">
        <f t="shared" si="215"/>
        <v>0.53284671532846717</v>
      </c>
      <c r="N3206" s="2" t="s">
        <v>22</v>
      </c>
      <c r="O3206" s="15" t="s">
        <v>39</v>
      </c>
    </row>
    <row r="3207" spans="1:15">
      <c r="A3207" s="70">
        <v>2025</v>
      </c>
      <c r="B3207" s="16" t="s">
        <v>1083</v>
      </c>
      <c r="C3207" s="71" t="s">
        <v>4266</v>
      </c>
      <c r="D3207" s="2" t="s">
        <v>1042</v>
      </c>
      <c r="E3207" s="2" t="s">
        <v>4267</v>
      </c>
      <c r="F3207" s="96">
        <v>1</v>
      </c>
      <c r="G3207" s="1" t="s">
        <v>285</v>
      </c>
      <c r="H3207" s="8">
        <v>38011.4</v>
      </c>
      <c r="I3207" s="8">
        <f t="shared" si="213"/>
        <v>38011.4</v>
      </c>
      <c r="J3207" s="539">
        <v>13151.72</v>
      </c>
      <c r="K3207" s="521">
        <f t="shared" si="214"/>
        <v>24859.68</v>
      </c>
      <c r="L3207" s="522">
        <f t="shared" si="216"/>
        <v>24859.68</v>
      </c>
      <c r="M3207" s="523">
        <f t="shared" si="215"/>
        <v>0.6540059034921103</v>
      </c>
      <c r="N3207" s="2" t="s">
        <v>33</v>
      </c>
      <c r="O3207" s="15" t="s">
        <v>105</v>
      </c>
    </row>
    <row r="3208" spans="1:15">
      <c r="A3208" s="70">
        <v>2025</v>
      </c>
      <c r="B3208" s="16" t="s">
        <v>1083</v>
      </c>
      <c r="C3208" s="71" t="s">
        <v>4268</v>
      </c>
      <c r="D3208" s="2" t="s">
        <v>708</v>
      </c>
      <c r="E3208" s="2" t="s">
        <v>1663</v>
      </c>
      <c r="F3208" s="96">
        <v>4000</v>
      </c>
      <c r="G3208" s="1" t="s">
        <v>37</v>
      </c>
      <c r="H3208" s="8">
        <v>375.29</v>
      </c>
      <c r="I3208" s="8">
        <f t="shared" si="213"/>
        <v>1501160</v>
      </c>
      <c r="J3208" s="539">
        <v>370.29</v>
      </c>
      <c r="K3208" s="521">
        <f t="shared" si="214"/>
        <v>5</v>
      </c>
      <c r="L3208" s="522">
        <f t="shared" si="216"/>
        <v>20000</v>
      </c>
      <c r="M3208" s="523">
        <f t="shared" si="215"/>
        <v>1.332303018998641E-2</v>
      </c>
      <c r="N3208" s="2" t="s">
        <v>40</v>
      </c>
      <c r="O3208" s="15" t="s">
        <v>105</v>
      </c>
    </row>
    <row r="3209" spans="1:15">
      <c r="A3209" s="70">
        <v>2025</v>
      </c>
      <c r="B3209" s="16" t="s">
        <v>1083</v>
      </c>
      <c r="C3209" s="71" t="s">
        <v>4269</v>
      </c>
      <c r="D3209" s="2" t="s">
        <v>192</v>
      </c>
      <c r="E3209" s="71" t="s">
        <v>4270</v>
      </c>
      <c r="F3209" s="96">
        <v>50</v>
      </c>
      <c r="G3209" s="1" t="s">
        <v>19</v>
      </c>
      <c r="H3209" s="8">
        <v>3940</v>
      </c>
      <c r="I3209" s="8">
        <f t="shared" si="213"/>
        <v>197000</v>
      </c>
      <c r="J3209" s="539">
        <v>3860</v>
      </c>
      <c r="K3209" s="521">
        <f t="shared" si="214"/>
        <v>80</v>
      </c>
      <c r="L3209" s="522">
        <f t="shared" si="216"/>
        <v>4000</v>
      </c>
      <c r="M3209" s="523">
        <f t="shared" si="215"/>
        <v>2.030456852791878E-2</v>
      </c>
      <c r="N3209" s="2" t="s">
        <v>40</v>
      </c>
      <c r="O3209" s="15" t="s">
        <v>105</v>
      </c>
    </row>
    <row r="3210" spans="1:15">
      <c r="A3210" s="70">
        <v>2025</v>
      </c>
      <c r="B3210" s="16" t="s">
        <v>1083</v>
      </c>
      <c r="C3210" s="71" t="s">
        <v>4271</v>
      </c>
      <c r="D3210" s="2" t="s">
        <v>926</v>
      </c>
      <c r="E3210" s="2" t="s">
        <v>449</v>
      </c>
      <c r="F3210" s="96">
        <v>5</v>
      </c>
      <c r="G3210" s="1" t="s">
        <v>302</v>
      </c>
      <c r="H3210" s="8">
        <v>2000</v>
      </c>
      <c r="I3210" s="8">
        <f t="shared" si="213"/>
        <v>10000</v>
      </c>
      <c r="J3210" s="539">
        <v>1500</v>
      </c>
      <c r="K3210" s="521">
        <f t="shared" si="214"/>
        <v>500</v>
      </c>
      <c r="L3210" s="522">
        <f t="shared" si="216"/>
        <v>2500</v>
      </c>
      <c r="M3210" s="523">
        <f t="shared" si="215"/>
        <v>0.25</v>
      </c>
      <c r="N3210" s="2" t="s">
        <v>22</v>
      </c>
      <c r="O3210" s="15" t="s">
        <v>105</v>
      </c>
    </row>
    <row r="3211" spans="1:15">
      <c r="A3211" s="70">
        <v>2025</v>
      </c>
      <c r="B3211" s="16" t="s">
        <v>1083</v>
      </c>
      <c r="C3211" s="71" t="s">
        <v>4272</v>
      </c>
      <c r="D3211" s="2" t="s">
        <v>335</v>
      </c>
      <c r="E3211" s="2" t="s">
        <v>336</v>
      </c>
      <c r="F3211" s="96">
        <v>112000</v>
      </c>
      <c r="G3211" s="1" t="s">
        <v>337</v>
      </c>
      <c r="H3211" s="8">
        <v>33.5</v>
      </c>
      <c r="I3211" s="8">
        <f t="shared" si="213"/>
        <v>3752000</v>
      </c>
      <c r="J3211" s="539">
        <v>32</v>
      </c>
      <c r="K3211" s="521">
        <f t="shared" si="214"/>
        <v>1.5</v>
      </c>
      <c r="L3211" s="522">
        <f t="shared" si="216"/>
        <v>168000</v>
      </c>
      <c r="M3211" s="523">
        <f t="shared" si="215"/>
        <v>4.4776119402985072E-2</v>
      </c>
      <c r="N3211" s="2" t="s">
        <v>40</v>
      </c>
      <c r="O3211" s="15" t="s">
        <v>39</v>
      </c>
    </row>
    <row r="3212" spans="1:15">
      <c r="A3212" s="70">
        <v>2025</v>
      </c>
      <c r="B3212" s="16" t="s">
        <v>1083</v>
      </c>
      <c r="C3212" s="71" t="s">
        <v>4273</v>
      </c>
      <c r="D3212" s="2" t="s">
        <v>617</v>
      </c>
      <c r="E3212" s="2" t="s">
        <v>230</v>
      </c>
      <c r="F3212" s="96">
        <v>6000</v>
      </c>
      <c r="G3212" s="1" t="s">
        <v>37</v>
      </c>
      <c r="H3212" s="8">
        <v>27</v>
      </c>
      <c r="I3212" s="8">
        <f t="shared" si="213"/>
        <v>162000</v>
      </c>
      <c r="J3212" s="539">
        <v>26.5</v>
      </c>
      <c r="K3212" s="521">
        <f t="shared" si="214"/>
        <v>0.5</v>
      </c>
      <c r="L3212" s="522">
        <f t="shared" si="216"/>
        <v>3000</v>
      </c>
      <c r="M3212" s="523">
        <f t="shared" si="215"/>
        <v>1.8518518518518517E-2</v>
      </c>
      <c r="N3212" s="2" t="s">
        <v>40</v>
      </c>
      <c r="O3212" s="15" t="s">
        <v>39</v>
      </c>
    </row>
    <row r="3213" spans="1:15">
      <c r="A3213" s="70">
        <v>2025</v>
      </c>
      <c r="B3213" s="16" t="s">
        <v>1083</v>
      </c>
      <c r="C3213" s="71" t="s">
        <v>4273</v>
      </c>
      <c r="D3213" s="2" t="s">
        <v>617</v>
      </c>
      <c r="E3213" s="2" t="s">
        <v>233</v>
      </c>
      <c r="F3213" s="96">
        <v>9000</v>
      </c>
      <c r="G3213" s="1" t="s">
        <v>37</v>
      </c>
      <c r="H3213" s="8">
        <v>26.5</v>
      </c>
      <c r="I3213" s="8">
        <f t="shared" si="213"/>
        <v>238500</v>
      </c>
      <c r="J3213" s="539">
        <v>25.5</v>
      </c>
      <c r="K3213" s="521">
        <f t="shared" si="214"/>
        <v>1</v>
      </c>
      <c r="L3213" s="522">
        <f t="shared" si="216"/>
        <v>9000</v>
      </c>
      <c r="M3213" s="523">
        <f t="shared" si="215"/>
        <v>3.7735849056603772E-2</v>
      </c>
      <c r="N3213" s="2" t="s">
        <v>40</v>
      </c>
      <c r="O3213" s="15" t="s">
        <v>39</v>
      </c>
    </row>
    <row r="3214" spans="1:15">
      <c r="A3214" s="70">
        <v>2025</v>
      </c>
      <c r="B3214" s="16" t="s">
        <v>1083</v>
      </c>
      <c r="C3214" s="71" t="s">
        <v>4274</v>
      </c>
      <c r="D3214" s="2" t="s">
        <v>94</v>
      </c>
      <c r="E3214" s="2" t="s">
        <v>550</v>
      </c>
      <c r="F3214" s="96">
        <v>400</v>
      </c>
      <c r="G3214" s="1" t="s">
        <v>19</v>
      </c>
      <c r="H3214" s="8">
        <v>50</v>
      </c>
      <c r="I3214" s="8">
        <f t="shared" si="213"/>
        <v>20000</v>
      </c>
      <c r="J3214" s="539">
        <v>47.56</v>
      </c>
      <c r="K3214" s="521">
        <f t="shared" si="214"/>
        <v>2.4399999999999977</v>
      </c>
      <c r="L3214" s="522">
        <f t="shared" si="216"/>
        <v>975.99999999999909</v>
      </c>
      <c r="M3214" s="523">
        <f t="shared" si="215"/>
        <v>4.8799999999999955E-2</v>
      </c>
      <c r="N3214" s="2" t="s">
        <v>22</v>
      </c>
      <c r="O3214" s="15" t="s">
        <v>105</v>
      </c>
    </row>
    <row r="3215" spans="1:15">
      <c r="A3215" s="70">
        <v>2025</v>
      </c>
      <c r="B3215" s="16" t="s">
        <v>1083</v>
      </c>
      <c r="C3215" s="71" t="s">
        <v>4275</v>
      </c>
      <c r="D3215" s="2" t="s">
        <v>200</v>
      </c>
      <c r="E3215" s="2" t="s">
        <v>4276</v>
      </c>
      <c r="F3215" s="96">
        <v>3</v>
      </c>
      <c r="G3215" s="1" t="s">
        <v>302</v>
      </c>
      <c r="H3215" s="96">
        <v>48500</v>
      </c>
      <c r="I3215" s="8">
        <f t="shared" si="213"/>
        <v>145500</v>
      </c>
      <c r="J3215" s="539">
        <v>47000</v>
      </c>
      <c r="K3215" s="521">
        <f t="shared" si="214"/>
        <v>1500</v>
      </c>
      <c r="L3215" s="522">
        <f t="shared" si="216"/>
        <v>4500</v>
      </c>
      <c r="M3215" s="523">
        <f t="shared" si="215"/>
        <v>3.0927835051546393E-2</v>
      </c>
      <c r="N3215" s="2" t="s">
        <v>40</v>
      </c>
      <c r="O3215" s="15" t="s">
        <v>39</v>
      </c>
    </row>
    <row r="3216" spans="1:15">
      <c r="A3216" s="70">
        <v>2025</v>
      </c>
      <c r="B3216" s="16" t="s">
        <v>1083</v>
      </c>
      <c r="C3216" s="71" t="s">
        <v>4277</v>
      </c>
      <c r="D3216" s="2" t="s">
        <v>1181</v>
      </c>
      <c r="E3216" s="2" t="s">
        <v>2514</v>
      </c>
      <c r="F3216" s="96">
        <v>1</v>
      </c>
      <c r="G3216" s="1" t="s">
        <v>285</v>
      </c>
      <c r="H3216" s="8">
        <v>3500</v>
      </c>
      <c r="I3216" s="8">
        <f t="shared" si="213"/>
        <v>3500</v>
      </c>
      <c r="J3216" s="539">
        <v>0</v>
      </c>
      <c r="K3216" s="521">
        <f t="shared" si="214"/>
        <v>3500</v>
      </c>
      <c r="L3216" s="522">
        <f t="shared" si="216"/>
        <v>3500</v>
      </c>
      <c r="M3216" s="523">
        <f t="shared" si="215"/>
        <v>1</v>
      </c>
      <c r="N3216" s="2" t="s">
        <v>40</v>
      </c>
      <c r="O3216" s="15" t="s">
        <v>105</v>
      </c>
    </row>
    <row r="3217" spans="1:15">
      <c r="A3217" s="70">
        <v>2025</v>
      </c>
      <c r="B3217" s="16" t="s">
        <v>1083</v>
      </c>
      <c r="C3217" s="71" t="s">
        <v>4278</v>
      </c>
      <c r="D3217" s="2" t="s">
        <v>192</v>
      </c>
      <c r="E3217" s="150" t="s">
        <v>2502</v>
      </c>
      <c r="F3217" s="457">
        <v>3000</v>
      </c>
      <c r="G3217" s="484" t="s">
        <v>337</v>
      </c>
      <c r="H3217" s="151">
        <v>184.26</v>
      </c>
      <c r="I3217" s="8">
        <f t="shared" si="213"/>
        <v>552780</v>
      </c>
      <c r="J3217" s="539">
        <v>147.5</v>
      </c>
      <c r="K3217" s="521">
        <f t="shared" si="214"/>
        <v>36.759999999999991</v>
      </c>
      <c r="L3217" s="522">
        <f t="shared" si="216"/>
        <v>110279.99999999997</v>
      </c>
      <c r="M3217" s="523">
        <f t="shared" si="215"/>
        <v>0.19950070552480187</v>
      </c>
      <c r="N3217" s="2" t="s">
        <v>22</v>
      </c>
      <c r="O3217" s="15" t="s">
        <v>105</v>
      </c>
    </row>
    <row r="3218" spans="1:15">
      <c r="A3218" s="70">
        <v>2025</v>
      </c>
      <c r="B3218" s="16" t="s">
        <v>1083</v>
      </c>
      <c r="C3218" s="71" t="s">
        <v>4279</v>
      </c>
      <c r="D3218" s="2" t="s">
        <v>3847</v>
      </c>
      <c r="E3218" s="2" t="s">
        <v>2514</v>
      </c>
      <c r="F3218" s="96">
        <v>1</v>
      </c>
      <c r="G3218" s="1" t="s">
        <v>285</v>
      </c>
      <c r="H3218" s="151">
        <v>3500</v>
      </c>
      <c r="I3218" s="8">
        <f t="shared" si="213"/>
        <v>3500</v>
      </c>
      <c r="J3218" s="539">
        <v>0</v>
      </c>
      <c r="K3218" s="521">
        <f t="shared" si="214"/>
        <v>3500</v>
      </c>
      <c r="L3218" s="522">
        <f t="shared" si="216"/>
        <v>3500</v>
      </c>
      <c r="M3218" s="523">
        <f t="shared" si="215"/>
        <v>1</v>
      </c>
      <c r="N3218" s="2" t="s">
        <v>40</v>
      </c>
      <c r="O3218" s="15" t="s">
        <v>105</v>
      </c>
    </row>
    <row r="3219" spans="1:15">
      <c r="A3219" s="70">
        <v>2025</v>
      </c>
      <c r="B3219" s="16" t="s">
        <v>1083</v>
      </c>
      <c r="C3219" s="71" t="s">
        <v>4280</v>
      </c>
      <c r="D3219" s="2" t="s">
        <v>2043</v>
      </c>
      <c r="E3219" s="2" t="s">
        <v>2514</v>
      </c>
      <c r="F3219" s="96">
        <v>1</v>
      </c>
      <c r="G3219" s="1" t="s">
        <v>285</v>
      </c>
      <c r="H3219" s="151">
        <v>3500</v>
      </c>
      <c r="I3219" s="8">
        <f t="shared" si="213"/>
        <v>3500</v>
      </c>
      <c r="J3219" s="539">
        <v>0</v>
      </c>
      <c r="K3219" s="521">
        <f t="shared" si="214"/>
        <v>3500</v>
      </c>
      <c r="L3219" s="522">
        <f t="shared" si="216"/>
        <v>3500</v>
      </c>
      <c r="M3219" s="523">
        <f t="shared" si="215"/>
        <v>1</v>
      </c>
      <c r="N3219" s="2" t="s">
        <v>40</v>
      </c>
      <c r="O3219" s="15" t="s">
        <v>105</v>
      </c>
    </row>
    <row r="3220" spans="1:15">
      <c r="A3220" s="70">
        <v>2025</v>
      </c>
      <c r="B3220" s="16" t="s">
        <v>1083</v>
      </c>
      <c r="C3220" s="71" t="s">
        <v>4281</v>
      </c>
      <c r="D3220" s="2" t="s">
        <v>2167</v>
      </c>
      <c r="E3220" s="2" t="s">
        <v>2514</v>
      </c>
      <c r="F3220" s="96">
        <v>1</v>
      </c>
      <c r="G3220" s="1" t="s">
        <v>285</v>
      </c>
      <c r="H3220" s="151">
        <v>3500</v>
      </c>
      <c r="I3220" s="8">
        <f t="shared" si="213"/>
        <v>3500</v>
      </c>
      <c r="J3220" s="539">
        <v>0</v>
      </c>
      <c r="K3220" s="521">
        <f t="shared" si="214"/>
        <v>3500</v>
      </c>
      <c r="L3220" s="522">
        <f t="shared" si="216"/>
        <v>3500</v>
      </c>
      <c r="M3220" s="523">
        <f t="shared" si="215"/>
        <v>1</v>
      </c>
      <c r="N3220" s="2" t="s">
        <v>40</v>
      </c>
      <c r="O3220" s="15" t="s">
        <v>105</v>
      </c>
    </row>
    <row r="3221" spans="1:15">
      <c r="A3221" s="70">
        <v>2025</v>
      </c>
      <c r="B3221" s="16" t="s">
        <v>1083</v>
      </c>
      <c r="C3221" s="71" t="s">
        <v>4282</v>
      </c>
      <c r="D3221" s="2" t="s">
        <v>593</v>
      </c>
      <c r="E3221" s="150" t="s">
        <v>1280</v>
      </c>
      <c r="F3221" s="457">
        <v>100</v>
      </c>
      <c r="G3221" s="484" t="s">
        <v>37</v>
      </c>
      <c r="H3221" s="151">
        <v>220</v>
      </c>
      <c r="I3221" s="8">
        <f t="shared" si="213"/>
        <v>22000</v>
      </c>
      <c r="J3221" s="559" t="s">
        <v>4283</v>
      </c>
      <c r="K3221" s="521">
        <f t="shared" si="214"/>
        <v>25</v>
      </c>
      <c r="L3221" s="522">
        <f t="shared" si="216"/>
        <v>2500</v>
      </c>
      <c r="M3221" s="523">
        <f t="shared" si="215"/>
        <v>0.11363636363636363</v>
      </c>
      <c r="N3221" s="2" t="s">
        <v>22</v>
      </c>
      <c r="O3221" s="15" t="s">
        <v>105</v>
      </c>
    </row>
    <row r="3222" spans="1:15">
      <c r="A3222" s="70">
        <v>2025</v>
      </c>
      <c r="B3222" s="16" t="s">
        <v>1083</v>
      </c>
      <c r="C3222" s="71" t="s">
        <v>4284</v>
      </c>
      <c r="D3222" s="2" t="s">
        <v>200</v>
      </c>
      <c r="E3222" s="150" t="s">
        <v>4285</v>
      </c>
      <c r="F3222" s="457">
        <v>2</v>
      </c>
      <c r="G3222" s="484" t="s">
        <v>302</v>
      </c>
      <c r="H3222" s="151">
        <v>18500</v>
      </c>
      <c r="I3222" s="8">
        <f t="shared" si="213"/>
        <v>37000</v>
      </c>
      <c r="J3222" s="539">
        <v>18000</v>
      </c>
      <c r="K3222" s="521">
        <f t="shared" si="214"/>
        <v>500</v>
      </c>
      <c r="L3222" s="522">
        <f t="shared" si="216"/>
        <v>1000</v>
      </c>
      <c r="M3222" s="523">
        <f t="shared" si="215"/>
        <v>2.7027027027027029E-2</v>
      </c>
      <c r="N3222" s="2" t="s">
        <v>40</v>
      </c>
      <c r="O3222" s="15" t="s">
        <v>39</v>
      </c>
    </row>
    <row r="3223" spans="1:15">
      <c r="A3223" s="70">
        <v>2025</v>
      </c>
      <c r="B3223" s="16" t="s">
        <v>1083</v>
      </c>
      <c r="C3223" s="71" t="s">
        <v>4286</v>
      </c>
      <c r="D3223" s="2" t="s">
        <v>200</v>
      </c>
      <c r="E3223" s="2" t="s">
        <v>4287</v>
      </c>
      <c r="F3223" s="96">
        <v>2</v>
      </c>
      <c r="G3223" s="1" t="s">
        <v>302</v>
      </c>
      <c r="H3223" s="8">
        <v>64500</v>
      </c>
      <c r="I3223" s="8">
        <f t="shared" si="213"/>
        <v>129000</v>
      </c>
      <c r="J3223" s="539">
        <v>62000</v>
      </c>
      <c r="K3223" s="521">
        <f t="shared" si="214"/>
        <v>2500</v>
      </c>
      <c r="L3223" s="522">
        <f t="shared" si="216"/>
        <v>5000</v>
      </c>
      <c r="M3223" s="523">
        <f t="shared" si="215"/>
        <v>3.875968992248062E-2</v>
      </c>
      <c r="N3223" s="2" t="s">
        <v>40</v>
      </c>
      <c r="O3223" s="15" t="s">
        <v>39</v>
      </c>
    </row>
    <row r="3224" spans="1:15">
      <c r="A3224" s="70">
        <v>2025</v>
      </c>
      <c r="B3224" s="16" t="s">
        <v>1083</v>
      </c>
      <c r="C3224" s="71" t="s">
        <v>4288</v>
      </c>
      <c r="D3224" s="2" t="s">
        <v>192</v>
      </c>
      <c r="E3224" s="2" t="s">
        <v>4049</v>
      </c>
      <c r="F3224" s="96">
        <v>4</v>
      </c>
      <c r="G3224" s="1" t="s">
        <v>19</v>
      </c>
      <c r="H3224" s="8">
        <v>24190</v>
      </c>
      <c r="I3224" s="8">
        <f t="shared" si="213"/>
        <v>96760</v>
      </c>
      <c r="J3224" s="539">
        <v>22840</v>
      </c>
      <c r="K3224" s="521">
        <f t="shared" si="214"/>
        <v>1350</v>
      </c>
      <c r="L3224" s="522">
        <f t="shared" si="216"/>
        <v>5400</v>
      </c>
      <c r="M3224" s="523">
        <f t="shared" si="215"/>
        <v>5.5808185200496074E-2</v>
      </c>
      <c r="N3224" s="2" t="s">
        <v>40</v>
      </c>
      <c r="O3224" s="15" t="s">
        <v>105</v>
      </c>
    </row>
    <row r="3225" spans="1:15">
      <c r="A3225" s="70">
        <v>2025</v>
      </c>
      <c r="B3225" s="16" t="s">
        <v>1083</v>
      </c>
      <c r="C3225" s="71" t="s">
        <v>4289</v>
      </c>
      <c r="D3225" s="2" t="s">
        <v>166</v>
      </c>
      <c r="E3225" s="2" t="s">
        <v>4160</v>
      </c>
      <c r="F3225" s="96">
        <v>18279</v>
      </c>
      <c r="G3225" s="1" t="s">
        <v>37</v>
      </c>
      <c r="H3225" s="8">
        <v>372.57</v>
      </c>
      <c r="I3225" s="8">
        <f t="shared" si="213"/>
        <v>6810207.0300000003</v>
      </c>
      <c r="J3225" s="539">
        <v>344.35</v>
      </c>
      <c r="K3225" s="521">
        <f t="shared" si="214"/>
        <v>28.21999999999997</v>
      </c>
      <c r="L3225" s="522">
        <f t="shared" si="216"/>
        <v>515833.37999999948</v>
      </c>
      <c r="M3225" s="523">
        <f t="shared" si="215"/>
        <v>7.5744155460718707E-2</v>
      </c>
      <c r="N3225" s="2" t="s">
        <v>20</v>
      </c>
      <c r="O3225" s="15" t="s">
        <v>105</v>
      </c>
    </row>
    <row r="3226" spans="1:15">
      <c r="A3226" s="70">
        <v>2025</v>
      </c>
      <c r="B3226" s="16" t="s">
        <v>1083</v>
      </c>
      <c r="C3226" s="71" t="s">
        <v>4290</v>
      </c>
      <c r="D3226" s="2" t="s">
        <v>94</v>
      </c>
      <c r="E3226" s="2" t="s">
        <v>550</v>
      </c>
      <c r="F3226" s="96">
        <v>300</v>
      </c>
      <c r="G3226" s="1" t="s">
        <v>19</v>
      </c>
      <c r="H3226" s="8">
        <v>50</v>
      </c>
      <c r="I3226" s="8">
        <f t="shared" si="213"/>
        <v>15000</v>
      </c>
      <c r="J3226" s="539">
        <v>47.56</v>
      </c>
      <c r="K3226" s="521">
        <f t="shared" si="214"/>
        <v>2.4399999999999977</v>
      </c>
      <c r="L3226" s="522">
        <f t="shared" si="216"/>
        <v>731.99999999999932</v>
      </c>
      <c r="M3226" s="523">
        <f t="shared" si="215"/>
        <v>4.8799999999999955E-2</v>
      </c>
      <c r="N3226" s="2" t="s">
        <v>22</v>
      </c>
      <c r="O3226" s="15" t="s">
        <v>105</v>
      </c>
    </row>
    <row r="3227" spans="1:15">
      <c r="A3227" s="70">
        <v>2025</v>
      </c>
      <c r="B3227" s="16" t="s">
        <v>1083</v>
      </c>
      <c r="C3227" s="71" t="s">
        <v>4290</v>
      </c>
      <c r="D3227" s="2" t="s">
        <v>94</v>
      </c>
      <c r="E3227" s="2" t="s">
        <v>546</v>
      </c>
      <c r="F3227" s="96">
        <v>200</v>
      </c>
      <c r="G3227" s="1" t="s">
        <v>19</v>
      </c>
      <c r="H3227" s="8">
        <v>190</v>
      </c>
      <c r="I3227" s="8">
        <f t="shared" si="213"/>
        <v>38000</v>
      </c>
      <c r="J3227" s="539">
        <v>182.25</v>
      </c>
      <c r="K3227" s="521">
        <f t="shared" si="214"/>
        <v>7.75</v>
      </c>
      <c r="L3227" s="522">
        <f t="shared" si="216"/>
        <v>1550</v>
      </c>
      <c r="M3227" s="523">
        <f t="shared" si="215"/>
        <v>4.0789473684210528E-2</v>
      </c>
      <c r="N3227" s="2" t="s">
        <v>22</v>
      </c>
      <c r="O3227" s="15" t="s">
        <v>105</v>
      </c>
    </row>
    <row r="3228" spans="1:15">
      <c r="A3228" s="70">
        <v>2025</v>
      </c>
      <c r="B3228" s="16" t="s">
        <v>1083</v>
      </c>
      <c r="C3228" s="71" t="s">
        <v>4290</v>
      </c>
      <c r="D3228" s="2" t="s">
        <v>94</v>
      </c>
      <c r="E3228" s="2" t="s">
        <v>457</v>
      </c>
      <c r="F3228" s="96">
        <v>100</v>
      </c>
      <c r="G3228" s="1" t="s">
        <v>19</v>
      </c>
      <c r="H3228" s="8">
        <v>5.25</v>
      </c>
      <c r="I3228" s="8">
        <f t="shared" si="213"/>
        <v>525</v>
      </c>
      <c r="J3228" s="539">
        <v>5.0999999999999996</v>
      </c>
      <c r="K3228" s="521">
        <f t="shared" si="214"/>
        <v>0.15000000000000036</v>
      </c>
      <c r="L3228" s="522">
        <f t="shared" si="216"/>
        <v>15.000000000000036</v>
      </c>
      <c r="M3228" s="523">
        <f t="shared" si="215"/>
        <v>2.857142857142864E-2</v>
      </c>
      <c r="N3228" s="2" t="s">
        <v>22</v>
      </c>
      <c r="O3228" s="15" t="s">
        <v>105</v>
      </c>
    </row>
    <row r="3229" spans="1:15">
      <c r="A3229" s="70">
        <v>2025</v>
      </c>
      <c r="B3229" s="16" t="s">
        <v>1083</v>
      </c>
      <c r="C3229" s="71" t="s">
        <v>4290</v>
      </c>
      <c r="D3229" s="2" t="s">
        <v>94</v>
      </c>
      <c r="E3229" s="2" t="s">
        <v>458</v>
      </c>
      <c r="F3229" s="96">
        <v>100</v>
      </c>
      <c r="G3229" s="1" t="s">
        <v>19</v>
      </c>
      <c r="H3229" s="8">
        <v>9.5</v>
      </c>
      <c r="I3229" s="8">
        <f t="shared" si="213"/>
        <v>950</v>
      </c>
      <c r="J3229" s="539">
        <v>9.35</v>
      </c>
      <c r="K3229" s="521">
        <f t="shared" si="214"/>
        <v>0.15000000000000036</v>
      </c>
      <c r="L3229" s="522">
        <f t="shared" si="216"/>
        <v>15.000000000000036</v>
      </c>
      <c r="M3229" s="523">
        <f t="shared" si="215"/>
        <v>1.5789473684210565E-2</v>
      </c>
      <c r="N3229" s="2" t="s">
        <v>22</v>
      </c>
      <c r="O3229" s="15" t="s">
        <v>105</v>
      </c>
    </row>
    <row r="3230" spans="1:15">
      <c r="A3230" s="70">
        <v>2025</v>
      </c>
      <c r="B3230" s="16" t="s">
        <v>1083</v>
      </c>
      <c r="C3230" s="71" t="s">
        <v>4291</v>
      </c>
      <c r="D3230" s="2" t="s">
        <v>708</v>
      </c>
      <c r="E3230" s="2" t="s">
        <v>1663</v>
      </c>
      <c r="F3230" s="96">
        <v>2200</v>
      </c>
      <c r="G3230" s="1" t="s">
        <v>37</v>
      </c>
      <c r="H3230" s="8">
        <v>397.29</v>
      </c>
      <c r="I3230" s="8">
        <f t="shared" si="213"/>
        <v>874038</v>
      </c>
      <c r="J3230" s="539">
        <v>385.29</v>
      </c>
      <c r="K3230" s="521">
        <f t="shared" si="214"/>
        <v>12</v>
      </c>
      <c r="L3230" s="522">
        <f t="shared" si="216"/>
        <v>26400</v>
      </c>
      <c r="M3230" s="523">
        <f t="shared" si="215"/>
        <v>3.0204636411689193E-2</v>
      </c>
      <c r="N3230" s="2" t="s">
        <v>40</v>
      </c>
      <c r="O3230" s="15" t="s">
        <v>105</v>
      </c>
    </row>
    <row r="3231" spans="1:15">
      <c r="A3231" s="70">
        <v>2025</v>
      </c>
      <c r="B3231" s="16" t="s">
        <v>1083</v>
      </c>
      <c r="C3231" s="71" t="s">
        <v>4292</v>
      </c>
      <c r="D3231" s="2" t="s">
        <v>2294</v>
      </c>
      <c r="E3231" s="2" t="s">
        <v>4293</v>
      </c>
      <c r="F3231" s="96">
        <v>1</v>
      </c>
      <c r="G3231" s="1" t="s">
        <v>285</v>
      </c>
      <c r="H3231" s="8">
        <v>525800</v>
      </c>
      <c r="I3231" s="8">
        <f t="shared" si="213"/>
        <v>525800</v>
      </c>
      <c r="J3231" s="539">
        <v>500000</v>
      </c>
      <c r="K3231" s="521">
        <f t="shared" si="214"/>
        <v>25800</v>
      </c>
      <c r="L3231" s="522">
        <f t="shared" si="216"/>
        <v>25800</v>
      </c>
      <c r="M3231" s="523">
        <f t="shared" si="215"/>
        <v>4.9068086724990488E-2</v>
      </c>
      <c r="N3231" s="2" t="s">
        <v>40</v>
      </c>
      <c r="O3231" s="15" t="s">
        <v>4066</v>
      </c>
    </row>
    <row r="3232" spans="1:15">
      <c r="A3232" s="70">
        <v>2025</v>
      </c>
      <c r="B3232" s="16" t="s">
        <v>1083</v>
      </c>
      <c r="C3232" s="71" t="s">
        <v>4294</v>
      </c>
      <c r="D3232" s="2" t="s">
        <v>3020</v>
      </c>
      <c r="E3232" s="2" t="s">
        <v>4295</v>
      </c>
      <c r="F3232" s="96">
        <v>1</v>
      </c>
      <c r="G3232" s="1" t="s">
        <v>285</v>
      </c>
      <c r="H3232" s="8">
        <v>59500</v>
      </c>
      <c r="I3232" s="8">
        <f t="shared" si="213"/>
        <v>59500</v>
      </c>
      <c r="J3232" s="539">
        <v>55000</v>
      </c>
      <c r="K3232" s="521">
        <f t="shared" si="214"/>
        <v>4500</v>
      </c>
      <c r="L3232" s="522">
        <f t="shared" si="216"/>
        <v>4500</v>
      </c>
      <c r="M3232" s="523">
        <f t="shared" si="215"/>
        <v>7.5630252100840331E-2</v>
      </c>
      <c r="N3232" s="2" t="s">
        <v>40</v>
      </c>
      <c r="O3232" s="15" t="s">
        <v>4066</v>
      </c>
    </row>
    <row r="3233" spans="1:15">
      <c r="A3233" s="70">
        <v>2025</v>
      </c>
      <c r="B3233" s="16" t="s">
        <v>1083</v>
      </c>
      <c r="C3233" s="71" t="s">
        <v>4296</v>
      </c>
      <c r="D3233" s="2" t="s">
        <v>4297</v>
      </c>
      <c r="E3233" s="2" t="s">
        <v>4298</v>
      </c>
      <c r="F3233" s="96">
        <v>1</v>
      </c>
      <c r="G3233" s="1" t="s">
        <v>285</v>
      </c>
      <c r="H3233" s="8">
        <v>2187500</v>
      </c>
      <c r="I3233" s="8">
        <f t="shared" si="213"/>
        <v>2187500</v>
      </c>
      <c r="J3233" s="539">
        <v>2107760</v>
      </c>
      <c r="K3233" s="521">
        <f t="shared" si="214"/>
        <v>79740</v>
      </c>
      <c r="L3233" s="522">
        <f t="shared" si="216"/>
        <v>79740</v>
      </c>
      <c r="M3233" s="523">
        <f t="shared" si="215"/>
        <v>3.6452571428571431E-2</v>
      </c>
      <c r="N3233" s="2" t="s">
        <v>40</v>
      </c>
      <c r="O3233" s="15" t="s">
        <v>4066</v>
      </c>
    </row>
    <row r="3234" spans="1:15">
      <c r="A3234" s="70">
        <v>2025</v>
      </c>
      <c r="B3234" s="16" t="s">
        <v>1083</v>
      </c>
      <c r="C3234" s="71" t="s">
        <v>4299</v>
      </c>
      <c r="D3234" s="2" t="s">
        <v>2934</v>
      </c>
      <c r="E3234" s="2" t="s">
        <v>4300</v>
      </c>
      <c r="F3234" s="96">
        <v>1</v>
      </c>
      <c r="G3234" s="1" t="s">
        <v>285</v>
      </c>
      <c r="H3234" s="8">
        <v>2619304.94</v>
      </c>
      <c r="I3234" s="8">
        <f t="shared" si="213"/>
        <v>2619304.94</v>
      </c>
      <c r="J3234" s="539">
        <v>2565000</v>
      </c>
      <c r="K3234" s="521">
        <f t="shared" si="214"/>
        <v>54304.939999999944</v>
      </c>
      <c r="L3234" s="522">
        <f t="shared" si="216"/>
        <v>54304.939999999944</v>
      </c>
      <c r="M3234" s="523">
        <f t="shared" si="215"/>
        <v>2.0732576482675569E-2</v>
      </c>
      <c r="N3234" s="2" t="s">
        <v>40</v>
      </c>
      <c r="O3234" s="15" t="s">
        <v>4066</v>
      </c>
    </row>
    <row r="3235" spans="1:15">
      <c r="A3235" s="70">
        <v>2025</v>
      </c>
      <c r="B3235" s="16" t="s">
        <v>1083</v>
      </c>
      <c r="C3235" s="71" t="s">
        <v>4301</v>
      </c>
      <c r="D3235" s="2" t="s">
        <v>4302</v>
      </c>
      <c r="E3235" s="2" t="s">
        <v>4303</v>
      </c>
      <c r="F3235" s="96">
        <v>1</v>
      </c>
      <c r="G3235" s="1" t="s">
        <v>285</v>
      </c>
      <c r="H3235" s="8">
        <v>98710</v>
      </c>
      <c r="I3235" s="8">
        <f t="shared" si="213"/>
        <v>98710</v>
      </c>
      <c r="J3235" s="539">
        <v>86753.5</v>
      </c>
      <c r="K3235" s="521">
        <f t="shared" si="214"/>
        <v>11956.5</v>
      </c>
      <c r="L3235" s="522">
        <f t="shared" si="216"/>
        <v>11956.5</v>
      </c>
      <c r="M3235" s="523">
        <f t="shared" si="215"/>
        <v>0.12112754533481916</v>
      </c>
      <c r="N3235" s="2" t="s">
        <v>40</v>
      </c>
      <c r="O3235" s="15" t="s">
        <v>4066</v>
      </c>
    </row>
    <row r="3236" spans="1:15">
      <c r="A3236" s="70">
        <v>2025</v>
      </c>
      <c r="B3236" s="16" t="s">
        <v>1083</v>
      </c>
      <c r="C3236" s="71" t="s">
        <v>4304</v>
      </c>
      <c r="D3236" s="2" t="s">
        <v>118</v>
      </c>
      <c r="E3236" s="2" t="s">
        <v>4305</v>
      </c>
      <c r="F3236" s="96">
        <v>40</v>
      </c>
      <c r="G3236" s="1" t="s">
        <v>19</v>
      </c>
      <c r="H3236" s="8">
        <v>735</v>
      </c>
      <c r="I3236" s="8">
        <f t="shared" si="213"/>
        <v>29400</v>
      </c>
      <c r="J3236" s="539">
        <v>725</v>
      </c>
      <c r="K3236" s="521">
        <f t="shared" si="214"/>
        <v>10</v>
      </c>
      <c r="L3236" s="522">
        <f t="shared" si="216"/>
        <v>400</v>
      </c>
      <c r="M3236" s="523">
        <f t="shared" si="215"/>
        <v>1.3605442176870748E-2</v>
      </c>
      <c r="N3236" s="2" t="s">
        <v>40</v>
      </c>
      <c r="O3236" s="15" t="s">
        <v>4066</v>
      </c>
    </row>
    <row r="3237" spans="1:15">
      <c r="A3237" s="70">
        <v>2025</v>
      </c>
      <c r="B3237" s="16" t="s">
        <v>1083</v>
      </c>
      <c r="C3237" s="71" t="s">
        <v>4306</v>
      </c>
      <c r="D3237" s="2" t="s">
        <v>1948</v>
      </c>
      <c r="E3237" s="2" t="s">
        <v>4307</v>
      </c>
      <c r="F3237" s="96">
        <v>1</v>
      </c>
      <c r="G3237" s="1" t="s">
        <v>302</v>
      </c>
      <c r="H3237" s="8">
        <v>560</v>
      </c>
      <c r="I3237" s="8">
        <f t="shared" si="213"/>
        <v>560</v>
      </c>
      <c r="J3237" s="539">
        <v>532</v>
      </c>
      <c r="K3237" s="521">
        <f t="shared" si="214"/>
        <v>28</v>
      </c>
      <c r="L3237" s="522">
        <f t="shared" si="216"/>
        <v>28</v>
      </c>
      <c r="M3237" s="523">
        <f t="shared" si="215"/>
        <v>0.05</v>
      </c>
      <c r="N3237" s="2" t="s">
        <v>40</v>
      </c>
      <c r="O3237" s="15" t="s">
        <v>4066</v>
      </c>
    </row>
    <row r="3238" spans="1:15">
      <c r="A3238" s="70">
        <v>2025</v>
      </c>
      <c r="B3238" s="16" t="s">
        <v>1083</v>
      </c>
      <c r="C3238" s="71" t="s">
        <v>4306</v>
      </c>
      <c r="D3238" s="2" t="s">
        <v>1948</v>
      </c>
      <c r="E3238" s="2" t="s">
        <v>4307</v>
      </c>
      <c r="F3238" s="96">
        <v>1</v>
      </c>
      <c r="G3238" s="1" t="s">
        <v>302</v>
      </c>
      <c r="H3238" s="8">
        <v>575</v>
      </c>
      <c r="I3238" s="8">
        <f t="shared" si="213"/>
        <v>575</v>
      </c>
      <c r="J3238" s="539">
        <v>546.25</v>
      </c>
      <c r="K3238" s="521">
        <f t="shared" si="214"/>
        <v>28.75</v>
      </c>
      <c r="L3238" s="522">
        <f t="shared" si="216"/>
        <v>28.75</v>
      </c>
      <c r="M3238" s="523">
        <f t="shared" si="215"/>
        <v>0.05</v>
      </c>
      <c r="N3238" s="2" t="s">
        <v>40</v>
      </c>
      <c r="O3238" s="15" t="s">
        <v>4066</v>
      </c>
    </row>
    <row r="3239" spans="1:15">
      <c r="A3239" s="70">
        <v>2025</v>
      </c>
      <c r="B3239" s="16" t="s">
        <v>1083</v>
      </c>
      <c r="C3239" s="71" t="s">
        <v>4308</v>
      </c>
      <c r="D3239" s="2" t="s">
        <v>1948</v>
      </c>
      <c r="E3239" s="2" t="s">
        <v>4309</v>
      </c>
      <c r="F3239" s="96">
        <v>4</v>
      </c>
      <c r="G3239" s="1" t="s">
        <v>3703</v>
      </c>
      <c r="H3239" s="8">
        <v>222</v>
      </c>
      <c r="I3239" s="8">
        <f t="shared" si="213"/>
        <v>888</v>
      </c>
      <c r="J3239" s="539">
        <v>199.8</v>
      </c>
      <c r="K3239" s="521">
        <f t="shared" si="214"/>
        <v>22.199999999999989</v>
      </c>
      <c r="L3239" s="522">
        <f t="shared" si="216"/>
        <v>88.799999999999955</v>
      </c>
      <c r="M3239" s="523">
        <f t="shared" si="215"/>
        <v>9.999999999999995E-2</v>
      </c>
      <c r="N3239" s="2" t="s">
        <v>40</v>
      </c>
      <c r="O3239" s="15" t="s">
        <v>4066</v>
      </c>
    </row>
    <row r="3240" spans="1:15">
      <c r="A3240" s="70">
        <v>2025</v>
      </c>
      <c r="B3240" s="16" t="s">
        <v>1083</v>
      </c>
      <c r="C3240" s="71" t="s">
        <v>4310</v>
      </c>
      <c r="D3240" s="2" t="s">
        <v>1948</v>
      </c>
      <c r="E3240" s="2" t="s">
        <v>4311</v>
      </c>
      <c r="F3240" s="96">
        <v>10</v>
      </c>
      <c r="G3240" s="1" t="s">
        <v>302</v>
      </c>
      <c r="H3240" s="8">
        <v>51</v>
      </c>
      <c r="I3240" s="8">
        <f t="shared" si="213"/>
        <v>510</v>
      </c>
      <c r="J3240" s="539">
        <v>48.45</v>
      </c>
      <c r="K3240" s="521">
        <f t="shared" si="214"/>
        <v>2.5499999999999972</v>
      </c>
      <c r="L3240" s="522">
        <f t="shared" si="216"/>
        <v>25.499999999999972</v>
      </c>
      <c r="M3240" s="523">
        <f t="shared" si="215"/>
        <v>4.9999999999999947E-2</v>
      </c>
      <c r="N3240" s="2" t="s">
        <v>40</v>
      </c>
      <c r="O3240" s="15" t="s">
        <v>4066</v>
      </c>
    </row>
    <row r="3241" spans="1:15">
      <c r="A3241" s="70">
        <v>2025</v>
      </c>
      <c r="B3241" s="16" t="s">
        <v>1083</v>
      </c>
      <c r="C3241" s="71" t="s">
        <v>4310</v>
      </c>
      <c r="D3241" s="2" t="s">
        <v>1948</v>
      </c>
      <c r="E3241" s="2" t="s">
        <v>4312</v>
      </c>
      <c r="F3241" s="96">
        <v>1</v>
      </c>
      <c r="G3241" s="1" t="s">
        <v>19</v>
      </c>
      <c r="H3241" s="8">
        <v>3080</v>
      </c>
      <c r="I3241" s="8">
        <f t="shared" si="213"/>
        <v>3080</v>
      </c>
      <c r="J3241" s="539">
        <v>2772</v>
      </c>
      <c r="K3241" s="521">
        <f t="shared" si="214"/>
        <v>308</v>
      </c>
      <c r="L3241" s="522">
        <f t="shared" si="216"/>
        <v>308</v>
      </c>
      <c r="M3241" s="523">
        <f t="shared" si="215"/>
        <v>0.1</v>
      </c>
      <c r="N3241" s="2" t="s">
        <v>40</v>
      </c>
      <c r="O3241" s="15" t="s">
        <v>4066</v>
      </c>
    </row>
    <row r="3242" spans="1:15">
      <c r="A3242" s="70">
        <v>2025</v>
      </c>
      <c r="B3242" s="16" t="s">
        <v>1083</v>
      </c>
      <c r="C3242" s="71" t="s">
        <v>4313</v>
      </c>
      <c r="D3242" s="2" t="s">
        <v>2291</v>
      </c>
      <c r="E3242" s="2" t="s">
        <v>4314</v>
      </c>
      <c r="F3242" s="96">
        <v>1</v>
      </c>
      <c r="G3242" s="1" t="s">
        <v>285</v>
      </c>
      <c r="H3242" s="8">
        <v>1296000</v>
      </c>
      <c r="I3242" s="8">
        <f t="shared" si="213"/>
        <v>1296000</v>
      </c>
      <c r="J3242" s="539">
        <v>1230000</v>
      </c>
      <c r="K3242" s="521">
        <f t="shared" si="214"/>
        <v>66000</v>
      </c>
      <c r="L3242" s="522">
        <f t="shared" si="216"/>
        <v>66000</v>
      </c>
      <c r="M3242" s="523">
        <f t="shared" si="215"/>
        <v>5.0925925925925923E-2</v>
      </c>
      <c r="N3242" s="2" t="s">
        <v>22</v>
      </c>
      <c r="O3242" s="15" t="s">
        <v>4066</v>
      </c>
    </row>
    <row r="3243" spans="1:15">
      <c r="A3243" s="70">
        <v>2025</v>
      </c>
      <c r="B3243" s="16" t="s">
        <v>1083</v>
      </c>
      <c r="C3243" s="71" t="s">
        <v>4315</v>
      </c>
      <c r="D3243" s="2" t="s">
        <v>335</v>
      </c>
      <c r="E3243" s="2" t="s">
        <v>4316</v>
      </c>
      <c r="F3243" s="96">
        <v>1</v>
      </c>
      <c r="G3243" s="1" t="s">
        <v>285</v>
      </c>
      <c r="H3243" s="8">
        <v>3883800</v>
      </c>
      <c r="I3243" s="8">
        <f t="shared" si="213"/>
        <v>3883800</v>
      </c>
      <c r="J3243" s="539">
        <v>3750000</v>
      </c>
      <c r="K3243" s="521">
        <f t="shared" si="214"/>
        <v>133800</v>
      </c>
      <c r="L3243" s="522">
        <f t="shared" si="216"/>
        <v>133800</v>
      </c>
      <c r="M3243" s="523">
        <f t="shared" si="215"/>
        <v>3.4450795612544417E-2</v>
      </c>
      <c r="N3243" s="2" t="s">
        <v>22</v>
      </c>
      <c r="O3243" s="15" t="s">
        <v>4066</v>
      </c>
    </row>
    <row r="3244" spans="1:15">
      <c r="A3244" s="70">
        <v>2025</v>
      </c>
      <c r="B3244" s="16" t="s">
        <v>1083</v>
      </c>
      <c r="C3244" s="71" t="s">
        <v>4317</v>
      </c>
      <c r="D3244" s="2" t="s">
        <v>4318</v>
      </c>
      <c r="E3244" s="2" t="s">
        <v>4319</v>
      </c>
      <c r="F3244" s="96">
        <v>1</v>
      </c>
      <c r="G3244" s="1" t="s">
        <v>19</v>
      </c>
      <c r="H3244" s="8">
        <v>7500</v>
      </c>
      <c r="I3244" s="8">
        <f t="shared" si="213"/>
        <v>7500</v>
      </c>
      <c r="J3244" s="539">
        <v>7000</v>
      </c>
      <c r="K3244" s="521">
        <f t="shared" si="214"/>
        <v>500</v>
      </c>
      <c r="L3244" s="522">
        <f t="shared" si="216"/>
        <v>500</v>
      </c>
      <c r="M3244" s="523">
        <f t="shared" si="215"/>
        <v>6.6666666666666666E-2</v>
      </c>
      <c r="N3244" s="2" t="s">
        <v>40</v>
      </c>
      <c r="O3244" s="15" t="s">
        <v>4066</v>
      </c>
    </row>
    <row r="3245" spans="1:15">
      <c r="A3245" s="70">
        <v>2025</v>
      </c>
      <c r="B3245" s="16" t="s">
        <v>1083</v>
      </c>
      <c r="C3245" s="71" t="s">
        <v>4320</v>
      </c>
      <c r="D3245" s="2" t="s">
        <v>4179</v>
      </c>
      <c r="E3245" s="2" t="s">
        <v>4321</v>
      </c>
      <c r="F3245" s="96">
        <v>1</v>
      </c>
      <c r="G3245" s="1" t="s">
        <v>285</v>
      </c>
      <c r="H3245" s="8">
        <v>1046677.45</v>
      </c>
      <c r="I3245" s="8">
        <f t="shared" si="213"/>
        <v>1046677.45</v>
      </c>
      <c r="J3245" s="539">
        <v>950000</v>
      </c>
      <c r="K3245" s="521">
        <f t="shared" si="214"/>
        <v>96677.449999999953</v>
      </c>
      <c r="L3245" s="522">
        <f t="shared" si="216"/>
        <v>96677.449999999953</v>
      </c>
      <c r="M3245" s="523">
        <f t="shared" si="215"/>
        <v>9.2366038840332287E-2</v>
      </c>
      <c r="N3245" s="2" t="s">
        <v>40</v>
      </c>
      <c r="O3245" s="15" t="s">
        <v>4066</v>
      </c>
    </row>
    <row r="3246" spans="1:15">
      <c r="A3246" s="70">
        <v>2025</v>
      </c>
      <c r="B3246" s="16" t="s">
        <v>1083</v>
      </c>
      <c r="C3246" s="71" t="s">
        <v>4322</v>
      </c>
      <c r="D3246" s="2" t="s">
        <v>2610</v>
      </c>
      <c r="E3246" s="150" t="s">
        <v>982</v>
      </c>
      <c r="F3246" s="464">
        <v>1000</v>
      </c>
      <c r="G3246" s="1" t="s">
        <v>19</v>
      </c>
      <c r="H3246" s="8">
        <v>15.24</v>
      </c>
      <c r="I3246" s="8">
        <f t="shared" si="213"/>
        <v>15240</v>
      </c>
      <c r="J3246" s="539">
        <v>14.52</v>
      </c>
      <c r="K3246" s="521">
        <f t="shared" si="214"/>
        <v>0.72000000000000064</v>
      </c>
      <c r="L3246" s="522">
        <f t="shared" si="216"/>
        <v>720.00000000000068</v>
      </c>
      <c r="M3246" s="523">
        <f t="shared" si="215"/>
        <v>4.7244094488189017E-2</v>
      </c>
      <c r="N3246" s="2" t="s">
        <v>40</v>
      </c>
      <c r="O3246" s="15" t="s">
        <v>105</v>
      </c>
    </row>
    <row r="3247" spans="1:15">
      <c r="A3247" s="70">
        <v>2025</v>
      </c>
      <c r="B3247" s="16" t="s">
        <v>1083</v>
      </c>
      <c r="C3247" s="71" t="s">
        <v>4323</v>
      </c>
      <c r="D3247" s="2" t="s">
        <v>270</v>
      </c>
      <c r="E3247" s="150" t="s">
        <v>4324</v>
      </c>
      <c r="F3247" s="464">
        <v>1</v>
      </c>
      <c r="G3247" s="1" t="s">
        <v>302</v>
      </c>
      <c r="H3247" s="8">
        <v>85556</v>
      </c>
      <c r="I3247" s="8">
        <f t="shared" si="213"/>
        <v>85556</v>
      </c>
      <c r="J3247" s="539">
        <v>84280</v>
      </c>
      <c r="K3247" s="521">
        <f t="shared" si="214"/>
        <v>1276</v>
      </c>
      <c r="L3247" s="522">
        <f t="shared" si="216"/>
        <v>1276</v>
      </c>
      <c r="M3247" s="523">
        <f t="shared" si="215"/>
        <v>1.4914208237879284E-2</v>
      </c>
      <c r="N3247" s="2" t="s">
        <v>40</v>
      </c>
      <c r="O3247" s="15" t="s">
        <v>105</v>
      </c>
    </row>
    <row r="3248" spans="1:15">
      <c r="A3248" s="70">
        <v>2025</v>
      </c>
      <c r="B3248" s="16" t="s">
        <v>1083</v>
      </c>
      <c r="C3248" s="71" t="s">
        <v>4325</v>
      </c>
      <c r="D3248" s="2" t="s">
        <v>2610</v>
      </c>
      <c r="E3248" s="150" t="s">
        <v>982</v>
      </c>
      <c r="F3248" s="464">
        <v>1000</v>
      </c>
      <c r="G3248" s="1" t="s">
        <v>19</v>
      </c>
      <c r="H3248" s="8">
        <v>15.24</v>
      </c>
      <c r="I3248" s="8">
        <f t="shared" si="213"/>
        <v>15240</v>
      </c>
      <c r="J3248" s="539">
        <v>14.52</v>
      </c>
      <c r="K3248" s="521">
        <f t="shared" si="214"/>
        <v>0.72000000000000064</v>
      </c>
      <c r="L3248" s="522">
        <f t="shared" si="216"/>
        <v>720.00000000000068</v>
      </c>
      <c r="M3248" s="523">
        <f t="shared" si="215"/>
        <v>4.7244094488189017E-2</v>
      </c>
      <c r="N3248" s="2" t="s">
        <v>40</v>
      </c>
      <c r="O3248" s="15" t="s">
        <v>105</v>
      </c>
    </row>
    <row r="3249" spans="1:15">
      <c r="A3249" s="70">
        <v>2025</v>
      </c>
      <c r="B3249" s="16" t="s">
        <v>1083</v>
      </c>
      <c r="C3249" s="71" t="s">
        <v>4326</v>
      </c>
      <c r="D3249" s="2" t="s">
        <v>27</v>
      </c>
      <c r="E3249" s="150" t="s">
        <v>4327</v>
      </c>
      <c r="F3249" s="464">
        <v>100</v>
      </c>
      <c r="G3249" s="1" t="s">
        <v>19</v>
      </c>
      <c r="H3249" s="8">
        <v>1.22</v>
      </c>
      <c r="I3249" s="8">
        <f t="shared" si="213"/>
        <v>122</v>
      </c>
      <c r="J3249" s="539">
        <v>1.2</v>
      </c>
      <c r="K3249" s="521">
        <f t="shared" si="214"/>
        <v>2.0000000000000018E-2</v>
      </c>
      <c r="L3249" s="522">
        <f t="shared" si="216"/>
        <v>2.0000000000000018</v>
      </c>
      <c r="M3249" s="523">
        <f t="shared" si="215"/>
        <v>1.6393442622950834E-2</v>
      </c>
      <c r="N3249" s="2" t="s">
        <v>22</v>
      </c>
      <c r="O3249" s="15" t="s">
        <v>105</v>
      </c>
    </row>
    <row r="3250" spans="1:15">
      <c r="A3250" s="70">
        <v>2025</v>
      </c>
      <c r="B3250" s="16" t="s">
        <v>1083</v>
      </c>
      <c r="C3250" s="71" t="s">
        <v>4326</v>
      </c>
      <c r="D3250" s="2" t="s">
        <v>27</v>
      </c>
      <c r="E3250" s="150" t="s">
        <v>2859</v>
      </c>
      <c r="F3250" s="464">
        <v>20</v>
      </c>
      <c r="G3250" s="1" t="s">
        <v>19</v>
      </c>
      <c r="H3250" s="8">
        <v>80</v>
      </c>
      <c r="I3250" s="8">
        <f t="shared" si="213"/>
        <v>1600</v>
      </c>
      <c r="J3250" s="539">
        <v>70</v>
      </c>
      <c r="K3250" s="521">
        <f t="shared" si="214"/>
        <v>10</v>
      </c>
      <c r="L3250" s="522">
        <f t="shared" si="216"/>
        <v>200</v>
      </c>
      <c r="M3250" s="523">
        <f t="shared" si="215"/>
        <v>0.125</v>
      </c>
      <c r="N3250" s="2" t="s">
        <v>22</v>
      </c>
      <c r="O3250" s="15" t="s">
        <v>105</v>
      </c>
    </row>
    <row r="3251" spans="1:15">
      <c r="A3251" s="70">
        <v>2025</v>
      </c>
      <c r="B3251" s="16" t="s">
        <v>1083</v>
      </c>
      <c r="C3251" s="71" t="s">
        <v>4328</v>
      </c>
      <c r="D3251" s="2" t="s">
        <v>4329</v>
      </c>
      <c r="E3251" s="150" t="s">
        <v>4330</v>
      </c>
      <c r="F3251" s="464">
        <v>1</v>
      </c>
      <c r="G3251" s="1" t="s">
        <v>285</v>
      </c>
      <c r="H3251" s="8">
        <v>176275</v>
      </c>
      <c r="I3251" s="8">
        <f t="shared" si="213"/>
        <v>176275</v>
      </c>
      <c r="J3251" s="539">
        <v>173002.57</v>
      </c>
      <c r="K3251" s="521">
        <f t="shared" si="214"/>
        <v>3272.429999999993</v>
      </c>
      <c r="L3251" s="522">
        <f t="shared" si="216"/>
        <v>3272.429999999993</v>
      </c>
      <c r="M3251" s="523">
        <f t="shared" si="215"/>
        <v>1.8564345482910187E-2</v>
      </c>
      <c r="N3251" s="2" t="s">
        <v>22</v>
      </c>
      <c r="O3251" s="15" t="s">
        <v>105</v>
      </c>
    </row>
    <row r="3252" spans="1:15" ht="24">
      <c r="A3252" s="70">
        <v>2025</v>
      </c>
      <c r="B3252" s="425" t="s">
        <v>1083</v>
      </c>
      <c r="C3252" s="431" t="s">
        <v>4331</v>
      </c>
      <c r="D3252" s="28" t="s">
        <v>2011</v>
      </c>
      <c r="E3252" s="444" t="s">
        <v>4332</v>
      </c>
      <c r="F3252" s="464">
        <v>1</v>
      </c>
      <c r="G3252" s="3" t="s">
        <v>285</v>
      </c>
      <c r="H3252" s="29">
        <v>25774.2</v>
      </c>
      <c r="I3252" s="29">
        <f t="shared" si="213"/>
        <v>25774.2</v>
      </c>
      <c r="J3252" s="552">
        <v>23924</v>
      </c>
      <c r="K3252" s="521">
        <f t="shared" si="214"/>
        <v>1850.2000000000007</v>
      </c>
      <c r="L3252" s="522">
        <f t="shared" si="216"/>
        <v>1850.2000000000007</v>
      </c>
      <c r="M3252" s="523">
        <f t="shared" si="215"/>
        <v>7.1784963257831499E-2</v>
      </c>
      <c r="N3252" s="28" t="s">
        <v>40</v>
      </c>
      <c r="O3252" s="517" t="s">
        <v>105</v>
      </c>
    </row>
    <row r="3253" spans="1:15" ht="36">
      <c r="A3253" s="70">
        <v>2025</v>
      </c>
      <c r="B3253" s="425" t="s">
        <v>1083</v>
      </c>
      <c r="C3253" s="431" t="s">
        <v>4333</v>
      </c>
      <c r="D3253" s="28" t="s">
        <v>4334</v>
      </c>
      <c r="E3253" s="444" t="s">
        <v>4332</v>
      </c>
      <c r="F3253" s="96">
        <v>1</v>
      </c>
      <c r="G3253" s="3" t="s">
        <v>285</v>
      </c>
      <c r="H3253" s="29">
        <v>69966.36</v>
      </c>
      <c r="I3253" s="29">
        <f t="shared" ref="I3253:I3316" si="217">H3253*F3253</f>
        <v>69966.36</v>
      </c>
      <c r="J3253" s="552">
        <v>68285.899999999994</v>
      </c>
      <c r="K3253" s="521">
        <f t="shared" si="214"/>
        <v>1680.4600000000064</v>
      </c>
      <c r="L3253" s="522">
        <f t="shared" si="216"/>
        <v>1680.4600000000064</v>
      </c>
      <c r="M3253" s="523">
        <f t="shared" si="215"/>
        <v>2.4018113847854974E-2</v>
      </c>
      <c r="N3253" s="28" t="s">
        <v>40</v>
      </c>
      <c r="O3253" s="517" t="s">
        <v>105</v>
      </c>
    </row>
    <row r="3254" spans="1:15">
      <c r="A3254" s="70">
        <v>2025</v>
      </c>
      <c r="B3254" s="16" t="s">
        <v>1083</v>
      </c>
      <c r="C3254" s="71" t="s">
        <v>4335</v>
      </c>
      <c r="D3254" s="2" t="s">
        <v>926</v>
      </c>
      <c r="E3254" s="2" t="s">
        <v>449</v>
      </c>
      <c r="F3254" s="96">
        <v>20</v>
      </c>
      <c r="G3254" s="1" t="s">
        <v>302</v>
      </c>
      <c r="H3254" s="8">
        <v>2160</v>
      </c>
      <c r="I3254" s="8">
        <f t="shared" si="217"/>
        <v>43200</v>
      </c>
      <c r="J3254" s="539">
        <v>1500</v>
      </c>
      <c r="K3254" s="521">
        <f t="shared" si="214"/>
        <v>660</v>
      </c>
      <c r="L3254" s="522">
        <f t="shared" si="216"/>
        <v>13200</v>
      </c>
      <c r="M3254" s="523">
        <f t="shared" si="215"/>
        <v>0.30555555555555558</v>
      </c>
      <c r="N3254" s="2" t="s">
        <v>22</v>
      </c>
      <c r="O3254" s="15" t="s">
        <v>105</v>
      </c>
    </row>
    <row r="3255" spans="1:15">
      <c r="A3255" s="70">
        <v>2025</v>
      </c>
      <c r="B3255" s="16" t="s">
        <v>1083</v>
      </c>
      <c r="C3255" s="71" t="s">
        <v>4336</v>
      </c>
      <c r="D3255" s="2" t="s">
        <v>270</v>
      </c>
      <c r="E3255" s="150" t="s">
        <v>962</v>
      </c>
      <c r="F3255" s="464">
        <v>2361.6999999999998</v>
      </c>
      <c r="G3255" s="1" t="s">
        <v>37</v>
      </c>
      <c r="H3255" s="8">
        <v>405</v>
      </c>
      <c r="I3255" s="8">
        <f t="shared" si="217"/>
        <v>956488.49999999988</v>
      </c>
      <c r="J3255" s="539">
        <v>380</v>
      </c>
      <c r="K3255" s="521">
        <f t="shared" si="214"/>
        <v>25</v>
      </c>
      <c r="L3255" s="522">
        <f t="shared" si="216"/>
        <v>59042.499999999993</v>
      </c>
      <c r="M3255" s="523">
        <f t="shared" si="215"/>
        <v>6.1728395061728392E-2</v>
      </c>
      <c r="N3255" s="2" t="s">
        <v>22</v>
      </c>
      <c r="O3255" s="15" t="s">
        <v>105</v>
      </c>
    </row>
    <row r="3256" spans="1:15">
      <c r="A3256" s="70">
        <v>2025</v>
      </c>
      <c r="B3256" s="16" t="s">
        <v>1083</v>
      </c>
      <c r="C3256" s="71" t="s">
        <v>4337</v>
      </c>
      <c r="D3256" s="2" t="s">
        <v>1948</v>
      </c>
      <c r="E3256" s="150" t="s">
        <v>4338</v>
      </c>
      <c r="F3256" s="464">
        <v>1</v>
      </c>
      <c r="G3256" s="1" t="s">
        <v>29</v>
      </c>
      <c r="H3256" s="8">
        <v>1335</v>
      </c>
      <c r="I3256" s="8">
        <f t="shared" si="217"/>
        <v>1335</v>
      </c>
      <c r="J3256" s="539">
        <v>1201.5</v>
      </c>
      <c r="K3256" s="521">
        <f t="shared" si="214"/>
        <v>133.5</v>
      </c>
      <c r="L3256" s="522">
        <f t="shared" si="216"/>
        <v>133.5</v>
      </c>
      <c r="M3256" s="523">
        <f t="shared" si="215"/>
        <v>0.1</v>
      </c>
      <c r="N3256" s="2" t="s">
        <v>40</v>
      </c>
      <c r="O3256" s="15" t="s">
        <v>4066</v>
      </c>
    </row>
    <row r="3257" spans="1:15">
      <c r="A3257" s="70">
        <v>2025</v>
      </c>
      <c r="B3257" s="16" t="s">
        <v>1083</v>
      </c>
      <c r="C3257" s="71" t="s">
        <v>4339</v>
      </c>
      <c r="D3257" s="2" t="s">
        <v>398</v>
      </c>
      <c r="E3257" s="150" t="s">
        <v>4340</v>
      </c>
      <c r="F3257" s="464">
        <v>1</v>
      </c>
      <c r="G3257" s="1" t="s">
        <v>59</v>
      </c>
      <c r="H3257" s="8">
        <v>32000</v>
      </c>
      <c r="I3257" s="8">
        <f t="shared" si="217"/>
        <v>32000</v>
      </c>
      <c r="J3257" s="539">
        <v>30000</v>
      </c>
      <c r="K3257" s="521">
        <f t="shared" si="214"/>
        <v>2000</v>
      </c>
      <c r="L3257" s="522">
        <f t="shared" si="216"/>
        <v>2000</v>
      </c>
      <c r="M3257" s="523">
        <f t="shared" si="215"/>
        <v>6.25E-2</v>
      </c>
      <c r="N3257" s="2" t="s">
        <v>40</v>
      </c>
      <c r="O3257" s="15" t="s">
        <v>4066</v>
      </c>
    </row>
    <row r="3258" spans="1:15">
      <c r="A3258" s="70">
        <v>2025</v>
      </c>
      <c r="B3258" s="16" t="s">
        <v>1083</v>
      </c>
      <c r="C3258" s="71" t="s">
        <v>4341</v>
      </c>
      <c r="D3258" s="2" t="s">
        <v>1948</v>
      </c>
      <c r="E3258" s="150" t="s">
        <v>4342</v>
      </c>
      <c r="F3258" s="464">
        <v>3</v>
      </c>
      <c r="G3258" s="1" t="s">
        <v>19</v>
      </c>
      <c r="H3258" s="8">
        <v>1725</v>
      </c>
      <c r="I3258" s="8">
        <f t="shared" si="217"/>
        <v>5175</v>
      </c>
      <c r="J3258" s="539">
        <v>1638.75</v>
      </c>
      <c r="K3258" s="521">
        <f t="shared" si="214"/>
        <v>86.25</v>
      </c>
      <c r="L3258" s="522">
        <f t="shared" si="216"/>
        <v>258.75</v>
      </c>
      <c r="M3258" s="523">
        <f t="shared" si="215"/>
        <v>0.05</v>
      </c>
      <c r="N3258" s="2" t="s">
        <v>40</v>
      </c>
      <c r="O3258" s="15" t="s">
        <v>4066</v>
      </c>
    </row>
    <row r="3259" spans="1:15">
      <c r="A3259" s="70">
        <v>2025</v>
      </c>
      <c r="B3259" s="16" t="s">
        <v>1083</v>
      </c>
      <c r="C3259" s="71" t="s">
        <v>4343</v>
      </c>
      <c r="D3259" s="2" t="s">
        <v>171</v>
      </c>
      <c r="E3259" s="150" t="s">
        <v>4344</v>
      </c>
      <c r="F3259" s="464">
        <v>1</v>
      </c>
      <c r="G3259" s="1" t="s">
        <v>59</v>
      </c>
      <c r="H3259" s="8">
        <v>35000</v>
      </c>
      <c r="I3259" s="8">
        <f t="shared" si="217"/>
        <v>35000</v>
      </c>
      <c r="J3259" s="539">
        <v>33250</v>
      </c>
      <c r="K3259" s="521">
        <f t="shared" si="214"/>
        <v>1750</v>
      </c>
      <c r="L3259" s="522">
        <f t="shared" si="216"/>
        <v>1750</v>
      </c>
      <c r="M3259" s="523">
        <f t="shared" si="215"/>
        <v>0.05</v>
      </c>
      <c r="N3259" s="2" t="s">
        <v>40</v>
      </c>
      <c r="O3259" s="15" t="s">
        <v>4066</v>
      </c>
    </row>
    <row r="3260" spans="1:15">
      <c r="A3260" s="70">
        <v>2025</v>
      </c>
      <c r="B3260" s="16" t="s">
        <v>1083</v>
      </c>
      <c r="C3260" s="71" t="s">
        <v>4345</v>
      </c>
      <c r="D3260" s="2" t="s">
        <v>3020</v>
      </c>
      <c r="E3260" s="150" t="s">
        <v>4346</v>
      </c>
      <c r="F3260" s="464">
        <v>1</v>
      </c>
      <c r="G3260" s="1" t="s">
        <v>59</v>
      </c>
      <c r="H3260" s="8">
        <v>80250</v>
      </c>
      <c r="I3260" s="8">
        <f t="shared" si="217"/>
        <v>80250</v>
      </c>
      <c r="J3260" s="539">
        <v>77000</v>
      </c>
      <c r="K3260" s="521">
        <f t="shared" si="214"/>
        <v>3250</v>
      </c>
      <c r="L3260" s="522">
        <f t="shared" si="216"/>
        <v>3250</v>
      </c>
      <c r="M3260" s="523">
        <f t="shared" si="215"/>
        <v>4.0498442367601244E-2</v>
      </c>
      <c r="N3260" s="2" t="s">
        <v>40</v>
      </c>
      <c r="O3260" s="15" t="s">
        <v>4066</v>
      </c>
    </row>
    <row r="3261" spans="1:15">
      <c r="A3261" s="70">
        <v>2025</v>
      </c>
      <c r="B3261" s="16" t="s">
        <v>1083</v>
      </c>
      <c r="C3261" s="71" t="s">
        <v>4347</v>
      </c>
      <c r="D3261" s="2" t="s">
        <v>57</v>
      </c>
      <c r="E3261" s="150" t="s">
        <v>4348</v>
      </c>
      <c r="F3261" s="464">
        <v>1</v>
      </c>
      <c r="G3261" s="1" t="s">
        <v>59</v>
      </c>
      <c r="H3261" s="8">
        <v>54000</v>
      </c>
      <c r="I3261" s="8">
        <f t="shared" si="217"/>
        <v>54000</v>
      </c>
      <c r="J3261" s="539">
        <v>52000</v>
      </c>
      <c r="K3261" s="521">
        <f t="shared" si="214"/>
        <v>2000</v>
      </c>
      <c r="L3261" s="522">
        <f t="shared" si="216"/>
        <v>2000</v>
      </c>
      <c r="M3261" s="523">
        <f t="shared" si="215"/>
        <v>3.7037037037037035E-2</v>
      </c>
      <c r="N3261" s="2" t="s">
        <v>40</v>
      </c>
      <c r="O3261" s="15" t="s">
        <v>4066</v>
      </c>
    </row>
    <row r="3262" spans="1:15">
      <c r="A3262" s="70">
        <v>2025</v>
      </c>
      <c r="B3262" s="16" t="s">
        <v>1083</v>
      </c>
      <c r="C3262" s="71" t="s">
        <v>4349</v>
      </c>
      <c r="D3262" s="2" t="s">
        <v>157</v>
      </c>
      <c r="E3262" s="150" t="s">
        <v>4350</v>
      </c>
      <c r="F3262" s="464">
        <v>1</v>
      </c>
      <c r="G3262" s="1" t="s">
        <v>302</v>
      </c>
      <c r="H3262" s="8">
        <v>32750</v>
      </c>
      <c r="I3262" s="8">
        <f t="shared" si="217"/>
        <v>32750</v>
      </c>
      <c r="J3262" s="539">
        <v>26200</v>
      </c>
      <c r="K3262" s="521">
        <f t="shared" si="214"/>
        <v>6550</v>
      </c>
      <c r="L3262" s="522">
        <f t="shared" si="216"/>
        <v>6550</v>
      </c>
      <c r="M3262" s="523">
        <f t="shared" si="215"/>
        <v>0.2</v>
      </c>
      <c r="N3262" s="2" t="s">
        <v>40</v>
      </c>
      <c r="O3262" s="15" t="s">
        <v>4066</v>
      </c>
    </row>
    <row r="3263" spans="1:15">
      <c r="A3263" s="70">
        <v>2025</v>
      </c>
      <c r="B3263" s="16" t="s">
        <v>1083</v>
      </c>
      <c r="C3263" s="71" t="s">
        <v>4351</v>
      </c>
      <c r="D3263" s="2" t="s">
        <v>1948</v>
      </c>
      <c r="E3263" s="150" t="s">
        <v>4312</v>
      </c>
      <c r="F3263" s="464">
        <v>1</v>
      </c>
      <c r="G3263" s="1" t="s">
        <v>19</v>
      </c>
      <c r="H3263" s="8">
        <v>3080</v>
      </c>
      <c r="I3263" s="8">
        <f t="shared" si="217"/>
        <v>3080</v>
      </c>
      <c r="J3263" s="539">
        <v>2772</v>
      </c>
      <c r="K3263" s="521">
        <f t="shared" si="214"/>
        <v>308</v>
      </c>
      <c r="L3263" s="522">
        <f t="shared" si="216"/>
        <v>308</v>
      </c>
      <c r="M3263" s="523">
        <f t="shared" si="215"/>
        <v>0.1</v>
      </c>
      <c r="N3263" s="2" t="s">
        <v>40</v>
      </c>
      <c r="O3263" s="15" t="s">
        <v>4066</v>
      </c>
    </row>
    <row r="3264" spans="1:15">
      <c r="A3264" s="70">
        <v>2025</v>
      </c>
      <c r="B3264" s="16" t="s">
        <v>1083</v>
      </c>
      <c r="C3264" s="71" t="s">
        <v>4352</v>
      </c>
      <c r="D3264" s="2" t="s">
        <v>398</v>
      </c>
      <c r="E3264" s="150" t="s">
        <v>4353</v>
      </c>
      <c r="F3264" s="464">
        <v>1</v>
      </c>
      <c r="G3264" s="1" t="s">
        <v>59</v>
      </c>
      <c r="H3264" s="8">
        <v>32000</v>
      </c>
      <c r="I3264" s="8">
        <f t="shared" si="217"/>
        <v>32000</v>
      </c>
      <c r="J3264" s="539">
        <v>30000</v>
      </c>
      <c r="K3264" s="521">
        <f t="shared" si="214"/>
        <v>2000</v>
      </c>
      <c r="L3264" s="522">
        <f t="shared" si="216"/>
        <v>2000</v>
      </c>
      <c r="M3264" s="523">
        <f t="shared" si="215"/>
        <v>6.25E-2</v>
      </c>
      <c r="N3264" s="2" t="s">
        <v>40</v>
      </c>
      <c r="O3264" s="15" t="s">
        <v>4066</v>
      </c>
    </row>
    <row r="3265" spans="1:15">
      <c r="A3265" s="70">
        <v>2025</v>
      </c>
      <c r="B3265" s="16" t="s">
        <v>1083</v>
      </c>
      <c r="C3265" s="71" t="s">
        <v>4354</v>
      </c>
      <c r="D3265" s="2" t="s">
        <v>118</v>
      </c>
      <c r="E3265" s="150" t="s">
        <v>4355</v>
      </c>
      <c r="F3265" s="464">
        <v>10</v>
      </c>
      <c r="G3265" s="1" t="s">
        <v>19</v>
      </c>
      <c r="H3265" s="8">
        <v>6650</v>
      </c>
      <c r="I3265" s="8">
        <f t="shared" si="217"/>
        <v>66500</v>
      </c>
      <c r="J3265" s="539">
        <v>3657.5</v>
      </c>
      <c r="K3265" s="521">
        <f t="shared" si="214"/>
        <v>2992.5</v>
      </c>
      <c r="L3265" s="522">
        <f t="shared" si="216"/>
        <v>29925</v>
      </c>
      <c r="M3265" s="523">
        <f t="shared" si="215"/>
        <v>0.45</v>
      </c>
      <c r="N3265" s="2" t="s">
        <v>40</v>
      </c>
      <c r="O3265" s="15" t="s">
        <v>4066</v>
      </c>
    </row>
    <row r="3266" spans="1:15">
      <c r="A3266" s="70">
        <v>2025</v>
      </c>
      <c r="B3266" s="16" t="s">
        <v>1083</v>
      </c>
      <c r="C3266" s="71" t="s">
        <v>4356</v>
      </c>
      <c r="D3266" s="2" t="s">
        <v>248</v>
      </c>
      <c r="E3266" s="150" t="s">
        <v>4357</v>
      </c>
      <c r="F3266" s="464">
        <v>1</v>
      </c>
      <c r="G3266" s="1" t="s">
        <v>19</v>
      </c>
      <c r="H3266" s="8">
        <v>3100</v>
      </c>
      <c r="I3266" s="8">
        <f t="shared" si="217"/>
        <v>3100</v>
      </c>
      <c r="J3266" s="539">
        <v>2050</v>
      </c>
      <c r="K3266" s="521">
        <f t="shared" si="214"/>
        <v>1050</v>
      </c>
      <c r="L3266" s="522">
        <f t="shared" si="216"/>
        <v>1050</v>
      </c>
      <c r="M3266" s="523">
        <f t="shared" si="215"/>
        <v>0.33870967741935482</v>
      </c>
      <c r="N3266" s="2" t="s">
        <v>40</v>
      </c>
      <c r="O3266" s="15" t="s">
        <v>4066</v>
      </c>
    </row>
    <row r="3267" spans="1:15">
      <c r="A3267" s="70">
        <v>2025</v>
      </c>
      <c r="B3267" s="16" t="s">
        <v>1083</v>
      </c>
      <c r="C3267" s="71" t="s">
        <v>4358</v>
      </c>
      <c r="D3267" s="2" t="s">
        <v>57</v>
      </c>
      <c r="E3267" s="150" t="s">
        <v>4359</v>
      </c>
      <c r="F3267" s="464">
        <v>1</v>
      </c>
      <c r="G3267" s="1" t="s">
        <v>285</v>
      </c>
      <c r="H3267" s="8">
        <v>35000</v>
      </c>
      <c r="I3267" s="8">
        <f t="shared" si="217"/>
        <v>35000</v>
      </c>
      <c r="J3267" s="539">
        <v>30000</v>
      </c>
      <c r="K3267" s="521">
        <f t="shared" ref="K3267:K3330" si="218">H3267-J3267</f>
        <v>5000</v>
      </c>
      <c r="L3267" s="522">
        <f t="shared" si="216"/>
        <v>5000</v>
      </c>
      <c r="M3267" s="523">
        <f t="shared" ref="M3267:M3330" si="219">K3267/H3267</f>
        <v>0.14285714285714285</v>
      </c>
      <c r="N3267" s="2" t="s">
        <v>40</v>
      </c>
      <c r="O3267" s="15" t="s">
        <v>4066</v>
      </c>
    </row>
    <row r="3268" spans="1:15">
      <c r="A3268" s="70">
        <v>2025</v>
      </c>
      <c r="B3268" s="16" t="s">
        <v>1083</v>
      </c>
      <c r="C3268" s="71" t="s">
        <v>4273</v>
      </c>
      <c r="D3268" s="2" t="s">
        <v>617</v>
      </c>
      <c r="E3268" s="150" t="s">
        <v>233</v>
      </c>
      <c r="F3268" s="464">
        <v>9000</v>
      </c>
      <c r="G3268" s="1" t="s">
        <v>37</v>
      </c>
      <c r="H3268" s="8">
        <v>26</v>
      </c>
      <c r="I3268" s="8">
        <f t="shared" si="217"/>
        <v>234000</v>
      </c>
      <c r="J3268" s="539">
        <v>25.5</v>
      </c>
      <c r="K3268" s="521">
        <f t="shared" si="218"/>
        <v>0.5</v>
      </c>
      <c r="L3268" s="522">
        <f t="shared" si="216"/>
        <v>4500</v>
      </c>
      <c r="M3268" s="523">
        <f t="shared" si="219"/>
        <v>1.9230769230769232E-2</v>
      </c>
      <c r="N3268" s="2" t="s">
        <v>22</v>
      </c>
      <c r="O3268" s="15" t="s">
        <v>39</v>
      </c>
    </row>
    <row r="3269" spans="1:15">
      <c r="A3269" s="70">
        <v>2025</v>
      </c>
      <c r="B3269" s="16" t="s">
        <v>1083</v>
      </c>
      <c r="C3269" s="71" t="s">
        <v>4273</v>
      </c>
      <c r="D3269" s="2" t="s">
        <v>617</v>
      </c>
      <c r="E3269" s="150" t="s">
        <v>230</v>
      </c>
      <c r="F3269" s="464">
        <v>6000</v>
      </c>
      <c r="G3269" s="1" t="s">
        <v>37</v>
      </c>
      <c r="H3269" s="8">
        <v>26</v>
      </c>
      <c r="I3269" s="8">
        <f t="shared" si="217"/>
        <v>156000</v>
      </c>
      <c r="J3269" s="539">
        <v>25.5</v>
      </c>
      <c r="K3269" s="521">
        <f t="shared" si="218"/>
        <v>0.5</v>
      </c>
      <c r="L3269" s="522">
        <f t="shared" si="216"/>
        <v>3000</v>
      </c>
      <c r="M3269" s="523">
        <f t="shared" si="219"/>
        <v>1.9230769230769232E-2</v>
      </c>
      <c r="N3269" s="2" t="s">
        <v>22</v>
      </c>
      <c r="O3269" s="15" t="s">
        <v>39</v>
      </c>
    </row>
    <row r="3270" spans="1:15">
      <c r="A3270" s="70">
        <v>2025</v>
      </c>
      <c r="B3270" s="16" t="s">
        <v>1083</v>
      </c>
      <c r="C3270" s="71" t="s">
        <v>4360</v>
      </c>
      <c r="D3270" s="2" t="s">
        <v>3235</v>
      </c>
      <c r="E3270" s="150" t="s">
        <v>2255</v>
      </c>
      <c r="F3270" s="464">
        <v>3080</v>
      </c>
      <c r="G3270" s="1" t="s">
        <v>37</v>
      </c>
      <c r="H3270" s="8">
        <v>26.5</v>
      </c>
      <c r="I3270" s="8">
        <f t="shared" si="217"/>
        <v>81620</v>
      </c>
      <c r="J3270" s="539">
        <v>26</v>
      </c>
      <c r="K3270" s="521">
        <f t="shared" si="218"/>
        <v>0.5</v>
      </c>
      <c r="L3270" s="522">
        <f t="shared" ref="L3270:L3333" si="220">K3270*F3270</f>
        <v>1540</v>
      </c>
      <c r="M3270" s="523">
        <f t="shared" si="219"/>
        <v>1.8867924528301886E-2</v>
      </c>
      <c r="N3270" s="2" t="s">
        <v>22</v>
      </c>
      <c r="O3270" s="15" t="s">
        <v>39</v>
      </c>
    </row>
    <row r="3271" spans="1:15">
      <c r="A3271" s="70">
        <v>2025</v>
      </c>
      <c r="B3271" s="16" t="s">
        <v>1083</v>
      </c>
      <c r="C3271" s="71" t="s">
        <v>4361</v>
      </c>
      <c r="D3271" s="2" t="s">
        <v>617</v>
      </c>
      <c r="E3271" s="150" t="s">
        <v>996</v>
      </c>
      <c r="F3271" s="464">
        <v>3000</v>
      </c>
      <c r="G3271" s="1" t="s">
        <v>37</v>
      </c>
      <c r="H3271" s="8">
        <v>26</v>
      </c>
      <c r="I3271" s="8">
        <f t="shared" si="217"/>
        <v>78000</v>
      </c>
      <c r="J3271" s="539">
        <v>25.5</v>
      </c>
      <c r="K3271" s="521">
        <f t="shared" si="218"/>
        <v>0.5</v>
      </c>
      <c r="L3271" s="522">
        <f t="shared" si="220"/>
        <v>1500</v>
      </c>
      <c r="M3271" s="523">
        <f t="shared" si="219"/>
        <v>1.9230769230769232E-2</v>
      </c>
      <c r="N3271" s="2" t="s">
        <v>22</v>
      </c>
      <c r="O3271" s="15" t="s">
        <v>39</v>
      </c>
    </row>
    <row r="3272" spans="1:15">
      <c r="A3272" s="70">
        <v>2025</v>
      </c>
      <c r="B3272" s="16" t="s">
        <v>1083</v>
      </c>
      <c r="C3272" s="71" t="s">
        <v>4361</v>
      </c>
      <c r="D3272" s="2" t="s">
        <v>617</v>
      </c>
      <c r="E3272" s="150" t="s">
        <v>233</v>
      </c>
      <c r="F3272" s="464">
        <v>6000</v>
      </c>
      <c r="G3272" s="1" t="s">
        <v>37</v>
      </c>
      <c r="H3272" s="8">
        <v>26</v>
      </c>
      <c r="I3272" s="8">
        <f t="shared" si="217"/>
        <v>156000</v>
      </c>
      <c r="J3272" s="539">
        <v>25.5</v>
      </c>
      <c r="K3272" s="521">
        <f t="shared" si="218"/>
        <v>0.5</v>
      </c>
      <c r="L3272" s="522">
        <f t="shared" si="220"/>
        <v>3000</v>
      </c>
      <c r="M3272" s="523">
        <f t="shared" si="219"/>
        <v>1.9230769230769232E-2</v>
      </c>
      <c r="N3272" s="2" t="s">
        <v>22</v>
      </c>
      <c r="O3272" s="15" t="s">
        <v>39</v>
      </c>
    </row>
    <row r="3273" spans="1:15">
      <c r="A3273" s="70">
        <v>2025</v>
      </c>
      <c r="B3273" s="16" t="s">
        <v>1295</v>
      </c>
      <c r="C3273" s="71" t="s">
        <v>4362</v>
      </c>
      <c r="D3273" s="2" t="s">
        <v>329</v>
      </c>
      <c r="E3273" s="2" t="s">
        <v>2873</v>
      </c>
      <c r="F3273" s="96">
        <v>20</v>
      </c>
      <c r="G3273" s="1" t="s">
        <v>701</v>
      </c>
      <c r="H3273" s="8">
        <v>8900</v>
      </c>
      <c r="I3273" s="8">
        <f t="shared" si="217"/>
        <v>178000</v>
      </c>
      <c r="J3273" s="539">
        <v>8890</v>
      </c>
      <c r="K3273" s="521">
        <f t="shared" si="218"/>
        <v>10</v>
      </c>
      <c r="L3273" s="522">
        <f t="shared" si="220"/>
        <v>200</v>
      </c>
      <c r="M3273" s="523">
        <f t="shared" si="219"/>
        <v>1.1235955056179776E-3</v>
      </c>
      <c r="N3273" s="2" t="s">
        <v>40</v>
      </c>
      <c r="O3273" s="15" t="s">
        <v>39</v>
      </c>
    </row>
    <row r="3274" spans="1:15">
      <c r="A3274" s="70">
        <v>2025</v>
      </c>
      <c r="B3274" s="16" t="s">
        <v>1295</v>
      </c>
      <c r="C3274" s="71" t="s">
        <v>4363</v>
      </c>
      <c r="D3274" s="2" t="s">
        <v>708</v>
      </c>
      <c r="E3274" s="2" t="s">
        <v>4047</v>
      </c>
      <c r="F3274" s="96">
        <v>3100</v>
      </c>
      <c r="G3274" s="1" t="s">
        <v>37</v>
      </c>
      <c r="H3274" s="8">
        <v>403.23</v>
      </c>
      <c r="I3274" s="8">
        <f t="shared" si="217"/>
        <v>1250013</v>
      </c>
      <c r="J3274" s="539">
        <v>392</v>
      </c>
      <c r="K3274" s="521">
        <f t="shared" si="218"/>
        <v>11.230000000000018</v>
      </c>
      <c r="L3274" s="522">
        <f t="shared" si="220"/>
        <v>34813.000000000058</v>
      </c>
      <c r="M3274" s="523">
        <f t="shared" si="219"/>
        <v>2.7850110358852313E-2</v>
      </c>
      <c r="N3274" s="2" t="s">
        <v>40</v>
      </c>
      <c r="O3274" s="15" t="s">
        <v>105</v>
      </c>
    </row>
    <row r="3275" spans="1:15">
      <c r="A3275" s="70">
        <v>2025</v>
      </c>
      <c r="B3275" s="16" t="s">
        <v>1295</v>
      </c>
      <c r="C3275" s="71" t="s">
        <v>4364</v>
      </c>
      <c r="D3275" s="2" t="s">
        <v>1042</v>
      </c>
      <c r="E3275" s="2" t="s">
        <v>711</v>
      </c>
      <c r="F3275" s="96">
        <v>1172</v>
      </c>
      <c r="G3275" s="1" t="s">
        <v>37</v>
      </c>
      <c r="H3275" s="8">
        <v>393</v>
      </c>
      <c r="I3275" s="8">
        <f t="shared" si="217"/>
        <v>460596</v>
      </c>
      <c r="J3275" s="539">
        <v>363</v>
      </c>
      <c r="K3275" s="521">
        <f t="shared" si="218"/>
        <v>30</v>
      </c>
      <c r="L3275" s="522">
        <f t="shared" si="220"/>
        <v>35160</v>
      </c>
      <c r="M3275" s="523">
        <f t="shared" si="219"/>
        <v>7.6335877862595422E-2</v>
      </c>
      <c r="N3275" s="2" t="s">
        <v>40</v>
      </c>
      <c r="O3275" s="15" t="s">
        <v>105</v>
      </c>
    </row>
    <row r="3276" spans="1:15">
      <c r="A3276" s="70">
        <v>2025</v>
      </c>
      <c r="B3276" s="16" t="s">
        <v>1295</v>
      </c>
      <c r="C3276" s="71" t="s">
        <v>4365</v>
      </c>
      <c r="D3276" s="2" t="s">
        <v>1042</v>
      </c>
      <c r="E3276" s="2" t="s">
        <v>1141</v>
      </c>
      <c r="F3276" s="96">
        <v>1</v>
      </c>
      <c r="G3276" s="1" t="s">
        <v>285</v>
      </c>
      <c r="H3276" s="8">
        <v>13655.9</v>
      </c>
      <c r="I3276" s="8">
        <f t="shared" si="217"/>
        <v>13655.9</v>
      </c>
      <c r="J3276" s="539">
        <v>0</v>
      </c>
      <c r="K3276" s="521">
        <f t="shared" si="218"/>
        <v>13655.9</v>
      </c>
      <c r="L3276" s="522">
        <f t="shared" si="220"/>
        <v>13655.9</v>
      </c>
      <c r="M3276" s="523">
        <f t="shared" si="219"/>
        <v>1</v>
      </c>
      <c r="N3276" s="2" t="s">
        <v>33</v>
      </c>
      <c r="O3276" s="15" t="s">
        <v>105</v>
      </c>
    </row>
    <row r="3277" spans="1:15">
      <c r="A3277" s="70">
        <v>2025</v>
      </c>
      <c r="B3277" s="16" t="s">
        <v>1295</v>
      </c>
      <c r="C3277" s="71" t="s">
        <v>4366</v>
      </c>
      <c r="D3277" s="2" t="s">
        <v>776</v>
      </c>
      <c r="E3277" s="2" t="s">
        <v>502</v>
      </c>
      <c r="F3277" s="96">
        <v>100000</v>
      </c>
      <c r="G3277" s="1" t="s">
        <v>37</v>
      </c>
      <c r="H3277" s="8">
        <v>50.83</v>
      </c>
      <c r="I3277" s="8">
        <f t="shared" si="217"/>
        <v>5083000</v>
      </c>
      <c r="J3277" s="539">
        <v>49.68</v>
      </c>
      <c r="K3277" s="521">
        <f t="shared" si="218"/>
        <v>1.1499999999999986</v>
      </c>
      <c r="L3277" s="522">
        <f t="shared" si="220"/>
        <v>114999.99999999985</v>
      </c>
      <c r="M3277" s="523">
        <f t="shared" si="219"/>
        <v>2.2624434389140243E-2</v>
      </c>
      <c r="N3277" s="2" t="s">
        <v>22</v>
      </c>
      <c r="O3277" s="15" t="s">
        <v>39</v>
      </c>
    </row>
    <row r="3278" spans="1:15">
      <c r="A3278" s="70">
        <v>2025</v>
      </c>
      <c r="B3278" s="16" t="s">
        <v>1295</v>
      </c>
      <c r="C3278" s="71" t="s">
        <v>4366</v>
      </c>
      <c r="D3278" s="2" t="s">
        <v>776</v>
      </c>
      <c r="E3278" s="2" t="s">
        <v>813</v>
      </c>
      <c r="F3278" s="96">
        <v>80000</v>
      </c>
      <c r="G3278" s="1" t="s">
        <v>37</v>
      </c>
      <c r="H3278" s="8">
        <v>48.69</v>
      </c>
      <c r="I3278" s="8">
        <f t="shared" si="217"/>
        <v>3895200</v>
      </c>
      <c r="J3278" s="539">
        <v>47.86</v>
      </c>
      <c r="K3278" s="521">
        <f t="shared" si="218"/>
        <v>0.82999999999999829</v>
      </c>
      <c r="L3278" s="522">
        <f t="shared" si="220"/>
        <v>66399.999999999869</v>
      </c>
      <c r="M3278" s="523">
        <f t="shared" si="219"/>
        <v>1.7046621482850653E-2</v>
      </c>
      <c r="N3278" s="2" t="s">
        <v>22</v>
      </c>
      <c r="O3278" s="15" t="s">
        <v>39</v>
      </c>
    </row>
    <row r="3279" spans="1:15">
      <c r="A3279" s="70">
        <v>2025</v>
      </c>
      <c r="B3279" s="16" t="s">
        <v>1295</v>
      </c>
      <c r="C3279" s="71" t="s">
        <v>4367</v>
      </c>
      <c r="D3279" s="2" t="s">
        <v>522</v>
      </c>
      <c r="E3279" s="2" t="s">
        <v>4368</v>
      </c>
      <c r="F3279" s="96">
        <v>1</v>
      </c>
      <c r="G3279" s="1" t="s">
        <v>285</v>
      </c>
      <c r="H3279" s="8">
        <v>1140919.1499999999</v>
      </c>
      <c r="I3279" s="8">
        <f t="shared" si="217"/>
        <v>1140919.1499999999</v>
      </c>
      <c r="J3279" s="539">
        <v>1070000</v>
      </c>
      <c r="K3279" s="521">
        <f t="shared" si="218"/>
        <v>70919.149999999907</v>
      </c>
      <c r="L3279" s="522">
        <f t="shared" si="220"/>
        <v>70919.149999999907</v>
      </c>
      <c r="M3279" s="523">
        <f t="shared" si="219"/>
        <v>6.2159663110221183E-2</v>
      </c>
      <c r="N3279" s="2" t="s">
        <v>40</v>
      </c>
      <c r="O3279" s="15" t="s">
        <v>4066</v>
      </c>
    </row>
    <row r="3280" spans="1:15">
      <c r="A3280" s="70">
        <v>2025</v>
      </c>
      <c r="B3280" s="16" t="s">
        <v>1295</v>
      </c>
      <c r="C3280" s="71" t="s">
        <v>4369</v>
      </c>
      <c r="D3280" s="2" t="s">
        <v>708</v>
      </c>
      <c r="E3280" s="2" t="s">
        <v>3616</v>
      </c>
      <c r="F3280" s="96">
        <v>500</v>
      </c>
      <c r="G3280" s="1" t="s">
        <v>37</v>
      </c>
      <c r="H3280" s="8">
        <v>407.16</v>
      </c>
      <c r="I3280" s="8">
        <f t="shared" si="217"/>
        <v>203580</v>
      </c>
      <c r="J3280" s="539">
        <v>402.16</v>
      </c>
      <c r="K3280" s="521">
        <f t="shared" si="218"/>
        <v>5</v>
      </c>
      <c r="L3280" s="522">
        <f t="shared" si="220"/>
        <v>2500</v>
      </c>
      <c r="M3280" s="523">
        <f t="shared" si="219"/>
        <v>1.2280184693977797E-2</v>
      </c>
      <c r="N3280" s="2" t="s">
        <v>40</v>
      </c>
      <c r="O3280" s="15" t="s">
        <v>105</v>
      </c>
    </row>
    <row r="3281" spans="1:15">
      <c r="A3281" s="70">
        <v>2025</v>
      </c>
      <c r="B3281" s="16" t="s">
        <v>1295</v>
      </c>
      <c r="C3281" s="71" t="s">
        <v>4369</v>
      </c>
      <c r="D3281" s="2" t="s">
        <v>708</v>
      </c>
      <c r="E3281" s="2" t="s">
        <v>206</v>
      </c>
      <c r="F3281" s="96">
        <v>510</v>
      </c>
      <c r="G3281" s="1" t="s">
        <v>37</v>
      </c>
      <c r="H3281" s="8">
        <v>407.98</v>
      </c>
      <c r="I3281" s="8">
        <f t="shared" si="217"/>
        <v>208069.80000000002</v>
      </c>
      <c r="J3281" s="539">
        <v>402.98</v>
      </c>
      <c r="K3281" s="521">
        <f t="shared" si="218"/>
        <v>5</v>
      </c>
      <c r="L3281" s="522">
        <f t="shared" si="220"/>
        <v>2550</v>
      </c>
      <c r="M3281" s="523">
        <f t="shared" si="219"/>
        <v>1.2255502720721604E-2</v>
      </c>
      <c r="N3281" s="2" t="s">
        <v>40</v>
      </c>
      <c r="O3281" s="15" t="s">
        <v>105</v>
      </c>
    </row>
    <row r="3282" spans="1:15">
      <c r="A3282" s="70">
        <v>2025</v>
      </c>
      <c r="B3282" s="16" t="s">
        <v>1295</v>
      </c>
      <c r="C3282" s="71" t="s">
        <v>4369</v>
      </c>
      <c r="D3282" s="2" t="s">
        <v>708</v>
      </c>
      <c r="E3282" s="2" t="s">
        <v>1135</v>
      </c>
      <c r="F3282" s="96">
        <v>500</v>
      </c>
      <c r="G3282" s="1" t="s">
        <v>37</v>
      </c>
      <c r="H3282" s="8">
        <v>406.66</v>
      </c>
      <c r="I3282" s="8">
        <f t="shared" si="217"/>
        <v>203330</v>
      </c>
      <c r="J3282" s="539">
        <v>401.66</v>
      </c>
      <c r="K3282" s="521">
        <f t="shared" si="218"/>
        <v>5</v>
      </c>
      <c r="L3282" s="522">
        <f t="shared" si="220"/>
        <v>2500</v>
      </c>
      <c r="M3282" s="523">
        <f t="shared" si="219"/>
        <v>1.2295283529238183E-2</v>
      </c>
      <c r="N3282" s="2" t="s">
        <v>40</v>
      </c>
      <c r="O3282" s="15" t="s">
        <v>105</v>
      </c>
    </row>
    <row r="3283" spans="1:15">
      <c r="A3283" s="70">
        <v>2025</v>
      </c>
      <c r="B3283" s="16" t="s">
        <v>1295</v>
      </c>
      <c r="C3283" s="71" t="s">
        <v>4369</v>
      </c>
      <c r="D3283" s="2" t="s">
        <v>708</v>
      </c>
      <c r="E3283" s="2" t="s">
        <v>709</v>
      </c>
      <c r="F3283" s="96">
        <v>900</v>
      </c>
      <c r="G3283" s="1" t="s">
        <v>37</v>
      </c>
      <c r="H3283" s="8">
        <v>406.36</v>
      </c>
      <c r="I3283" s="8">
        <f t="shared" si="217"/>
        <v>365724</v>
      </c>
      <c r="J3283" s="539">
        <v>401.36</v>
      </c>
      <c r="K3283" s="521">
        <f t="shared" si="218"/>
        <v>5</v>
      </c>
      <c r="L3283" s="522">
        <f t="shared" si="220"/>
        <v>4500</v>
      </c>
      <c r="M3283" s="523">
        <f t="shared" si="219"/>
        <v>1.2304360665419824E-2</v>
      </c>
      <c r="N3283" s="2" t="s">
        <v>40</v>
      </c>
      <c r="O3283" s="15" t="s">
        <v>105</v>
      </c>
    </row>
    <row r="3284" spans="1:15">
      <c r="A3284" s="70">
        <v>2025</v>
      </c>
      <c r="B3284" s="16" t="s">
        <v>1295</v>
      </c>
      <c r="C3284" s="71" t="s">
        <v>4369</v>
      </c>
      <c r="D3284" s="2" t="s">
        <v>708</v>
      </c>
      <c r="E3284" s="2" t="s">
        <v>1662</v>
      </c>
      <c r="F3284" s="96">
        <v>500</v>
      </c>
      <c r="G3284" s="1" t="s">
        <v>37</v>
      </c>
      <c r="H3284" s="8">
        <v>406.55</v>
      </c>
      <c r="I3284" s="8">
        <f t="shared" si="217"/>
        <v>203275</v>
      </c>
      <c r="J3284" s="539">
        <v>401.55</v>
      </c>
      <c r="K3284" s="521">
        <f t="shared" si="218"/>
        <v>5</v>
      </c>
      <c r="L3284" s="522">
        <f t="shared" si="220"/>
        <v>2500</v>
      </c>
      <c r="M3284" s="523">
        <f t="shared" si="219"/>
        <v>1.2298610257040954E-2</v>
      </c>
      <c r="N3284" s="2" t="s">
        <v>40</v>
      </c>
      <c r="O3284" s="15" t="s">
        <v>105</v>
      </c>
    </row>
    <row r="3285" spans="1:15">
      <c r="A3285" s="70">
        <v>2025</v>
      </c>
      <c r="B3285" s="16" t="s">
        <v>1295</v>
      </c>
      <c r="C3285" s="71" t="s">
        <v>4370</v>
      </c>
      <c r="D3285" s="2" t="s">
        <v>4371</v>
      </c>
      <c r="E3285" s="150" t="s">
        <v>4330</v>
      </c>
      <c r="F3285" s="96">
        <v>1</v>
      </c>
      <c r="G3285" s="1" t="s">
        <v>285</v>
      </c>
      <c r="H3285" s="8">
        <v>25623.599999999999</v>
      </c>
      <c r="I3285" s="8">
        <f t="shared" si="217"/>
        <v>25623.599999999999</v>
      </c>
      <c r="J3285" s="539">
        <v>21207</v>
      </c>
      <c r="K3285" s="521">
        <f t="shared" si="218"/>
        <v>4416.5999999999985</v>
      </c>
      <c r="L3285" s="522">
        <f t="shared" si="220"/>
        <v>4416.5999999999985</v>
      </c>
      <c r="M3285" s="523">
        <f t="shared" si="219"/>
        <v>0.17236453894066403</v>
      </c>
      <c r="N3285" s="2" t="s">
        <v>22</v>
      </c>
      <c r="O3285" s="15" t="s">
        <v>105</v>
      </c>
    </row>
    <row r="3286" spans="1:15">
      <c r="A3286" s="70">
        <v>2025</v>
      </c>
      <c r="B3286" s="16" t="s">
        <v>1295</v>
      </c>
      <c r="C3286" s="71" t="s">
        <v>4372</v>
      </c>
      <c r="D3286" s="2" t="s">
        <v>4179</v>
      </c>
      <c r="E3286" s="2" t="s">
        <v>4373</v>
      </c>
      <c r="F3286" s="96">
        <v>1</v>
      </c>
      <c r="G3286" s="1" t="s">
        <v>285</v>
      </c>
      <c r="H3286" s="8">
        <v>3140000</v>
      </c>
      <c r="I3286" s="8">
        <f t="shared" si="217"/>
        <v>3140000</v>
      </c>
      <c r="J3286" s="539">
        <v>3100000</v>
      </c>
      <c r="K3286" s="521">
        <f t="shared" si="218"/>
        <v>40000</v>
      </c>
      <c r="L3286" s="522">
        <f t="shared" si="220"/>
        <v>40000</v>
      </c>
      <c r="M3286" s="523">
        <f t="shared" si="219"/>
        <v>1.2738853503184714E-2</v>
      </c>
      <c r="N3286" s="2" t="s">
        <v>40</v>
      </c>
      <c r="O3286" s="15" t="s">
        <v>4066</v>
      </c>
    </row>
    <row r="3287" spans="1:15">
      <c r="A3287" s="70">
        <v>2025</v>
      </c>
      <c r="B3287" s="16" t="s">
        <v>1295</v>
      </c>
      <c r="C3287" s="71" t="s">
        <v>4374</v>
      </c>
      <c r="D3287" s="2" t="s">
        <v>335</v>
      </c>
      <c r="E3287" s="150" t="s">
        <v>336</v>
      </c>
      <c r="F3287" s="96">
        <v>98000</v>
      </c>
      <c r="G3287" s="1" t="s">
        <v>337</v>
      </c>
      <c r="H3287" s="8">
        <v>33.5</v>
      </c>
      <c r="I3287" s="8">
        <f t="shared" si="217"/>
        <v>3283000</v>
      </c>
      <c r="J3287" s="539">
        <v>32</v>
      </c>
      <c r="K3287" s="521">
        <f t="shared" si="218"/>
        <v>1.5</v>
      </c>
      <c r="L3287" s="522">
        <f t="shared" si="220"/>
        <v>147000</v>
      </c>
      <c r="M3287" s="523">
        <f t="shared" si="219"/>
        <v>4.4776119402985072E-2</v>
      </c>
      <c r="N3287" s="2" t="s">
        <v>22</v>
      </c>
      <c r="O3287" s="15" t="s">
        <v>39</v>
      </c>
    </row>
    <row r="3288" spans="1:15">
      <c r="A3288" s="70">
        <v>2025</v>
      </c>
      <c r="B3288" s="16" t="s">
        <v>1295</v>
      </c>
      <c r="C3288" s="71" t="s">
        <v>4375</v>
      </c>
      <c r="D3288" s="2" t="s">
        <v>2580</v>
      </c>
      <c r="E3288" s="2" t="s">
        <v>2581</v>
      </c>
      <c r="F3288" s="96">
        <v>6</v>
      </c>
      <c r="G3288" s="1" t="s">
        <v>1259</v>
      </c>
      <c r="H3288" s="8">
        <v>10000</v>
      </c>
      <c r="I3288" s="8">
        <f t="shared" si="217"/>
        <v>60000</v>
      </c>
      <c r="J3288" s="539">
        <v>7500</v>
      </c>
      <c r="K3288" s="521">
        <f t="shared" si="218"/>
        <v>2500</v>
      </c>
      <c r="L3288" s="522">
        <f t="shared" si="220"/>
        <v>15000</v>
      </c>
      <c r="M3288" s="523">
        <f t="shared" si="219"/>
        <v>0.25</v>
      </c>
      <c r="N3288" s="2" t="s">
        <v>40</v>
      </c>
      <c r="O3288" s="15" t="s">
        <v>4066</v>
      </c>
    </row>
    <row r="3289" spans="1:15">
      <c r="A3289" s="70">
        <v>2025</v>
      </c>
      <c r="B3289" s="16" t="s">
        <v>1295</v>
      </c>
      <c r="C3289" s="71" t="s">
        <v>4376</v>
      </c>
      <c r="D3289" s="2" t="s">
        <v>27</v>
      </c>
      <c r="E3289" s="2" t="s">
        <v>1145</v>
      </c>
      <c r="F3289" s="96">
        <v>100</v>
      </c>
      <c r="G3289" s="1" t="s">
        <v>615</v>
      </c>
      <c r="H3289" s="8">
        <v>76.17</v>
      </c>
      <c r="I3289" s="8">
        <f t="shared" si="217"/>
        <v>7617</v>
      </c>
      <c r="J3289" s="539">
        <v>74</v>
      </c>
      <c r="K3289" s="521">
        <f t="shared" si="218"/>
        <v>2.1700000000000017</v>
      </c>
      <c r="L3289" s="522">
        <f t="shared" si="220"/>
        <v>217.00000000000017</v>
      </c>
      <c r="M3289" s="523">
        <f t="shared" si="219"/>
        <v>2.8488906393593302E-2</v>
      </c>
      <c r="N3289" s="2" t="s">
        <v>22</v>
      </c>
      <c r="O3289" s="15" t="s">
        <v>105</v>
      </c>
    </row>
    <row r="3290" spans="1:15">
      <c r="A3290" s="70">
        <v>2025</v>
      </c>
      <c r="B3290" s="16" t="s">
        <v>1295</v>
      </c>
      <c r="C3290" s="71" t="s">
        <v>4376</v>
      </c>
      <c r="D3290" s="2" t="s">
        <v>27</v>
      </c>
      <c r="E3290" s="2" t="s">
        <v>1147</v>
      </c>
      <c r="F3290" s="96">
        <v>100</v>
      </c>
      <c r="G3290" s="1" t="s">
        <v>615</v>
      </c>
      <c r="H3290" s="8">
        <v>137.58000000000001</v>
      </c>
      <c r="I3290" s="8">
        <f t="shared" si="217"/>
        <v>13758.000000000002</v>
      </c>
      <c r="J3290" s="539">
        <v>137.5</v>
      </c>
      <c r="K3290" s="521">
        <f t="shared" si="218"/>
        <v>8.0000000000012506E-2</v>
      </c>
      <c r="L3290" s="522">
        <f t="shared" si="220"/>
        <v>8.0000000000012506</v>
      </c>
      <c r="M3290" s="523">
        <f t="shared" si="219"/>
        <v>5.814798662597216E-4</v>
      </c>
      <c r="N3290" s="2" t="s">
        <v>22</v>
      </c>
      <c r="O3290" s="15" t="s">
        <v>105</v>
      </c>
    </row>
    <row r="3291" spans="1:15">
      <c r="A3291" s="70">
        <v>2025</v>
      </c>
      <c r="B3291" s="16" t="s">
        <v>1295</v>
      </c>
      <c r="C3291" s="71" t="s">
        <v>4376</v>
      </c>
      <c r="D3291" s="2" t="s">
        <v>27</v>
      </c>
      <c r="E3291" s="2" t="s">
        <v>2978</v>
      </c>
      <c r="F3291" s="96">
        <v>40</v>
      </c>
      <c r="G3291" s="1" t="s">
        <v>19</v>
      </c>
      <c r="H3291" s="8">
        <v>82</v>
      </c>
      <c r="I3291" s="86">
        <f t="shared" si="217"/>
        <v>3280</v>
      </c>
      <c r="J3291" s="539">
        <v>72</v>
      </c>
      <c r="K3291" s="521">
        <f t="shared" si="218"/>
        <v>10</v>
      </c>
      <c r="L3291" s="522">
        <f t="shared" si="220"/>
        <v>400</v>
      </c>
      <c r="M3291" s="523">
        <f t="shared" si="219"/>
        <v>0.12195121951219512</v>
      </c>
      <c r="N3291" s="2" t="s">
        <v>22</v>
      </c>
      <c r="O3291" s="15" t="s">
        <v>105</v>
      </c>
    </row>
    <row r="3292" spans="1:15">
      <c r="A3292" s="70">
        <v>2025</v>
      </c>
      <c r="B3292" s="16" t="s">
        <v>1295</v>
      </c>
      <c r="C3292" s="71" t="s">
        <v>4377</v>
      </c>
      <c r="D3292" s="2" t="s">
        <v>44</v>
      </c>
      <c r="E3292" s="2" t="s">
        <v>210</v>
      </c>
      <c r="F3292" s="96">
        <v>400</v>
      </c>
      <c r="G3292" s="1" t="s">
        <v>37</v>
      </c>
      <c r="H3292" s="8">
        <v>406.55</v>
      </c>
      <c r="I3292" s="86">
        <f t="shared" si="217"/>
        <v>162620</v>
      </c>
      <c r="J3292" s="539">
        <v>400.5</v>
      </c>
      <c r="K3292" s="521">
        <f t="shared" si="218"/>
        <v>6.0500000000000114</v>
      </c>
      <c r="L3292" s="522">
        <f t="shared" si="220"/>
        <v>2420.0000000000045</v>
      </c>
      <c r="M3292" s="523">
        <f t="shared" si="219"/>
        <v>1.4881318411019582E-2</v>
      </c>
      <c r="N3292" s="2" t="s">
        <v>22</v>
      </c>
      <c r="O3292" s="15" t="s">
        <v>105</v>
      </c>
    </row>
    <row r="3293" spans="1:15">
      <c r="A3293" s="70">
        <v>2025</v>
      </c>
      <c r="B3293" s="16" t="s">
        <v>1295</v>
      </c>
      <c r="C3293" s="71" t="s">
        <v>4378</v>
      </c>
      <c r="D3293" s="2" t="s">
        <v>590</v>
      </c>
      <c r="E3293" s="2" t="s">
        <v>4379</v>
      </c>
      <c r="F3293" s="96">
        <v>4</v>
      </c>
      <c r="G3293" s="1" t="s">
        <v>302</v>
      </c>
      <c r="H3293" s="8">
        <v>40500</v>
      </c>
      <c r="I3293" s="86">
        <f t="shared" si="217"/>
        <v>162000</v>
      </c>
      <c r="J3293" s="539">
        <v>39000</v>
      </c>
      <c r="K3293" s="521">
        <f t="shared" si="218"/>
        <v>1500</v>
      </c>
      <c r="L3293" s="522">
        <f t="shared" si="220"/>
        <v>6000</v>
      </c>
      <c r="M3293" s="523">
        <f t="shared" si="219"/>
        <v>3.7037037037037035E-2</v>
      </c>
      <c r="N3293" s="2" t="s">
        <v>40</v>
      </c>
      <c r="O3293" s="15" t="s">
        <v>39</v>
      </c>
    </row>
    <row r="3294" spans="1:15">
      <c r="A3294" s="70">
        <v>2025</v>
      </c>
      <c r="B3294" s="16" t="s">
        <v>1295</v>
      </c>
      <c r="C3294" s="71" t="s">
        <v>4380</v>
      </c>
      <c r="D3294" s="2" t="s">
        <v>590</v>
      </c>
      <c r="E3294" s="2" t="s">
        <v>4379</v>
      </c>
      <c r="F3294" s="96">
        <v>6</v>
      </c>
      <c r="G3294" s="1" t="s">
        <v>302</v>
      </c>
      <c r="H3294" s="8">
        <v>40500</v>
      </c>
      <c r="I3294" s="86">
        <f t="shared" si="217"/>
        <v>243000</v>
      </c>
      <c r="J3294" s="539">
        <v>39000</v>
      </c>
      <c r="K3294" s="521">
        <f t="shared" si="218"/>
        <v>1500</v>
      </c>
      <c r="L3294" s="522">
        <f t="shared" si="220"/>
        <v>9000</v>
      </c>
      <c r="M3294" s="523">
        <f t="shared" si="219"/>
        <v>3.7037037037037035E-2</v>
      </c>
      <c r="N3294" s="2" t="s">
        <v>40</v>
      </c>
      <c r="O3294" s="15" t="s">
        <v>39</v>
      </c>
    </row>
    <row r="3295" spans="1:15">
      <c r="A3295" s="70">
        <v>2025</v>
      </c>
      <c r="B3295" s="16" t="s">
        <v>1295</v>
      </c>
      <c r="C3295" s="71" t="s">
        <v>4381</v>
      </c>
      <c r="D3295" s="2" t="s">
        <v>279</v>
      </c>
      <c r="E3295" s="2" t="s">
        <v>3724</v>
      </c>
      <c r="F3295" s="96">
        <v>600</v>
      </c>
      <c r="G3295" s="1" t="s">
        <v>19</v>
      </c>
      <c r="H3295" s="8">
        <v>18.239999999999998</v>
      </c>
      <c r="I3295" s="86">
        <f t="shared" si="217"/>
        <v>10943.999999999998</v>
      </c>
      <c r="J3295" s="539">
        <v>15.92</v>
      </c>
      <c r="K3295" s="521">
        <f t="shared" si="218"/>
        <v>2.3199999999999985</v>
      </c>
      <c r="L3295" s="522">
        <f t="shared" si="220"/>
        <v>1391.9999999999991</v>
      </c>
      <c r="M3295" s="523">
        <f t="shared" si="219"/>
        <v>0.12719298245614027</v>
      </c>
      <c r="N3295" s="2" t="s">
        <v>40</v>
      </c>
      <c r="O3295" s="15" t="s">
        <v>105</v>
      </c>
    </row>
    <row r="3296" spans="1:15">
      <c r="A3296" s="70">
        <v>2025</v>
      </c>
      <c r="B3296" s="16" t="s">
        <v>1295</v>
      </c>
      <c r="C3296" s="71" t="s">
        <v>4382</v>
      </c>
      <c r="D3296" s="2" t="s">
        <v>1119</v>
      </c>
      <c r="E3296" s="2" t="s">
        <v>4383</v>
      </c>
      <c r="F3296" s="96">
        <v>20</v>
      </c>
      <c r="G3296" s="1" t="s">
        <v>19</v>
      </c>
      <c r="H3296" s="8">
        <v>250</v>
      </c>
      <c r="I3296" s="86">
        <f t="shared" si="217"/>
        <v>5000</v>
      </c>
      <c r="J3296" s="539">
        <v>230</v>
      </c>
      <c r="K3296" s="521">
        <f t="shared" si="218"/>
        <v>20</v>
      </c>
      <c r="L3296" s="522">
        <f t="shared" si="220"/>
        <v>400</v>
      </c>
      <c r="M3296" s="527">
        <f t="shared" si="219"/>
        <v>0.08</v>
      </c>
      <c r="N3296" s="2" t="s">
        <v>40</v>
      </c>
      <c r="O3296" s="15" t="s">
        <v>39</v>
      </c>
    </row>
    <row r="3297" spans="1:15">
      <c r="A3297" s="70">
        <v>2025</v>
      </c>
      <c r="B3297" s="16" t="s">
        <v>1295</v>
      </c>
      <c r="C3297" s="71" t="s">
        <v>4382</v>
      </c>
      <c r="D3297" s="2" t="s">
        <v>1119</v>
      </c>
      <c r="E3297" s="2" t="s">
        <v>4384</v>
      </c>
      <c r="F3297" s="96">
        <v>10</v>
      </c>
      <c r="G3297" s="1" t="s">
        <v>19</v>
      </c>
      <c r="H3297" s="8">
        <v>45</v>
      </c>
      <c r="I3297" s="86">
        <f t="shared" si="217"/>
        <v>450</v>
      </c>
      <c r="J3297" s="539">
        <v>40</v>
      </c>
      <c r="K3297" s="521">
        <f t="shared" si="218"/>
        <v>5</v>
      </c>
      <c r="L3297" s="522">
        <f t="shared" si="220"/>
        <v>50</v>
      </c>
      <c r="M3297" s="527">
        <f t="shared" si="219"/>
        <v>0.1111111111111111</v>
      </c>
      <c r="N3297" s="2" t="s">
        <v>40</v>
      </c>
      <c r="O3297" s="15" t="s">
        <v>39</v>
      </c>
    </row>
    <row r="3298" spans="1:15">
      <c r="A3298" s="70">
        <v>2025</v>
      </c>
      <c r="B3298" s="16" t="s">
        <v>1295</v>
      </c>
      <c r="C3298" s="71" t="s">
        <v>4385</v>
      </c>
      <c r="D3298" s="2" t="s">
        <v>708</v>
      </c>
      <c r="E3298" s="2" t="s">
        <v>208</v>
      </c>
      <c r="F3298" s="96">
        <v>200</v>
      </c>
      <c r="G3298" s="1" t="s">
        <v>37</v>
      </c>
      <c r="H3298" s="8">
        <v>406.1</v>
      </c>
      <c r="I3298" s="86">
        <f t="shared" si="217"/>
        <v>81220</v>
      </c>
      <c r="J3298" s="539">
        <v>401.1</v>
      </c>
      <c r="K3298" s="521">
        <f t="shared" si="218"/>
        <v>5</v>
      </c>
      <c r="L3298" s="522">
        <f t="shared" si="220"/>
        <v>1000</v>
      </c>
      <c r="M3298" s="527">
        <f t="shared" si="219"/>
        <v>1.2312238364934745E-2</v>
      </c>
      <c r="N3298" s="2" t="s">
        <v>40</v>
      </c>
      <c r="O3298" s="15" t="s">
        <v>105</v>
      </c>
    </row>
    <row r="3299" spans="1:15">
      <c r="A3299" s="70">
        <v>2025</v>
      </c>
      <c r="B3299" s="16" t="s">
        <v>1295</v>
      </c>
      <c r="C3299" s="71" t="s">
        <v>4385</v>
      </c>
      <c r="D3299" s="2" t="s">
        <v>708</v>
      </c>
      <c r="E3299" s="2" t="s">
        <v>3616</v>
      </c>
      <c r="F3299" s="96">
        <v>1000</v>
      </c>
      <c r="G3299" s="1" t="s">
        <v>37</v>
      </c>
      <c r="H3299" s="8">
        <v>407.16</v>
      </c>
      <c r="I3299" s="86">
        <f t="shared" si="217"/>
        <v>407160</v>
      </c>
      <c r="J3299" s="539">
        <v>402.16</v>
      </c>
      <c r="K3299" s="521">
        <f t="shared" si="218"/>
        <v>5</v>
      </c>
      <c r="L3299" s="522">
        <f t="shared" si="220"/>
        <v>5000</v>
      </c>
      <c r="M3299" s="527">
        <f t="shared" si="219"/>
        <v>1.2280184693977797E-2</v>
      </c>
      <c r="N3299" s="2" t="s">
        <v>40</v>
      </c>
      <c r="O3299" s="15" t="s">
        <v>105</v>
      </c>
    </row>
    <row r="3300" spans="1:15">
      <c r="A3300" s="70">
        <v>2025</v>
      </c>
      <c r="B3300" s="16" t="s">
        <v>1295</v>
      </c>
      <c r="C3300" s="71" t="s">
        <v>4385</v>
      </c>
      <c r="D3300" s="2" t="s">
        <v>708</v>
      </c>
      <c r="E3300" s="2" t="s">
        <v>1248</v>
      </c>
      <c r="F3300" s="96">
        <v>700</v>
      </c>
      <c r="G3300" s="1" t="s">
        <v>37</v>
      </c>
      <c r="H3300" s="8">
        <v>406.36</v>
      </c>
      <c r="I3300" s="86">
        <f t="shared" si="217"/>
        <v>284452</v>
      </c>
      <c r="J3300" s="539">
        <v>401.36</v>
      </c>
      <c r="K3300" s="521">
        <f t="shared" si="218"/>
        <v>5</v>
      </c>
      <c r="L3300" s="522">
        <f t="shared" si="220"/>
        <v>3500</v>
      </c>
      <c r="M3300" s="527">
        <f t="shared" si="219"/>
        <v>1.2304360665419824E-2</v>
      </c>
      <c r="N3300" s="2" t="s">
        <v>40</v>
      </c>
      <c r="O3300" s="15" t="s">
        <v>105</v>
      </c>
    </row>
    <row r="3301" spans="1:15">
      <c r="A3301" s="70">
        <v>2025</v>
      </c>
      <c r="B3301" s="16" t="s">
        <v>1295</v>
      </c>
      <c r="C3301" s="71" t="s">
        <v>4385</v>
      </c>
      <c r="D3301" s="2" t="s">
        <v>708</v>
      </c>
      <c r="E3301" s="2" t="s">
        <v>293</v>
      </c>
      <c r="F3301" s="96">
        <v>400</v>
      </c>
      <c r="G3301" s="1" t="s">
        <v>37</v>
      </c>
      <c r="H3301" s="8">
        <v>405.83</v>
      </c>
      <c r="I3301" s="86">
        <f t="shared" si="217"/>
        <v>162332</v>
      </c>
      <c r="J3301" s="539">
        <v>400.83</v>
      </c>
      <c r="K3301" s="521">
        <f t="shared" si="218"/>
        <v>5</v>
      </c>
      <c r="L3301" s="522">
        <f t="shared" si="220"/>
        <v>2000</v>
      </c>
      <c r="M3301" s="523">
        <f t="shared" si="219"/>
        <v>1.2320429736589212E-2</v>
      </c>
      <c r="N3301" s="2" t="s">
        <v>40</v>
      </c>
      <c r="O3301" s="15" t="s">
        <v>105</v>
      </c>
    </row>
    <row r="3302" spans="1:15">
      <c r="A3302" s="70">
        <v>2025</v>
      </c>
      <c r="B3302" s="16" t="s">
        <v>1295</v>
      </c>
      <c r="C3302" s="71" t="s">
        <v>4386</v>
      </c>
      <c r="D3302" s="2" t="s">
        <v>1042</v>
      </c>
      <c r="E3302" s="2" t="s">
        <v>711</v>
      </c>
      <c r="F3302" s="96">
        <v>8749</v>
      </c>
      <c r="G3302" s="1" t="s">
        <v>37</v>
      </c>
      <c r="H3302" s="8">
        <v>393</v>
      </c>
      <c r="I3302" s="86">
        <f t="shared" si="217"/>
        <v>3438357</v>
      </c>
      <c r="J3302" s="539">
        <v>392</v>
      </c>
      <c r="K3302" s="521">
        <f t="shared" si="218"/>
        <v>1</v>
      </c>
      <c r="L3302" s="522">
        <f t="shared" si="220"/>
        <v>8749</v>
      </c>
      <c r="M3302" s="523">
        <f t="shared" si="219"/>
        <v>2.5445292620865142E-3</v>
      </c>
      <c r="N3302" s="2" t="s">
        <v>40</v>
      </c>
      <c r="O3302" s="15" t="s">
        <v>105</v>
      </c>
    </row>
    <row r="3303" spans="1:15">
      <c r="A3303" s="70">
        <v>2025</v>
      </c>
      <c r="B3303" s="16" t="s">
        <v>1295</v>
      </c>
      <c r="C3303" s="71" t="s">
        <v>4387</v>
      </c>
      <c r="D3303" s="2" t="s">
        <v>776</v>
      </c>
      <c r="E3303" s="2" t="s">
        <v>503</v>
      </c>
      <c r="F3303" s="96">
        <v>80000</v>
      </c>
      <c r="G3303" s="1" t="s">
        <v>37</v>
      </c>
      <c r="H3303" s="8">
        <v>64.69</v>
      </c>
      <c r="I3303" s="86">
        <f t="shared" si="217"/>
        <v>5175200</v>
      </c>
      <c r="J3303" s="539">
        <v>58.75</v>
      </c>
      <c r="K3303" s="521">
        <f t="shared" si="218"/>
        <v>5.9399999999999977</v>
      </c>
      <c r="L3303" s="522">
        <f t="shared" si="220"/>
        <v>475199.99999999983</v>
      </c>
      <c r="M3303" s="523">
        <f t="shared" si="219"/>
        <v>9.1822538259390907E-2</v>
      </c>
      <c r="N3303" s="2" t="s">
        <v>22</v>
      </c>
      <c r="O3303" s="15" t="s">
        <v>39</v>
      </c>
    </row>
    <row r="3304" spans="1:15">
      <c r="A3304" s="70">
        <v>2025</v>
      </c>
      <c r="B3304" s="16" t="s">
        <v>1295</v>
      </c>
      <c r="C3304" s="71" t="s">
        <v>4388</v>
      </c>
      <c r="D3304" s="2" t="s">
        <v>1119</v>
      </c>
      <c r="E3304" s="2" t="s">
        <v>4389</v>
      </c>
      <c r="F3304" s="96">
        <v>5</v>
      </c>
      <c r="G3304" s="1" t="s">
        <v>19</v>
      </c>
      <c r="H3304" s="8">
        <v>200</v>
      </c>
      <c r="I3304" s="86">
        <f t="shared" si="217"/>
        <v>1000</v>
      </c>
      <c r="J3304" s="539">
        <v>190</v>
      </c>
      <c r="K3304" s="521">
        <f t="shared" si="218"/>
        <v>10</v>
      </c>
      <c r="L3304" s="522">
        <f t="shared" si="220"/>
        <v>50</v>
      </c>
      <c r="M3304" s="523">
        <f t="shared" si="219"/>
        <v>0.05</v>
      </c>
      <c r="N3304" s="2" t="s">
        <v>40</v>
      </c>
      <c r="O3304" s="15" t="s">
        <v>39</v>
      </c>
    </row>
    <row r="3305" spans="1:15">
      <c r="A3305" s="70">
        <v>2025</v>
      </c>
      <c r="B3305" s="16" t="s">
        <v>1295</v>
      </c>
      <c r="C3305" s="71" t="s">
        <v>4388</v>
      </c>
      <c r="D3305" s="2" t="s">
        <v>1119</v>
      </c>
      <c r="E3305" s="2" t="s">
        <v>4390</v>
      </c>
      <c r="F3305" s="96">
        <v>10</v>
      </c>
      <c r="G3305" s="1" t="s">
        <v>19</v>
      </c>
      <c r="H3305" s="8">
        <v>580</v>
      </c>
      <c r="I3305" s="86">
        <f t="shared" si="217"/>
        <v>5800</v>
      </c>
      <c r="J3305" s="539">
        <v>520</v>
      </c>
      <c r="K3305" s="521">
        <f t="shared" si="218"/>
        <v>60</v>
      </c>
      <c r="L3305" s="522">
        <f t="shared" si="220"/>
        <v>600</v>
      </c>
      <c r="M3305" s="527">
        <f t="shared" si="219"/>
        <v>0.10344827586206896</v>
      </c>
      <c r="N3305" s="2" t="s">
        <v>40</v>
      </c>
      <c r="O3305" s="15" t="s">
        <v>39</v>
      </c>
    </row>
    <row r="3306" spans="1:15">
      <c r="A3306" s="70">
        <v>2025</v>
      </c>
      <c r="B3306" s="16" t="s">
        <v>1295</v>
      </c>
      <c r="C3306" s="71" t="s">
        <v>4388</v>
      </c>
      <c r="D3306" s="2" t="s">
        <v>1119</v>
      </c>
      <c r="E3306" s="2" t="s">
        <v>4391</v>
      </c>
      <c r="F3306" s="96">
        <v>50</v>
      </c>
      <c r="G3306" s="1" t="s">
        <v>19</v>
      </c>
      <c r="H3306" s="8">
        <v>40</v>
      </c>
      <c r="I3306" s="86">
        <f t="shared" si="217"/>
        <v>2000</v>
      </c>
      <c r="J3306" s="539">
        <v>38</v>
      </c>
      <c r="K3306" s="521">
        <f t="shared" si="218"/>
        <v>2</v>
      </c>
      <c r="L3306" s="522">
        <f t="shared" si="220"/>
        <v>100</v>
      </c>
      <c r="M3306" s="527">
        <f t="shared" si="219"/>
        <v>0.05</v>
      </c>
      <c r="N3306" s="2" t="s">
        <v>40</v>
      </c>
      <c r="O3306" s="15" t="s">
        <v>39</v>
      </c>
    </row>
    <row r="3307" spans="1:15">
      <c r="A3307" s="70">
        <v>2025</v>
      </c>
      <c r="B3307" s="16" t="s">
        <v>1295</v>
      </c>
      <c r="C3307" s="71" t="s">
        <v>4388</v>
      </c>
      <c r="D3307" s="2" t="s">
        <v>1119</v>
      </c>
      <c r="E3307" s="150" t="s">
        <v>4392</v>
      </c>
      <c r="F3307" s="457">
        <v>5</v>
      </c>
      <c r="G3307" s="484" t="s">
        <v>19</v>
      </c>
      <c r="H3307" s="151">
        <v>650</v>
      </c>
      <c r="I3307" s="86">
        <f t="shared" si="217"/>
        <v>3250</v>
      </c>
      <c r="J3307" s="539">
        <v>420</v>
      </c>
      <c r="K3307" s="521">
        <f t="shared" si="218"/>
        <v>230</v>
      </c>
      <c r="L3307" s="522">
        <f t="shared" si="220"/>
        <v>1150</v>
      </c>
      <c r="M3307" s="523">
        <f t="shared" si="219"/>
        <v>0.35384615384615387</v>
      </c>
      <c r="N3307" s="2" t="s">
        <v>40</v>
      </c>
      <c r="O3307" s="15" t="s">
        <v>39</v>
      </c>
    </row>
    <row r="3308" spans="1:15">
      <c r="A3308" s="70">
        <v>2025</v>
      </c>
      <c r="B3308" s="16" t="s">
        <v>1295</v>
      </c>
      <c r="C3308" s="71" t="s">
        <v>4388</v>
      </c>
      <c r="D3308" s="2" t="s">
        <v>1119</v>
      </c>
      <c r="E3308" s="150" t="s">
        <v>4393</v>
      </c>
      <c r="F3308" s="457">
        <v>10</v>
      </c>
      <c r="G3308" s="484" t="s">
        <v>19</v>
      </c>
      <c r="H3308" s="151">
        <v>40</v>
      </c>
      <c r="I3308" s="86">
        <f t="shared" si="217"/>
        <v>400</v>
      </c>
      <c r="J3308" s="539">
        <v>38</v>
      </c>
      <c r="K3308" s="521">
        <f t="shared" si="218"/>
        <v>2</v>
      </c>
      <c r="L3308" s="522">
        <f t="shared" si="220"/>
        <v>20</v>
      </c>
      <c r="M3308" s="523">
        <f t="shared" si="219"/>
        <v>0.05</v>
      </c>
      <c r="N3308" s="2" t="s">
        <v>40</v>
      </c>
      <c r="O3308" s="15" t="s">
        <v>39</v>
      </c>
    </row>
    <row r="3309" spans="1:15">
      <c r="A3309" s="70">
        <v>2025</v>
      </c>
      <c r="B3309" s="16" t="s">
        <v>1295</v>
      </c>
      <c r="C3309" s="71" t="s">
        <v>4394</v>
      </c>
      <c r="D3309" s="2" t="s">
        <v>68</v>
      </c>
      <c r="E3309" s="150" t="s">
        <v>755</v>
      </c>
      <c r="F3309" s="457">
        <v>552.20000000000005</v>
      </c>
      <c r="G3309" s="484" t="s">
        <v>37</v>
      </c>
      <c r="H3309" s="151">
        <v>415</v>
      </c>
      <c r="I3309" s="86">
        <f t="shared" si="217"/>
        <v>229163.00000000003</v>
      </c>
      <c r="J3309" s="539">
        <v>400</v>
      </c>
      <c r="K3309" s="521">
        <f t="shared" si="218"/>
        <v>15</v>
      </c>
      <c r="L3309" s="522">
        <f t="shared" si="220"/>
        <v>8283</v>
      </c>
      <c r="M3309" s="523">
        <f t="shared" si="219"/>
        <v>3.614457831325301E-2</v>
      </c>
      <c r="N3309" s="2" t="s">
        <v>22</v>
      </c>
      <c r="O3309" s="15" t="s">
        <v>105</v>
      </c>
    </row>
    <row r="3310" spans="1:15">
      <c r="A3310" s="70">
        <v>2025</v>
      </c>
      <c r="B3310" s="16" t="s">
        <v>1295</v>
      </c>
      <c r="C3310" s="71" t="s">
        <v>4395</v>
      </c>
      <c r="D3310" s="2" t="s">
        <v>192</v>
      </c>
      <c r="E3310" s="150" t="s">
        <v>4049</v>
      </c>
      <c r="F3310" s="457">
        <v>1</v>
      </c>
      <c r="G3310" s="484" t="s">
        <v>19</v>
      </c>
      <c r="H3310" s="151">
        <v>27880</v>
      </c>
      <c r="I3310" s="8">
        <f t="shared" si="217"/>
        <v>27880</v>
      </c>
      <c r="J3310" s="539">
        <v>27120</v>
      </c>
      <c r="K3310" s="521">
        <f t="shared" si="218"/>
        <v>760</v>
      </c>
      <c r="L3310" s="522">
        <f t="shared" si="220"/>
        <v>760</v>
      </c>
      <c r="M3310" s="523">
        <f t="shared" si="219"/>
        <v>2.7259684361549498E-2</v>
      </c>
      <c r="N3310" s="2" t="s">
        <v>40</v>
      </c>
      <c r="O3310" s="15" t="s">
        <v>105</v>
      </c>
    </row>
    <row r="3311" spans="1:15">
      <c r="A3311" s="70">
        <v>2025</v>
      </c>
      <c r="B3311" s="16" t="s">
        <v>1295</v>
      </c>
      <c r="C3311" s="71" t="s">
        <v>4396</v>
      </c>
      <c r="D3311" s="2" t="s">
        <v>166</v>
      </c>
      <c r="E3311" s="150" t="s">
        <v>4160</v>
      </c>
      <c r="F3311" s="457">
        <v>21950</v>
      </c>
      <c r="G3311" s="484" t="s">
        <v>37</v>
      </c>
      <c r="H3311" s="151">
        <v>385.77</v>
      </c>
      <c r="I3311" s="8">
        <f t="shared" si="217"/>
        <v>8467651.5</v>
      </c>
      <c r="J3311" s="539">
        <v>344.19</v>
      </c>
      <c r="K3311" s="521">
        <f t="shared" si="218"/>
        <v>41.579999999999984</v>
      </c>
      <c r="L3311" s="522">
        <f t="shared" si="220"/>
        <v>912680.99999999965</v>
      </c>
      <c r="M3311" s="523">
        <f t="shared" si="219"/>
        <v>0.10778443113772451</v>
      </c>
      <c r="N3311" s="2" t="s">
        <v>20</v>
      </c>
      <c r="O3311" s="15" t="s">
        <v>105</v>
      </c>
    </row>
    <row r="3312" spans="1:15">
      <c r="A3312" s="70">
        <v>2025</v>
      </c>
      <c r="B3312" s="16" t="s">
        <v>1295</v>
      </c>
      <c r="C3312" s="71" t="s">
        <v>4397</v>
      </c>
      <c r="D3312" s="2" t="s">
        <v>4398</v>
      </c>
      <c r="E3312" s="150" t="s">
        <v>3914</v>
      </c>
      <c r="F3312" s="457">
        <v>1</v>
      </c>
      <c r="G3312" s="484" t="s">
        <v>285</v>
      </c>
      <c r="H3312" s="151">
        <v>207.19</v>
      </c>
      <c r="I3312" s="8">
        <f t="shared" si="217"/>
        <v>207.19</v>
      </c>
      <c r="J3312" s="539">
        <v>0</v>
      </c>
      <c r="K3312" s="521">
        <f t="shared" si="218"/>
        <v>207.19</v>
      </c>
      <c r="L3312" s="522">
        <f t="shared" si="220"/>
        <v>207.19</v>
      </c>
      <c r="M3312" s="523">
        <f t="shared" si="219"/>
        <v>1</v>
      </c>
      <c r="N3312" s="2" t="s">
        <v>30</v>
      </c>
      <c r="O3312" s="15" t="s">
        <v>105</v>
      </c>
    </row>
    <row r="3313" spans="1:15">
      <c r="A3313" s="70">
        <v>2025</v>
      </c>
      <c r="B3313" s="16" t="s">
        <v>1295</v>
      </c>
      <c r="C3313" s="71" t="s">
        <v>4399</v>
      </c>
      <c r="D3313" s="2" t="s">
        <v>1119</v>
      </c>
      <c r="E3313" s="2" t="s">
        <v>4400</v>
      </c>
      <c r="F3313" s="96">
        <v>20</v>
      </c>
      <c r="G3313" s="1" t="s">
        <v>19</v>
      </c>
      <c r="H3313" s="8">
        <v>230</v>
      </c>
      <c r="I3313" s="8">
        <f t="shared" si="217"/>
        <v>4600</v>
      </c>
      <c r="J3313" s="539">
        <v>220</v>
      </c>
      <c r="K3313" s="521">
        <f t="shared" si="218"/>
        <v>10</v>
      </c>
      <c r="L3313" s="522">
        <f t="shared" si="220"/>
        <v>200</v>
      </c>
      <c r="M3313" s="523">
        <f t="shared" si="219"/>
        <v>4.3478260869565216E-2</v>
      </c>
      <c r="N3313" s="2" t="s">
        <v>40</v>
      </c>
      <c r="O3313" s="15" t="s">
        <v>39</v>
      </c>
    </row>
    <row r="3314" spans="1:15">
      <c r="A3314" s="70">
        <v>2025</v>
      </c>
      <c r="B3314" s="16" t="s">
        <v>1295</v>
      </c>
      <c r="C3314" s="71" t="s">
        <v>4401</v>
      </c>
      <c r="D3314" s="2" t="s">
        <v>708</v>
      </c>
      <c r="E3314" s="2" t="s">
        <v>45</v>
      </c>
      <c r="F3314" s="96">
        <v>1300</v>
      </c>
      <c r="G3314" s="1" t="s">
        <v>37</v>
      </c>
      <c r="H3314" s="8">
        <v>408.21</v>
      </c>
      <c r="I3314" s="8">
        <f t="shared" si="217"/>
        <v>530673</v>
      </c>
      <c r="J3314" s="539">
        <v>403.21</v>
      </c>
      <c r="K3314" s="521">
        <f t="shared" si="218"/>
        <v>5</v>
      </c>
      <c r="L3314" s="522">
        <f t="shared" si="220"/>
        <v>6500</v>
      </c>
      <c r="M3314" s="523">
        <f t="shared" si="219"/>
        <v>1.2248597535582176E-2</v>
      </c>
      <c r="N3314" s="2" t="s">
        <v>40</v>
      </c>
      <c r="O3314" s="15" t="s">
        <v>105</v>
      </c>
    </row>
    <row r="3315" spans="1:15">
      <c r="A3315" s="70">
        <v>2025</v>
      </c>
      <c r="B3315" s="16" t="s">
        <v>1295</v>
      </c>
      <c r="C3315" s="71" t="s">
        <v>4401</v>
      </c>
      <c r="D3315" s="2" t="s">
        <v>708</v>
      </c>
      <c r="E3315" s="2" t="s">
        <v>3616</v>
      </c>
      <c r="F3315" s="96">
        <v>700</v>
      </c>
      <c r="G3315" s="1" t="s">
        <v>37</v>
      </c>
      <c r="H3315" s="8">
        <v>407.16</v>
      </c>
      <c r="I3315" s="8">
        <f t="shared" si="217"/>
        <v>285012</v>
      </c>
      <c r="J3315" s="539">
        <v>402.16</v>
      </c>
      <c r="K3315" s="521">
        <f t="shared" si="218"/>
        <v>5</v>
      </c>
      <c r="L3315" s="522">
        <f t="shared" si="220"/>
        <v>3500</v>
      </c>
      <c r="M3315" s="523">
        <f t="shared" si="219"/>
        <v>1.2280184693977797E-2</v>
      </c>
      <c r="N3315" s="2" t="s">
        <v>40</v>
      </c>
      <c r="O3315" s="15" t="s">
        <v>105</v>
      </c>
    </row>
    <row r="3316" spans="1:15">
      <c r="A3316" s="70">
        <v>2025</v>
      </c>
      <c r="B3316" s="16" t="s">
        <v>1295</v>
      </c>
      <c r="C3316" s="71" t="s">
        <v>4401</v>
      </c>
      <c r="D3316" s="2" t="s">
        <v>708</v>
      </c>
      <c r="E3316" s="2" t="s">
        <v>293</v>
      </c>
      <c r="F3316" s="96">
        <v>449</v>
      </c>
      <c r="G3316" s="1" t="s">
        <v>37</v>
      </c>
      <c r="H3316" s="8">
        <v>405.83</v>
      </c>
      <c r="I3316" s="86">
        <f t="shared" si="217"/>
        <v>182217.66999999998</v>
      </c>
      <c r="J3316" s="539">
        <v>400.83</v>
      </c>
      <c r="K3316" s="521">
        <f t="shared" si="218"/>
        <v>5</v>
      </c>
      <c r="L3316" s="522">
        <f t="shared" si="220"/>
        <v>2245</v>
      </c>
      <c r="M3316" s="523">
        <f t="shared" si="219"/>
        <v>1.2320429736589212E-2</v>
      </c>
      <c r="N3316" s="2" t="s">
        <v>40</v>
      </c>
      <c r="O3316" s="15" t="s">
        <v>105</v>
      </c>
    </row>
    <row r="3317" spans="1:15">
      <c r="A3317" s="70">
        <v>2025</v>
      </c>
      <c r="B3317" s="16" t="s">
        <v>1295</v>
      </c>
      <c r="C3317" s="71" t="s">
        <v>4402</v>
      </c>
      <c r="D3317" s="2" t="s">
        <v>94</v>
      </c>
      <c r="E3317" s="2" t="s">
        <v>1038</v>
      </c>
      <c r="F3317" s="96">
        <v>200</v>
      </c>
      <c r="G3317" s="1" t="s">
        <v>19</v>
      </c>
      <c r="H3317" s="8">
        <v>15.5</v>
      </c>
      <c r="I3317" s="86">
        <f t="shared" ref="I3317:I3332" si="221">H3317*F3317</f>
        <v>3100</v>
      </c>
      <c r="J3317" s="539">
        <v>14.76</v>
      </c>
      <c r="K3317" s="521">
        <f t="shared" si="218"/>
        <v>0.74000000000000021</v>
      </c>
      <c r="L3317" s="522">
        <f t="shared" si="220"/>
        <v>148.00000000000006</v>
      </c>
      <c r="M3317" s="523">
        <f t="shared" si="219"/>
        <v>4.7741935483870984E-2</v>
      </c>
      <c r="N3317" s="2" t="s">
        <v>22</v>
      </c>
      <c r="O3317" s="15" t="s">
        <v>105</v>
      </c>
    </row>
    <row r="3318" spans="1:15">
      <c r="A3318" s="70">
        <v>2025</v>
      </c>
      <c r="B3318" s="16" t="s">
        <v>1295</v>
      </c>
      <c r="C3318" s="71" t="s">
        <v>4402</v>
      </c>
      <c r="D3318" s="2" t="s">
        <v>94</v>
      </c>
      <c r="E3318" s="2" t="s">
        <v>550</v>
      </c>
      <c r="F3318" s="96">
        <v>200</v>
      </c>
      <c r="G3318" s="1" t="s">
        <v>19</v>
      </c>
      <c r="H3318" s="8">
        <v>50</v>
      </c>
      <c r="I3318" s="86">
        <f t="shared" si="221"/>
        <v>10000</v>
      </c>
      <c r="J3318" s="539">
        <v>47.56</v>
      </c>
      <c r="K3318" s="521">
        <f t="shared" si="218"/>
        <v>2.4399999999999977</v>
      </c>
      <c r="L3318" s="522">
        <f t="shared" si="220"/>
        <v>487.99999999999955</v>
      </c>
      <c r="M3318" s="523">
        <f t="shared" si="219"/>
        <v>4.8799999999999955E-2</v>
      </c>
      <c r="N3318" s="2" t="s">
        <v>22</v>
      </c>
      <c r="O3318" s="15" t="s">
        <v>105</v>
      </c>
    </row>
    <row r="3319" spans="1:15">
      <c r="A3319" s="70">
        <v>2025</v>
      </c>
      <c r="B3319" s="16" t="s">
        <v>1295</v>
      </c>
      <c r="C3319" s="71" t="s">
        <v>4402</v>
      </c>
      <c r="D3319" s="2" t="s">
        <v>94</v>
      </c>
      <c r="E3319" s="2" t="s">
        <v>457</v>
      </c>
      <c r="F3319" s="96">
        <v>200</v>
      </c>
      <c r="G3319" s="1" t="s">
        <v>19</v>
      </c>
      <c r="H3319" s="8">
        <v>5.25</v>
      </c>
      <c r="I3319" s="8">
        <f t="shared" si="221"/>
        <v>1050</v>
      </c>
      <c r="J3319" s="539">
        <v>5.0999999999999996</v>
      </c>
      <c r="K3319" s="521">
        <f t="shared" si="218"/>
        <v>0.15000000000000036</v>
      </c>
      <c r="L3319" s="522">
        <f t="shared" si="220"/>
        <v>30.000000000000071</v>
      </c>
      <c r="M3319" s="523">
        <f t="shared" si="219"/>
        <v>2.857142857142864E-2</v>
      </c>
      <c r="N3319" s="2" t="s">
        <v>22</v>
      </c>
      <c r="O3319" s="15" t="s">
        <v>105</v>
      </c>
    </row>
    <row r="3320" spans="1:15">
      <c r="A3320" s="70">
        <v>2025</v>
      </c>
      <c r="B3320" s="16" t="s">
        <v>1295</v>
      </c>
      <c r="C3320" s="71" t="s">
        <v>4403</v>
      </c>
      <c r="D3320" s="2" t="s">
        <v>1119</v>
      </c>
      <c r="E3320" s="2" t="s">
        <v>4404</v>
      </c>
      <c r="F3320" s="96">
        <v>1</v>
      </c>
      <c r="G3320" s="1" t="s">
        <v>19</v>
      </c>
      <c r="H3320" s="8">
        <v>600</v>
      </c>
      <c r="I3320" s="8">
        <f t="shared" si="221"/>
        <v>600</v>
      </c>
      <c r="J3320" s="539">
        <v>580</v>
      </c>
      <c r="K3320" s="521">
        <f t="shared" si="218"/>
        <v>20</v>
      </c>
      <c r="L3320" s="522">
        <f t="shared" si="220"/>
        <v>20</v>
      </c>
      <c r="M3320" s="523">
        <f t="shared" si="219"/>
        <v>3.3333333333333333E-2</v>
      </c>
      <c r="N3320" s="2" t="s">
        <v>40</v>
      </c>
      <c r="O3320" s="15" t="s">
        <v>39</v>
      </c>
    </row>
    <row r="3321" spans="1:15">
      <c r="A3321" s="70">
        <v>2025</v>
      </c>
      <c r="B3321" s="16" t="s">
        <v>1295</v>
      </c>
      <c r="C3321" s="71" t="s">
        <v>4405</v>
      </c>
      <c r="D3321" s="2" t="s">
        <v>1119</v>
      </c>
      <c r="E3321" s="2" t="s">
        <v>2240</v>
      </c>
      <c r="F3321" s="96">
        <v>150</v>
      </c>
      <c r="G3321" s="1" t="s">
        <v>19</v>
      </c>
      <c r="H3321" s="8">
        <v>20</v>
      </c>
      <c r="I3321" s="8">
        <f t="shared" si="221"/>
        <v>3000</v>
      </c>
      <c r="J3321" s="539">
        <v>14</v>
      </c>
      <c r="K3321" s="521">
        <f t="shared" si="218"/>
        <v>6</v>
      </c>
      <c r="L3321" s="522">
        <f t="shared" si="220"/>
        <v>900</v>
      </c>
      <c r="M3321" s="523">
        <f t="shared" si="219"/>
        <v>0.3</v>
      </c>
      <c r="N3321" s="2" t="s">
        <v>40</v>
      </c>
      <c r="O3321" s="15" t="s">
        <v>39</v>
      </c>
    </row>
    <row r="3322" spans="1:15">
      <c r="A3322" s="70">
        <v>2025</v>
      </c>
      <c r="B3322" s="16" t="s">
        <v>1295</v>
      </c>
      <c r="C3322" s="71" t="s">
        <v>4405</v>
      </c>
      <c r="D3322" s="2" t="s">
        <v>1119</v>
      </c>
      <c r="E3322" s="2" t="s">
        <v>4406</v>
      </c>
      <c r="F3322" s="96">
        <v>40</v>
      </c>
      <c r="G3322" s="1" t="s">
        <v>19</v>
      </c>
      <c r="H3322" s="8">
        <v>25</v>
      </c>
      <c r="I3322" s="86">
        <f t="shared" si="221"/>
        <v>1000</v>
      </c>
      <c r="J3322" s="539">
        <v>22</v>
      </c>
      <c r="K3322" s="521">
        <f t="shared" si="218"/>
        <v>3</v>
      </c>
      <c r="L3322" s="522">
        <f t="shared" si="220"/>
        <v>120</v>
      </c>
      <c r="M3322" s="523">
        <f t="shared" si="219"/>
        <v>0.12</v>
      </c>
      <c r="N3322" s="2" t="s">
        <v>40</v>
      </c>
      <c r="O3322" s="15" t="s">
        <v>39</v>
      </c>
    </row>
    <row r="3323" spans="1:15">
      <c r="A3323" s="70">
        <v>2025</v>
      </c>
      <c r="B3323" s="16" t="s">
        <v>1295</v>
      </c>
      <c r="C3323" s="71" t="s">
        <v>4405</v>
      </c>
      <c r="D3323" s="2" t="s">
        <v>1119</v>
      </c>
      <c r="E3323" s="2" t="s">
        <v>4407</v>
      </c>
      <c r="F3323" s="96">
        <v>200</v>
      </c>
      <c r="G3323" s="1" t="s">
        <v>19</v>
      </c>
      <c r="H3323" s="8">
        <v>450</v>
      </c>
      <c r="I3323" s="86">
        <f t="shared" si="221"/>
        <v>90000</v>
      </c>
      <c r="J3323" s="539">
        <v>430</v>
      </c>
      <c r="K3323" s="521">
        <f t="shared" si="218"/>
        <v>20</v>
      </c>
      <c r="L3323" s="522">
        <f t="shared" si="220"/>
        <v>4000</v>
      </c>
      <c r="M3323" s="523">
        <f t="shared" si="219"/>
        <v>4.4444444444444446E-2</v>
      </c>
      <c r="N3323" s="2" t="s">
        <v>40</v>
      </c>
      <c r="O3323" s="15" t="s">
        <v>39</v>
      </c>
    </row>
    <row r="3324" spans="1:15">
      <c r="A3324" s="70">
        <v>2025</v>
      </c>
      <c r="B3324" s="16" t="s">
        <v>1295</v>
      </c>
      <c r="C3324" s="71" t="s">
        <v>4405</v>
      </c>
      <c r="D3324" s="2" t="s">
        <v>1119</v>
      </c>
      <c r="E3324" s="2" t="s">
        <v>4408</v>
      </c>
      <c r="F3324" s="96">
        <v>10</v>
      </c>
      <c r="G3324" s="1" t="s">
        <v>19</v>
      </c>
      <c r="H3324" s="8">
        <v>19</v>
      </c>
      <c r="I3324" s="86">
        <f t="shared" si="221"/>
        <v>190</v>
      </c>
      <c r="J3324" s="539">
        <v>18</v>
      </c>
      <c r="K3324" s="521">
        <f t="shared" si="218"/>
        <v>1</v>
      </c>
      <c r="L3324" s="522">
        <f t="shared" si="220"/>
        <v>10</v>
      </c>
      <c r="M3324" s="523">
        <f t="shared" si="219"/>
        <v>5.2631578947368418E-2</v>
      </c>
      <c r="N3324" s="2" t="s">
        <v>40</v>
      </c>
      <c r="O3324" s="15" t="s">
        <v>39</v>
      </c>
    </row>
    <row r="3325" spans="1:15">
      <c r="A3325" s="70">
        <v>2025</v>
      </c>
      <c r="B3325" s="16" t="s">
        <v>1295</v>
      </c>
      <c r="C3325" s="71" t="s">
        <v>4409</v>
      </c>
      <c r="D3325" s="2" t="s">
        <v>304</v>
      </c>
      <c r="E3325" s="2" t="s">
        <v>4410</v>
      </c>
      <c r="F3325" s="96">
        <v>1</v>
      </c>
      <c r="G3325" s="1" t="s">
        <v>19</v>
      </c>
      <c r="H3325" s="8">
        <v>9000</v>
      </c>
      <c r="I3325" s="86">
        <f t="shared" si="221"/>
        <v>9000</v>
      </c>
      <c r="J3325" s="539">
        <v>8500</v>
      </c>
      <c r="K3325" s="521">
        <f t="shared" si="218"/>
        <v>500</v>
      </c>
      <c r="L3325" s="522">
        <f t="shared" si="220"/>
        <v>500</v>
      </c>
      <c r="M3325" s="523">
        <f t="shared" si="219"/>
        <v>5.5555555555555552E-2</v>
      </c>
      <c r="N3325" s="2" t="s">
        <v>40</v>
      </c>
      <c r="O3325" s="15" t="s">
        <v>105</v>
      </c>
    </row>
    <row r="3326" spans="1:15">
      <c r="A3326" s="70">
        <v>2025</v>
      </c>
      <c r="B3326" s="16" t="s">
        <v>1295</v>
      </c>
      <c r="C3326" s="71" t="s">
        <v>4409</v>
      </c>
      <c r="D3326" s="2" t="s">
        <v>304</v>
      </c>
      <c r="E3326" s="2" t="s">
        <v>4411</v>
      </c>
      <c r="F3326" s="96">
        <v>1</v>
      </c>
      <c r="G3326" s="1" t="s">
        <v>19</v>
      </c>
      <c r="H3326" s="8">
        <v>10000</v>
      </c>
      <c r="I3326" s="86">
        <f t="shared" si="221"/>
        <v>10000</v>
      </c>
      <c r="J3326" s="539">
        <v>9500</v>
      </c>
      <c r="K3326" s="521">
        <f t="shared" si="218"/>
        <v>500</v>
      </c>
      <c r="L3326" s="522">
        <f t="shared" si="220"/>
        <v>500</v>
      </c>
      <c r="M3326" s="523">
        <f t="shared" si="219"/>
        <v>0.05</v>
      </c>
      <c r="N3326" s="2" t="s">
        <v>40</v>
      </c>
      <c r="O3326" s="15" t="s">
        <v>105</v>
      </c>
    </row>
    <row r="3327" spans="1:15">
      <c r="A3327" s="70">
        <v>2025</v>
      </c>
      <c r="B3327" s="16" t="s">
        <v>1295</v>
      </c>
      <c r="C3327" s="71" t="s">
        <v>4412</v>
      </c>
      <c r="D3327" s="2" t="s">
        <v>1119</v>
      </c>
      <c r="E3327" s="2" t="s">
        <v>4413</v>
      </c>
      <c r="F3327" s="96">
        <v>10</v>
      </c>
      <c r="G3327" s="1" t="s">
        <v>19</v>
      </c>
      <c r="H3327" s="8">
        <v>250</v>
      </c>
      <c r="I3327" s="86">
        <f t="shared" si="221"/>
        <v>2500</v>
      </c>
      <c r="J3327" s="539">
        <v>230</v>
      </c>
      <c r="K3327" s="521">
        <f t="shared" si="218"/>
        <v>20</v>
      </c>
      <c r="L3327" s="522">
        <f t="shared" si="220"/>
        <v>200</v>
      </c>
      <c r="M3327" s="523">
        <f t="shared" si="219"/>
        <v>0.08</v>
      </c>
      <c r="N3327" s="2" t="s">
        <v>40</v>
      </c>
      <c r="O3327" s="15" t="s">
        <v>39</v>
      </c>
    </row>
    <row r="3328" spans="1:15">
      <c r="A3328" s="70">
        <v>2025</v>
      </c>
      <c r="B3328" s="16" t="s">
        <v>1295</v>
      </c>
      <c r="C3328" s="71" t="s">
        <v>4412</v>
      </c>
      <c r="D3328" s="2" t="s">
        <v>1119</v>
      </c>
      <c r="E3328" s="2" t="s">
        <v>4414</v>
      </c>
      <c r="F3328" s="96">
        <v>500</v>
      </c>
      <c r="G3328" s="1" t="s">
        <v>19</v>
      </c>
      <c r="H3328" s="8">
        <v>16</v>
      </c>
      <c r="I3328" s="86">
        <f t="shared" si="221"/>
        <v>8000</v>
      </c>
      <c r="J3328" s="539">
        <v>15</v>
      </c>
      <c r="K3328" s="521">
        <f t="shared" si="218"/>
        <v>1</v>
      </c>
      <c r="L3328" s="522">
        <f t="shared" si="220"/>
        <v>500</v>
      </c>
      <c r="M3328" s="523">
        <f t="shared" si="219"/>
        <v>6.25E-2</v>
      </c>
      <c r="N3328" s="2" t="s">
        <v>40</v>
      </c>
      <c r="O3328" s="15" t="s">
        <v>39</v>
      </c>
    </row>
    <row r="3329" spans="1:15">
      <c r="A3329" s="70">
        <v>2025</v>
      </c>
      <c r="B3329" s="16" t="s">
        <v>1295</v>
      </c>
      <c r="C3329" s="71" t="s">
        <v>4412</v>
      </c>
      <c r="D3329" s="2" t="s">
        <v>1119</v>
      </c>
      <c r="E3329" s="2" t="s">
        <v>4383</v>
      </c>
      <c r="F3329" s="96">
        <v>20</v>
      </c>
      <c r="G3329" s="1" t="s">
        <v>19</v>
      </c>
      <c r="H3329" s="8">
        <v>250</v>
      </c>
      <c r="I3329" s="86">
        <f t="shared" si="221"/>
        <v>5000</v>
      </c>
      <c r="J3329" s="539">
        <v>230</v>
      </c>
      <c r="K3329" s="521">
        <f t="shared" si="218"/>
        <v>20</v>
      </c>
      <c r="L3329" s="522">
        <f t="shared" si="220"/>
        <v>400</v>
      </c>
      <c r="M3329" s="523">
        <f t="shared" si="219"/>
        <v>0.08</v>
      </c>
      <c r="N3329" s="2" t="s">
        <v>40</v>
      </c>
      <c r="O3329" s="15" t="s">
        <v>39</v>
      </c>
    </row>
    <row r="3330" spans="1:15">
      <c r="A3330" s="70">
        <v>2025</v>
      </c>
      <c r="B3330" s="16" t="s">
        <v>1295</v>
      </c>
      <c r="C3330" s="71" t="s">
        <v>4412</v>
      </c>
      <c r="D3330" s="2" t="s">
        <v>1119</v>
      </c>
      <c r="E3330" s="2" t="s">
        <v>4390</v>
      </c>
      <c r="F3330" s="96">
        <v>20</v>
      </c>
      <c r="G3330" s="1" t="s">
        <v>19</v>
      </c>
      <c r="H3330" s="8">
        <v>560</v>
      </c>
      <c r="I3330" s="86">
        <f t="shared" si="221"/>
        <v>11200</v>
      </c>
      <c r="J3330" s="539">
        <v>520</v>
      </c>
      <c r="K3330" s="521">
        <f t="shared" si="218"/>
        <v>40</v>
      </c>
      <c r="L3330" s="522">
        <f t="shared" si="220"/>
        <v>800</v>
      </c>
      <c r="M3330" s="523">
        <f t="shared" si="219"/>
        <v>7.1428571428571425E-2</v>
      </c>
      <c r="N3330" s="2" t="s">
        <v>40</v>
      </c>
      <c r="O3330" s="15" t="s">
        <v>39</v>
      </c>
    </row>
    <row r="3331" spans="1:15">
      <c r="A3331" s="70">
        <v>2025</v>
      </c>
      <c r="B3331" s="16" t="s">
        <v>1295</v>
      </c>
      <c r="C3331" s="71" t="s">
        <v>4415</v>
      </c>
      <c r="D3331" s="2" t="s">
        <v>4416</v>
      </c>
      <c r="E3331" s="2" t="s">
        <v>4417</v>
      </c>
      <c r="F3331" s="96">
        <v>1</v>
      </c>
      <c r="G3331" s="1" t="s">
        <v>285</v>
      </c>
      <c r="H3331" s="8">
        <v>43000</v>
      </c>
      <c r="I3331" s="86">
        <f t="shared" si="221"/>
        <v>43000</v>
      </c>
      <c r="J3331" s="539">
        <v>41500</v>
      </c>
      <c r="K3331" s="521">
        <f t="shared" ref="K3331:K3394" si="222">H3331-J3331</f>
        <v>1500</v>
      </c>
      <c r="L3331" s="522">
        <f t="shared" si="220"/>
        <v>1500</v>
      </c>
      <c r="M3331" s="523">
        <f t="shared" ref="M3331:M3394" si="223">K3331/H3331</f>
        <v>3.4883720930232558E-2</v>
      </c>
      <c r="N3331" s="2" t="s">
        <v>22</v>
      </c>
      <c r="O3331" s="15" t="s">
        <v>105</v>
      </c>
    </row>
    <row r="3332" spans="1:15">
      <c r="A3332" s="70">
        <v>2025</v>
      </c>
      <c r="B3332" s="16" t="s">
        <v>1295</v>
      </c>
      <c r="C3332" s="71" t="s">
        <v>4418</v>
      </c>
      <c r="D3332" s="2" t="s">
        <v>68</v>
      </c>
      <c r="E3332" s="2" t="s">
        <v>755</v>
      </c>
      <c r="F3332" s="96">
        <v>750.5</v>
      </c>
      <c r="G3332" s="1" t="s">
        <v>37</v>
      </c>
      <c r="H3332" s="8">
        <v>415</v>
      </c>
      <c r="I3332" s="86">
        <f t="shared" si="221"/>
        <v>311457.5</v>
      </c>
      <c r="J3332" s="539">
        <v>395</v>
      </c>
      <c r="K3332" s="521">
        <f t="shared" si="222"/>
        <v>20</v>
      </c>
      <c r="L3332" s="522">
        <f t="shared" si="220"/>
        <v>15010</v>
      </c>
      <c r="M3332" s="523">
        <f t="shared" si="223"/>
        <v>4.8192771084337352E-2</v>
      </c>
      <c r="N3332" s="2" t="s">
        <v>22</v>
      </c>
      <c r="O3332" s="15" t="s">
        <v>105</v>
      </c>
    </row>
    <row r="3333" spans="1:15">
      <c r="A3333" s="70">
        <v>2025</v>
      </c>
      <c r="B3333" s="16" t="s">
        <v>1295</v>
      </c>
      <c r="C3333" s="71" t="s">
        <v>4419</v>
      </c>
      <c r="D3333" s="2" t="s">
        <v>2167</v>
      </c>
      <c r="E3333" s="2" t="s">
        <v>4420</v>
      </c>
      <c r="F3333" s="96">
        <v>1300</v>
      </c>
      <c r="G3333" s="1" t="s">
        <v>19</v>
      </c>
      <c r="H3333" s="8">
        <v>660</v>
      </c>
      <c r="I3333" s="86" t="s">
        <v>4421</v>
      </c>
      <c r="J3333" s="539">
        <v>613.79999999999995</v>
      </c>
      <c r="K3333" s="521">
        <f t="shared" si="222"/>
        <v>46.200000000000045</v>
      </c>
      <c r="L3333" s="522">
        <f t="shared" si="220"/>
        <v>60060.000000000058</v>
      </c>
      <c r="M3333" s="523">
        <f t="shared" si="223"/>
        <v>7.0000000000000062E-2</v>
      </c>
      <c r="N3333" s="2" t="s">
        <v>40</v>
      </c>
      <c r="O3333" s="15" t="s">
        <v>105</v>
      </c>
    </row>
    <row r="3334" spans="1:15">
      <c r="A3334" s="70">
        <v>2025</v>
      </c>
      <c r="B3334" s="16" t="s">
        <v>1295</v>
      </c>
      <c r="C3334" s="71" t="s">
        <v>4419</v>
      </c>
      <c r="D3334" s="2" t="s">
        <v>2167</v>
      </c>
      <c r="E3334" s="2" t="s">
        <v>4422</v>
      </c>
      <c r="F3334" s="96">
        <v>90</v>
      </c>
      <c r="G3334" s="1" t="s">
        <v>19</v>
      </c>
      <c r="H3334" s="8">
        <v>4521</v>
      </c>
      <c r="I3334" s="86">
        <f t="shared" ref="I3334:I3397" si="224">H3334*F3334</f>
        <v>406890</v>
      </c>
      <c r="J3334" s="539">
        <v>4191</v>
      </c>
      <c r="K3334" s="521">
        <f t="shared" si="222"/>
        <v>330</v>
      </c>
      <c r="L3334" s="522">
        <f t="shared" ref="L3334:L3397" si="225">K3334*F3334</f>
        <v>29700</v>
      </c>
      <c r="M3334" s="523">
        <f t="shared" si="223"/>
        <v>7.2992700729927001E-2</v>
      </c>
      <c r="N3334" s="2" t="s">
        <v>40</v>
      </c>
      <c r="O3334" s="15" t="s">
        <v>105</v>
      </c>
    </row>
    <row r="3335" spans="1:15">
      <c r="A3335" s="70">
        <v>2025</v>
      </c>
      <c r="B3335" s="16" t="s">
        <v>1295</v>
      </c>
      <c r="C3335" s="71" t="s">
        <v>4423</v>
      </c>
      <c r="D3335" s="2" t="s">
        <v>229</v>
      </c>
      <c r="E3335" s="2" t="s">
        <v>1601</v>
      </c>
      <c r="F3335" s="96">
        <v>256000</v>
      </c>
      <c r="G3335" s="1" t="s">
        <v>231</v>
      </c>
      <c r="H3335" s="8">
        <v>23.5</v>
      </c>
      <c r="I3335" s="86">
        <f t="shared" si="224"/>
        <v>6016000</v>
      </c>
      <c r="J3335" s="539">
        <v>23.2</v>
      </c>
      <c r="K3335" s="521">
        <f t="shared" si="222"/>
        <v>0.30000000000000071</v>
      </c>
      <c r="L3335" s="522">
        <f t="shared" si="225"/>
        <v>76800.000000000175</v>
      </c>
      <c r="M3335" s="523">
        <f t="shared" si="223"/>
        <v>1.2765957446808541E-2</v>
      </c>
      <c r="N3335" s="2" t="s">
        <v>22</v>
      </c>
      <c r="O3335" s="15" t="s">
        <v>39</v>
      </c>
    </row>
    <row r="3336" spans="1:15">
      <c r="A3336" s="70">
        <v>2025</v>
      </c>
      <c r="B3336" s="16" t="s">
        <v>1295</v>
      </c>
      <c r="C3336" s="71" t="s">
        <v>4424</v>
      </c>
      <c r="D3336" s="2" t="s">
        <v>94</v>
      </c>
      <c r="E3336" s="150" t="s">
        <v>550</v>
      </c>
      <c r="F3336" s="464">
        <v>200</v>
      </c>
      <c r="G3336" s="1" t="s">
        <v>19</v>
      </c>
      <c r="H3336" s="8">
        <v>50</v>
      </c>
      <c r="I3336" s="86">
        <f t="shared" si="224"/>
        <v>10000</v>
      </c>
      <c r="J3336" s="539">
        <v>47.56</v>
      </c>
      <c r="K3336" s="521">
        <f t="shared" si="222"/>
        <v>2.4399999999999977</v>
      </c>
      <c r="L3336" s="522">
        <f t="shared" si="225"/>
        <v>487.99999999999955</v>
      </c>
      <c r="M3336" s="523">
        <f t="shared" si="223"/>
        <v>4.8799999999999955E-2</v>
      </c>
      <c r="N3336" s="2" t="s">
        <v>22</v>
      </c>
      <c r="O3336" s="15" t="s">
        <v>105</v>
      </c>
    </row>
    <row r="3337" spans="1:15">
      <c r="A3337" s="70">
        <v>2025</v>
      </c>
      <c r="B3337" s="16" t="s">
        <v>1295</v>
      </c>
      <c r="C3337" s="71" t="s">
        <v>4425</v>
      </c>
      <c r="D3337" s="2" t="s">
        <v>107</v>
      </c>
      <c r="E3337" s="150" t="s">
        <v>4426</v>
      </c>
      <c r="F3337" s="464">
        <v>68</v>
      </c>
      <c r="G3337" s="1" t="s">
        <v>19</v>
      </c>
      <c r="H3337" s="8">
        <v>3600</v>
      </c>
      <c r="I3337" s="86">
        <f t="shared" si="224"/>
        <v>244800</v>
      </c>
      <c r="J3337" s="539">
        <v>3500</v>
      </c>
      <c r="K3337" s="521">
        <f t="shared" si="222"/>
        <v>100</v>
      </c>
      <c r="L3337" s="522">
        <f t="shared" si="225"/>
        <v>6800</v>
      </c>
      <c r="M3337" s="523">
        <f t="shared" si="223"/>
        <v>2.7777777777777776E-2</v>
      </c>
      <c r="N3337" s="2" t="s">
        <v>22</v>
      </c>
      <c r="O3337" s="15" t="s">
        <v>4066</v>
      </c>
    </row>
    <row r="3338" spans="1:15">
      <c r="A3338" s="70">
        <v>2025</v>
      </c>
      <c r="B3338" s="16" t="s">
        <v>1295</v>
      </c>
      <c r="C3338" s="71" t="s">
        <v>4427</v>
      </c>
      <c r="D3338" s="2" t="s">
        <v>192</v>
      </c>
      <c r="E3338" s="150" t="s">
        <v>4428</v>
      </c>
      <c r="F3338" s="464">
        <v>575</v>
      </c>
      <c r="G3338" s="1" t="s">
        <v>19</v>
      </c>
      <c r="H3338" s="8">
        <v>1990</v>
      </c>
      <c r="I3338" s="86">
        <f t="shared" si="224"/>
        <v>1144250</v>
      </c>
      <c r="J3338" s="539">
        <v>1700</v>
      </c>
      <c r="K3338" s="521">
        <f t="shared" si="222"/>
        <v>290</v>
      </c>
      <c r="L3338" s="522">
        <f t="shared" si="225"/>
        <v>166750</v>
      </c>
      <c r="M3338" s="523">
        <f t="shared" si="223"/>
        <v>0.14572864321608039</v>
      </c>
      <c r="N3338" s="2" t="s">
        <v>22</v>
      </c>
      <c r="O3338" s="15" t="s">
        <v>105</v>
      </c>
    </row>
    <row r="3339" spans="1:15">
      <c r="A3339" s="70">
        <v>2025</v>
      </c>
      <c r="B3339" s="16" t="s">
        <v>1295</v>
      </c>
      <c r="C3339" s="71" t="s">
        <v>4423</v>
      </c>
      <c r="D3339" s="2" t="s">
        <v>229</v>
      </c>
      <c r="E3339" s="150" t="s">
        <v>1729</v>
      </c>
      <c r="F3339" s="464">
        <v>3000</v>
      </c>
      <c r="G3339" s="1" t="s">
        <v>37</v>
      </c>
      <c r="H3339" s="8">
        <v>23.5</v>
      </c>
      <c r="I3339" s="86">
        <f t="shared" si="224"/>
        <v>70500</v>
      </c>
      <c r="J3339" s="539">
        <v>23.2</v>
      </c>
      <c r="K3339" s="521">
        <f t="shared" si="222"/>
        <v>0.30000000000000071</v>
      </c>
      <c r="L3339" s="522">
        <f t="shared" si="225"/>
        <v>900.00000000000216</v>
      </c>
      <c r="M3339" s="523">
        <f t="shared" si="223"/>
        <v>1.2765957446808541E-2</v>
      </c>
      <c r="N3339" s="2" t="s">
        <v>22</v>
      </c>
      <c r="O3339" s="15" t="s">
        <v>39</v>
      </c>
    </row>
    <row r="3340" spans="1:15">
      <c r="A3340" s="70">
        <v>2025</v>
      </c>
      <c r="B3340" s="16" t="s">
        <v>1295</v>
      </c>
      <c r="C3340" s="71" t="s">
        <v>4423</v>
      </c>
      <c r="D3340" s="2" t="s">
        <v>229</v>
      </c>
      <c r="E3340" s="150" t="s">
        <v>2255</v>
      </c>
      <c r="F3340" s="464">
        <v>12000</v>
      </c>
      <c r="G3340" s="1" t="s">
        <v>37</v>
      </c>
      <c r="H3340" s="8">
        <v>23.5</v>
      </c>
      <c r="I3340" s="86">
        <f t="shared" si="224"/>
        <v>282000</v>
      </c>
      <c r="J3340" s="539">
        <v>23.2</v>
      </c>
      <c r="K3340" s="521">
        <f t="shared" si="222"/>
        <v>0.30000000000000071</v>
      </c>
      <c r="L3340" s="522">
        <f t="shared" si="225"/>
        <v>3600.0000000000086</v>
      </c>
      <c r="M3340" s="523">
        <f t="shared" si="223"/>
        <v>1.2765957446808541E-2</v>
      </c>
      <c r="N3340" s="2" t="s">
        <v>22</v>
      </c>
      <c r="O3340" s="15" t="s">
        <v>39</v>
      </c>
    </row>
    <row r="3341" spans="1:15">
      <c r="A3341" s="70">
        <v>2025</v>
      </c>
      <c r="B3341" s="16" t="s">
        <v>1295</v>
      </c>
      <c r="C3341" s="71" t="s">
        <v>4423</v>
      </c>
      <c r="D3341" s="2" t="s">
        <v>229</v>
      </c>
      <c r="E3341" s="150" t="s">
        <v>2255</v>
      </c>
      <c r="F3341" s="464">
        <v>36000</v>
      </c>
      <c r="G3341" s="1" t="s">
        <v>37</v>
      </c>
      <c r="H3341" s="8">
        <v>23.5</v>
      </c>
      <c r="I3341" s="86">
        <f t="shared" si="224"/>
        <v>846000</v>
      </c>
      <c r="J3341" s="539">
        <v>23.2</v>
      </c>
      <c r="K3341" s="521">
        <f t="shared" si="222"/>
        <v>0.30000000000000071</v>
      </c>
      <c r="L3341" s="522">
        <f t="shared" si="225"/>
        <v>10800.000000000025</v>
      </c>
      <c r="M3341" s="523">
        <f t="shared" si="223"/>
        <v>1.2765957446808541E-2</v>
      </c>
      <c r="N3341" s="2" t="s">
        <v>22</v>
      </c>
      <c r="O3341" s="15" t="s">
        <v>39</v>
      </c>
    </row>
    <row r="3342" spans="1:15">
      <c r="A3342" s="70">
        <v>2025</v>
      </c>
      <c r="B3342" s="16" t="s">
        <v>1295</v>
      </c>
      <c r="C3342" s="71" t="s">
        <v>4423</v>
      </c>
      <c r="D3342" s="2" t="s">
        <v>229</v>
      </c>
      <c r="E3342" s="150" t="s">
        <v>2345</v>
      </c>
      <c r="F3342" s="464">
        <v>18000</v>
      </c>
      <c r="G3342" s="1" t="s">
        <v>37</v>
      </c>
      <c r="H3342" s="8">
        <v>23.5</v>
      </c>
      <c r="I3342" s="86">
        <f t="shared" si="224"/>
        <v>423000</v>
      </c>
      <c r="J3342" s="539">
        <v>23.2</v>
      </c>
      <c r="K3342" s="521">
        <f t="shared" si="222"/>
        <v>0.30000000000000071</v>
      </c>
      <c r="L3342" s="522">
        <f t="shared" si="225"/>
        <v>5400.0000000000127</v>
      </c>
      <c r="M3342" s="523">
        <f t="shared" si="223"/>
        <v>1.2765957446808541E-2</v>
      </c>
      <c r="N3342" s="2" t="s">
        <v>22</v>
      </c>
      <c r="O3342" s="15" t="s">
        <v>39</v>
      </c>
    </row>
    <row r="3343" spans="1:15">
      <c r="A3343" s="70">
        <v>2025</v>
      </c>
      <c r="B3343" s="16" t="s">
        <v>1295</v>
      </c>
      <c r="C3343" s="71" t="s">
        <v>4423</v>
      </c>
      <c r="D3343" s="2" t="s">
        <v>229</v>
      </c>
      <c r="E3343" s="150" t="s">
        <v>333</v>
      </c>
      <c r="F3343" s="464">
        <v>63000</v>
      </c>
      <c r="G3343" s="1" t="s">
        <v>37</v>
      </c>
      <c r="H3343" s="8">
        <v>23.5</v>
      </c>
      <c r="I3343" s="86">
        <f t="shared" si="224"/>
        <v>1480500</v>
      </c>
      <c r="J3343" s="539">
        <v>23.2</v>
      </c>
      <c r="K3343" s="521">
        <f t="shared" si="222"/>
        <v>0.30000000000000071</v>
      </c>
      <c r="L3343" s="522">
        <f t="shared" si="225"/>
        <v>18900.000000000044</v>
      </c>
      <c r="M3343" s="523">
        <f t="shared" si="223"/>
        <v>1.2765957446808541E-2</v>
      </c>
      <c r="N3343" s="2" t="s">
        <v>22</v>
      </c>
      <c r="O3343" s="15" t="s">
        <v>39</v>
      </c>
    </row>
    <row r="3344" spans="1:15">
      <c r="A3344" s="70">
        <v>2025</v>
      </c>
      <c r="B3344" s="16" t="s">
        <v>1295</v>
      </c>
      <c r="C3344" s="71" t="s">
        <v>4423</v>
      </c>
      <c r="D3344" s="2" t="s">
        <v>229</v>
      </c>
      <c r="E3344" s="2" t="s">
        <v>274</v>
      </c>
      <c r="F3344" s="96">
        <v>70000</v>
      </c>
      <c r="G3344" s="1" t="s">
        <v>37</v>
      </c>
      <c r="H3344" s="8">
        <v>23.5</v>
      </c>
      <c r="I3344" s="86">
        <f t="shared" si="224"/>
        <v>1645000</v>
      </c>
      <c r="J3344" s="539">
        <v>23.2</v>
      </c>
      <c r="K3344" s="521">
        <f t="shared" si="222"/>
        <v>0.30000000000000071</v>
      </c>
      <c r="L3344" s="522">
        <f t="shared" si="225"/>
        <v>21000.000000000051</v>
      </c>
      <c r="M3344" s="523">
        <f t="shared" si="223"/>
        <v>1.2765957446808541E-2</v>
      </c>
      <c r="N3344" s="2" t="s">
        <v>22</v>
      </c>
      <c r="O3344" s="15" t="s">
        <v>39</v>
      </c>
    </row>
    <row r="3345" spans="1:15">
      <c r="A3345" s="70">
        <v>2025</v>
      </c>
      <c r="B3345" s="16" t="s">
        <v>1295</v>
      </c>
      <c r="C3345" s="71" t="s">
        <v>4423</v>
      </c>
      <c r="D3345" s="2" t="s">
        <v>229</v>
      </c>
      <c r="E3345" s="2" t="s">
        <v>275</v>
      </c>
      <c r="F3345" s="96">
        <v>30000</v>
      </c>
      <c r="G3345" s="1" t="s">
        <v>37</v>
      </c>
      <c r="H3345" s="8">
        <v>23.5</v>
      </c>
      <c r="I3345" s="86">
        <f t="shared" si="224"/>
        <v>705000</v>
      </c>
      <c r="J3345" s="539">
        <v>23.2</v>
      </c>
      <c r="K3345" s="521">
        <f t="shared" si="222"/>
        <v>0.30000000000000071</v>
      </c>
      <c r="L3345" s="522">
        <f t="shared" si="225"/>
        <v>9000.0000000000218</v>
      </c>
      <c r="M3345" s="523">
        <f t="shared" si="223"/>
        <v>1.2765957446808541E-2</v>
      </c>
      <c r="N3345" s="2" t="s">
        <v>22</v>
      </c>
      <c r="O3345" s="15" t="s">
        <v>39</v>
      </c>
    </row>
    <row r="3346" spans="1:15">
      <c r="A3346" s="70">
        <v>2025</v>
      </c>
      <c r="B3346" s="16" t="s">
        <v>1295</v>
      </c>
      <c r="C3346" s="71" t="s">
        <v>4423</v>
      </c>
      <c r="D3346" s="2" t="s">
        <v>229</v>
      </c>
      <c r="E3346" s="150" t="s">
        <v>996</v>
      </c>
      <c r="F3346" s="464">
        <v>15000</v>
      </c>
      <c r="G3346" s="1" t="s">
        <v>37</v>
      </c>
      <c r="H3346" s="8">
        <v>23.5</v>
      </c>
      <c r="I3346" s="86">
        <f t="shared" si="224"/>
        <v>352500</v>
      </c>
      <c r="J3346" s="539">
        <v>23.2</v>
      </c>
      <c r="K3346" s="521">
        <f t="shared" si="222"/>
        <v>0.30000000000000071</v>
      </c>
      <c r="L3346" s="522">
        <f t="shared" si="225"/>
        <v>4500.0000000000109</v>
      </c>
      <c r="M3346" s="523">
        <f t="shared" si="223"/>
        <v>1.2765957446808541E-2</v>
      </c>
      <c r="N3346" s="2" t="s">
        <v>22</v>
      </c>
      <c r="O3346" s="15" t="s">
        <v>39</v>
      </c>
    </row>
    <row r="3347" spans="1:15">
      <c r="A3347" s="70">
        <v>2025</v>
      </c>
      <c r="B3347" s="16" t="s">
        <v>1295</v>
      </c>
      <c r="C3347" s="71" t="s">
        <v>4423</v>
      </c>
      <c r="D3347" s="2" t="s">
        <v>229</v>
      </c>
      <c r="E3347" s="150" t="s">
        <v>230</v>
      </c>
      <c r="F3347" s="464">
        <v>9000</v>
      </c>
      <c r="G3347" s="1" t="s">
        <v>37</v>
      </c>
      <c r="H3347" s="8">
        <v>23.5</v>
      </c>
      <c r="I3347" s="86">
        <f t="shared" si="224"/>
        <v>211500</v>
      </c>
      <c r="J3347" s="539">
        <v>23.2</v>
      </c>
      <c r="K3347" s="521">
        <f t="shared" si="222"/>
        <v>0.30000000000000071</v>
      </c>
      <c r="L3347" s="522">
        <f t="shared" si="225"/>
        <v>2700.0000000000064</v>
      </c>
      <c r="M3347" s="523">
        <f t="shared" si="223"/>
        <v>1.2765957446808541E-2</v>
      </c>
      <c r="N3347" s="2" t="s">
        <v>22</v>
      </c>
      <c r="O3347" s="15" t="s">
        <v>39</v>
      </c>
    </row>
    <row r="3348" spans="1:15">
      <c r="A3348" s="70">
        <v>2025</v>
      </c>
      <c r="B3348" s="16" t="s">
        <v>1295</v>
      </c>
      <c r="C3348" s="71" t="s">
        <v>4429</v>
      </c>
      <c r="D3348" s="150" t="s">
        <v>4371</v>
      </c>
      <c r="E3348" s="150" t="s">
        <v>4330</v>
      </c>
      <c r="F3348" s="464">
        <v>1</v>
      </c>
      <c r="G3348" s="1" t="s">
        <v>285</v>
      </c>
      <c r="H3348" s="8">
        <v>23043</v>
      </c>
      <c r="I3348" s="86">
        <f t="shared" si="224"/>
        <v>23043</v>
      </c>
      <c r="J3348" s="539">
        <v>21207</v>
      </c>
      <c r="K3348" s="521">
        <f t="shared" si="222"/>
        <v>1836</v>
      </c>
      <c r="L3348" s="522">
        <f t="shared" si="225"/>
        <v>1836</v>
      </c>
      <c r="M3348" s="523">
        <f t="shared" si="223"/>
        <v>7.9677125374300217E-2</v>
      </c>
      <c r="N3348" s="2" t="s">
        <v>40</v>
      </c>
      <c r="O3348" s="15" t="s">
        <v>105</v>
      </c>
    </row>
    <row r="3349" spans="1:15">
      <c r="A3349" s="70">
        <v>2025</v>
      </c>
      <c r="B3349" s="16" t="s">
        <v>1295</v>
      </c>
      <c r="C3349" s="71" t="s">
        <v>4430</v>
      </c>
      <c r="D3349" s="2" t="s">
        <v>4431</v>
      </c>
      <c r="E3349" s="150" t="s">
        <v>4330</v>
      </c>
      <c r="F3349" s="464">
        <v>1</v>
      </c>
      <c r="G3349" s="1" t="s">
        <v>285</v>
      </c>
      <c r="H3349" s="8">
        <v>145839.89000000001</v>
      </c>
      <c r="I3349" s="86">
        <f t="shared" si="224"/>
        <v>145839.89000000001</v>
      </c>
      <c r="J3349" s="539">
        <v>104451.5</v>
      </c>
      <c r="K3349" s="521">
        <f t="shared" si="222"/>
        <v>41388.390000000014</v>
      </c>
      <c r="L3349" s="522">
        <f t="shared" si="225"/>
        <v>41388.390000000014</v>
      </c>
      <c r="M3349" s="523">
        <f t="shared" si="223"/>
        <v>0.28379334350841878</v>
      </c>
      <c r="N3349" s="2" t="s">
        <v>22</v>
      </c>
      <c r="O3349" s="15" t="s">
        <v>105</v>
      </c>
    </row>
    <row r="3350" spans="1:15" ht="36">
      <c r="A3350" s="423">
        <v>2025</v>
      </c>
      <c r="B3350" s="425" t="s">
        <v>1295</v>
      </c>
      <c r="C3350" s="102" t="s">
        <v>4432</v>
      </c>
      <c r="D3350" s="72" t="s">
        <v>4433</v>
      </c>
      <c r="E3350" s="444" t="s">
        <v>4330</v>
      </c>
      <c r="F3350" s="464">
        <v>1</v>
      </c>
      <c r="G3350" s="3" t="s">
        <v>285</v>
      </c>
      <c r="H3350" s="29">
        <v>265753.96000000002</v>
      </c>
      <c r="I3350" s="513">
        <f t="shared" si="224"/>
        <v>265753.96000000002</v>
      </c>
      <c r="J3350" s="552">
        <v>148107</v>
      </c>
      <c r="K3350" s="553">
        <f t="shared" si="222"/>
        <v>117646.96000000002</v>
      </c>
      <c r="L3350" s="554">
        <f t="shared" si="225"/>
        <v>117646.96000000002</v>
      </c>
      <c r="M3350" s="555">
        <f t="shared" si="223"/>
        <v>0.44269127730025176</v>
      </c>
      <c r="N3350" s="28" t="s">
        <v>22</v>
      </c>
      <c r="O3350" s="15" t="s">
        <v>105</v>
      </c>
    </row>
    <row r="3351" spans="1:15">
      <c r="A3351" s="70">
        <v>2025</v>
      </c>
      <c r="B3351" s="16" t="s">
        <v>1295</v>
      </c>
      <c r="C3351" s="71" t="s">
        <v>4434</v>
      </c>
      <c r="D3351" s="2" t="s">
        <v>4329</v>
      </c>
      <c r="E3351" s="150" t="s">
        <v>4330</v>
      </c>
      <c r="F3351" s="464">
        <v>1</v>
      </c>
      <c r="G3351" s="1" t="s">
        <v>285</v>
      </c>
      <c r="H3351" s="8">
        <v>218661.27</v>
      </c>
      <c r="I3351" s="86">
        <f t="shared" si="224"/>
        <v>218661.27</v>
      </c>
      <c r="J3351" s="539">
        <v>202435.15</v>
      </c>
      <c r="K3351" s="521">
        <f t="shared" si="222"/>
        <v>16226.119999999995</v>
      </c>
      <c r="L3351" s="522">
        <f t="shared" si="225"/>
        <v>16226.119999999995</v>
      </c>
      <c r="M3351" s="523">
        <f t="shared" si="223"/>
        <v>7.4206648484205717E-2</v>
      </c>
      <c r="N3351" s="2" t="s">
        <v>22</v>
      </c>
      <c r="O3351" s="15" t="s">
        <v>105</v>
      </c>
    </row>
    <row r="3352" spans="1:15">
      <c r="A3352" s="70">
        <v>2025</v>
      </c>
      <c r="B3352" s="16" t="s">
        <v>1295</v>
      </c>
      <c r="C3352" s="71" t="s">
        <v>4435</v>
      </c>
      <c r="D3352" s="2" t="s">
        <v>4002</v>
      </c>
      <c r="E3352" s="150" t="s">
        <v>4436</v>
      </c>
      <c r="F3352" s="464">
        <v>2</v>
      </c>
      <c r="G3352" s="1" t="s">
        <v>29</v>
      </c>
      <c r="H3352" s="8">
        <v>3900</v>
      </c>
      <c r="I3352" s="86">
        <f t="shared" si="224"/>
        <v>7800</v>
      </c>
      <c r="J3352" s="539">
        <v>3100</v>
      </c>
      <c r="K3352" s="521">
        <f t="shared" si="222"/>
        <v>800</v>
      </c>
      <c r="L3352" s="522">
        <f t="shared" si="225"/>
        <v>1600</v>
      </c>
      <c r="M3352" s="523">
        <f t="shared" si="223"/>
        <v>0.20512820512820512</v>
      </c>
      <c r="N3352" s="2" t="s">
        <v>40</v>
      </c>
      <c r="O3352" s="15" t="s">
        <v>4066</v>
      </c>
    </row>
    <row r="3353" spans="1:15">
      <c r="A3353" s="70">
        <v>2025</v>
      </c>
      <c r="B3353" s="16" t="s">
        <v>1295</v>
      </c>
      <c r="C3353" s="71" t="s">
        <v>4437</v>
      </c>
      <c r="D3353" s="2" t="s">
        <v>118</v>
      </c>
      <c r="E3353" s="150" t="s">
        <v>4438</v>
      </c>
      <c r="F3353" s="464">
        <v>2</v>
      </c>
      <c r="G3353" s="1" t="s">
        <v>19</v>
      </c>
      <c r="H3353" s="8">
        <v>26000</v>
      </c>
      <c r="I3353" s="86">
        <f t="shared" si="224"/>
        <v>52000</v>
      </c>
      <c r="J3353" s="539">
        <v>24700</v>
      </c>
      <c r="K3353" s="521">
        <f t="shared" si="222"/>
        <v>1300</v>
      </c>
      <c r="L3353" s="522">
        <f t="shared" si="225"/>
        <v>2600</v>
      </c>
      <c r="M3353" s="523">
        <f t="shared" si="223"/>
        <v>0.05</v>
      </c>
      <c r="N3353" s="2" t="s">
        <v>22</v>
      </c>
      <c r="O3353" s="15" t="s">
        <v>4066</v>
      </c>
    </row>
    <row r="3354" spans="1:15">
      <c r="A3354" s="70">
        <v>2025</v>
      </c>
      <c r="B3354" s="16" t="s">
        <v>1295</v>
      </c>
      <c r="C3354" s="71" t="s">
        <v>4439</v>
      </c>
      <c r="D3354" s="2" t="s">
        <v>118</v>
      </c>
      <c r="E3354" s="150" t="s">
        <v>4440</v>
      </c>
      <c r="F3354" s="464">
        <v>3</v>
      </c>
      <c r="G3354" s="1" t="s">
        <v>19</v>
      </c>
      <c r="H3354" s="8">
        <v>2068</v>
      </c>
      <c r="I3354" s="86">
        <f t="shared" si="224"/>
        <v>6204</v>
      </c>
      <c r="J3354" s="539">
        <v>1551</v>
      </c>
      <c r="K3354" s="521">
        <f t="shared" si="222"/>
        <v>517</v>
      </c>
      <c r="L3354" s="522">
        <f t="shared" si="225"/>
        <v>1551</v>
      </c>
      <c r="M3354" s="523">
        <f t="shared" si="223"/>
        <v>0.25</v>
      </c>
      <c r="N3354" s="2" t="s">
        <v>22</v>
      </c>
      <c r="O3354" s="15" t="s">
        <v>4066</v>
      </c>
    </row>
    <row r="3355" spans="1:15">
      <c r="A3355" s="70">
        <v>2025</v>
      </c>
      <c r="B3355" s="16" t="s">
        <v>1295</v>
      </c>
      <c r="C3355" s="71" t="s">
        <v>4441</v>
      </c>
      <c r="D3355" s="2" t="s">
        <v>4302</v>
      </c>
      <c r="E3355" s="150" t="s">
        <v>4442</v>
      </c>
      <c r="F3355" s="464">
        <v>1</v>
      </c>
      <c r="G3355" s="1" t="s">
        <v>285</v>
      </c>
      <c r="H3355" s="8">
        <v>135000</v>
      </c>
      <c r="I3355" s="86">
        <f t="shared" si="224"/>
        <v>135000</v>
      </c>
      <c r="J3355" s="539">
        <v>130950</v>
      </c>
      <c r="K3355" s="521">
        <f t="shared" si="222"/>
        <v>4050</v>
      </c>
      <c r="L3355" s="522">
        <f t="shared" si="225"/>
        <v>4050</v>
      </c>
      <c r="M3355" s="523">
        <f t="shared" si="223"/>
        <v>0.03</v>
      </c>
      <c r="N3355" s="2" t="s">
        <v>40</v>
      </c>
      <c r="O3355" s="15" t="s">
        <v>4066</v>
      </c>
    </row>
    <row r="3356" spans="1:15">
      <c r="A3356" s="70">
        <v>2025</v>
      </c>
      <c r="B3356" s="16" t="s">
        <v>1295</v>
      </c>
      <c r="C3356" s="71" t="s">
        <v>4443</v>
      </c>
      <c r="D3356" s="2" t="s">
        <v>2918</v>
      </c>
      <c r="E3356" s="2" t="s">
        <v>4444</v>
      </c>
      <c r="F3356" s="96">
        <v>1</v>
      </c>
      <c r="G3356" s="1" t="s">
        <v>285</v>
      </c>
      <c r="H3356" s="8">
        <v>7290</v>
      </c>
      <c r="I3356" s="86">
        <f t="shared" si="224"/>
        <v>7290</v>
      </c>
      <c r="J3356" s="539">
        <v>6500</v>
      </c>
      <c r="K3356" s="521">
        <f t="shared" si="222"/>
        <v>790</v>
      </c>
      <c r="L3356" s="522">
        <f t="shared" si="225"/>
        <v>790</v>
      </c>
      <c r="M3356" s="523">
        <f t="shared" si="223"/>
        <v>0.1083676268861454</v>
      </c>
      <c r="N3356" s="2" t="s">
        <v>40</v>
      </c>
      <c r="O3356" s="15" t="s">
        <v>4066</v>
      </c>
    </row>
    <row r="3357" spans="1:15">
      <c r="A3357" s="70">
        <v>2025</v>
      </c>
      <c r="B3357" s="16" t="s">
        <v>1295</v>
      </c>
      <c r="C3357" s="71" t="s">
        <v>4445</v>
      </c>
      <c r="D3357" s="2" t="s">
        <v>17</v>
      </c>
      <c r="E3357" s="2" t="s">
        <v>4446</v>
      </c>
      <c r="F3357" s="96">
        <v>2</v>
      </c>
      <c r="G3357" s="1" t="s">
        <v>19</v>
      </c>
      <c r="H3357" s="8">
        <v>5300</v>
      </c>
      <c r="I3357" s="86">
        <f t="shared" si="224"/>
        <v>10600</v>
      </c>
      <c r="J3357" s="539">
        <v>5200</v>
      </c>
      <c r="K3357" s="521">
        <f t="shared" si="222"/>
        <v>100</v>
      </c>
      <c r="L3357" s="522">
        <f t="shared" si="225"/>
        <v>200</v>
      </c>
      <c r="M3357" s="523">
        <f t="shared" si="223"/>
        <v>1.8867924528301886E-2</v>
      </c>
      <c r="N3357" s="2" t="s">
        <v>40</v>
      </c>
      <c r="O3357" s="15" t="s">
        <v>4066</v>
      </c>
    </row>
    <row r="3358" spans="1:15">
      <c r="A3358" s="70">
        <v>2025</v>
      </c>
      <c r="B3358" s="16" t="s">
        <v>1295</v>
      </c>
      <c r="C3358" s="71" t="s">
        <v>4447</v>
      </c>
      <c r="D3358" s="2" t="s">
        <v>4448</v>
      </c>
      <c r="E3358" s="26" t="s">
        <v>4449</v>
      </c>
      <c r="F3358" s="96">
        <v>2</v>
      </c>
      <c r="G3358" s="1" t="s">
        <v>3703</v>
      </c>
      <c r="H3358" s="8">
        <v>4220</v>
      </c>
      <c r="I3358" s="86">
        <f t="shared" si="224"/>
        <v>8440</v>
      </c>
      <c r="J3358" s="539">
        <v>3207</v>
      </c>
      <c r="K3358" s="521">
        <f t="shared" si="222"/>
        <v>1013</v>
      </c>
      <c r="L3358" s="522">
        <f t="shared" si="225"/>
        <v>2026</v>
      </c>
      <c r="M3358" s="523">
        <f t="shared" si="223"/>
        <v>0.24004739336492892</v>
      </c>
      <c r="N3358" s="2" t="s">
        <v>40</v>
      </c>
      <c r="O3358" s="15" t="s">
        <v>4066</v>
      </c>
    </row>
    <row r="3359" spans="1:15">
      <c r="A3359" s="70">
        <v>2025</v>
      </c>
      <c r="B3359" s="16" t="s">
        <v>1295</v>
      </c>
      <c r="C3359" s="71" t="s">
        <v>4450</v>
      </c>
      <c r="D3359" s="2" t="s">
        <v>4179</v>
      </c>
      <c r="E3359" s="2" t="s">
        <v>4451</v>
      </c>
      <c r="F3359" s="96">
        <v>1</v>
      </c>
      <c r="G3359" s="1" t="s">
        <v>285</v>
      </c>
      <c r="H3359" s="8">
        <v>1240000</v>
      </c>
      <c r="I3359" s="86">
        <f t="shared" si="224"/>
        <v>1240000</v>
      </c>
      <c r="J3359" s="539">
        <v>1200000</v>
      </c>
      <c r="K3359" s="521">
        <f t="shared" si="222"/>
        <v>40000</v>
      </c>
      <c r="L3359" s="522">
        <f t="shared" si="225"/>
        <v>40000</v>
      </c>
      <c r="M3359" s="523">
        <f t="shared" si="223"/>
        <v>3.2258064516129031E-2</v>
      </c>
      <c r="N3359" s="2" t="s">
        <v>40</v>
      </c>
      <c r="O3359" s="15" t="s">
        <v>4066</v>
      </c>
    </row>
    <row r="3360" spans="1:15">
      <c r="A3360" s="70">
        <v>2025</v>
      </c>
      <c r="B3360" s="16" t="s">
        <v>1295</v>
      </c>
      <c r="C3360" s="71" t="s">
        <v>4452</v>
      </c>
      <c r="D3360" s="2" t="s">
        <v>57</v>
      </c>
      <c r="E3360" s="2" t="s">
        <v>4453</v>
      </c>
      <c r="F3360" s="96">
        <v>1</v>
      </c>
      <c r="G3360" s="1" t="s">
        <v>285</v>
      </c>
      <c r="H3360" s="8">
        <v>626950</v>
      </c>
      <c r="I3360" s="86">
        <f t="shared" si="224"/>
        <v>626950</v>
      </c>
      <c r="J3360" s="539">
        <v>616950</v>
      </c>
      <c r="K3360" s="521">
        <f t="shared" si="222"/>
        <v>10000</v>
      </c>
      <c r="L3360" s="522">
        <f t="shared" si="225"/>
        <v>10000</v>
      </c>
      <c r="M3360" s="523">
        <f t="shared" si="223"/>
        <v>1.5950235265970173E-2</v>
      </c>
      <c r="N3360" s="2" t="s">
        <v>40</v>
      </c>
      <c r="O3360" s="15" t="s">
        <v>4066</v>
      </c>
    </row>
    <row r="3361" spans="1:15">
      <c r="A3361" s="70">
        <v>2025</v>
      </c>
      <c r="B3361" s="16" t="s">
        <v>1295</v>
      </c>
      <c r="C3361" s="71" t="s">
        <v>4454</v>
      </c>
      <c r="D3361" s="2" t="s">
        <v>24</v>
      </c>
      <c r="E3361" s="2" t="s">
        <v>4455</v>
      </c>
      <c r="F3361" s="96">
        <v>5</v>
      </c>
      <c r="G3361" s="1" t="s">
        <v>19</v>
      </c>
      <c r="H3361" s="8">
        <v>65</v>
      </c>
      <c r="I3361" s="86">
        <f t="shared" si="224"/>
        <v>325</v>
      </c>
      <c r="J3361" s="539">
        <v>63</v>
      </c>
      <c r="K3361" s="521">
        <f t="shared" si="222"/>
        <v>2</v>
      </c>
      <c r="L3361" s="522">
        <f t="shared" si="225"/>
        <v>10</v>
      </c>
      <c r="M3361" s="523">
        <f t="shared" si="223"/>
        <v>3.0769230769230771E-2</v>
      </c>
      <c r="N3361" s="2" t="s">
        <v>40</v>
      </c>
      <c r="O3361" s="15" t="s">
        <v>4066</v>
      </c>
    </row>
    <row r="3362" spans="1:15">
      <c r="A3362" s="70">
        <v>2025</v>
      </c>
      <c r="B3362" s="16" t="s">
        <v>1295</v>
      </c>
      <c r="C3362" s="71" t="s">
        <v>4454</v>
      </c>
      <c r="D3362" s="2" t="s">
        <v>24</v>
      </c>
      <c r="E3362" s="2" t="s">
        <v>4456</v>
      </c>
      <c r="F3362" s="96">
        <v>20</v>
      </c>
      <c r="G3362" s="1" t="s">
        <v>19</v>
      </c>
      <c r="H3362" s="8">
        <v>45</v>
      </c>
      <c r="I3362" s="86">
        <f t="shared" si="224"/>
        <v>900</v>
      </c>
      <c r="J3362" s="539">
        <v>42</v>
      </c>
      <c r="K3362" s="521">
        <f t="shared" si="222"/>
        <v>3</v>
      </c>
      <c r="L3362" s="522">
        <f t="shared" si="225"/>
        <v>60</v>
      </c>
      <c r="M3362" s="523">
        <f t="shared" si="223"/>
        <v>6.6666666666666666E-2</v>
      </c>
      <c r="N3362" s="2" t="s">
        <v>40</v>
      </c>
      <c r="O3362" s="15" t="s">
        <v>4066</v>
      </c>
    </row>
    <row r="3363" spans="1:15">
      <c r="A3363" s="70">
        <v>2025</v>
      </c>
      <c r="B3363" s="16" t="s">
        <v>1295</v>
      </c>
      <c r="C3363" s="71" t="s">
        <v>4454</v>
      </c>
      <c r="D3363" s="2" t="s">
        <v>24</v>
      </c>
      <c r="E3363" s="2" t="s">
        <v>4457</v>
      </c>
      <c r="F3363" s="96">
        <v>10</v>
      </c>
      <c r="G3363" s="1" t="s">
        <v>19</v>
      </c>
      <c r="H3363" s="8">
        <v>425</v>
      </c>
      <c r="I3363" s="86">
        <f t="shared" si="224"/>
        <v>4250</v>
      </c>
      <c r="J3363" s="539">
        <v>420</v>
      </c>
      <c r="K3363" s="521">
        <f t="shared" si="222"/>
        <v>5</v>
      </c>
      <c r="L3363" s="522">
        <f t="shared" si="225"/>
        <v>50</v>
      </c>
      <c r="M3363" s="523">
        <f t="shared" si="223"/>
        <v>1.1764705882352941E-2</v>
      </c>
      <c r="N3363" s="2" t="s">
        <v>40</v>
      </c>
      <c r="O3363" s="15" t="s">
        <v>4066</v>
      </c>
    </row>
    <row r="3364" spans="1:15">
      <c r="A3364" s="70">
        <v>2025</v>
      </c>
      <c r="B3364" s="16" t="s">
        <v>1295</v>
      </c>
      <c r="C3364" s="71" t="s">
        <v>4454</v>
      </c>
      <c r="D3364" s="2" t="s">
        <v>24</v>
      </c>
      <c r="E3364" s="2" t="s">
        <v>4458</v>
      </c>
      <c r="F3364" s="96">
        <v>10</v>
      </c>
      <c r="G3364" s="1" t="s">
        <v>19</v>
      </c>
      <c r="H3364" s="8">
        <v>529</v>
      </c>
      <c r="I3364" s="86">
        <f t="shared" si="224"/>
        <v>5290</v>
      </c>
      <c r="J3364" s="539">
        <v>520</v>
      </c>
      <c r="K3364" s="521">
        <f t="shared" si="222"/>
        <v>9</v>
      </c>
      <c r="L3364" s="522">
        <f t="shared" si="225"/>
        <v>90</v>
      </c>
      <c r="M3364" s="523">
        <f t="shared" si="223"/>
        <v>1.7013232514177693E-2</v>
      </c>
      <c r="N3364" s="2" t="s">
        <v>40</v>
      </c>
      <c r="O3364" s="15" t="s">
        <v>4066</v>
      </c>
    </row>
    <row r="3365" spans="1:15">
      <c r="A3365" s="70">
        <v>2025</v>
      </c>
      <c r="B3365" s="16" t="s">
        <v>1295</v>
      </c>
      <c r="C3365" s="71" t="s">
        <v>4454</v>
      </c>
      <c r="D3365" s="2" t="s">
        <v>24</v>
      </c>
      <c r="E3365" s="2" t="s">
        <v>4459</v>
      </c>
      <c r="F3365" s="96">
        <v>1</v>
      </c>
      <c r="G3365" s="1" t="s">
        <v>29</v>
      </c>
      <c r="H3365" s="8">
        <v>1200</v>
      </c>
      <c r="I3365" s="86">
        <f t="shared" si="224"/>
        <v>1200</v>
      </c>
      <c r="J3365" s="539">
        <v>1180</v>
      </c>
      <c r="K3365" s="521">
        <f t="shared" si="222"/>
        <v>20</v>
      </c>
      <c r="L3365" s="522">
        <f t="shared" si="225"/>
        <v>20</v>
      </c>
      <c r="M3365" s="523">
        <f t="shared" si="223"/>
        <v>1.6666666666666666E-2</v>
      </c>
      <c r="N3365" s="2" t="s">
        <v>40</v>
      </c>
      <c r="O3365" s="15" t="s">
        <v>4066</v>
      </c>
    </row>
    <row r="3366" spans="1:15">
      <c r="A3366" s="70">
        <v>2025</v>
      </c>
      <c r="B3366" s="16" t="s">
        <v>1295</v>
      </c>
      <c r="C3366" s="71" t="s">
        <v>4454</v>
      </c>
      <c r="D3366" s="2" t="s">
        <v>24</v>
      </c>
      <c r="E3366" s="2" t="s">
        <v>4460</v>
      </c>
      <c r="F3366" s="96">
        <v>6</v>
      </c>
      <c r="G3366" s="1" t="s">
        <v>19</v>
      </c>
      <c r="H3366" s="8">
        <v>350</v>
      </c>
      <c r="I3366" s="8">
        <f t="shared" si="224"/>
        <v>2100</v>
      </c>
      <c r="J3366" s="539">
        <v>280</v>
      </c>
      <c r="K3366" s="521">
        <f t="shared" si="222"/>
        <v>70</v>
      </c>
      <c r="L3366" s="522">
        <f t="shared" si="225"/>
        <v>420</v>
      </c>
      <c r="M3366" s="523">
        <f t="shared" si="223"/>
        <v>0.2</v>
      </c>
      <c r="N3366" s="2" t="s">
        <v>40</v>
      </c>
      <c r="O3366" s="15" t="s">
        <v>4066</v>
      </c>
    </row>
    <row r="3367" spans="1:15">
      <c r="A3367" s="70">
        <v>2025</v>
      </c>
      <c r="B3367" s="16" t="s">
        <v>1295</v>
      </c>
      <c r="C3367" s="71" t="s">
        <v>4461</v>
      </c>
      <c r="D3367" s="2" t="s">
        <v>17</v>
      </c>
      <c r="E3367" s="2" t="s">
        <v>4462</v>
      </c>
      <c r="F3367" s="96">
        <v>7</v>
      </c>
      <c r="G3367" s="1" t="s">
        <v>19</v>
      </c>
      <c r="H3367" s="8">
        <v>2350</v>
      </c>
      <c r="I3367" s="8">
        <f t="shared" si="224"/>
        <v>16450</v>
      </c>
      <c r="J3367" s="539">
        <v>2200</v>
      </c>
      <c r="K3367" s="521">
        <f t="shared" si="222"/>
        <v>150</v>
      </c>
      <c r="L3367" s="522">
        <f t="shared" si="225"/>
        <v>1050</v>
      </c>
      <c r="M3367" s="523">
        <f t="shared" si="223"/>
        <v>6.3829787234042548E-2</v>
      </c>
      <c r="N3367" s="2" t="s">
        <v>40</v>
      </c>
      <c r="O3367" s="15" t="s">
        <v>4066</v>
      </c>
    </row>
    <row r="3368" spans="1:15">
      <c r="A3368" s="70">
        <v>2025</v>
      </c>
      <c r="B3368" s="16" t="s">
        <v>1295</v>
      </c>
      <c r="C3368" s="71" t="s">
        <v>4463</v>
      </c>
      <c r="D3368" s="2" t="s">
        <v>398</v>
      </c>
      <c r="E3368" s="2" t="s">
        <v>4464</v>
      </c>
      <c r="F3368" s="96">
        <v>1</v>
      </c>
      <c r="G3368" s="1" t="s">
        <v>285</v>
      </c>
      <c r="H3368" s="8">
        <v>48000</v>
      </c>
      <c r="I3368" s="8">
        <f t="shared" si="224"/>
        <v>48000</v>
      </c>
      <c r="J3368" s="539">
        <v>45000</v>
      </c>
      <c r="K3368" s="521">
        <f t="shared" si="222"/>
        <v>3000</v>
      </c>
      <c r="L3368" s="522">
        <f t="shared" si="225"/>
        <v>3000</v>
      </c>
      <c r="M3368" s="523">
        <f t="shared" si="223"/>
        <v>6.25E-2</v>
      </c>
      <c r="N3368" s="2" t="s">
        <v>40</v>
      </c>
      <c r="O3368" s="15" t="s">
        <v>4066</v>
      </c>
    </row>
    <row r="3369" spans="1:15">
      <c r="A3369" s="70">
        <v>2025</v>
      </c>
      <c r="B3369" s="16" t="s">
        <v>1295</v>
      </c>
      <c r="C3369" s="71" t="s">
        <v>4465</v>
      </c>
      <c r="D3369" s="2" t="s">
        <v>4179</v>
      </c>
      <c r="E3369" s="2" t="s">
        <v>4466</v>
      </c>
      <c r="F3369" s="96">
        <v>1</v>
      </c>
      <c r="G3369" s="1" t="s">
        <v>285</v>
      </c>
      <c r="H3369" s="8">
        <v>370000</v>
      </c>
      <c r="I3369" s="8">
        <f t="shared" si="224"/>
        <v>370000</v>
      </c>
      <c r="J3369" s="539">
        <v>360000</v>
      </c>
      <c r="K3369" s="521">
        <f t="shared" si="222"/>
        <v>10000</v>
      </c>
      <c r="L3369" s="522">
        <f t="shared" si="225"/>
        <v>10000</v>
      </c>
      <c r="M3369" s="523">
        <f t="shared" si="223"/>
        <v>2.7027027027027029E-2</v>
      </c>
      <c r="N3369" s="2" t="s">
        <v>40</v>
      </c>
      <c r="O3369" s="15" t="s">
        <v>4066</v>
      </c>
    </row>
    <row r="3370" spans="1:15">
      <c r="A3370" s="70">
        <v>2025</v>
      </c>
      <c r="B3370" s="16" t="s">
        <v>1295</v>
      </c>
      <c r="C3370" s="71" t="s">
        <v>4467</v>
      </c>
      <c r="D3370" s="2" t="s">
        <v>1566</v>
      </c>
      <c r="E3370" s="2" t="s">
        <v>4468</v>
      </c>
      <c r="F3370" s="96">
        <v>1</v>
      </c>
      <c r="G3370" s="1" t="s">
        <v>285</v>
      </c>
      <c r="H3370" s="8">
        <v>316000</v>
      </c>
      <c r="I3370" s="8">
        <f t="shared" si="224"/>
        <v>316000</v>
      </c>
      <c r="J3370" s="539">
        <v>284400</v>
      </c>
      <c r="K3370" s="521">
        <f t="shared" si="222"/>
        <v>31600</v>
      </c>
      <c r="L3370" s="522">
        <f t="shared" si="225"/>
        <v>31600</v>
      </c>
      <c r="M3370" s="523">
        <f t="shared" si="223"/>
        <v>0.1</v>
      </c>
      <c r="N3370" s="2" t="s">
        <v>40</v>
      </c>
      <c r="O3370" s="15" t="s">
        <v>4066</v>
      </c>
    </row>
    <row r="3371" spans="1:15">
      <c r="A3371" s="70">
        <v>2025</v>
      </c>
      <c r="B3371" s="16" t="s">
        <v>1295</v>
      </c>
      <c r="C3371" s="71" t="s">
        <v>4469</v>
      </c>
      <c r="D3371" s="2" t="s">
        <v>1461</v>
      </c>
      <c r="E3371" s="2" t="s">
        <v>4470</v>
      </c>
      <c r="F3371" s="96">
        <v>1</v>
      </c>
      <c r="G3371" s="1" t="s">
        <v>285</v>
      </c>
      <c r="H3371" s="8">
        <v>23400</v>
      </c>
      <c r="I3371" s="8">
        <f t="shared" si="224"/>
        <v>23400</v>
      </c>
      <c r="J3371" s="539">
        <v>21060</v>
      </c>
      <c r="K3371" s="521">
        <f t="shared" si="222"/>
        <v>2340</v>
      </c>
      <c r="L3371" s="522">
        <f t="shared" si="225"/>
        <v>2340</v>
      </c>
      <c r="M3371" s="523">
        <f t="shared" si="223"/>
        <v>0.1</v>
      </c>
      <c r="N3371" s="2" t="s">
        <v>40</v>
      </c>
      <c r="O3371" s="15" t="s">
        <v>4066</v>
      </c>
    </row>
    <row r="3372" spans="1:15">
      <c r="A3372" s="70">
        <v>2025</v>
      </c>
      <c r="B3372" s="16" t="s">
        <v>1295</v>
      </c>
      <c r="C3372" s="71" t="s">
        <v>4471</v>
      </c>
      <c r="D3372" s="2" t="s">
        <v>1461</v>
      </c>
      <c r="E3372" s="2" t="s">
        <v>4472</v>
      </c>
      <c r="F3372" s="96">
        <v>1</v>
      </c>
      <c r="G3372" s="1" t="s">
        <v>285</v>
      </c>
      <c r="H3372" s="8">
        <v>28800</v>
      </c>
      <c r="I3372" s="8">
        <f t="shared" si="224"/>
        <v>28800</v>
      </c>
      <c r="J3372" s="539">
        <v>25920</v>
      </c>
      <c r="K3372" s="521">
        <f t="shared" si="222"/>
        <v>2880</v>
      </c>
      <c r="L3372" s="522">
        <f t="shared" si="225"/>
        <v>2880</v>
      </c>
      <c r="M3372" s="523">
        <f t="shared" si="223"/>
        <v>0.1</v>
      </c>
      <c r="N3372" s="2" t="s">
        <v>40</v>
      </c>
      <c r="O3372" s="15" t="s">
        <v>4066</v>
      </c>
    </row>
    <row r="3373" spans="1:15">
      <c r="A3373" s="70">
        <v>2025</v>
      </c>
      <c r="B3373" s="16" t="s">
        <v>1295</v>
      </c>
      <c r="C3373" s="71" t="s">
        <v>4473</v>
      </c>
      <c r="D3373" s="2" t="s">
        <v>4297</v>
      </c>
      <c r="E3373" s="2" t="s">
        <v>4474</v>
      </c>
      <c r="F3373" s="96">
        <v>1</v>
      </c>
      <c r="G3373" s="1" t="s">
        <v>285</v>
      </c>
      <c r="H3373" s="8">
        <v>1400160</v>
      </c>
      <c r="I3373" s="8">
        <f t="shared" si="224"/>
        <v>1400160</v>
      </c>
      <c r="J3373" s="539">
        <v>1260144</v>
      </c>
      <c r="K3373" s="521">
        <f t="shared" si="222"/>
        <v>140016</v>
      </c>
      <c r="L3373" s="522">
        <f t="shared" si="225"/>
        <v>140016</v>
      </c>
      <c r="M3373" s="523">
        <f t="shared" si="223"/>
        <v>0.1</v>
      </c>
      <c r="N3373" s="2" t="s">
        <v>22</v>
      </c>
      <c r="O3373" s="15" t="s">
        <v>4066</v>
      </c>
    </row>
    <row r="3374" spans="1:15">
      <c r="A3374" s="70">
        <v>2025</v>
      </c>
      <c r="B3374" s="16" t="s">
        <v>1295</v>
      </c>
      <c r="C3374" s="71" t="s">
        <v>4475</v>
      </c>
      <c r="D3374" s="2" t="s">
        <v>160</v>
      </c>
      <c r="E3374" s="2" t="s">
        <v>4476</v>
      </c>
      <c r="F3374" s="96">
        <v>11</v>
      </c>
      <c r="G3374" s="1" t="s">
        <v>19</v>
      </c>
      <c r="H3374" s="8">
        <v>4500</v>
      </c>
      <c r="I3374" s="8">
        <f t="shared" si="224"/>
        <v>49500</v>
      </c>
      <c r="J3374" s="539">
        <v>4050</v>
      </c>
      <c r="K3374" s="521">
        <f t="shared" si="222"/>
        <v>450</v>
      </c>
      <c r="L3374" s="522">
        <f t="shared" si="225"/>
        <v>4950</v>
      </c>
      <c r="M3374" s="523">
        <f t="shared" si="223"/>
        <v>0.1</v>
      </c>
      <c r="N3374" s="2" t="s">
        <v>22</v>
      </c>
      <c r="O3374" s="15" t="s">
        <v>4066</v>
      </c>
    </row>
    <row r="3375" spans="1:15">
      <c r="A3375" s="70">
        <v>2025</v>
      </c>
      <c r="B3375" s="16" t="s">
        <v>1295</v>
      </c>
      <c r="C3375" s="71" t="s">
        <v>4477</v>
      </c>
      <c r="D3375" s="2" t="s">
        <v>335</v>
      </c>
      <c r="E3375" s="2" t="s">
        <v>336</v>
      </c>
      <c r="F3375" s="96">
        <v>98000</v>
      </c>
      <c r="G3375" s="1" t="s">
        <v>337</v>
      </c>
      <c r="H3375" s="8">
        <v>33.5</v>
      </c>
      <c r="I3375" s="8">
        <f t="shared" si="224"/>
        <v>3283000</v>
      </c>
      <c r="J3375" s="539">
        <v>32</v>
      </c>
      <c r="K3375" s="521">
        <f t="shared" si="222"/>
        <v>1.5</v>
      </c>
      <c r="L3375" s="522">
        <f t="shared" si="225"/>
        <v>147000</v>
      </c>
      <c r="M3375" s="523">
        <f t="shared" si="223"/>
        <v>4.4776119402985072E-2</v>
      </c>
      <c r="N3375" s="2" t="s">
        <v>22</v>
      </c>
      <c r="O3375" s="15" t="s">
        <v>39</v>
      </c>
    </row>
    <row r="3376" spans="1:15">
      <c r="A3376" s="70">
        <v>2025</v>
      </c>
      <c r="B3376" s="424" t="s">
        <v>1400</v>
      </c>
      <c r="C3376" s="71" t="s">
        <v>4478</v>
      </c>
      <c r="D3376" s="2" t="s">
        <v>17</v>
      </c>
      <c r="E3376" s="2" t="s">
        <v>4479</v>
      </c>
      <c r="F3376" s="96">
        <v>800</v>
      </c>
      <c r="G3376" s="1" t="s">
        <v>869</v>
      </c>
      <c r="H3376" s="8">
        <v>45.9</v>
      </c>
      <c r="I3376" s="8">
        <f t="shared" si="224"/>
        <v>36720</v>
      </c>
      <c r="J3376" s="539">
        <v>40</v>
      </c>
      <c r="K3376" s="521">
        <f t="shared" si="222"/>
        <v>5.8999999999999986</v>
      </c>
      <c r="L3376" s="522">
        <f t="shared" si="225"/>
        <v>4719.9999999999991</v>
      </c>
      <c r="M3376" s="523">
        <f t="shared" si="223"/>
        <v>0.12854030501089322</v>
      </c>
      <c r="N3376" s="2" t="s">
        <v>40</v>
      </c>
      <c r="O3376" s="15" t="s">
        <v>39</v>
      </c>
    </row>
    <row r="3377" spans="1:15">
      <c r="A3377" s="70">
        <v>2025</v>
      </c>
      <c r="B3377" s="16" t="s">
        <v>1400</v>
      </c>
      <c r="C3377" s="71" t="s">
        <v>4478</v>
      </c>
      <c r="D3377" s="2" t="s">
        <v>17</v>
      </c>
      <c r="E3377" s="2" t="s">
        <v>3919</v>
      </c>
      <c r="F3377" s="96">
        <v>545</v>
      </c>
      <c r="G3377" s="1" t="s">
        <v>19</v>
      </c>
      <c r="H3377" s="8">
        <v>50</v>
      </c>
      <c r="I3377" s="8">
        <f t="shared" si="224"/>
        <v>27250</v>
      </c>
      <c r="J3377" s="539">
        <v>27</v>
      </c>
      <c r="K3377" s="521">
        <f t="shared" si="222"/>
        <v>23</v>
      </c>
      <c r="L3377" s="522">
        <f t="shared" si="225"/>
        <v>12535</v>
      </c>
      <c r="M3377" s="523">
        <f t="shared" si="223"/>
        <v>0.46</v>
      </c>
      <c r="N3377" s="2" t="s">
        <v>40</v>
      </c>
      <c r="O3377" s="15" t="s">
        <v>39</v>
      </c>
    </row>
    <row r="3378" spans="1:15">
      <c r="A3378" s="70">
        <v>2025</v>
      </c>
      <c r="B3378" s="16" t="s">
        <v>1400</v>
      </c>
      <c r="C3378" s="71" t="s">
        <v>4478</v>
      </c>
      <c r="D3378" s="2" t="s">
        <v>17</v>
      </c>
      <c r="E3378" s="2" t="s">
        <v>3920</v>
      </c>
      <c r="F3378" s="96">
        <v>3270</v>
      </c>
      <c r="G3378" s="1" t="s">
        <v>19</v>
      </c>
      <c r="H3378" s="8">
        <v>55</v>
      </c>
      <c r="I3378" s="8">
        <f t="shared" si="224"/>
        <v>179850</v>
      </c>
      <c r="J3378" s="539">
        <v>32</v>
      </c>
      <c r="K3378" s="521">
        <f t="shared" si="222"/>
        <v>23</v>
      </c>
      <c r="L3378" s="522">
        <f t="shared" si="225"/>
        <v>75210</v>
      </c>
      <c r="M3378" s="523">
        <f t="shared" si="223"/>
        <v>0.41818181818181815</v>
      </c>
      <c r="N3378" s="2" t="s">
        <v>40</v>
      </c>
      <c r="O3378" s="15" t="s">
        <v>39</v>
      </c>
    </row>
    <row r="3379" spans="1:15">
      <c r="A3379" s="70">
        <v>2025</v>
      </c>
      <c r="B3379" s="16" t="s">
        <v>1400</v>
      </c>
      <c r="C3379" s="71" t="s">
        <v>4480</v>
      </c>
      <c r="D3379" s="2" t="s">
        <v>335</v>
      </c>
      <c r="E3379" s="2" t="s">
        <v>336</v>
      </c>
      <c r="F3379" s="96">
        <v>70000</v>
      </c>
      <c r="G3379" s="1" t="s">
        <v>337</v>
      </c>
      <c r="H3379" s="8">
        <v>32</v>
      </c>
      <c r="I3379" s="8">
        <f t="shared" si="224"/>
        <v>2240000</v>
      </c>
      <c r="J3379" s="539">
        <v>31.25</v>
      </c>
      <c r="K3379" s="521">
        <f t="shared" si="222"/>
        <v>0.75</v>
      </c>
      <c r="L3379" s="522">
        <f t="shared" si="225"/>
        <v>52500</v>
      </c>
      <c r="M3379" s="523">
        <f t="shared" si="223"/>
        <v>2.34375E-2</v>
      </c>
      <c r="N3379" s="2" t="s">
        <v>22</v>
      </c>
      <c r="O3379" s="15" t="s">
        <v>39</v>
      </c>
    </row>
    <row r="3380" spans="1:15">
      <c r="A3380" s="70">
        <v>2025</v>
      </c>
      <c r="B3380" s="16" t="s">
        <v>1400</v>
      </c>
      <c r="C3380" s="71" t="s">
        <v>4481</v>
      </c>
      <c r="D3380" s="2" t="s">
        <v>17</v>
      </c>
      <c r="E3380" s="2" t="s">
        <v>4482</v>
      </c>
      <c r="F3380" s="96">
        <v>2200</v>
      </c>
      <c r="G3380" s="1" t="s">
        <v>869</v>
      </c>
      <c r="H3380" s="8">
        <v>45.9</v>
      </c>
      <c r="I3380" s="8">
        <f t="shared" si="224"/>
        <v>100980</v>
      </c>
      <c r="J3380" s="539">
        <v>40</v>
      </c>
      <c r="K3380" s="521">
        <f t="shared" si="222"/>
        <v>5.8999999999999986</v>
      </c>
      <c r="L3380" s="522">
        <f t="shared" si="225"/>
        <v>12979.999999999996</v>
      </c>
      <c r="M3380" s="523">
        <f t="shared" si="223"/>
        <v>0.12854030501089322</v>
      </c>
      <c r="N3380" s="2" t="s">
        <v>40</v>
      </c>
      <c r="O3380" s="15" t="s">
        <v>39</v>
      </c>
    </row>
    <row r="3381" spans="1:15">
      <c r="A3381" s="70">
        <v>2025</v>
      </c>
      <c r="B3381" s="16" t="s">
        <v>1400</v>
      </c>
      <c r="C3381" s="71" t="s">
        <v>4483</v>
      </c>
      <c r="D3381" s="2" t="s">
        <v>599</v>
      </c>
      <c r="E3381" s="2" t="s">
        <v>600</v>
      </c>
      <c r="F3381" s="96">
        <v>1635</v>
      </c>
      <c r="G3381" s="1" t="s">
        <v>19</v>
      </c>
      <c r="H3381" s="8">
        <v>245</v>
      </c>
      <c r="I3381" s="8">
        <f t="shared" si="224"/>
        <v>400575</v>
      </c>
      <c r="J3381" s="539">
        <v>235</v>
      </c>
      <c r="K3381" s="521">
        <f t="shared" si="222"/>
        <v>10</v>
      </c>
      <c r="L3381" s="522">
        <f t="shared" si="225"/>
        <v>16350</v>
      </c>
      <c r="M3381" s="523">
        <f t="shared" si="223"/>
        <v>4.0816326530612242E-2</v>
      </c>
      <c r="N3381" s="2" t="s">
        <v>22</v>
      </c>
      <c r="O3381" s="15" t="s">
        <v>39</v>
      </c>
    </row>
    <row r="3382" spans="1:15">
      <c r="A3382" s="70">
        <v>2025</v>
      </c>
      <c r="B3382" s="16" t="s">
        <v>1400</v>
      </c>
      <c r="C3382" s="71" t="s">
        <v>4484</v>
      </c>
      <c r="D3382" s="2" t="s">
        <v>1119</v>
      </c>
      <c r="E3382" s="2" t="s">
        <v>4413</v>
      </c>
      <c r="F3382" s="96">
        <v>10</v>
      </c>
      <c r="G3382" s="1" t="s">
        <v>19</v>
      </c>
      <c r="H3382" s="8">
        <v>250</v>
      </c>
      <c r="I3382" s="8">
        <f t="shared" si="224"/>
        <v>2500</v>
      </c>
      <c r="J3382" s="539">
        <v>230</v>
      </c>
      <c r="K3382" s="521">
        <f t="shared" si="222"/>
        <v>20</v>
      </c>
      <c r="L3382" s="522">
        <f t="shared" si="225"/>
        <v>200</v>
      </c>
      <c r="M3382" s="523">
        <f t="shared" si="223"/>
        <v>0.08</v>
      </c>
      <c r="N3382" s="2" t="s">
        <v>40</v>
      </c>
      <c r="O3382" s="15" t="s">
        <v>39</v>
      </c>
    </row>
    <row r="3383" spans="1:15">
      <c r="A3383" s="70">
        <v>2025</v>
      </c>
      <c r="B3383" s="16" t="s">
        <v>1400</v>
      </c>
      <c r="C3383" s="71" t="s">
        <v>4484</v>
      </c>
      <c r="D3383" s="2" t="s">
        <v>1119</v>
      </c>
      <c r="E3383" s="2" t="s">
        <v>4393</v>
      </c>
      <c r="F3383" s="9">
        <v>10</v>
      </c>
      <c r="G3383" s="1" t="s">
        <v>19</v>
      </c>
      <c r="H3383" s="8">
        <v>40</v>
      </c>
      <c r="I3383" s="8">
        <f t="shared" si="224"/>
        <v>400</v>
      </c>
      <c r="J3383" s="539">
        <v>38</v>
      </c>
      <c r="K3383" s="521">
        <f t="shared" si="222"/>
        <v>2</v>
      </c>
      <c r="L3383" s="522">
        <f t="shared" si="225"/>
        <v>20</v>
      </c>
      <c r="M3383" s="523">
        <f t="shared" si="223"/>
        <v>0.05</v>
      </c>
      <c r="N3383" s="2" t="s">
        <v>40</v>
      </c>
      <c r="O3383" s="15" t="s">
        <v>39</v>
      </c>
    </row>
    <row r="3384" spans="1:15">
      <c r="A3384" s="70">
        <v>2025</v>
      </c>
      <c r="B3384" s="16" t="s">
        <v>1400</v>
      </c>
      <c r="C3384" s="71" t="s">
        <v>4484</v>
      </c>
      <c r="D3384" s="2" t="s">
        <v>1119</v>
      </c>
      <c r="E3384" s="2" t="s">
        <v>4485</v>
      </c>
      <c r="F3384" s="96">
        <v>5</v>
      </c>
      <c r="G3384" s="1" t="s">
        <v>19</v>
      </c>
      <c r="H3384" s="8">
        <v>220</v>
      </c>
      <c r="I3384" s="8">
        <f t="shared" si="224"/>
        <v>1100</v>
      </c>
      <c r="J3384" s="539">
        <v>200</v>
      </c>
      <c r="K3384" s="521">
        <f t="shared" si="222"/>
        <v>20</v>
      </c>
      <c r="L3384" s="522">
        <f t="shared" si="225"/>
        <v>100</v>
      </c>
      <c r="M3384" s="523">
        <f t="shared" si="223"/>
        <v>9.0909090909090912E-2</v>
      </c>
      <c r="N3384" s="2" t="s">
        <v>40</v>
      </c>
      <c r="O3384" s="15" t="s">
        <v>39</v>
      </c>
    </row>
    <row r="3385" spans="1:15">
      <c r="A3385" s="70">
        <v>2025</v>
      </c>
      <c r="B3385" s="16" t="s">
        <v>1400</v>
      </c>
      <c r="C3385" s="71" t="s">
        <v>4484</v>
      </c>
      <c r="D3385" s="2" t="s">
        <v>1119</v>
      </c>
      <c r="E3385" s="2" t="s">
        <v>4486</v>
      </c>
      <c r="F3385" s="96">
        <v>10</v>
      </c>
      <c r="G3385" s="1" t="s">
        <v>19</v>
      </c>
      <c r="H3385" s="8">
        <v>600</v>
      </c>
      <c r="I3385" s="8">
        <f t="shared" si="224"/>
        <v>6000</v>
      </c>
      <c r="J3385" s="539">
        <v>580</v>
      </c>
      <c r="K3385" s="521">
        <f t="shared" si="222"/>
        <v>20</v>
      </c>
      <c r="L3385" s="522">
        <f t="shared" si="225"/>
        <v>200</v>
      </c>
      <c r="M3385" s="523">
        <f t="shared" si="223"/>
        <v>3.3333333333333333E-2</v>
      </c>
      <c r="N3385" s="2" t="s">
        <v>40</v>
      </c>
      <c r="O3385" s="15" t="s">
        <v>39</v>
      </c>
    </row>
    <row r="3386" spans="1:15">
      <c r="A3386" s="70">
        <v>2025</v>
      </c>
      <c r="B3386" s="16" t="s">
        <v>1400</v>
      </c>
      <c r="C3386" s="71" t="s">
        <v>4484</v>
      </c>
      <c r="D3386" s="2" t="s">
        <v>1119</v>
      </c>
      <c r="E3386" s="2" t="s">
        <v>4487</v>
      </c>
      <c r="F3386" s="96">
        <v>20</v>
      </c>
      <c r="G3386" s="1" t="s">
        <v>19</v>
      </c>
      <c r="H3386" s="8">
        <v>500</v>
      </c>
      <c r="I3386" s="8">
        <f t="shared" si="224"/>
        <v>10000</v>
      </c>
      <c r="J3386" s="539">
        <v>450</v>
      </c>
      <c r="K3386" s="521">
        <f t="shared" si="222"/>
        <v>50</v>
      </c>
      <c r="L3386" s="522">
        <f t="shared" si="225"/>
        <v>1000</v>
      </c>
      <c r="M3386" s="523">
        <f t="shared" si="223"/>
        <v>0.1</v>
      </c>
      <c r="N3386" s="2" t="s">
        <v>40</v>
      </c>
      <c r="O3386" s="15" t="s">
        <v>39</v>
      </c>
    </row>
    <row r="3387" spans="1:15">
      <c r="A3387" s="70">
        <v>2025</v>
      </c>
      <c r="B3387" s="16" t="s">
        <v>1400</v>
      </c>
      <c r="C3387" s="71" t="s">
        <v>4484</v>
      </c>
      <c r="D3387" s="2" t="s">
        <v>1119</v>
      </c>
      <c r="E3387" s="2" t="s">
        <v>4488</v>
      </c>
      <c r="F3387" s="96">
        <v>20</v>
      </c>
      <c r="G3387" s="1" t="s">
        <v>19</v>
      </c>
      <c r="H3387" s="8">
        <v>400</v>
      </c>
      <c r="I3387" s="8">
        <f t="shared" si="224"/>
        <v>8000</v>
      </c>
      <c r="J3387" s="539">
        <v>380</v>
      </c>
      <c r="K3387" s="521">
        <f t="shared" si="222"/>
        <v>20</v>
      </c>
      <c r="L3387" s="522">
        <f t="shared" si="225"/>
        <v>400</v>
      </c>
      <c r="M3387" s="523">
        <f t="shared" si="223"/>
        <v>0.05</v>
      </c>
      <c r="N3387" s="2" t="s">
        <v>40</v>
      </c>
      <c r="O3387" s="15" t="s">
        <v>39</v>
      </c>
    </row>
    <row r="3388" spans="1:15">
      <c r="A3388" s="70">
        <v>2025</v>
      </c>
      <c r="B3388" s="16" t="s">
        <v>1400</v>
      </c>
      <c r="C3388" s="71" t="s">
        <v>4484</v>
      </c>
      <c r="D3388" s="2" t="s">
        <v>1119</v>
      </c>
      <c r="E3388" s="2" t="s">
        <v>4489</v>
      </c>
      <c r="F3388" s="96">
        <v>10</v>
      </c>
      <c r="G3388" s="1" t="s">
        <v>19</v>
      </c>
      <c r="H3388" s="8">
        <v>350</v>
      </c>
      <c r="I3388" s="8">
        <f t="shared" si="224"/>
        <v>3500</v>
      </c>
      <c r="J3388" s="539">
        <v>340</v>
      </c>
      <c r="K3388" s="521">
        <f t="shared" si="222"/>
        <v>10</v>
      </c>
      <c r="L3388" s="522">
        <f t="shared" si="225"/>
        <v>100</v>
      </c>
      <c r="M3388" s="523">
        <f t="shared" si="223"/>
        <v>2.8571428571428571E-2</v>
      </c>
      <c r="N3388" s="2" t="s">
        <v>40</v>
      </c>
      <c r="O3388" s="15" t="s">
        <v>39</v>
      </c>
    </row>
    <row r="3389" spans="1:15">
      <c r="A3389" s="70">
        <v>2025</v>
      </c>
      <c r="B3389" s="16" t="s">
        <v>1400</v>
      </c>
      <c r="C3389" s="71" t="s">
        <v>4484</v>
      </c>
      <c r="D3389" s="2" t="s">
        <v>1119</v>
      </c>
      <c r="E3389" s="2" t="s">
        <v>4404</v>
      </c>
      <c r="F3389" s="96">
        <v>1</v>
      </c>
      <c r="G3389" s="1" t="s">
        <v>19</v>
      </c>
      <c r="H3389" s="8">
        <v>650</v>
      </c>
      <c r="I3389" s="8">
        <f t="shared" si="224"/>
        <v>650</v>
      </c>
      <c r="J3389" s="539">
        <v>580</v>
      </c>
      <c r="K3389" s="521">
        <f t="shared" si="222"/>
        <v>70</v>
      </c>
      <c r="L3389" s="522">
        <f t="shared" si="225"/>
        <v>70</v>
      </c>
      <c r="M3389" s="523">
        <f t="shared" si="223"/>
        <v>0.1076923076923077</v>
      </c>
      <c r="N3389" s="2" t="s">
        <v>40</v>
      </c>
      <c r="O3389" s="15" t="s">
        <v>39</v>
      </c>
    </row>
    <row r="3390" spans="1:15">
      <c r="A3390" s="70">
        <v>2025</v>
      </c>
      <c r="B3390" s="16" t="s">
        <v>1400</v>
      </c>
      <c r="C3390" s="71" t="s">
        <v>4484</v>
      </c>
      <c r="D3390" s="2" t="s">
        <v>1119</v>
      </c>
      <c r="E3390" s="2" t="s">
        <v>4490</v>
      </c>
      <c r="F3390" s="96">
        <v>10</v>
      </c>
      <c r="G3390" s="1" t="s">
        <v>19</v>
      </c>
      <c r="H3390" s="8">
        <v>100</v>
      </c>
      <c r="I3390" s="8">
        <f t="shared" si="224"/>
        <v>1000</v>
      </c>
      <c r="J3390" s="539">
        <v>80</v>
      </c>
      <c r="K3390" s="521">
        <f t="shared" si="222"/>
        <v>20</v>
      </c>
      <c r="L3390" s="522">
        <f t="shared" si="225"/>
        <v>200</v>
      </c>
      <c r="M3390" s="523">
        <f t="shared" si="223"/>
        <v>0.2</v>
      </c>
      <c r="N3390" s="2" t="s">
        <v>40</v>
      </c>
      <c r="O3390" s="15" t="s">
        <v>39</v>
      </c>
    </row>
    <row r="3391" spans="1:15">
      <c r="A3391" s="70">
        <v>2025</v>
      </c>
      <c r="B3391" s="16" t="s">
        <v>1400</v>
      </c>
      <c r="C3391" s="71" t="s">
        <v>4484</v>
      </c>
      <c r="D3391" s="2" t="s">
        <v>1119</v>
      </c>
      <c r="E3391" s="2" t="s">
        <v>4491</v>
      </c>
      <c r="F3391" s="96">
        <v>2</v>
      </c>
      <c r="G3391" s="1" t="s">
        <v>19</v>
      </c>
      <c r="H3391" s="8">
        <v>200</v>
      </c>
      <c r="I3391" s="8">
        <f t="shared" si="224"/>
        <v>400</v>
      </c>
      <c r="J3391" s="539">
        <v>190</v>
      </c>
      <c r="K3391" s="521">
        <f t="shared" si="222"/>
        <v>10</v>
      </c>
      <c r="L3391" s="522">
        <f t="shared" si="225"/>
        <v>20</v>
      </c>
      <c r="M3391" s="523">
        <f t="shared" si="223"/>
        <v>0.05</v>
      </c>
      <c r="N3391" s="2" t="s">
        <v>40</v>
      </c>
      <c r="O3391" s="15" t="s">
        <v>39</v>
      </c>
    </row>
    <row r="3392" spans="1:15">
      <c r="A3392" s="70">
        <v>2025</v>
      </c>
      <c r="B3392" s="16" t="s">
        <v>1400</v>
      </c>
      <c r="C3392" s="71" t="s">
        <v>4484</v>
      </c>
      <c r="D3392" s="2" t="s">
        <v>1119</v>
      </c>
      <c r="E3392" s="2" t="s">
        <v>4389</v>
      </c>
      <c r="F3392" s="96">
        <v>5</v>
      </c>
      <c r="G3392" s="1" t="s">
        <v>19</v>
      </c>
      <c r="H3392" s="8">
        <v>200</v>
      </c>
      <c r="I3392" s="8">
        <f t="shared" si="224"/>
        <v>1000</v>
      </c>
      <c r="J3392" s="539">
        <v>190</v>
      </c>
      <c r="K3392" s="521">
        <f t="shared" si="222"/>
        <v>10</v>
      </c>
      <c r="L3392" s="522">
        <f t="shared" si="225"/>
        <v>50</v>
      </c>
      <c r="M3392" s="523">
        <f t="shared" si="223"/>
        <v>0.05</v>
      </c>
      <c r="N3392" s="2" t="s">
        <v>40</v>
      </c>
      <c r="O3392" s="15" t="s">
        <v>39</v>
      </c>
    </row>
    <row r="3393" spans="1:15">
      <c r="A3393" s="70">
        <v>2025</v>
      </c>
      <c r="B3393" s="16" t="s">
        <v>1400</v>
      </c>
      <c r="C3393" s="71" t="s">
        <v>4492</v>
      </c>
      <c r="D3393" s="2" t="s">
        <v>68</v>
      </c>
      <c r="E3393" s="2" t="s">
        <v>962</v>
      </c>
      <c r="F3393" s="96">
        <v>2157.5</v>
      </c>
      <c r="G3393" s="1" t="s">
        <v>37</v>
      </c>
      <c r="H3393" s="8">
        <v>410</v>
      </c>
      <c r="I3393" s="8">
        <f t="shared" si="224"/>
        <v>884575</v>
      </c>
      <c r="J3393" s="539">
        <v>404</v>
      </c>
      <c r="K3393" s="521">
        <f t="shared" si="222"/>
        <v>6</v>
      </c>
      <c r="L3393" s="522">
        <f t="shared" si="225"/>
        <v>12945</v>
      </c>
      <c r="M3393" s="523">
        <f t="shared" si="223"/>
        <v>1.4634146341463415E-2</v>
      </c>
      <c r="N3393" s="2" t="s">
        <v>22</v>
      </c>
      <c r="O3393" s="15" t="s">
        <v>105</v>
      </c>
    </row>
    <row r="3394" spans="1:15">
      <c r="A3394" s="70">
        <v>2025</v>
      </c>
      <c r="B3394" s="16" t="s">
        <v>1400</v>
      </c>
      <c r="C3394" s="71" t="s">
        <v>4493</v>
      </c>
      <c r="D3394" s="2" t="s">
        <v>4494</v>
      </c>
      <c r="E3394" s="2" t="s">
        <v>4495</v>
      </c>
      <c r="F3394" s="96">
        <v>1</v>
      </c>
      <c r="G3394" s="1" t="s">
        <v>285</v>
      </c>
      <c r="H3394" s="8">
        <v>3660000</v>
      </c>
      <c r="I3394" s="8">
        <f t="shared" si="224"/>
        <v>3660000</v>
      </c>
      <c r="J3394" s="539">
        <v>3600000</v>
      </c>
      <c r="K3394" s="521">
        <f t="shared" si="222"/>
        <v>60000</v>
      </c>
      <c r="L3394" s="522">
        <f t="shared" si="225"/>
        <v>60000</v>
      </c>
      <c r="M3394" s="523">
        <f t="shared" si="223"/>
        <v>1.6393442622950821E-2</v>
      </c>
      <c r="N3394" s="2" t="s">
        <v>22</v>
      </c>
      <c r="O3394" s="15" t="s">
        <v>4066</v>
      </c>
    </row>
    <row r="3395" spans="1:15">
      <c r="A3395" s="70">
        <v>2025</v>
      </c>
      <c r="B3395" s="16" t="s">
        <v>1400</v>
      </c>
      <c r="C3395" s="71" t="s">
        <v>4496</v>
      </c>
      <c r="D3395" s="2" t="s">
        <v>171</v>
      </c>
      <c r="E3395" s="2" t="s">
        <v>4497</v>
      </c>
      <c r="F3395" s="96">
        <v>20</v>
      </c>
      <c r="G3395" s="1" t="s">
        <v>19</v>
      </c>
      <c r="H3395" s="8">
        <v>22500</v>
      </c>
      <c r="I3395" s="8">
        <f t="shared" si="224"/>
        <v>450000</v>
      </c>
      <c r="J3395" s="539">
        <v>22000</v>
      </c>
      <c r="K3395" s="521">
        <f t="shared" ref="K3395:K3458" si="226">H3395-J3395</f>
        <v>500</v>
      </c>
      <c r="L3395" s="522">
        <f t="shared" si="225"/>
        <v>10000</v>
      </c>
      <c r="M3395" s="523">
        <f t="shared" ref="M3395:M3458" si="227">K3395/H3395</f>
        <v>2.2222222222222223E-2</v>
      </c>
      <c r="N3395" s="2" t="s">
        <v>40</v>
      </c>
      <c r="O3395" s="15" t="s">
        <v>105</v>
      </c>
    </row>
    <row r="3396" spans="1:15">
      <c r="A3396" s="70">
        <v>2025</v>
      </c>
      <c r="B3396" s="16" t="s">
        <v>1400</v>
      </c>
      <c r="C3396" s="71" t="s">
        <v>4498</v>
      </c>
      <c r="D3396" s="2" t="s">
        <v>200</v>
      </c>
      <c r="E3396" s="2" t="s">
        <v>4499</v>
      </c>
      <c r="F3396" s="96">
        <v>2</v>
      </c>
      <c r="G3396" s="1" t="s">
        <v>302</v>
      </c>
      <c r="H3396" s="8">
        <v>82000</v>
      </c>
      <c r="I3396" s="8">
        <f t="shared" si="224"/>
        <v>164000</v>
      </c>
      <c r="J3396" s="539">
        <v>80000</v>
      </c>
      <c r="K3396" s="521">
        <f t="shared" si="226"/>
        <v>2000</v>
      </c>
      <c r="L3396" s="522">
        <f t="shared" si="225"/>
        <v>4000</v>
      </c>
      <c r="M3396" s="523">
        <f t="shared" si="227"/>
        <v>2.4390243902439025E-2</v>
      </c>
      <c r="N3396" s="2" t="s">
        <v>40</v>
      </c>
      <c r="O3396" s="15" t="s">
        <v>39</v>
      </c>
    </row>
    <row r="3397" spans="1:15">
      <c r="A3397" s="70">
        <v>2025</v>
      </c>
      <c r="B3397" s="16" t="s">
        <v>1400</v>
      </c>
      <c r="C3397" s="71" t="s">
        <v>4500</v>
      </c>
      <c r="D3397" s="2" t="s">
        <v>192</v>
      </c>
      <c r="E3397" s="2" t="s">
        <v>1194</v>
      </c>
      <c r="F3397" s="96">
        <v>50</v>
      </c>
      <c r="G3397" s="1" t="s">
        <v>19</v>
      </c>
      <c r="H3397" s="8">
        <v>360</v>
      </c>
      <c r="I3397" s="8">
        <f t="shared" si="224"/>
        <v>18000</v>
      </c>
      <c r="J3397" s="539">
        <v>350</v>
      </c>
      <c r="K3397" s="521">
        <f t="shared" si="226"/>
        <v>10</v>
      </c>
      <c r="L3397" s="522">
        <f t="shared" si="225"/>
        <v>500</v>
      </c>
      <c r="M3397" s="523">
        <f t="shared" si="227"/>
        <v>2.7777777777777776E-2</v>
      </c>
      <c r="N3397" s="2" t="s">
        <v>40</v>
      </c>
      <c r="O3397" s="15" t="s">
        <v>105</v>
      </c>
    </row>
    <row r="3398" spans="1:15">
      <c r="A3398" s="70">
        <v>2025</v>
      </c>
      <c r="B3398" s="16" t="s">
        <v>1400</v>
      </c>
      <c r="C3398" s="71" t="s">
        <v>4500</v>
      </c>
      <c r="D3398" s="2" t="s">
        <v>192</v>
      </c>
      <c r="E3398" s="2" t="s">
        <v>4501</v>
      </c>
      <c r="F3398" s="96">
        <v>1300</v>
      </c>
      <c r="G3398" s="1" t="s">
        <v>19</v>
      </c>
      <c r="H3398" s="8">
        <v>360</v>
      </c>
      <c r="I3398" s="8">
        <f t="shared" ref="I3398:I3461" si="228">H3398*F3398</f>
        <v>468000</v>
      </c>
      <c r="J3398" s="539">
        <v>350</v>
      </c>
      <c r="K3398" s="521">
        <f t="shared" si="226"/>
        <v>10</v>
      </c>
      <c r="L3398" s="522">
        <f t="shared" ref="L3398:L3461" si="229">K3398*F3398</f>
        <v>13000</v>
      </c>
      <c r="M3398" s="523">
        <f t="shared" si="227"/>
        <v>2.7777777777777776E-2</v>
      </c>
      <c r="N3398" s="2" t="s">
        <v>40</v>
      </c>
      <c r="O3398" s="15" t="s">
        <v>105</v>
      </c>
    </row>
    <row r="3399" spans="1:15">
      <c r="A3399" s="70">
        <v>2025</v>
      </c>
      <c r="B3399" s="16" t="s">
        <v>1400</v>
      </c>
      <c r="C3399" s="71" t="s">
        <v>4500</v>
      </c>
      <c r="D3399" s="2" t="s">
        <v>192</v>
      </c>
      <c r="E3399" s="2" t="s">
        <v>2866</v>
      </c>
      <c r="F3399" s="96">
        <v>5</v>
      </c>
      <c r="G3399" s="1" t="s">
        <v>19</v>
      </c>
      <c r="H3399" s="8">
        <v>2480</v>
      </c>
      <c r="I3399" s="8">
        <f t="shared" si="228"/>
        <v>12400</v>
      </c>
      <c r="J3399" s="539">
        <v>2380</v>
      </c>
      <c r="K3399" s="521">
        <f t="shared" si="226"/>
        <v>100</v>
      </c>
      <c r="L3399" s="522">
        <f t="shared" si="229"/>
        <v>500</v>
      </c>
      <c r="M3399" s="523">
        <f t="shared" si="227"/>
        <v>4.0322580645161289E-2</v>
      </c>
      <c r="N3399" s="2" t="s">
        <v>40</v>
      </c>
      <c r="O3399" s="15" t="s">
        <v>105</v>
      </c>
    </row>
    <row r="3400" spans="1:15">
      <c r="A3400" s="70">
        <v>2025</v>
      </c>
      <c r="B3400" s="16" t="s">
        <v>1400</v>
      </c>
      <c r="C3400" s="71" t="s">
        <v>4502</v>
      </c>
      <c r="D3400" s="2" t="s">
        <v>27</v>
      </c>
      <c r="E3400" s="2" t="s">
        <v>1145</v>
      </c>
      <c r="F3400" s="96">
        <v>100</v>
      </c>
      <c r="G3400" s="1" t="s">
        <v>615</v>
      </c>
      <c r="H3400" s="8">
        <v>78.5</v>
      </c>
      <c r="I3400" s="8">
        <f t="shared" si="228"/>
        <v>7850</v>
      </c>
      <c r="J3400" s="539">
        <v>77</v>
      </c>
      <c r="K3400" s="521">
        <f t="shared" si="226"/>
        <v>1.5</v>
      </c>
      <c r="L3400" s="522">
        <f t="shared" si="229"/>
        <v>150</v>
      </c>
      <c r="M3400" s="523">
        <f t="shared" si="227"/>
        <v>1.9108280254777069E-2</v>
      </c>
      <c r="N3400" s="2" t="s">
        <v>40</v>
      </c>
      <c r="O3400" s="15" t="s">
        <v>105</v>
      </c>
    </row>
    <row r="3401" spans="1:15">
      <c r="A3401" s="70">
        <v>2025</v>
      </c>
      <c r="B3401" s="16" t="s">
        <v>1400</v>
      </c>
      <c r="C3401" s="71" t="s">
        <v>4503</v>
      </c>
      <c r="D3401" s="2" t="s">
        <v>708</v>
      </c>
      <c r="E3401" s="2" t="s">
        <v>709</v>
      </c>
      <c r="F3401" s="96">
        <v>1620</v>
      </c>
      <c r="G3401" s="1" t="s">
        <v>37</v>
      </c>
      <c r="H3401" s="8">
        <v>408.36</v>
      </c>
      <c r="I3401" s="8">
        <f t="shared" si="228"/>
        <v>661543.20000000007</v>
      </c>
      <c r="J3401" s="539">
        <v>406.36</v>
      </c>
      <c r="K3401" s="521">
        <f t="shared" si="226"/>
        <v>2</v>
      </c>
      <c r="L3401" s="522">
        <f t="shared" si="229"/>
        <v>3240</v>
      </c>
      <c r="M3401" s="523">
        <f t="shared" si="227"/>
        <v>4.8976393378391617E-3</v>
      </c>
      <c r="N3401" s="2" t="s">
        <v>40</v>
      </c>
      <c r="O3401" s="15" t="s">
        <v>105</v>
      </c>
    </row>
    <row r="3402" spans="1:15">
      <c r="A3402" s="70">
        <v>2025</v>
      </c>
      <c r="B3402" s="16" t="s">
        <v>1400</v>
      </c>
      <c r="C3402" s="71" t="s">
        <v>4504</v>
      </c>
      <c r="D3402" s="2" t="s">
        <v>1042</v>
      </c>
      <c r="E3402" s="2" t="s">
        <v>3260</v>
      </c>
      <c r="F3402" s="96">
        <v>4045</v>
      </c>
      <c r="G3402" s="1" t="s">
        <v>37</v>
      </c>
      <c r="H3402" s="8">
        <v>413</v>
      </c>
      <c r="I3402" s="8">
        <f t="shared" si="228"/>
        <v>1670585</v>
      </c>
      <c r="J3402" s="539">
        <v>395</v>
      </c>
      <c r="K3402" s="521">
        <f t="shared" si="226"/>
        <v>18</v>
      </c>
      <c r="L3402" s="522">
        <f t="shared" si="229"/>
        <v>72810</v>
      </c>
      <c r="M3402" s="523">
        <f t="shared" si="227"/>
        <v>4.3583535108958835E-2</v>
      </c>
      <c r="N3402" s="2" t="s">
        <v>40</v>
      </c>
      <c r="O3402" s="15" t="s">
        <v>105</v>
      </c>
    </row>
    <row r="3403" spans="1:15">
      <c r="A3403" s="70">
        <v>2025</v>
      </c>
      <c r="B3403" s="16" t="s">
        <v>1400</v>
      </c>
      <c r="C3403" s="71" t="s">
        <v>4505</v>
      </c>
      <c r="D3403" s="2" t="s">
        <v>35</v>
      </c>
      <c r="E3403" s="2" t="s">
        <v>3260</v>
      </c>
      <c r="F3403" s="96">
        <v>10506</v>
      </c>
      <c r="G3403" s="1" t="s">
        <v>37</v>
      </c>
      <c r="H3403" s="8">
        <v>390</v>
      </c>
      <c r="I3403" s="8">
        <f t="shared" si="228"/>
        <v>4097340</v>
      </c>
      <c r="J3403" s="539">
        <v>389</v>
      </c>
      <c r="K3403" s="521">
        <f t="shared" si="226"/>
        <v>1</v>
      </c>
      <c r="L3403" s="522">
        <f t="shared" si="229"/>
        <v>10506</v>
      </c>
      <c r="M3403" s="523">
        <f t="shared" si="227"/>
        <v>2.5641025641025641E-3</v>
      </c>
      <c r="N3403" s="2" t="s">
        <v>40</v>
      </c>
      <c r="O3403" s="15" t="s">
        <v>105</v>
      </c>
    </row>
    <row r="3404" spans="1:15">
      <c r="A3404" s="70">
        <v>2025</v>
      </c>
      <c r="B3404" s="16" t="s">
        <v>1400</v>
      </c>
      <c r="C3404" s="71" t="s">
        <v>4506</v>
      </c>
      <c r="D3404" s="2" t="s">
        <v>1042</v>
      </c>
      <c r="E3404" s="2" t="s">
        <v>1141</v>
      </c>
      <c r="F3404" s="96">
        <v>900</v>
      </c>
      <c r="G3404" s="1" t="s">
        <v>37</v>
      </c>
      <c r="H3404" s="8">
        <v>412</v>
      </c>
      <c r="I3404" s="8">
        <f t="shared" si="228"/>
        <v>370800</v>
      </c>
      <c r="J3404" s="539">
        <v>406</v>
      </c>
      <c r="K3404" s="521">
        <f t="shared" si="226"/>
        <v>6</v>
      </c>
      <c r="L3404" s="522">
        <f t="shared" si="229"/>
        <v>5400</v>
      </c>
      <c r="M3404" s="523">
        <f t="shared" si="227"/>
        <v>1.4563106796116505E-2</v>
      </c>
      <c r="N3404" s="2" t="s">
        <v>40</v>
      </c>
      <c r="O3404" s="15" t="s">
        <v>105</v>
      </c>
    </row>
    <row r="3405" spans="1:15">
      <c r="A3405" s="70">
        <v>2025</v>
      </c>
      <c r="B3405" s="16" t="s">
        <v>1400</v>
      </c>
      <c r="C3405" s="71" t="s">
        <v>4506</v>
      </c>
      <c r="D3405" s="2" t="s">
        <v>1042</v>
      </c>
      <c r="E3405" s="2" t="s">
        <v>3288</v>
      </c>
      <c r="F3405" s="96">
        <v>600</v>
      </c>
      <c r="G3405" s="1" t="s">
        <v>615</v>
      </c>
      <c r="H3405" s="8">
        <v>258</v>
      </c>
      <c r="I3405" s="8">
        <f t="shared" si="228"/>
        <v>154800</v>
      </c>
      <c r="J3405" s="539">
        <v>252</v>
      </c>
      <c r="K3405" s="521">
        <f t="shared" si="226"/>
        <v>6</v>
      </c>
      <c r="L3405" s="522">
        <f t="shared" si="229"/>
        <v>3600</v>
      </c>
      <c r="M3405" s="523">
        <f t="shared" si="227"/>
        <v>2.3255813953488372E-2</v>
      </c>
      <c r="N3405" s="2" t="s">
        <v>40</v>
      </c>
      <c r="O3405" s="15" t="s">
        <v>105</v>
      </c>
    </row>
    <row r="3406" spans="1:15">
      <c r="A3406" s="70">
        <v>2025</v>
      </c>
      <c r="B3406" s="16" t="s">
        <v>1400</v>
      </c>
      <c r="C3406" s="71" t="s">
        <v>4506</v>
      </c>
      <c r="D3406" s="2" t="s">
        <v>1042</v>
      </c>
      <c r="E3406" s="2" t="s">
        <v>614</v>
      </c>
      <c r="F3406" s="96">
        <v>400</v>
      </c>
      <c r="G3406" s="1" t="s">
        <v>615</v>
      </c>
      <c r="H3406" s="8">
        <v>174</v>
      </c>
      <c r="I3406" s="8">
        <f t="shared" si="228"/>
        <v>69600</v>
      </c>
      <c r="J3406" s="539">
        <v>170</v>
      </c>
      <c r="K3406" s="521">
        <f t="shared" si="226"/>
        <v>4</v>
      </c>
      <c r="L3406" s="522">
        <f t="shared" si="229"/>
        <v>1600</v>
      </c>
      <c r="M3406" s="523">
        <f t="shared" si="227"/>
        <v>2.2988505747126436E-2</v>
      </c>
      <c r="N3406" s="2" t="s">
        <v>40</v>
      </c>
      <c r="O3406" s="15" t="s">
        <v>105</v>
      </c>
    </row>
    <row r="3407" spans="1:15">
      <c r="A3407" s="70">
        <v>2025</v>
      </c>
      <c r="B3407" s="16" t="s">
        <v>1400</v>
      </c>
      <c r="C3407" s="71" t="s">
        <v>4506</v>
      </c>
      <c r="D3407" s="2" t="s">
        <v>1042</v>
      </c>
      <c r="E3407" s="2" t="s">
        <v>621</v>
      </c>
      <c r="F3407" s="96">
        <v>1200</v>
      </c>
      <c r="G3407" s="1" t="s">
        <v>615</v>
      </c>
      <c r="H3407" s="8">
        <v>449</v>
      </c>
      <c r="I3407" s="8">
        <f t="shared" si="228"/>
        <v>538800</v>
      </c>
      <c r="J3407" s="539">
        <v>441</v>
      </c>
      <c r="K3407" s="521">
        <f t="shared" si="226"/>
        <v>8</v>
      </c>
      <c r="L3407" s="522">
        <f t="shared" si="229"/>
        <v>9600</v>
      </c>
      <c r="M3407" s="523">
        <f t="shared" si="227"/>
        <v>1.7817371937639197E-2</v>
      </c>
      <c r="N3407" s="2" t="s">
        <v>40</v>
      </c>
      <c r="O3407" s="15" t="s">
        <v>105</v>
      </c>
    </row>
    <row r="3408" spans="1:15">
      <c r="A3408" s="70">
        <v>2025</v>
      </c>
      <c r="B3408" s="16" t="s">
        <v>1400</v>
      </c>
      <c r="C3408" s="71" t="s">
        <v>4506</v>
      </c>
      <c r="D3408" s="2" t="s">
        <v>1042</v>
      </c>
      <c r="E3408" s="2" t="s">
        <v>622</v>
      </c>
      <c r="F3408" s="96">
        <v>300</v>
      </c>
      <c r="G3408" s="1" t="s">
        <v>615</v>
      </c>
      <c r="H3408" s="8">
        <v>917</v>
      </c>
      <c r="I3408" s="8">
        <f t="shared" si="228"/>
        <v>275100</v>
      </c>
      <c r="J3408" s="539">
        <v>909</v>
      </c>
      <c r="K3408" s="521">
        <f t="shared" si="226"/>
        <v>8</v>
      </c>
      <c r="L3408" s="522">
        <f t="shared" si="229"/>
        <v>2400</v>
      </c>
      <c r="M3408" s="523">
        <f t="shared" si="227"/>
        <v>8.7241003271537627E-3</v>
      </c>
      <c r="N3408" s="2" t="s">
        <v>40</v>
      </c>
      <c r="O3408" s="15" t="s">
        <v>105</v>
      </c>
    </row>
    <row r="3409" spans="1:15">
      <c r="A3409" s="70">
        <v>2025</v>
      </c>
      <c r="B3409" s="16" t="s">
        <v>1400</v>
      </c>
      <c r="C3409" s="71" t="s">
        <v>4506</v>
      </c>
      <c r="D3409" s="2" t="s">
        <v>1042</v>
      </c>
      <c r="E3409" s="2" t="s">
        <v>1319</v>
      </c>
      <c r="F3409" s="96">
        <v>300</v>
      </c>
      <c r="G3409" s="1" t="s">
        <v>37</v>
      </c>
      <c r="H3409" s="8">
        <v>417</v>
      </c>
      <c r="I3409" s="8">
        <f t="shared" si="228"/>
        <v>125100</v>
      </c>
      <c r="J3409" s="539">
        <v>412</v>
      </c>
      <c r="K3409" s="521">
        <f t="shared" si="226"/>
        <v>5</v>
      </c>
      <c r="L3409" s="522">
        <f t="shared" si="229"/>
        <v>1500</v>
      </c>
      <c r="M3409" s="523">
        <f t="shared" si="227"/>
        <v>1.1990407673860911E-2</v>
      </c>
      <c r="N3409" s="2" t="s">
        <v>40</v>
      </c>
      <c r="O3409" s="15" t="s">
        <v>105</v>
      </c>
    </row>
    <row r="3410" spans="1:15">
      <c r="A3410" s="70">
        <v>2025</v>
      </c>
      <c r="B3410" s="16" t="s">
        <v>1400</v>
      </c>
      <c r="C3410" s="71" t="s">
        <v>4507</v>
      </c>
      <c r="D3410" s="2" t="s">
        <v>1204</v>
      </c>
      <c r="E3410" s="2" t="s">
        <v>1205</v>
      </c>
      <c r="F3410" s="96">
        <v>1300</v>
      </c>
      <c r="G3410" s="1" t="s">
        <v>19</v>
      </c>
      <c r="H3410" s="8">
        <v>10</v>
      </c>
      <c r="I3410" s="8">
        <f t="shared" si="228"/>
        <v>13000</v>
      </c>
      <c r="J3410" s="539">
        <v>7</v>
      </c>
      <c r="K3410" s="521">
        <f t="shared" si="226"/>
        <v>3</v>
      </c>
      <c r="L3410" s="522">
        <f t="shared" si="229"/>
        <v>3900</v>
      </c>
      <c r="M3410" s="523">
        <f t="shared" si="227"/>
        <v>0.3</v>
      </c>
      <c r="N3410" s="2" t="s">
        <v>40</v>
      </c>
      <c r="O3410" s="15" t="s">
        <v>105</v>
      </c>
    </row>
    <row r="3411" spans="1:15">
      <c r="A3411" s="70">
        <v>2025</v>
      </c>
      <c r="B3411" s="16" t="s">
        <v>1400</v>
      </c>
      <c r="C3411" s="71" t="s">
        <v>4507</v>
      </c>
      <c r="D3411" s="2" t="s">
        <v>1204</v>
      </c>
      <c r="E3411" s="2" t="s">
        <v>4508</v>
      </c>
      <c r="F3411" s="96">
        <v>700</v>
      </c>
      <c r="G3411" s="1" t="s">
        <v>19</v>
      </c>
      <c r="H3411" s="8">
        <v>12</v>
      </c>
      <c r="I3411" s="8">
        <f t="shared" si="228"/>
        <v>8400</v>
      </c>
      <c r="J3411" s="539">
        <v>8.8000000000000007</v>
      </c>
      <c r="K3411" s="521">
        <f t="shared" si="226"/>
        <v>3.1999999999999993</v>
      </c>
      <c r="L3411" s="522">
        <f t="shared" si="229"/>
        <v>2239.9999999999995</v>
      </c>
      <c r="M3411" s="523">
        <f t="shared" si="227"/>
        <v>0.26666666666666661</v>
      </c>
      <c r="N3411" s="2" t="s">
        <v>40</v>
      </c>
      <c r="O3411" s="15" t="s">
        <v>105</v>
      </c>
    </row>
    <row r="3412" spans="1:15">
      <c r="A3412" s="70">
        <v>2025</v>
      </c>
      <c r="B3412" s="16" t="s">
        <v>1400</v>
      </c>
      <c r="C3412" s="71" t="s">
        <v>4507</v>
      </c>
      <c r="D3412" s="2" t="s">
        <v>1204</v>
      </c>
      <c r="E3412" s="2" t="s">
        <v>4509</v>
      </c>
      <c r="F3412" s="96">
        <v>150</v>
      </c>
      <c r="G3412" s="1" t="s">
        <v>19</v>
      </c>
      <c r="H3412" s="8">
        <v>16</v>
      </c>
      <c r="I3412" s="8">
        <f t="shared" si="228"/>
        <v>2400</v>
      </c>
      <c r="J3412" s="539">
        <v>14</v>
      </c>
      <c r="K3412" s="521">
        <f t="shared" si="226"/>
        <v>2</v>
      </c>
      <c r="L3412" s="522">
        <f t="shared" si="229"/>
        <v>300</v>
      </c>
      <c r="M3412" s="523">
        <f t="shared" si="227"/>
        <v>0.125</v>
      </c>
      <c r="N3412" s="2" t="s">
        <v>40</v>
      </c>
      <c r="O3412" s="15" t="s">
        <v>105</v>
      </c>
    </row>
    <row r="3413" spans="1:15">
      <c r="A3413" s="70">
        <v>2025</v>
      </c>
      <c r="B3413" s="16" t="s">
        <v>1400</v>
      </c>
      <c r="C3413" s="71" t="s">
        <v>4510</v>
      </c>
      <c r="D3413" s="2" t="s">
        <v>94</v>
      </c>
      <c r="E3413" s="2" t="s">
        <v>1038</v>
      </c>
      <c r="F3413" s="96">
        <v>2100</v>
      </c>
      <c r="G3413" s="1" t="s">
        <v>19</v>
      </c>
      <c r="H3413" s="415" t="s">
        <v>4511</v>
      </c>
      <c r="I3413" s="8">
        <f t="shared" si="228"/>
        <v>32130</v>
      </c>
      <c r="J3413" s="539">
        <v>14.76</v>
      </c>
      <c r="K3413" s="521">
        <f t="shared" si="226"/>
        <v>0.54000000000000092</v>
      </c>
      <c r="L3413" s="522">
        <f t="shared" si="229"/>
        <v>1134.000000000002</v>
      </c>
      <c r="M3413" s="523">
        <f t="shared" si="227"/>
        <v>3.5294117647058885E-2</v>
      </c>
      <c r="N3413" s="2" t="s">
        <v>40</v>
      </c>
      <c r="O3413" s="15" t="s">
        <v>105</v>
      </c>
    </row>
    <row r="3414" spans="1:15">
      <c r="A3414" s="70">
        <v>2025</v>
      </c>
      <c r="B3414" s="16" t="s">
        <v>1400</v>
      </c>
      <c r="C3414" s="71" t="s">
        <v>4510</v>
      </c>
      <c r="D3414" s="2" t="s">
        <v>94</v>
      </c>
      <c r="E3414" s="2" t="s">
        <v>613</v>
      </c>
      <c r="F3414" s="96">
        <v>4000</v>
      </c>
      <c r="G3414" s="1" t="s">
        <v>19</v>
      </c>
      <c r="H3414" s="415" t="s">
        <v>4512</v>
      </c>
      <c r="I3414" s="8">
        <f t="shared" si="228"/>
        <v>102000</v>
      </c>
      <c r="J3414" s="539">
        <v>24.6</v>
      </c>
      <c r="K3414" s="521">
        <f t="shared" si="226"/>
        <v>0.89999999999999858</v>
      </c>
      <c r="L3414" s="522">
        <f t="shared" si="229"/>
        <v>3599.9999999999945</v>
      </c>
      <c r="M3414" s="523">
        <f t="shared" si="227"/>
        <v>3.5294117647058768E-2</v>
      </c>
      <c r="N3414" s="2" t="s">
        <v>40</v>
      </c>
      <c r="O3414" s="15" t="s">
        <v>105</v>
      </c>
    </row>
    <row r="3415" spans="1:15">
      <c r="A3415" s="70">
        <v>2025</v>
      </c>
      <c r="B3415" s="16" t="s">
        <v>1400</v>
      </c>
      <c r="C3415" s="71" t="s">
        <v>4510</v>
      </c>
      <c r="D3415" s="2" t="s">
        <v>94</v>
      </c>
      <c r="E3415" s="2" t="s">
        <v>550</v>
      </c>
      <c r="F3415" s="96">
        <v>4000</v>
      </c>
      <c r="G3415" s="1" t="s">
        <v>19</v>
      </c>
      <c r="H3415" s="415" t="s">
        <v>4513</v>
      </c>
      <c r="I3415" s="8">
        <f t="shared" si="228"/>
        <v>196000</v>
      </c>
      <c r="J3415" s="539">
        <v>47.56</v>
      </c>
      <c r="K3415" s="521">
        <f t="shared" si="226"/>
        <v>1.4399999999999977</v>
      </c>
      <c r="L3415" s="522">
        <f t="shared" si="229"/>
        <v>5759.9999999999909</v>
      </c>
      <c r="M3415" s="523">
        <f t="shared" si="227"/>
        <v>2.938775510204077E-2</v>
      </c>
      <c r="N3415" s="2" t="s">
        <v>40</v>
      </c>
      <c r="O3415" s="15" t="s">
        <v>105</v>
      </c>
    </row>
    <row r="3416" spans="1:15">
      <c r="A3416" s="70">
        <v>2025</v>
      </c>
      <c r="B3416" s="16" t="s">
        <v>1400</v>
      </c>
      <c r="C3416" s="71" t="s">
        <v>4510</v>
      </c>
      <c r="D3416" s="2" t="s">
        <v>94</v>
      </c>
      <c r="E3416" s="2" t="s">
        <v>546</v>
      </c>
      <c r="F3416" s="96">
        <v>700</v>
      </c>
      <c r="G3416" s="1" t="s">
        <v>19</v>
      </c>
      <c r="H3416" s="415" t="s">
        <v>4514</v>
      </c>
      <c r="I3416" s="8">
        <f t="shared" si="228"/>
        <v>129500</v>
      </c>
      <c r="J3416" s="539">
        <v>182.25</v>
      </c>
      <c r="K3416" s="521">
        <f t="shared" si="226"/>
        <v>2.75</v>
      </c>
      <c r="L3416" s="522">
        <f t="shared" si="229"/>
        <v>1925</v>
      </c>
      <c r="M3416" s="523">
        <f t="shared" si="227"/>
        <v>1.4864864864864866E-2</v>
      </c>
      <c r="N3416" s="2" t="s">
        <v>40</v>
      </c>
      <c r="O3416" s="15" t="s">
        <v>105</v>
      </c>
    </row>
    <row r="3417" spans="1:15">
      <c r="A3417" s="70">
        <v>2025</v>
      </c>
      <c r="B3417" s="16" t="s">
        <v>1400</v>
      </c>
      <c r="C3417" s="71" t="s">
        <v>4515</v>
      </c>
      <c r="D3417" s="2" t="s">
        <v>270</v>
      </c>
      <c r="E3417" s="2" t="s">
        <v>72</v>
      </c>
      <c r="F3417" s="96">
        <v>18428</v>
      </c>
      <c r="G3417" s="1" t="s">
        <v>37</v>
      </c>
      <c r="H3417" s="8">
        <v>415</v>
      </c>
      <c r="I3417" s="8">
        <f t="shared" si="228"/>
        <v>7647620</v>
      </c>
      <c r="J3417" s="539">
        <v>408</v>
      </c>
      <c r="K3417" s="521">
        <f t="shared" si="226"/>
        <v>7</v>
      </c>
      <c r="L3417" s="522">
        <f t="shared" si="229"/>
        <v>128996</v>
      </c>
      <c r="M3417" s="523">
        <f t="shared" si="227"/>
        <v>1.6867469879518072E-2</v>
      </c>
      <c r="N3417" s="2" t="s">
        <v>22</v>
      </c>
      <c r="O3417" s="15" t="s">
        <v>105</v>
      </c>
    </row>
    <row r="3418" spans="1:15">
      <c r="A3418" s="70">
        <v>2025</v>
      </c>
      <c r="B3418" s="16" t="s">
        <v>1400</v>
      </c>
      <c r="C3418" s="71" t="s">
        <v>4516</v>
      </c>
      <c r="D3418" s="2" t="s">
        <v>497</v>
      </c>
      <c r="E3418" s="2" t="s">
        <v>498</v>
      </c>
      <c r="F3418" s="96">
        <v>560000</v>
      </c>
      <c r="G3418" s="1" t="s">
        <v>37</v>
      </c>
      <c r="H3418" s="8">
        <v>90.47</v>
      </c>
      <c r="I3418" s="8">
        <f t="shared" si="228"/>
        <v>50663200</v>
      </c>
      <c r="J3418" s="539">
        <v>85.44</v>
      </c>
      <c r="K3418" s="521">
        <f t="shared" si="226"/>
        <v>5.0300000000000011</v>
      </c>
      <c r="L3418" s="522">
        <f t="shared" si="229"/>
        <v>2816800.0000000005</v>
      </c>
      <c r="M3418" s="523">
        <f t="shared" si="227"/>
        <v>5.5598540952802047E-2</v>
      </c>
      <c r="N3418" s="2" t="s">
        <v>40</v>
      </c>
      <c r="O3418" s="15" t="s">
        <v>39</v>
      </c>
    </row>
    <row r="3419" spans="1:15">
      <c r="A3419" s="70">
        <v>2025</v>
      </c>
      <c r="B3419" s="16" t="s">
        <v>1400</v>
      </c>
      <c r="C3419" s="71" t="s">
        <v>4517</v>
      </c>
      <c r="D3419" s="2" t="s">
        <v>270</v>
      </c>
      <c r="E3419" s="2" t="s">
        <v>962</v>
      </c>
      <c r="F3419" s="96">
        <v>13332</v>
      </c>
      <c r="G3419" s="1" t="s">
        <v>37</v>
      </c>
      <c r="H3419" s="8">
        <v>415</v>
      </c>
      <c r="I3419" s="8">
        <f t="shared" si="228"/>
        <v>5532780</v>
      </c>
      <c r="J3419" s="539">
        <v>408</v>
      </c>
      <c r="K3419" s="521">
        <f t="shared" si="226"/>
        <v>7</v>
      </c>
      <c r="L3419" s="522">
        <f t="shared" si="229"/>
        <v>93324</v>
      </c>
      <c r="M3419" s="523">
        <f t="shared" si="227"/>
        <v>1.6867469879518072E-2</v>
      </c>
      <c r="N3419" s="2" t="s">
        <v>22</v>
      </c>
      <c r="O3419" s="15" t="s">
        <v>105</v>
      </c>
    </row>
    <row r="3420" spans="1:15">
      <c r="A3420" s="70">
        <v>2025</v>
      </c>
      <c r="B3420" s="16" t="s">
        <v>1400</v>
      </c>
      <c r="C3420" s="71" t="s">
        <v>4518</v>
      </c>
      <c r="D3420" s="2" t="s">
        <v>78</v>
      </c>
      <c r="E3420" s="2" t="s">
        <v>4519</v>
      </c>
      <c r="F3420" s="96">
        <v>550</v>
      </c>
      <c r="G3420" s="1" t="s">
        <v>19</v>
      </c>
      <c r="H3420" s="8">
        <v>20</v>
      </c>
      <c r="I3420" s="8">
        <f t="shared" si="228"/>
        <v>11000</v>
      </c>
      <c r="J3420" s="539">
        <v>16</v>
      </c>
      <c r="K3420" s="521">
        <f t="shared" si="226"/>
        <v>4</v>
      </c>
      <c r="L3420" s="522">
        <f t="shared" si="229"/>
        <v>2200</v>
      </c>
      <c r="M3420" s="523">
        <f t="shared" si="227"/>
        <v>0.2</v>
      </c>
      <c r="N3420" s="2" t="s">
        <v>40</v>
      </c>
      <c r="O3420" s="15" t="s">
        <v>105</v>
      </c>
    </row>
    <row r="3421" spans="1:15">
      <c r="A3421" s="70">
        <v>2025</v>
      </c>
      <c r="B3421" s="16" t="s">
        <v>1400</v>
      </c>
      <c r="C3421" s="71" t="s">
        <v>4520</v>
      </c>
      <c r="D3421" s="2" t="s">
        <v>174</v>
      </c>
      <c r="E3421" s="2" t="s">
        <v>4521</v>
      </c>
      <c r="F3421" s="96">
        <v>1090</v>
      </c>
      <c r="G3421" s="1" t="s">
        <v>19</v>
      </c>
      <c r="H3421" s="8">
        <v>360</v>
      </c>
      <c r="I3421" s="8">
        <f t="shared" si="228"/>
        <v>392400</v>
      </c>
      <c r="J3421" s="539">
        <v>340</v>
      </c>
      <c r="K3421" s="521">
        <f t="shared" si="226"/>
        <v>20</v>
      </c>
      <c r="L3421" s="522">
        <f t="shared" si="229"/>
        <v>21800</v>
      </c>
      <c r="M3421" s="523">
        <f t="shared" si="227"/>
        <v>5.5555555555555552E-2</v>
      </c>
      <c r="N3421" s="2" t="s">
        <v>40</v>
      </c>
      <c r="O3421" s="15" t="s">
        <v>105</v>
      </c>
    </row>
    <row r="3422" spans="1:15">
      <c r="A3422" s="70">
        <v>2025</v>
      </c>
      <c r="B3422" s="16" t="s">
        <v>1400</v>
      </c>
      <c r="C3422" s="71" t="s">
        <v>4520</v>
      </c>
      <c r="D3422" s="2" t="s">
        <v>174</v>
      </c>
      <c r="E3422" s="2" t="s">
        <v>4522</v>
      </c>
      <c r="F3422" s="96">
        <v>600</v>
      </c>
      <c r="G3422" s="1" t="s">
        <v>19</v>
      </c>
      <c r="H3422" s="8">
        <v>55</v>
      </c>
      <c r="I3422" s="8">
        <f t="shared" si="228"/>
        <v>33000</v>
      </c>
      <c r="J3422" s="539">
        <v>50</v>
      </c>
      <c r="K3422" s="521">
        <f t="shared" si="226"/>
        <v>5</v>
      </c>
      <c r="L3422" s="522">
        <f t="shared" si="229"/>
        <v>3000</v>
      </c>
      <c r="M3422" s="523">
        <f t="shared" si="227"/>
        <v>9.0909090909090912E-2</v>
      </c>
      <c r="N3422" s="2" t="s">
        <v>40</v>
      </c>
      <c r="O3422" s="15" t="s">
        <v>105</v>
      </c>
    </row>
    <row r="3423" spans="1:15">
      <c r="A3423" s="70">
        <v>2025</v>
      </c>
      <c r="B3423" s="16" t="s">
        <v>1400</v>
      </c>
      <c r="C3423" s="71" t="s">
        <v>4520</v>
      </c>
      <c r="D3423" s="2" t="s">
        <v>174</v>
      </c>
      <c r="E3423" s="2" t="s">
        <v>4052</v>
      </c>
      <c r="F3423" s="96">
        <v>1090</v>
      </c>
      <c r="G3423" s="1" t="s">
        <v>19</v>
      </c>
      <c r="H3423" s="8">
        <v>245</v>
      </c>
      <c r="I3423" s="8">
        <f t="shared" si="228"/>
        <v>267050</v>
      </c>
      <c r="J3423" s="539">
        <v>240</v>
      </c>
      <c r="K3423" s="521">
        <f t="shared" si="226"/>
        <v>5</v>
      </c>
      <c r="L3423" s="522">
        <f t="shared" si="229"/>
        <v>5450</v>
      </c>
      <c r="M3423" s="523">
        <f t="shared" si="227"/>
        <v>2.0408163265306121E-2</v>
      </c>
      <c r="N3423" s="2" t="s">
        <v>40</v>
      </c>
      <c r="O3423" s="15" t="s">
        <v>105</v>
      </c>
    </row>
    <row r="3424" spans="1:15">
      <c r="A3424" s="70">
        <v>2025</v>
      </c>
      <c r="B3424" s="16" t="s">
        <v>1400</v>
      </c>
      <c r="C3424" s="71" t="s">
        <v>4520</v>
      </c>
      <c r="D3424" s="2" t="s">
        <v>174</v>
      </c>
      <c r="E3424" s="2" t="s">
        <v>4523</v>
      </c>
      <c r="F3424" s="96">
        <v>550</v>
      </c>
      <c r="G3424" s="1" t="s">
        <v>19</v>
      </c>
      <c r="H3424" s="8">
        <v>45</v>
      </c>
      <c r="I3424" s="8">
        <f t="shared" si="228"/>
        <v>24750</v>
      </c>
      <c r="J3424" s="539">
        <v>40</v>
      </c>
      <c r="K3424" s="521">
        <f t="shared" si="226"/>
        <v>5</v>
      </c>
      <c r="L3424" s="522">
        <f t="shared" si="229"/>
        <v>2750</v>
      </c>
      <c r="M3424" s="523">
        <f t="shared" si="227"/>
        <v>0.1111111111111111</v>
      </c>
      <c r="N3424" s="2" t="s">
        <v>40</v>
      </c>
      <c r="O3424" s="15" t="s">
        <v>105</v>
      </c>
    </row>
    <row r="3425" spans="1:15">
      <c r="A3425" s="70">
        <v>2025</v>
      </c>
      <c r="B3425" s="16" t="s">
        <v>1400</v>
      </c>
      <c r="C3425" s="71" t="s">
        <v>4524</v>
      </c>
      <c r="D3425" s="2" t="s">
        <v>1042</v>
      </c>
      <c r="E3425" s="2" t="s">
        <v>1141</v>
      </c>
      <c r="F3425" s="96">
        <v>500</v>
      </c>
      <c r="G3425" s="1" t="s">
        <v>37</v>
      </c>
      <c r="H3425" s="8">
        <v>412</v>
      </c>
      <c r="I3425" s="8">
        <f t="shared" si="228"/>
        <v>206000</v>
      </c>
      <c r="J3425" s="539">
        <v>407</v>
      </c>
      <c r="K3425" s="521">
        <f t="shared" si="226"/>
        <v>5</v>
      </c>
      <c r="L3425" s="522">
        <f t="shared" si="229"/>
        <v>2500</v>
      </c>
      <c r="M3425" s="523">
        <f t="shared" si="227"/>
        <v>1.2135922330097087E-2</v>
      </c>
      <c r="N3425" s="2" t="s">
        <v>40</v>
      </c>
      <c r="O3425" s="15" t="s">
        <v>105</v>
      </c>
    </row>
    <row r="3426" spans="1:15">
      <c r="A3426" s="70">
        <v>2025</v>
      </c>
      <c r="B3426" s="16" t="s">
        <v>1400</v>
      </c>
      <c r="C3426" s="71" t="s">
        <v>4524</v>
      </c>
      <c r="D3426" s="2" t="s">
        <v>1042</v>
      </c>
      <c r="E3426" s="2" t="s">
        <v>621</v>
      </c>
      <c r="F3426" s="96">
        <v>1500</v>
      </c>
      <c r="G3426" s="1" t="s">
        <v>615</v>
      </c>
      <c r="H3426" s="8">
        <v>449</v>
      </c>
      <c r="I3426" s="8">
        <f t="shared" si="228"/>
        <v>673500</v>
      </c>
      <c r="J3426" s="539">
        <v>437</v>
      </c>
      <c r="K3426" s="521">
        <f t="shared" si="226"/>
        <v>12</v>
      </c>
      <c r="L3426" s="522">
        <f t="shared" si="229"/>
        <v>18000</v>
      </c>
      <c r="M3426" s="523">
        <f t="shared" si="227"/>
        <v>2.6726057906458798E-2</v>
      </c>
      <c r="N3426" s="2" t="s">
        <v>40</v>
      </c>
      <c r="O3426" s="15" t="s">
        <v>105</v>
      </c>
    </row>
    <row r="3427" spans="1:15">
      <c r="A3427" s="70">
        <v>2025</v>
      </c>
      <c r="B3427" s="16" t="s">
        <v>1400</v>
      </c>
      <c r="C3427" s="71" t="s">
        <v>4525</v>
      </c>
      <c r="D3427" s="2" t="s">
        <v>304</v>
      </c>
      <c r="E3427" s="2" t="s">
        <v>597</v>
      </c>
      <c r="F3427" s="96">
        <v>1635</v>
      </c>
      <c r="G3427" s="1" t="s">
        <v>19</v>
      </c>
      <c r="H3427" s="8">
        <v>5300</v>
      </c>
      <c r="I3427" s="8">
        <f t="shared" si="228"/>
        <v>8665500</v>
      </c>
      <c r="J3427" s="539">
        <v>5100</v>
      </c>
      <c r="K3427" s="521">
        <f t="shared" si="226"/>
        <v>200</v>
      </c>
      <c r="L3427" s="522">
        <f t="shared" si="229"/>
        <v>327000</v>
      </c>
      <c r="M3427" s="523">
        <f t="shared" si="227"/>
        <v>3.7735849056603772E-2</v>
      </c>
      <c r="N3427" s="2" t="s">
        <v>40</v>
      </c>
      <c r="O3427" s="15" t="s">
        <v>105</v>
      </c>
    </row>
    <row r="3428" spans="1:15">
      <c r="A3428" s="70">
        <v>2025</v>
      </c>
      <c r="B3428" s="16" t="s">
        <v>1400</v>
      </c>
      <c r="C3428" s="71" t="s">
        <v>4525</v>
      </c>
      <c r="D3428" s="2" t="s">
        <v>304</v>
      </c>
      <c r="E3428" s="2" t="s">
        <v>602</v>
      </c>
      <c r="F3428" s="96">
        <v>1635</v>
      </c>
      <c r="G3428" s="1" t="s">
        <v>19</v>
      </c>
      <c r="H3428" s="8">
        <v>1600</v>
      </c>
      <c r="I3428" s="8">
        <f t="shared" si="228"/>
        <v>2616000</v>
      </c>
      <c r="J3428" s="539">
        <v>1500</v>
      </c>
      <c r="K3428" s="521">
        <f t="shared" si="226"/>
        <v>100</v>
      </c>
      <c r="L3428" s="522">
        <f t="shared" si="229"/>
        <v>163500</v>
      </c>
      <c r="M3428" s="523">
        <f t="shared" si="227"/>
        <v>6.25E-2</v>
      </c>
      <c r="N3428" s="2" t="s">
        <v>40</v>
      </c>
      <c r="O3428" s="15" t="s">
        <v>105</v>
      </c>
    </row>
    <row r="3429" spans="1:15">
      <c r="A3429" s="70">
        <v>2025</v>
      </c>
      <c r="B3429" s="16" t="s">
        <v>1400</v>
      </c>
      <c r="C3429" s="71" t="s">
        <v>4526</v>
      </c>
      <c r="D3429" s="2" t="s">
        <v>2688</v>
      </c>
      <c r="E3429" s="2" t="s">
        <v>4527</v>
      </c>
      <c r="F3429" s="96">
        <v>1650</v>
      </c>
      <c r="G3429" s="1" t="s">
        <v>302</v>
      </c>
      <c r="H3429" s="8">
        <v>1204.5</v>
      </c>
      <c r="I3429" s="8">
        <f t="shared" si="228"/>
        <v>1987425</v>
      </c>
      <c r="J3429" s="539">
        <v>1095.5999999999999</v>
      </c>
      <c r="K3429" s="521">
        <f t="shared" si="226"/>
        <v>108.90000000000009</v>
      </c>
      <c r="L3429" s="522">
        <f t="shared" si="229"/>
        <v>179685.00000000015</v>
      </c>
      <c r="M3429" s="523">
        <f t="shared" si="227"/>
        <v>9.0410958904109662E-2</v>
      </c>
      <c r="N3429" s="2" t="s">
        <v>40</v>
      </c>
      <c r="O3429" s="15" t="s">
        <v>39</v>
      </c>
    </row>
    <row r="3430" spans="1:15">
      <c r="A3430" s="70">
        <v>2025</v>
      </c>
      <c r="B3430" s="16" t="s">
        <v>1400</v>
      </c>
      <c r="C3430" s="71" t="s">
        <v>4528</v>
      </c>
      <c r="D3430" s="2" t="s">
        <v>708</v>
      </c>
      <c r="E3430" s="2" t="s">
        <v>45</v>
      </c>
      <c r="F3430" s="96">
        <v>24000</v>
      </c>
      <c r="G3430" s="1" t="s">
        <v>37</v>
      </c>
      <c r="H3430" s="8">
        <v>431</v>
      </c>
      <c r="I3430" s="8">
        <f t="shared" si="228"/>
        <v>10344000</v>
      </c>
      <c r="J3430" s="539">
        <v>396</v>
      </c>
      <c r="K3430" s="521">
        <f t="shared" si="226"/>
        <v>35</v>
      </c>
      <c r="L3430" s="522">
        <f t="shared" si="229"/>
        <v>840000</v>
      </c>
      <c r="M3430" s="523">
        <f t="shared" si="227"/>
        <v>8.1206496519721574E-2</v>
      </c>
      <c r="N3430" s="2" t="s">
        <v>22</v>
      </c>
      <c r="O3430" s="15" t="s">
        <v>105</v>
      </c>
    </row>
    <row r="3431" spans="1:15">
      <c r="A3431" s="70">
        <v>2025</v>
      </c>
      <c r="B3431" s="16" t="s">
        <v>1400</v>
      </c>
      <c r="C3431" s="71" t="s">
        <v>4528</v>
      </c>
      <c r="D3431" s="2" t="s">
        <v>708</v>
      </c>
      <c r="E3431" s="150" t="s">
        <v>1134</v>
      </c>
      <c r="F3431" s="96">
        <v>4000</v>
      </c>
      <c r="G3431" s="1" t="s">
        <v>37</v>
      </c>
      <c r="H3431" s="8">
        <v>423</v>
      </c>
      <c r="I3431" s="8">
        <f t="shared" si="228"/>
        <v>1692000</v>
      </c>
      <c r="J3431" s="539">
        <v>403</v>
      </c>
      <c r="K3431" s="521">
        <f t="shared" si="226"/>
        <v>20</v>
      </c>
      <c r="L3431" s="522">
        <f t="shared" si="229"/>
        <v>80000</v>
      </c>
      <c r="M3431" s="523">
        <f t="shared" si="227"/>
        <v>4.7281323877068557E-2</v>
      </c>
      <c r="N3431" s="2" t="s">
        <v>22</v>
      </c>
      <c r="O3431" s="15" t="s">
        <v>105</v>
      </c>
    </row>
    <row r="3432" spans="1:15">
      <c r="A3432" s="70">
        <v>2025</v>
      </c>
      <c r="B3432" s="16" t="s">
        <v>1400</v>
      </c>
      <c r="C3432" s="71" t="s">
        <v>4528</v>
      </c>
      <c r="D3432" s="2" t="s">
        <v>708</v>
      </c>
      <c r="E3432" s="150" t="s">
        <v>48</v>
      </c>
      <c r="F3432" s="96">
        <v>3550</v>
      </c>
      <c r="G3432" s="1" t="s">
        <v>37</v>
      </c>
      <c r="H3432" s="8">
        <v>423</v>
      </c>
      <c r="I3432" s="8">
        <f t="shared" si="228"/>
        <v>1501650</v>
      </c>
      <c r="J3432" s="539">
        <v>403</v>
      </c>
      <c r="K3432" s="521">
        <f t="shared" si="226"/>
        <v>20</v>
      </c>
      <c r="L3432" s="522">
        <f t="shared" si="229"/>
        <v>71000</v>
      </c>
      <c r="M3432" s="523">
        <f t="shared" si="227"/>
        <v>4.7281323877068557E-2</v>
      </c>
      <c r="N3432" s="2" t="s">
        <v>22</v>
      </c>
      <c r="O3432" s="15" t="s">
        <v>105</v>
      </c>
    </row>
    <row r="3433" spans="1:15">
      <c r="A3433" s="70">
        <v>2025</v>
      </c>
      <c r="B3433" s="16" t="s">
        <v>1400</v>
      </c>
      <c r="C3433" s="71" t="s">
        <v>4528</v>
      </c>
      <c r="D3433" s="2" t="s">
        <v>708</v>
      </c>
      <c r="E3433" s="150" t="s">
        <v>50</v>
      </c>
      <c r="F3433" s="96">
        <v>3300</v>
      </c>
      <c r="G3433" s="1" t="s">
        <v>37</v>
      </c>
      <c r="H3433" s="8">
        <v>423</v>
      </c>
      <c r="I3433" s="8">
        <f t="shared" si="228"/>
        <v>1395900</v>
      </c>
      <c r="J3433" s="539">
        <v>403</v>
      </c>
      <c r="K3433" s="521">
        <f t="shared" si="226"/>
        <v>20</v>
      </c>
      <c r="L3433" s="522">
        <f t="shared" si="229"/>
        <v>66000</v>
      </c>
      <c r="M3433" s="523">
        <f t="shared" si="227"/>
        <v>4.7281323877068557E-2</v>
      </c>
      <c r="N3433" s="2" t="s">
        <v>22</v>
      </c>
      <c r="O3433" s="15" t="s">
        <v>105</v>
      </c>
    </row>
    <row r="3434" spans="1:15">
      <c r="A3434" s="70">
        <v>2025</v>
      </c>
      <c r="B3434" s="16" t="s">
        <v>1400</v>
      </c>
      <c r="C3434" s="71" t="s">
        <v>4528</v>
      </c>
      <c r="D3434" s="2" t="s">
        <v>708</v>
      </c>
      <c r="E3434" s="150" t="s">
        <v>49</v>
      </c>
      <c r="F3434" s="96">
        <v>10000</v>
      </c>
      <c r="G3434" s="1" t="s">
        <v>37</v>
      </c>
      <c r="H3434" s="8">
        <v>416</v>
      </c>
      <c r="I3434" s="8">
        <f t="shared" si="228"/>
        <v>4160000</v>
      </c>
      <c r="J3434" s="539">
        <v>396</v>
      </c>
      <c r="K3434" s="521">
        <f t="shared" si="226"/>
        <v>20</v>
      </c>
      <c r="L3434" s="522">
        <f t="shared" si="229"/>
        <v>200000</v>
      </c>
      <c r="M3434" s="523">
        <f t="shared" si="227"/>
        <v>4.807692307692308E-2</v>
      </c>
      <c r="N3434" s="2" t="s">
        <v>22</v>
      </c>
      <c r="O3434" s="15" t="s">
        <v>105</v>
      </c>
    </row>
    <row r="3435" spans="1:15">
      <c r="A3435" s="70">
        <v>2025</v>
      </c>
      <c r="B3435" s="16" t="s">
        <v>1400</v>
      </c>
      <c r="C3435" s="71" t="s">
        <v>4528</v>
      </c>
      <c r="D3435" s="2" t="s">
        <v>708</v>
      </c>
      <c r="E3435" s="150" t="s">
        <v>207</v>
      </c>
      <c r="F3435" s="96">
        <v>9000</v>
      </c>
      <c r="G3435" s="1" t="s">
        <v>37</v>
      </c>
      <c r="H3435" s="8">
        <v>416</v>
      </c>
      <c r="I3435" s="8">
        <f t="shared" si="228"/>
        <v>3744000</v>
      </c>
      <c r="J3435" s="539">
        <v>396</v>
      </c>
      <c r="K3435" s="521">
        <f t="shared" si="226"/>
        <v>20</v>
      </c>
      <c r="L3435" s="522">
        <f t="shared" si="229"/>
        <v>180000</v>
      </c>
      <c r="M3435" s="523">
        <f t="shared" si="227"/>
        <v>4.807692307692308E-2</v>
      </c>
      <c r="N3435" s="2" t="s">
        <v>22</v>
      </c>
      <c r="O3435" s="15" t="s">
        <v>105</v>
      </c>
    </row>
    <row r="3436" spans="1:15">
      <c r="A3436" s="70">
        <v>2025</v>
      </c>
      <c r="B3436" s="16" t="s">
        <v>1400</v>
      </c>
      <c r="C3436" s="71" t="s">
        <v>4528</v>
      </c>
      <c r="D3436" s="2" t="s">
        <v>708</v>
      </c>
      <c r="E3436" s="150" t="s">
        <v>206</v>
      </c>
      <c r="F3436" s="96">
        <v>20000</v>
      </c>
      <c r="G3436" s="1" t="s">
        <v>37</v>
      </c>
      <c r="H3436" s="8">
        <v>414</v>
      </c>
      <c r="I3436" s="8">
        <f t="shared" si="228"/>
        <v>8280000</v>
      </c>
      <c r="J3436" s="539">
        <v>394</v>
      </c>
      <c r="K3436" s="521">
        <f t="shared" si="226"/>
        <v>20</v>
      </c>
      <c r="L3436" s="522">
        <f t="shared" si="229"/>
        <v>400000</v>
      </c>
      <c r="M3436" s="523">
        <f t="shared" si="227"/>
        <v>4.8309178743961352E-2</v>
      </c>
      <c r="N3436" s="2" t="s">
        <v>22</v>
      </c>
      <c r="O3436" s="15" t="s">
        <v>105</v>
      </c>
    </row>
    <row r="3437" spans="1:15">
      <c r="A3437" s="70">
        <v>2025</v>
      </c>
      <c r="B3437" s="16" t="s">
        <v>1400</v>
      </c>
      <c r="C3437" s="71" t="s">
        <v>4528</v>
      </c>
      <c r="D3437" s="2" t="s">
        <v>708</v>
      </c>
      <c r="E3437" s="150" t="s">
        <v>3616</v>
      </c>
      <c r="F3437" s="96">
        <v>3300</v>
      </c>
      <c r="G3437" s="1" t="s">
        <v>37</v>
      </c>
      <c r="H3437" s="8">
        <v>409</v>
      </c>
      <c r="I3437" s="8">
        <f t="shared" si="228"/>
        <v>1349700</v>
      </c>
      <c r="J3437" s="539">
        <v>389</v>
      </c>
      <c r="K3437" s="521">
        <f t="shared" si="226"/>
        <v>20</v>
      </c>
      <c r="L3437" s="522">
        <f t="shared" si="229"/>
        <v>66000</v>
      </c>
      <c r="M3437" s="523">
        <f t="shared" si="227"/>
        <v>4.8899755501222497E-2</v>
      </c>
      <c r="N3437" s="2" t="s">
        <v>22</v>
      </c>
      <c r="O3437" s="15" t="s">
        <v>105</v>
      </c>
    </row>
    <row r="3438" spans="1:15">
      <c r="A3438" s="70">
        <v>2025</v>
      </c>
      <c r="B3438" s="16" t="s">
        <v>1400</v>
      </c>
      <c r="C3438" s="71" t="s">
        <v>4528</v>
      </c>
      <c r="D3438" s="2" t="s">
        <v>708</v>
      </c>
      <c r="E3438" s="150" t="s">
        <v>1137</v>
      </c>
      <c r="F3438" s="96">
        <v>5700</v>
      </c>
      <c r="G3438" s="1" t="s">
        <v>37</v>
      </c>
      <c r="H3438" s="8">
        <v>409</v>
      </c>
      <c r="I3438" s="8">
        <f t="shared" si="228"/>
        <v>2331300</v>
      </c>
      <c r="J3438" s="539">
        <v>389</v>
      </c>
      <c r="K3438" s="521">
        <f t="shared" si="226"/>
        <v>20</v>
      </c>
      <c r="L3438" s="522">
        <f t="shared" si="229"/>
        <v>114000</v>
      </c>
      <c r="M3438" s="523">
        <f t="shared" si="227"/>
        <v>4.8899755501222497E-2</v>
      </c>
      <c r="N3438" s="2" t="s">
        <v>22</v>
      </c>
      <c r="O3438" s="15" t="s">
        <v>105</v>
      </c>
    </row>
    <row r="3439" spans="1:15">
      <c r="A3439" s="70">
        <v>2025</v>
      </c>
      <c r="B3439" s="16" t="s">
        <v>1400</v>
      </c>
      <c r="C3439" s="71" t="s">
        <v>4528</v>
      </c>
      <c r="D3439" s="2" t="s">
        <v>708</v>
      </c>
      <c r="E3439" s="150" t="s">
        <v>208</v>
      </c>
      <c r="F3439" s="96">
        <v>3500</v>
      </c>
      <c r="G3439" s="1" t="s">
        <v>37</v>
      </c>
      <c r="H3439" s="8">
        <v>409</v>
      </c>
      <c r="I3439" s="8">
        <f t="shared" si="228"/>
        <v>1431500</v>
      </c>
      <c r="J3439" s="539">
        <v>389</v>
      </c>
      <c r="K3439" s="521">
        <f t="shared" si="226"/>
        <v>20</v>
      </c>
      <c r="L3439" s="522">
        <f t="shared" si="229"/>
        <v>70000</v>
      </c>
      <c r="M3439" s="523">
        <f t="shared" si="227"/>
        <v>4.8899755501222497E-2</v>
      </c>
      <c r="N3439" s="2" t="s">
        <v>22</v>
      </c>
      <c r="O3439" s="15" t="s">
        <v>105</v>
      </c>
    </row>
    <row r="3440" spans="1:15">
      <c r="A3440" s="70">
        <v>2025</v>
      </c>
      <c r="B3440" s="16" t="s">
        <v>1400</v>
      </c>
      <c r="C3440" s="71" t="s">
        <v>4528</v>
      </c>
      <c r="D3440" s="2" t="s">
        <v>708</v>
      </c>
      <c r="E3440" s="150" t="s">
        <v>3964</v>
      </c>
      <c r="F3440" s="96">
        <v>2400</v>
      </c>
      <c r="G3440" s="1" t="s">
        <v>37</v>
      </c>
      <c r="H3440" s="8">
        <v>431</v>
      </c>
      <c r="I3440" s="8">
        <f t="shared" si="228"/>
        <v>1034400</v>
      </c>
      <c r="J3440" s="539">
        <v>411</v>
      </c>
      <c r="K3440" s="521">
        <f t="shared" si="226"/>
        <v>20</v>
      </c>
      <c r="L3440" s="522">
        <f t="shared" si="229"/>
        <v>48000</v>
      </c>
      <c r="M3440" s="523">
        <f t="shared" si="227"/>
        <v>4.6403712296983757E-2</v>
      </c>
      <c r="N3440" s="2" t="s">
        <v>22</v>
      </c>
      <c r="O3440" s="15" t="s">
        <v>105</v>
      </c>
    </row>
    <row r="3441" spans="1:15">
      <c r="A3441" s="70">
        <v>2025</v>
      </c>
      <c r="B3441" s="16" t="s">
        <v>1400</v>
      </c>
      <c r="C3441" s="71" t="s">
        <v>4528</v>
      </c>
      <c r="D3441" s="2" t="s">
        <v>708</v>
      </c>
      <c r="E3441" s="150" t="s">
        <v>51</v>
      </c>
      <c r="F3441" s="96">
        <v>10000</v>
      </c>
      <c r="G3441" s="1" t="s">
        <v>37</v>
      </c>
      <c r="H3441" s="8">
        <v>416</v>
      </c>
      <c r="I3441" s="8">
        <f t="shared" si="228"/>
        <v>4160000</v>
      </c>
      <c r="J3441" s="539">
        <v>396</v>
      </c>
      <c r="K3441" s="521">
        <f t="shared" si="226"/>
        <v>20</v>
      </c>
      <c r="L3441" s="522">
        <f t="shared" si="229"/>
        <v>200000</v>
      </c>
      <c r="M3441" s="523">
        <f t="shared" si="227"/>
        <v>4.807692307692308E-2</v>
      </c>
      <c r="N3441" s="2" t="s">
        <v>22</v>
      </c>
      <c r="O3441" s="15" t="s">
        <v>105</v>
      </c>
    </row>
    <row r="3442" spans="1:15">
      <c r="A3442" s="70">
        <v>2025</v>
      </c>
      <c r="B3442" s="16" t="s">
        <v>1400</v>
      </c>
      <c r="C3442" s="71" t="s">
        <v>4528</v>
      </c>
      <c r="D3442" s="2" t="s">
        <v>708</v>
      </c>
      <c r="E3442" s="150" t="s">
        <v>209</v>
      </c>
      <c r="F3442" s="96">
        <v>3000</v>
      </c>
      <c r="G3442" s="1" t="s">
        <v>37</v>
      </c>
      <c r="H3442" s="8">
        <v>414</v>
      </c>
      <c r="I3442" s="8">
        <f t="shared" si="228"/>
        <v>1242000</v>
      </c>
      <c r="J3442" s="539">
        <v>394</v>
      </c>
      <c r="K3442" s="521">
        <f t="shared" si="226"/>
        <v>20</v>
      </c>
      <c r="L3442" s="522">
        <f t="shared" si="229"/>
        <v>60000</v>
      </c>
      <c r="M3442" s="523">
        <f t="shared" si="227"/>
        <v>4.8309178743961352E-2</v>
      </c>
      <c r="N3442" s="2" t="s">
        <v>22</v>
      </c>
      <c r="O3442" s="15" t="s">
        <v>105</v>
      </c>
    </row>
    <row r="3443" spans="1:15">
      <c r="A3443" s="70">
        <v>2025</v>
      </c>
      <c r="B3443" s="16" t="s">
        <v>1400</v>
      </c>
      <c r="C3443" s="71" t="s">
        <v>4528</v>
      </c>
      <c r="D3443" s="2" t="s">
        <v>708</v>
      </c>
      <c r="E3443" s="150" t="s">
        <v>52</v>
      </c>
      <c r="F3443" s="96">
        <v>7500</v>
      </c>
      <c r="G3443" s="1" t="s">
        <v>37</v>
      </c>
      <c r="H3443" s="8">
        <v>414</v>
      </c>
      <c r="I3443" s="8">
        <f t="shared" si="228"/>
        <v>3105000</v>
      </c>
      <c r="J3443" s="539">
        <v>394</v>
      </c>
      <c r="K3443" s="521">
        <f t="shared" si="226"/>
        <v>20</v>
      </c>
      <c r="L3443" s="522">
        <f t="shared" si="229"/>
        <v>150000</v>
      </c>
      <c r="M3443" s="523">
        <f t="shared" si="227"/>
        <v>4.8309178743961352E-2</v>
      </c>
      <c r="N3443" s="2" t="s">
        <v>22</v>
      </c>
      <c r="O3443" s="15" t="s">
        <v>105</v>
      </c>
    </row>
    <row r="3444" spans="1:15">
      <c r="A3444" s="70">
        <v>2025</v>
      </c>
      <c r="B3444" s="16" t="s">
        <v>1400</v>
      </c>
      <c r="C3444" s="71" t="s">
        <v>4528</v>
      </c>
      <c r="D3444" s="2" t="s">
        <v>708</v>
      </c>
      <c r="E3444" s="150" t="s">
        <v>1248</v>
      </c>
      <c r="F3444" s="96">
        <v>3000</v>
      </c>
      <c r="G3444" s="1" t="s">
        <v>37</v>
      </c>
      <c r="H3444" s="8">
        <v>409</v>
      </c>
      <c r="I3444" s="8">
        <f t="shared" si="228"/>
        <v>1227000</v>
      </c>
      <c r="J3444" s="539">
        <v>389</v>
      </c>
      <c r="K3444" s="521">
        <f t="shared" si="226"/>
        <v>20</v>
      </c>
      <c r="L3444" s="522">
        <f t="shared" si="229"/>
        <v>60000</v>
      </c>
      <c r="M3444" s="523">
        <f t="shared" si="227"/>
        <v>4.8899755501222497E-2</v>
      </c>
      <c r="N3444" s="2" t="s">
        <v>22</v>
      </c>
      <c r="O3444" s="15" t="s">
        <v>105</v>
      </c>
    </row>
    <row r="3445" spans="1:15">
      <c r="A3445" s="70">
        <v>2025</v>
      </c>
      <c r="B3445" s="16" t="s">
        <v>1400</v>
      </c>
      <c r="C3445" s="71" t="s">
        <v>4528</v>
      </c>
      <c r="D3445" s="2" t="s">
        <v>708</v>
      </c>
      <c r="E3445" s="150" t="s">
        <v>709</v>
      </c>
      <c r="F3445" s="96">
        <v>3300</v>
      </c>
      <c r="G3445" s="1" t="s">
        <v>37</v>
      </c>
      <c r="H3445" s="8">
        <v>409</v>
      </c>
      <c r="I3445" s="8">
        <f t="shared" si="228"/>
        <v>1349700</v>
      </c>
      <c r="J3445" s="539">
        <v>389</v>
      </c>
      <c r="K3445" s="521">
        <f t="shared" si="226"/>
        <v>20</v>
      </c>
      <c r="L3445" s="522">
        <f t="shared" si="229"/>
        <v>66000</v>
      </c>
      <c r="M3445" s="523">
        <f t="shared" si="227"/>
        <v>4.8899755501222497E-2</v>
      </c>
      <c r="N3445" s="2" t="s">
        <v>22</v>
      </c>
      <c r="O3445" s="15" t="s">
        <v>105</v>
      </c>
    </row>
    <row r="3446" spans="1:15">
      <c r="A3446" s="70">
        <v>2025</v>
      </c>
      <c r="B3446" s="16" t="s">
        <v>1400</v>
      </c>
      <c r="C3446" s="71" t="s">
        <v>4528</v>
      </c>
      <c r="D3446" s="2" t="s">
        <v>708</v>
      </c>
      <c r="E3446" s="150" t="s">
        <v>3841</v>
      </c>
      <c r="F3446" s="96">
        <v>3200</v>
      </c>
      <c r="G3446" s="1" t="s">
        <v>37</v>
      </c>
      <c r="H3446" s="8">
        <v>414</v>
      </c>
      <c r="I3446" s="8">
        <f t="shared" si="228"/>
        <v>1324800</v>
      </c>
      <c r="J3446" s="539">
        <v>394</v>
      </c>
      <c r="K3446" s="521">
        <f t="shared" si="226"/>
        <v>20</v>
      </c>
      <c r="L3446" s="522">
        <f t="shared" si="229"/>
        <v>64000</v>
      </c>
      <c r="M3446" s="523">
        <f t="shared" si="227"/>
        <v>4.8309178743961352E-2</v>
      </c>
      <c r="N3446" s="2" t="s">
        <v>22</v>
      </c>
      <c r="O3446" s="15" t="s">
        <v>105</v>
      </c>
    </row>
    <row r="3447" spans="1:15">
      <c r="A3447" s="70">
        <v>2025</v>
      </c>
      <c r="B3447" s="16" t="s">
        <v>1400</v>
      </c>
      <c r="C3447" s="71" t="s">
        <v>4529</v>
      </c>
      <c r="D3447" s="2" t="s">
        <v>497</v>
      </c>
      <c r="E3447" s="150" t="s">
        <v>498</v>
      </c>
      <c r="F3447" s="96">
        <v>6000</v>
      </c>
      <c r="G3447" s="1" t="s">
        <v>37</v>
      </c>
      <c r="H3447" s="8">
        <v>93</v>
      </c>
      <c r="I3447" s="8">
        <f t="shared" si="228"/>
        <v>558000</v>
      </c>
      <c r="J3447" s="539">
        <v>85.44</v>
      </c>
      <c r="K3447" s="521">
        <f t="shared" si="226"/>
        <v>7.5600000000000023</v>
      </c>
      <c r="L3447" s="522">
        <f t="shared" si="229"/>
        <v>45360.000000000015</v>
      </c>
      <c r="M3447" s="523">
        <f t="shared" si="227"/>
        <v>8.1290322580645183E-2</v>
      </c>
      <c r="N3447" s="2" t="s">
        <v>40</v>
      </c>
      <c r="O3447" s="15" t="s">
        <v>39</v>
      </c>
    </row>
    <row r="3448" spans="1:15">
      <c r="A3448" s="70">
        <v>2025</v>
      </c>
      <c r="B3448" s="16" t="s">
        <v>1400</v>
      </c>
      <c r="C3448" s="71" t="s">
        <v>4529</v>
      </c>
      <c r="D3448" s="2" t="s">
        <v>497</v>
      </c>
      <c r="E3448" s="150" t="s">
        <v>2258</v>
      </c>
      <c r="F3448" s="96">
        <v>8000</v>
      </c>
      <c r="G3448" s="1" t="s">
        <v>37</v>
      </c>
      <c r="H3448" s="8">
        <v>93</v>
      </c>
      <c r="I3448" s="8">
        <f t="shared" si="228"/>
        <v>744000</v>
      </c>
      <c r="J3448" s="539">
        <v>85.44</v>
      </c>
      <c r="K3448" s="521">
        <f t="shared" si="226"/>
        <v>7.5600000000000023</v>
      </c>
      <c r="L3448" s="522">
        <f t="shared" si="229"/>
        <v>60480.000000000015</v>
      </c>
      <c r="M3448" s="523">
        <f t="shared" si="227"/>
        <v>8.1290322580645183E-2</v>
      </c>
      <c r="N3448" s="2" t="s">
        <v>40</v>
      </c>
      <c r="O3448" s="15" t="s">
        <v>39</v>
      </c>
    </row>
    <row r="3449" spans="1:15">
      <c r="A3449" s="70">
        <v>2025</v>
      </c>
      <c r="B3449" s="16" t="s">
        <v>1400</v>
      </c>
      <c r="C3449" s="71" t="s">
        <v>4529</v>
      </c>
      <c r="D3449" s="2" t="s">
        <v>497</v>
      </c>
      <c r="E3449" s="150" t="s">
        <v>4530</v>
      </c>
      <c r="F3449" s="96">
        <v>12000</v>
      </c>
      <c r="G3449" s="1" t="s">
        <v>37</v>
      </c>
      <c r="H3449" s="8">
        <v>93</v>
      </c>
      <c r="I3449" s="8">
        <f t="shared" si="228"/>
        <v>1116000</v>
      </c>
      <c r="J3449" s="539">
        <v>85.44</v>
      </c>
      <c r="K3449" s="521">
        <f t="shared" si="226"/>
        <v>7.5600000000000023</v>
      </c>
      <c r="L3449" s="522">
        <f t="shared" si="229"/>
        <v>90720.000000000029</v>
      </c>
      <c r="M3449" s="523">
        <f t="shared" si="227"/>
        <v>8.1290322580645183E-2</v>
      </c>
      <c r="N3449" s="2" t="s">
        <v>40</v>
      </c>
      <c r="O3449" s="15" t="s">
        <v>39</v>
      </c>
    </row>
    <row r="3450" spans="1:15">
      <c r="A3450" s="70">
        <v>2025</v>
      </c>
      <c r="B3450" s="16" t="s">
        <v>1400</v>
      </c>
      <c r="C3450" s="71" t="s">
        <v>4529</v>
      </c>
      <c r="D3450" s="2" t="s">
        <v>497</v>
      </c>
      <c r="E3450" s="150" t="s">
        <v>2258</v>
      </c>
      <c r="F3450" s="96">
        <v>7000</v>
      </c>
      <c r="G3450" s="1" t="s">
        <v>37</v>
      </c>
      <c r="H3450" s="8">
        <v>93</v>
      </c>
      <c r="I3450" s="8">
        <f t="shared" si="228"/>
        <v>651000</v>
      </c>
      <c r="J3450" s="539">
        <v>85.44</v>
      </c>
      <c r="K3450" s="521">
        <f t="shared" si="226"/>
        <v>7.5600000000000023</v>
      </c>
      <c r="L3450" s="522">
        <f t="shared" si="229"/>
        <v>52920.000000000015</v>
      </c>
      <c r="M3450" s="523">
        <f t="shared" si="227"/>
        <v>8.1290322580645183E-2</v>
      </c>
      <c r="N3450" s="2" t="s">
        <v>40</v>
      </c>
      <c r="O3450" s="15" t="s">
        <v>39</v>
      </c>
    </row>
    <row r="3451" spans="1:15">
      <c r="A3451" s="70">
        <v>2025</v>
      </c>
      <c r="B3451" s="16" t="s">
        <v>1400</v>
      </c>
      <c r="C3451" s="71" t="s">
        <v>4529</v>
      </c>
      <c r="D3451" s="2" t="s">
        <v>497</v>
      </c>
      <c r="E3451" s="448" t="s">
        <v>4530</v>
      </c>
      <c r="F3451" s="469">
        <v>7000</v>
      </c>
      <c r="G3451" s="1" t="s">
        <v>37</v>
      </c>
      <c r="H3451" s="505">
        <v>93</v>
      </c>
      <c r="I3451" s="8">
        <f t="shared" si="228"/>
        <v>651000</v>
      </c>
      <c r="J3451" s="539">
        <v>85.44</v>
      </c>
      <c r="K3451" s="521">
        <f t="shared" si="226"/>
        <v>7.5600000000000023</v>
      </c>
      <c r="L3451" s="522">
        <f t="shared" si="229"/>
        <v>52920.000000000015</v>
      </c>
      <c r="M3451" s="523">
        <f t="shared" si="227"/>
        <v>8.1290322580645183E-2</v>
      </c>
      <c r="N3451" s="2" t="s">
        <v>40</v>
      </c>
      <c r="O3451" s="15" t="s">
        <v>39</v>
      </c>
    </row>
    <row r="3452" spans="1:15">
      <c r="A3452" s="70">
        <v>2025</v>
      </c>
      <c r="B3452" s="16" t="s">
        <v>1400</v>
      </c>
      <c r="C3452" s="71" t="s">
        <v>4531</v>
      </c>
      <c r="D3452" s="2" t="s">
        <v>1119</v>
      </c>
      <c r="E3452" s="150" t="s">
        <v>4413</v>
      </c>
      <c r="F3452" s="96">
        <v>20</v>
      </c>
      <c r="G3452" s="1" t="s">
        <v>19</v>
      </c>
      <c r="H3452" s="8">
        <v>250</v>
      </c>
      <c r="I3452" s="8">
        <f t="shared" si="228"/>
        <v>5000</v>
      </c>
      <c r="J3452" s="539">
        <v>230</v>
      </c>
      <c r="K3452" s="521">
        <f t="shared" si="226"/>
        <v>20</v>
      </c>
      <c r="L3452" s="522">
        <f t="shared" si="229"/>
        <v>400</v>
      </c>
      <c r="M3452" s="523">
        <f t="shared" si="227"/>
        <v>0.08</v>
      </c>
      <c r="N3452" s="2" t="s">
        <v>40</v>
      </c>
      <c r="O3452" s="15" t="s">
        <v>39</v>
      </c>
    </row>
    <row r="3453" spans="1:15">
      <c r="A3453" s="70">
        <v>2025</v>
      </c>
      <c r="B3453" s="16" t="s">
        <v>1400</v>
      </c>
      <c r="C3453" s="71" t="s">
        <v>4531</v>
      </c>
      <c r="D3453" s="2" t="s">
        <v>1119</v>
      </c>
      <c r="E3453" s="150" t="s">
        <v>4532</v>
      </c>
      <c r="F3453" s="96">
        <v>100</v>
      </c>
      <c r="G3453" s="1" t="s">
        <v>19</v>
      </c>
      <c r="H3453" s="8">
        <v>18</v>
      </c>
      <c r="I3453" s="8">
        <f t="shared" si="228"/>
        <v>1800</v>
      </c>
      <c r="J3453" s="539">
        <v>17</v>
      </c>
      <c r="K3453" s="521">
        <f t="shared" si="226"/>
        <v>1</v>
      </c>
      <c r="L3453" s="522">
        <f t="shared" si="229"/>
        <v>100</v>
      </c>
      <c r="M3453" s="523">
        <f t="shared" si="227"/>
        <v>5.5555555555555552E-2</v>
      </c>
      <c r="N3453" s="2" t="s">
        <v>40</v>
      </c>
      <c r="O3453" s="15" t="s">
        <v>39</v>
      </c>
    </row>
    <row r="3454" spans="1:15">
      <c r="A3454" s="70">
        <v>2025</v>
      </c>
      <c r="B3454" s="16" t="s">
        <v>1400</v>
      </c>
      <c r="C3454" s="71" t="s">
        <v>4531</v>
      </c>
      <c r="D3454" s="2" t="s">
        <v>1119</v>
      </c>
      <c r="E3454" s="150" t="s">
        <v>2240</v>
      </c>
      <c r="F3454" s="96">
        <v>150</v>
      </c>
      <c r="G3454" s="1" t="s">
        <v>19</v>
      </c>
      <c r="H3454" s="8">
        <v>20</v>
      </c>
      <c r="I3454" s="8">
        <f t="shared" si="228"/>
        <v>3000</v>
      </c>
      <c r="J3454" s="539">
        <v>14</v>
      </c>
      <c r="K3454" s="521">
        <f t="shared" si="226"/>
        <v>6</v>
      </c>
      <c r="L3454" s="522">
        <f t="shared" si="229"/>
        <v>900</v>
      </c>
      <c r="M3454" s="523">
        <f t="shared" si="227"/>
        <v>0.3</v>
      </c>
      <c r="N3454" s="2" t="s">
        <v>40</v>
      </c>
      <c r="O3454" s="15" t="s">
        <v>39</v>
      </c>
    </row>
    <row r="3455" spans="1:15">
      <c r="A3455" s="70">
        <v>2025</v>
      </c>
      <c r="B3455" s="16" t="s">
        <v>1400</v>
      </c>
      <c r="C3455" s="71" t="s">
        <v>4531</v>
      </c>
      <c r="D3455" s="2" t="s">
        <v>1119</v>
      </c>
      <c r="E3455" s="150" t="s">
        <v>4533</v>
      </c>
      <c r="F3455" s="96">
        <v>44</v>
      </c>
      <c r="G3455" s="1" t="s">
        <v>19</v>
      </c>
      <c r="H3455" s="8">
        <v>140</v>
      </c>
      <c r="I3455" s="8">
        <f t="shared" si="228"/>
        <v>6160</v>
      </c>
      <c r="J3455" s="539">
        <v>135</v>
      </c>
      <c r="K3455" s="521">
        <f t="shared" si="226"/>
        <v>5</v>
      </c>
      <c r="L3455" s="522">
        <f t="shared" si="229"/>
        <v>220</v>
      </c>
      <c r="M3455" s="523">
        <f t="shared" si="227"/>
        <v>3.5714285714285712E-2</v>
      </c>
      <c r="N3455" s="2" t="s">
        <v>40</v>
      </c>
      <c r="O3455" s="15" t="s">
        <v>39</v>
      </c>
    </row>
    <row r="3456" spans="1:15">
      <c r="A3456" s="70">
        <v>2025</v>
      </c>
      <c r="B3456" s="16" t="s">
        <v>1400</v>
      </c>
      <c r="C3456" s="71" t="s">
        <v>4531</v>
      </c>
      <c r="D3456" s="2" t="s">
        <v>1119</v>
      </c>
      <c r="E3456" s="150" t="s">
        <v>4400</v>
      </c>
      <c r="F3456" s="96">
        <v>40</v>
      </c>
      <c r="G3456" s="1" t="s">
        <v>19</v>
      </c>
      <c r="H3456" s="8">
        <v>230</v>
      </c>
      <c r="I3456" s="8">
        <f t="shared" si="228"/>
        <v>9200</v>
      </c>
      <c r="J3456" s="539">
        <v>220</v>
      </c>
      <c r="K3456" s="521">
        <f t="shared" si="226"/>
        <v>10</v>
      </c>
      <c r="L3456" s="522">
        <f t="shared" si="229"/>
        <v>400</v>
      </c>
      <c r="M3456" s="523">
        <f t="shared" si="227"/>
        <v>4.3478260869565216E-2</v>
      </c>
      <c r="N3456" s="2" t="s">
        <v>40</v>
      </c>
      <c r="O3456" s="15" t="s">
        <v>39</v>
      </c>
    </row>
    <row r="3457" spans="1:15">
      <c r="A3457" s="70">
        <v>2025</v>
      </c>
      <c r="B3457" s="16" t="s">
        <v>1400</v>
      </c>
      <c r="C3457" s="71" t="s">
        <v>4531</v>
      </c>
      <c r="D3457" s="2" t="s">
        <v>1119</v>
      </c>
      <c r="E3457" s="150" t="s">
        <v>4534</v>
      </c>
      <c r="F3457" s="96">
        <v>30</v>
      </c>
      <c r="G3457" s="1" t="s">
        <v>19</v>
      </c>
      <c r="H3457" s="8">
        <v>32</v>
      </c>
      <c r="I3457" s="8">
        <f t="shared" si="228"/>
        <v>960</v>
      </c>
      <c r="J3457" s="539">
        <v>25</v>
      </c>
      <c r="K3457" s="521">
        <f t="shared" si="226"/>
        <v>7</v>
      </c>
      <c r="L3457" s="522">
        <f t="shared" si="229"/>
        <v>210</v>
      </c>
      <c r="M3457" s="523">
        <f t="shared" si="227"/>
        <v>0.21875</v>
      </c>
      <c r="N3457" s="2" t="s">
        <v>40</v>
      </c>
      <c r="O3457" s="15" t="s">
        <v>39</v>
      </c>
    </row>
    <row r="3458" spans="1:15">
      <c r="A3458" s="70">
        <v>2025</v>
      </c>
      <c r="B3458" s="16" t="s">
        <v>1400</v>
      </c>
      <c r="C3458" s="71" t="s">
        <v>4531</v>
      </c>
      <c r="D3458" s="2" t="s">
        <v>1119</v>
      </c>
      <c r="E3458" s="150" t="s">
        <v>4383</v>
      </c>
      <c r="F3458" s="96">
        <v>20</v>
      </c>
      <c r="G3458" s="1" t="s">
        <v>19</v>
      </c>
      <c r="H3458" s="8">
        <v>250</v>
      </c>
      <c r="I3458" s="8">
        <f t="shared" si="228"/>
        <v>5000</v>
      </c>
      <c r="J3458" s="539">
        <v>230</v>
      </c>
      <c r="K3458" s="521">
        <f t="shared" si="226"/>
        <v>20</v>
      </c>
      <c r="L3458" s="522">
        <f t="shared" si="229"/>
        <v>400</v>
      </c>
      <c r="M3458" s="523">
        <f t="shared" si="227"/>
        <v>0.08</v>
      </c>
      <c r="N3458" s="2" t="s">
        <v>40</v>
      </c>
      <c r="O3458" s="15" t="s">
        <v>39</v>
      </c>
    </row>
    <row r="3459" spans="1:15">
      <c r="A3459" s="70">
        <v>2025</v>
      </c>
      <c r="B3459" s="16" t="s">
        <v>1400</v>
      </c>
      <c r="C3459" s="71" t="s">
        <v>4531</v>
      </c>
      <c r="D3459" s="2" t="s">
        <v>1119</v>
      </c>
      <c r="E3459" s="150" t="s">
        <v>4535</v>
      </c>
      <c r="F3459" s="96">
        <v>20</v>
      </c>
      <c r="G3459" s="1" t="s">
        <v>302</v>
      </c>
      <c r="H3459" s="8">
        <v>260</v>
      </c>
      <c r="I3459" s="8">
        <f t="shared" si="228"/>
        <v>5200</v>
      </c>
      <c r="J3459" s="539">
        <v>250</v>
      </c>
      <c r="K3459" s="521">
        <f t="shared" ref="K3459:K3522" si="230">H3459-J3459</f>
        <v>10</v>
      </c>
      <c r="L3459" s="522">
        <f t="shared" si="229"/>
        <v>200</v>
      </c>
      <c r="M3459" s="523">
        <f t="shared" ref="M3459:M3522" si="231">K3459/H3459</f>
        <v>3.8461538461538464E-2</v>
      </c>
      <c r="N3459" s="2" t="s">
        <v>40</v>
      </c>
      <c r="O3459" s="15" t="s">
        <v>39</v>
      </c>
    </row>
    <row r="3460" spans="1:15">
      <c r="A3460" s="70">
        <v>2025</v>
      </c>
      <c r="B3460" s="16" t="s">
        <v>1400</v>
      </c>
      <c r="C3460" s="71" t="s">
        <v>4531</v>
      </c>
      <c r="D3460" s="2" t="s">
        <v>1119</v>
      </c>
      <c r="E3460" s="150" t="s">
        <v>4391</v>
      </c>
      <c r="F3460" s="96">
        <v>100</v>
      </c>
      <c r="G3460" s="1" t="s">
        <v>19</v>
      </c>
      <c r="H3460" s="8">
        <v>40</v>
      </c>
      <c r="I3460" s="8">
        <f t="shared" si="228"/>
        <v>4000</v>
      </c>
      <c r="J3460" s="539">
        <v>38</v>
      </c>
      <c r="K3460" s="521">
        <f t="shared" si="230"/>
        <v>2</v>
      </c>
      <c r="L3460" s="522">
        <f t="shared" si="229"/>
        <v>200</v>
      </c>
      <c r="M3460" s="523">
        <f t="shared" si="231"/>
        <v>0.05</v>
      </c>
      <c r="N3460" s="2" t="s">
        <v>40</v>
      </c>
      <c r="O3460" s="15" t="s">
        <v>39</v>
      </c>
    </row>
    <row r="3461" spans="1:15">
      <c r="A3461" s="70">
        <v>2025</v>
      </c>
      <c r="B3461" s="16" t="s">
        <v>1400</v>
      </c>
      <c r="C3461" s="71" t="s">
        <v>4531</v>
      </c>
      <c r="D3461" s="2" t="s">
        <v>1119</v>
      </c>
      <c r="E3461" s="150" t="s">
        <v>4536</v>
      </c>
      <c r="F3461" s="96">
        <v>30</v>
      </c>
      <c r="G3461" s="1" t="s">
        <v>19</v>
      </c>
      <c r="H3461" s="8">
        <v>245</v>
      </c>
      <c r="I3461" s="8">
        <f t="shared" si="228"/>
        <v>7350</v>
      </c>
      <c r="J3461" s="539">
        <v>240</v>
      </c>
      <c r="K3461" s="521">
        <f t="shared" si="230"/>
        <v>5</v>
      </c>
      <c r="L3461" s="522">
        <f t="shared" si="229"/>
        <v>150</v>
      </c>
      <c r="M3461" s="523">
        <f t="shared" si="231"/>
        <v>2.0408163265306121E-2</v>
      </c>
      <c r="N3461" s="2" t="s">
        <v>40</v>
      </c>
      <c r="O3461" s="15" t="s">
        <v>39</v>
      </c>
    </row>
    <row r="3462" spans="1:15">
      <c r="A3462" s="70">
        <v>2025</v>
      </c>
      <c r="B3462" s="16" t="s">
        <v>1400</v>
      </c>
      <c r="C3462" s="71" t="s">
        <v>4531</v>
      </c>
      <c r="D3462" s="2" t="s">
        <v>1119</v>
      </c>
      <c r="E3462" s="150" t="s">
        <v>4537</v>
      </c>
      <c r="F3462" s="96">
        <v>100</v>
      </c>
      <c r="G3462" s="1" t="s">
        <v>19</v>
      </c>
      <c r="H3462" s="8">
        <v>70</v>
      </c>
      <c r="I3462" s="8">
        <f t="shared" ref="I3462:I3525" si="232">H3462*F3462</f>
        <v>7000</v>
      </c>
      <c r="J3462" s="539">
        <v>60</v>
      </c>
      <c r="K3462" s="521">
        <f t="shared" si="230"/>
        <v>10</v>
      </c>
      <c r="L3462" s="522">
        <f t="shared" ref="L3462:L3493" si="233">K3462*F3462</f>
        <v>1000</v>
      </c>
      <c r="M3462" s="523">
        <f t="shared" si="231"/>
        <v>0.14285714285714285</v>
      </c>
      <c r="N3462" s="2" t="s">
        <v>40</v>
      </c>
      <c r="O3462" s="15" t="s">
        <v>39</v>
      </c>
    </row>
    <row r="3463" spans="1:15">
      <c r="A3463" s="70">
        <v>2025</v>
      </c>
      <c r="B3463" s="16" t="s">
        <v>1400</v>
      </c>
      <c r="C3463" s="71" t="s">
        <v>4538</v>
      </c>
      <c r="D3463" s="2" t="s">
        <v>1000</v>
      </c>
      <c r="E3463" s="150" t="s">
        <v>1001</v>
      </c>
      <c r="F3463" s="96">
        <v>545</v>
      </c>
      <c r="G3463" s="1" t="s">
        <v>302</v>
      </c>
      <c r="H3463" s="8">
        <v>1500</v>
      </c>
      <c r="I3463" s="8">
        <f t="shared" si="232"/>
        <v>817500</v>
      </c>
      <c r="J3463" s="539">
        <v>1350</v>
      </c>
      <c r="K3463" s="521">
        <f t="shared" si="230"/>
        <v>150</v>
      </c>
      <c r="L3463" s="522">
        <f t="shared" si="233"/>
        <v>81750</v>
      </c>
      <c r="M3463" s="523">
        <f t="shared" si="231"/>
        <v>0.1</v>
      </c>
      <c r="N3463" s="2" t="s">
        <v>22</v>
      </c>
      <c r="O3463" s="15" t="s">
        <v>105</v>
      </c>
    </row>
    <row r="3464" spans="1:15">
      <c r="A3464" s="70">
        <v>2025</v>
      </c>
      <c r="B3464" s="16" t="s">
        <v>1400</v>
      </c>
      <c r="C3464" s="71" t="s">
        <v>4539</v>
      </c>
      <c r="D3464" s="2" t="s">
        <v>3893</v>
      </c>
      <c r="E3464" s="150" t="s">
        <v>4540</v>
      </c>
      <c r="F3464" s="96">
        <v>545</v>
      </c>
      <c r="G3464" s="1" t="s">
        <v>302</v>
      </c>
      <c r="H3464" s="8">
        <v>1400</v>
      </c>
      <c r="I3464" s="8">
        <f t="shared" si="232"/>
        <v>763000</v>
      </c>
      <c r="J3464" s="539">
        <v>1370</v>
      </c>
      <c r="K3464" s="521">
        <f t="shared" si="230"/>
        <v>30</v>
      </c>
      <c r="L3464" s="522">
        <f t="shared" si="233"/>
        <v>16350</v>
      </c>
      <c r="M3464" s="523">
        <f t="shared" si="231"/>
        <v>2.1428571428571429E-2</v>
      </c>
      <c r="N3464" s="2" t="s">
        <v>40</v>
      </c>
      <c r="O3464" s="15" t="s">
        <v>39</v>
      </c>
    </row>
    <row r="3465" spans="1:15">
      <c r="A3465" s="70">
        <v>2025</v>
      </c>
      <c r="B3465" s="16" t="s">
        <v>1400</v>
      </c>
      <c r="C3465" s="71" t="s">
        <v>4539</v>
      </c>
      <c r="D3465" s="2" t="s">
        <v>3893</v>
      </c>
      <c r="E3465" s="150" t="s">
        <v>4541</v>
      </c>
      <c r="F3465" s="96">
        <v>545</v>
      </c>
      <c r="G3465" s="1" t="s">
        <v>302</v>
      </c>
      <c r="H3465" s="8">
        <v>8100</v>
      </c>
      <c r="I3465" s="8">
        <f t="shared" si="232"/>
        <v>4414500</v>
      </c>
      <c r="J3465" s="539">
        <v>7900</v>
      </c>
      <c r="K3465" s="521">
        <f t="shared" si="230"/>
        <v>200</v>
      </c>
      <c r="L3465" s="522">
        <f t="shared" si="233"/>
        <v>109000</v>
      </c>
      <c r="M3465" s="523">
        <f t="shared" si="231"/>
        <v>2.4691358024691357E-2</v>
      </c>
      <c r="N3465" s="2" t="s">
        <v>40</v>
      </c>
      <c r="O3465" s="15" t="s">
        <v>39</v>
      </c>
    </row>
    <row r="3466" spans="1:15">
      <c r="A3466" s="70">
        <v>2025</v>
      </c>
      <c r="B3466" s="16" t="s">
        <v>1400</v>
      </c>
      <c r="C3466" s="71" t="s">
        <v>4539</v>
      </c>
      <c r="D3466" s="2" t="s">
        <v>3893</v>
      </c>
      <c r="E3466" s="150" t="s">
        <v>3907</v>
      </c>
      <c r="F3466" s="96">
        <v>545</v>
      </c>
      <c r="G3466" s="1" t="s">
        <v>19</v>
      </c>
      <c r="H3466" s="8">
        <v>400</v>
      </c>
      <c r="I3466" s="8">
        <f t="shared" si="232"/>
        <v>218000</v>
      </c>
      <c r="J3466" s="539">
        <v>390</v>
      </c>
      <c r="K3466" s="521">
        <f t="shared" si="230"/>
        <v>10</v>
      </c>
      <c r="L3466" s="522">
        <f t="shared" si="233"/>
        <v>5450</v>
      </c>
      <c r="M3466" s="523">
        <f t="shared" si="231"/>
        <v>2.5000000000000001E-2</v>
      </c>
      <c r="N3466" s="2" t="s">
        <v>40</v>
      </c>
      <c r="O3466" s="15" t="s">
        <v>39</v>
      </c>
    </row>
    <row r="3467" spans="1:15">
      <c r="A3467" s="70">
        <v>2025</v>
      </c>
      <c r="B3467" s="16" t="s">
        <v>1400</v>
      </c>
      <c r="C3467" s="71" t="s">
        <v>4542</v>
      </c>
      <c r="D3467" s="2" t="s">
        <v>1119</v>
      </c>
      <c r="E3467" s="150" t="s">
        <v>2064</v>
      </c>
      <c r="F3467" s="96">
        <v>510</v>
      </c>
      <c r="G3467" s="1" t="s">
        <v>19</v>
      </c>
      <c r="H3467" s="8">
        <v>75</v>
      </c>
      <c r="I3467" s="8">
        <f t="shared" si="232"/>
        <v>38250</v>
      </c>
      <c r="J3467" s="539">
        <v>60</v>
      </c>
      <c r="K3467" s="521">
        <f t="shared" si="230"/>
        <v>15</v>
      </c>
      <c r="L3467" s="522">
        <f t="shared" si="233"/>
        <v>7650</v>
      </c>
      <c r="M3467" s="523">
        <f t="shared" si="231"/>
        <v>0.2</v>
      </c>
      <c r="N3467" s="2" t="s">
        <v>40</v>
      </c>
      <c r="O3467" s="15" t="s">
        <v>39</v>
      </c>
    </row>
    <row r="3468" spans="1:15">
      <c r="A3468" s="70">
        <v>2025</v>
      </c>
      <c r="B3468" s="16" t="s">
        <v>1400</v>
      </c>
      <c r="C3468" s="71" t="s">
        <v>4542</v>
      </c>
      <c r="D3468" s="2" t="s">
        <v>1119</v>
      </c>
      <c r="E3468" s="150" t="s">
        <v>4414</v>
      </c>
      <c r="F3468" s="96">
        <v>3000</v>
      </c>
      <c r="G3468" s="1" t="s">
        <v>19</v>
      </c>
      <c r="H3468" s="8">
        <v>16</v>
      </c>
      <c r="I3468" s="8">
        <f t="shared" si="232"/>
        <v>48000</v>
      </c>
      <c r="J3468" s="539">
        <v>15</v>
      </c>
      <c r="K3468" s="521">
        <f t="shared" si="230"/>
        <v>1</v>
      </c>
      <c r="L3468" s="522">
        <f t="shared" si="233"/>
        <v>3000</v>
      </c>
      <c r="M3468" s="523">
        <f t="shared" si="231"/>
        <v>6.25E-2</v>
      </c>
      <c r="N3468" s="2" t="s">
        <v>40</v>
      </c>
      <c r="O3468" s="15" t="s">
        <v>39</v>
      </c>
    </row>
    <row r="3469" spans="1:15">
      <c r="A3469" s="70">
        <v>2025</v>
      </c>
      <c r="B3469" s="16" t="s">
        <v>1400</v>
      </c>
      <c r="C3469" s="71" t="s">
        <v>4542</v>
      </c>
      <c r="D3469" s="2" t="s">
        <v>1119</v>
      </c>
      <c r="E3469" s="150" t="s">
        <v>4413</v>
      </c>
      <c r="F3469" s="96">
        <v>770</v>
      </c>
      <c r="G3469" s="1" t="s">
        <v>19</v>
      </c>
      <c r="H3469" s="8">
        <v>250</v>
      </c>
      <c r="I3469" s="8">
        <f t="shared" si="232"/>
        <v>192500</v>
      </c>
      <c r="J3469" s="539">
        <v>230</v>
      </c>
      <c r="K3469" s="521">
        <f t="shared" si="230"/>
        <v>20</v>
      </c>
      <c r="L3469" s="522">
        <f t="shared" si="233"/>
        <v>15400</v>
      </c>
      <c r="M3469" s="523">
        <f t="shared" si="231"/>
        <v>0.08</v>
      </c>
      <c r="N3469" s="2" t="s">
        <v>40</v>
      </c>
      <c r="O3469" s="15" t="s">
        <v>39</v>
      </c>
    </row>
    <row r="3470" spans="1:15">
      <c r="A3470" s="70">
        <v>2025</v>
      </c>
      <c r="B3470" s="16" t="s">
        <v>1400</v>
      </c>
      <c r="C3470" s="71" t="s">
        <v>4542</v>
      </c>
      <c r="D3470" s="2" t="s">
        <v>1119</v>
      </c>
      <c r="E3470" s="150" t="s">
        <v>2068</v>
      </c>
      <c r="F3470" s="96">
        <v>510</v>
      </c>
      <c r="G3470" s="1" t="s">
        <v>19</v>
      </c>
      <c r="H3470" s="8">
        <v>80</v>
      </c>
      <c r="I3470" s="8">
        <f t="shared" si="232"/>
        <v>40800</v>
      </c>
      <c r="J3470" s="539">
        <v>75</v>
      </c>
      <c r="K3470" s="521">
        <f t="shared" si="230"/>
        <v>5</v>
      </c>
      <c r="L3470" s="522">
        <f t="shared" si="233"/>
        <v>2550</v>
      </c>
      <c r="M3470" s="523">
        <f t="shared" si="231"/>
        <v>6.25E-2</v>
      </c>
      <c r="N3470" s="2" t="s">
        <v>40</v>
      </c>
      <c r="O3470" s="15" t="s">
        <v>39</v>
      </c>
    </row>
    <row r="3471" spans="1:15">
      <c r="A3471" s="70">
        <v>2025</v>
      </c>
      <c r="B3471" s="16" t="s">
        <v>1400</v>
      </c>
      <c r="C3471" s="71" t="s">
        <v>4542</v>
      </c>
      <c r="D3471" s="2" t="s">
        <v>1119</v>
      </c>
      <c r="E3471" s="150" t="s">
        <v>2240</v>
      </c>
      <c r="F3471" s="96">
        <v>7000</v>
      </c>
      <c r="G3471" s="1" t="s">
        <v>19</v>
      </c>
      <c r="H3471" s="8">
        <v>20</v>
      </c>
      <c r="I3471" s="8">
        <f t="shared" si="232"/>
        <v>140000</v>
      </c>
      <c r="J3471" s="539">
        <v>14</v>
      </c>
      <c r="K3471" s="521">
        <f t="shared" si="230"/>
        <v>6</v>
      </c>
      <c r="L3471" s="522">
        <f t="shared" si="233"/>
        <v>42000</v>
      </c>
      <c r="M3471" s="523">
        <f t="shared" si="231"/>
        <v>0.3</v>
      </c>
      <c r="N3471" s="2" t="s">
        <v>40</v>
      </c>
      <c r="O3471" s="15" t="s">
        <v>39</v>
      </c>
    </row>
    <row r="3472" spans="1:15">
      <c r="A3472" s="70">
        <v>2025</v>
      </c>
      <c r="B3472" s="16" t="s">
        <v>1400</v>
      </c>
      <c r="C3472" s="71" t="s">
        <v>4542</v>
      </c>
      <c r="D3472" s="2" t="s">
        <v>1119</v>
      </c>
      <c r="E3472" s="150" t="s">
        <v>4534</v>
      </c>
      <c r="F3472" s="96">
        <v>510</v>
      </c>
      <c r="G3472" s="1" t="s">
        <v>19</v>
      </c>
      <c r="H3472" s="8">
        <v>32</v>
      </c>
      <c r="I3472" s="8">
        <f t="shared" si="232"/>
        <v>16320</v>
      </c>
      <c r="J3472" s="539">
        <v>25</v>
      </c>
      <c r="K3472" s="521">
        <f t="shared" si="230"/>
        <v>7</v>
      </c>
      <c r="L3472" s="522">
        <f t="shared" si="233"/>
        <v>3570</v>
      </c>
      <c r="M3472" s="523">
        <f t="shared" si="231"/>
        <v>0.21875</v>
      </c>
      <c r="N3472" s="2" t="s">
        <v>40</v>
      </c>
      <c r="O3472" s="15" t="s">
        <v>39</v>
      </c>
    </row>
    <row r="3473" spans="1:15">
      <c r="A3473" s="70">
        <v>2025</v>
      </c>
      <c r="B3473" s="16" t="s">
        <v>1400</v>
      </c>
      <c r="C3473" s="71" t="s">
        <v>4542</v>
      </c>
      <c r="D3473" s="2" t="s">
        <v>1119</v>
      </c>
      <c r="E3473" s="150" t="s">
        <v>4533</v>
      </c>
      <c r="F3473" s="96">
        <v>1020</v>
      </c>
      <c r="G3473" s="1" t="s">
        <v>19</v>
      </c>
      <c r="H3473" s="8">
        <v>140</v>
      </c>
      <c r="I3473" s="8">
        <f t="shared" si="232"/>
        <v>142800</v>
      </c>
      <c r="J3473" s="539">
        <v>135</v>
      </c>
      <c r="K3473" s="521">
        <f t="shared" si="230"/>
        <v>5</v>
      </c>
      <c r="L3473" s="522">
        <f t="shared" si="233"/>
        <v>5100</v>
      </c>
      <c r="M3473" s="523">
        <f t="shared" si="231"/>
        <v>3.5714285714285712E-2</v>
      </c>
      <c r="N3473" s="2" t="s">
        <v>40</v>
      </c>
      <c r="O3473" s="15" t="s">
        <v>39</v>
      </c>
    </row>
    <row r="3474" spans="1:15">
      <c r="A3474" s="70">
        <v>2025</v>
      </c>
      <c r="B3474" s="16" t="s">
        <v>1400</v>
      </c>
      <c r="C3474" s="71" t="s">
        <v>4542</v>
      </c>
      <c r="D3474" s="2" t="s">
        <v>1119</v>
      </c>
      <c r="E3474" s="150" t="s">
        <v>4532</v>
      </c>
      <c r="F3474" s="96">
        <v>2600</v>
      </c>
      <c r="G3474" s="1" t="s">
        <v>19</v>
      </c>
      <c r="H3474" s="8">
        <v>18</v>
      </c>
      <c r="I3474" s="8">
        <f t="shared" si="232"/>
        <v>46800</v>
      </c>
      <c r="J3474" s="539">
        <v>17</v>
      </c>
      <c r="K3474" s="521">
        <f t="shared" si="230"/>
        <v>1</v>
      </c>
      <c r="L3474" s="522">
        <f t="shared" si="233"/>
        <v>2600</v>
      </c>
      <c r="M3474" s="523">
        <f t="shared" si="231"/>
        <v>5.5555555555555552E-2</v>
      </c>
      <c r="N3474" s="2" t="s">
        <v>40</v>
      </c>
      <c r="O3474" s="15" t="s">
        <v>39</v>
      </c>
    </row>
    <row r="3475" spans="1:15">
      <c r="A3475" s="70">
        <v>2025</v>
      </c>
      <c r="B3475" s="16" t="s">
        <v>1400</v>
      </c>
      <c r="C3475" s="71" t="s">
        <v>4542</v>
      </c>
      <c r="D3475" s="2" t="s">
        <v>1119</v>
      </c>
      <c r="E3475" s="150" t="s">
        <v>4400</v>
      </c>
      <c r="F3475" s="96">
        <v>1140</v>
      </c>
      <c r="G3475" s="1" t="s">
        <v>19</v>
      </c>
      <c r="H3475" s="8">
        <v>230</v>
      </c>
      <c r="I3475" s="8">
        <f t="shared" si="232"/>
        <v>262200</v>
      </c>
      <c r="J3475" s="539">
        <v>220</v>
      </c>
      <c r="K3475" s="521">
        <f t="shared" si="230"/>
        <v>10</v>
      </c>
      <c r="L3475" s="522">
        <f t="shared" si="233"/>
        <v>11400</v>
      </c>
      <c r="M3475" s="523">
        <f t="shared" si="231"/>
        <v>4.3478260869565216E-2</v>
      </c>
      <c r="N3475" s="2" t="s">
        <v>40</v>
      </c>
      <c r="O3475" s="15" t="s">
        <v>39</v>
      </c>
    </row>
    <row r="3476" spans="1:15">
      <c r="A3476" s="70">
        <v>2025</v>
      </c>
      <c r="B3476" s="16" t="s">
        <v>1400</v>
      </c>
      <c r="C3476" s="71" t="s">
        <v>4542</v>
      </c>
      <c r="D3476" s="2" t="s">
        <v>1119</v>
      </c>
      <c r="E3476" s="150" t="s">
        <v>1242</v>
      </c>
      <c r="F3476" s="96">
        <v>500</v>
      </c>
      <c r="G3476" s="1" t="s">
        <v>302</v>
      </c>
      <c r="H3476" s="8">
        <v>85</v>
      </c>
      <c r="I3476" s="8">
        <f t="shared" si="232"/>
        <v>42500</v>
      </c>
      <c r="J3476" s="539">
        <v>72</v>
      </c>
      <c r="K3476" s="521">
        <f t="shared" si="230"/>
        <v>13</v>
      </c>
      <c r="L3476" s="522">
        <f t="shared" si="233"/>
        <v>6500</v>
      </c>
      <c r="M3476" s="523">
        <f t="shared" si="231"/>
        <v>0.15294117647058825</v>
      </c>
      <c r="N3476" s="2" t="s">
        <v>40</v>
      </c>
      <c r="O3476" s="15" t="s">
        <v>39</v>
      </c>
    </row>
    <row r="3477" spans="1:15">
      <c r="A3477" s="70">
        <v>2025</v>
      </c>
      <c r="B3477" s="16" t="s">
        <v>1400</v>
      </c>
      <c r="C3477" s="71" t="s">
        <v>4542</v>
      </c>
      <c r="D3477" s="2" t="s">
        <v>1119</v>
      </c>
      <c r="E3477" s="150" t="s">
        <v>4384</v>
      </c>
      <c r="F3477" s="96">
        <v>110</v>
      </c>
      <c r="G3477" s="1" t="s">
        <v>19</v>
      </c>
      <c r="H3477" s="8">
        <v>45</v>
      </c>
      <c r="I3477" s="8">
        <f t="shared" si="232"/>
        <v>4950</v>
      </c>
      <c r="J3477" s="539">
        <v>40</v>
      </c>
      <c r="K3477" s="521">
        <f t="shared" si="230"/>
        <v>5</v>
      </c>
      <c r="L3477" s="522">
        <f t="shared" si="233"/>
        <v>550</v>
      </c>
      <c r="M3477" s="523">
        <f t="shared" si="231"/>
        <v>0.1111111111111111</v>
      </c>
      <c r="N3477" s="2" t="s">
        <v>40</v>
      </c>
      <c r="O3477" s="15" t="s">
        <v>39</v>
      </c>
    </row>
    <row r="3478" spans="1:15">
      <c r="A3478" s="70">
        <v>2025</v>
      </c>
      <c r="B3478" s="16" t="s">
        <v>1400</v>
      </c>
      <c r="C3478" s="71" t="s">
        <v>4542</v>
      </c>
      <c r="D3478" s="2" t="s">
        <v>1119</v>
      </c>
      <c r="E3478" s="150" t="s">
        <v>4543</v>
      </c>
      <c r="F3478" s="96">
        <v>1500</v>
      </c>
      <c r="G3478" s="1" t="s">
        <v>19</v>
      </c>
      <c r="H3478" s="8">
        <v>15</v>
      </c>
      <c r="I3478" s="8">
        <f t="shared" si="232"/>
        <v>22500</v>
      </c>
      <c r="J3478" s="539">
        <v>14</v>
      </c>
      <c r="K3478" s="521">
        <f t="shared" si="230"/>
        <v>1</v>
      </c>
      <c r="L3478" s="522">
        <f t="shared" si="233"/>
        <v>1500</v>
      </c>
      <c r="M3478" s="523">
        <f t="shared" si="231"/>
        <v>6.6666666666666666E-2</v>
      </c>
      <c r="N3478" s="2" t="s">
        <v>40</v>
      </c>
      <c r="O3478" s="15" t="s">
        <v>39</v>
      </c>
    </row>
    <row r="3479" spans="1:15">
      <c r="A3479" s="70">
        <v>2025</v>
      </c>
      <c r="B3479" s="16" t="s">
        <v>1400</v>
      </c>
      <c r="C3479" s="71" t="s">
        <v>4542</v>
      </c>
      <c r="D3479" s="2" t="s">
        <v>1119</v>
      </c>
      <c r="E3479" s="150" t="s">
        <v>4383</v>
      </c>
      <c r="F3479" s="96">
        <v>110</v>
      </c>
      <c r="G3479" s="1" t="s">
        <v>19</v>
      </c>
      <c r="H3479" s="8">
        <v>250</v>
      </c>
      <c r="I3479" s="8">
        <f t="shared" si="232"/>
        <v>27500</v>
      </c>
      <c r="J3479" s="539">
        <v>230</v>
      </c>
      <c r="K3479" s="521">
        <f t="shared" si="230"/>
        <v>20</v>
      </c>
      <c r="L3479" s="522">
        <f t="shared" si="233"/>
        <v>2200</v>
      </c>
      <c r="M3479" s="523">
        <f t="shared" si="231"/>
        <v>0.08</v>
      </c>
      <c r="N3479" s="2" t="s">
        <v>40</v>
      </c>
      <c r="O3479" s="15" t="s">
        <v>39</v>
      </c>
    </row>
    <row r="3480" spans="1:15">
      <c r="A3480" s="70">
        <v>2025</v>
      </c>
      <c r="B3480" s="16" t="s">
        <v>1400</v>
      </c>
      <c r="C3480" s="71" t="s">
        <v>4542</v>
      </c>
      <c r="D3480" s="2" t="s">
        <v>1119</v>
      </c>
      <c r="E3480" s="150" t="s">
        <v>4535</v>
      </c>
      <c r="F3480" s="96">
        <v>150</v>
      </c>
      <c r="G3480" s="1" t="s">
        <v>302</v>
      </c>
      <c r="H3480" s="8">
        <v>260</v>
      </c>
      <c r="I3480" s="8">
        <f t="shared" si="232"/>
        <v>39000</v>
      </c>
      <c r="J3480" s="539">
        <v>250</v>
      </c>
      <c r="K3480" s="521">
        <f t="shared" si="230"/>
        <v>10</v>
      </c>
      <c r="L3480" s="522">
        <f t="shared" si="233"/>
        <v>1500</v>
      </c>
      <c r="M3480" s="523">
        <f t="shared" si="231"/>
        <v>3.8461538461538464E-2</v>
      </c>
      <c r="N3480" s="2" t="s">
        <v>40</v>
      </c>
      <c r="O3480" s="15" t="s">
        <v>39</v>
      </c>
    </row>
    <row r="3481" spans="1:15">
      <c r="A3481" s="70">
        <v>2025</v>
      </c>
      <c r="B3481" s="16" t="s">
        <v>1400</v>
      </c>
      <c r="C3481" s="71" t="s">
        <v>4542</v>
      </c>
      <c r="D3481" s="2" t="s">
        <v>1119</v>
      </c>
      <c r="E3481" s="150" t="s">
        <v>4391</v>
      </c>
      <c r="F3481" s="96">
        <v>2400</v>
      </c>
      <c r="G3481" s="1" t="s">
        <v>19</v>
      </c>
      <c r="H3481" s="8">
        <v>40</v>
      </c>
      <c r="I3481" s="8">
        <f t="shared" si="232"/>
        <v>96000</v>
      </c>
      <c r="J3481" s="539">
        <v>38</v>
      </c>
      <c r="K3481" s="521">
        <f t="shared" si="230"/>
        <v>2</v>
      </c>
      <c r="L3481" s="522">
        <f t="shared" si="233"/>
        <v>4800</v>
      </c>
      <c r="M3481" s="523">
        <f t="shared" si="231"/>
        <v>0.05</v>
      </c>
      <c r="N3481" s="2" t="s">
        <v>40</v>
      </c>
      <c r="O3481" s="15" t="s">
        <v>39</v>
      </c>
    </row>
    <row r="3482" spans="1:15">
      <c r="A3482" s="70">
        <v>2025</v>
      </c>
      <c r="B3482" s="16" t="s">
        <v>1400</v>
      </c>
      <c r="C3482" s="71" t="s">
        <v>4542</v>
      </c>
      <c r="D3482" s="2" t="s">
        <v>1119</v>
      </c>
      <c r="E3482" s="150" t="s">
        <v>4544</v>
      </c>
      <c r="F3482" s="96">
        <v>120</v>
      </c>
      <c r="G3482" s="1" t="s">
        <v>19</v>
      </c>
      <c r="H3482" s="8">
        <v>150</v>
      </c>
      <c r="I3482" s="8">
        <f t="shared" si="232"/>
        <v>18000</v>
      </c>
      <c r="J3482" s="539">
        <v>100</v>
      </c>
      <c r="K3482" s="521">
        <f t="shared" si="230"/>
        <v>50</v>
      </c>
      <c r="L3482" s="522">
        <f t="shared" si="233"/>
        <v>6000</v>
      </c>
      <c r="M3482" s="523">
        <f t="shared" si="231"/>
        <v>0.33333333333333331</v>
      </c>
      <c r="N3482" s="2" t="s">
        <v>40</v>
      </c>
      <c r="O3482" s="15" t="s">
        <v>39</v>
      </c>
    </row>
    <row r="3483" spans="1:15">
      <c r="A3483" s="70">
        <v>2025</v>
      </c>
      <c r="B3483" s="16" t="s">
        <v>1400</v>
      </c>
      <c r="C3483" s="71" t="s">
        <v>4542</v>
      </c>
      <c r="D3483" s="2" t="s">
        <v>1119</v>
      </c>
      <c r="E3483" s="150" t="s">
        <v>4536</v>
      </c>
      <c r="F3483" s="96">
        <v>810</v>
      </c>
      <c r="G3483" s="1" t="s">
        <v>19</v>
      </c>
      <c r="H3483" s="8">
        <v>245</v>
      </c>
      <c r="I3483" s="8">
        <f t="shared" si="232"/>
        <v>198450</v>
      </c>
      <c r="J3483" s="539">
        <v>240</v>
      </c>
      <c r="K3483" s="521">
        <f t="shared" si="230"/>
        <v>5</v>
      </c>
      <c r="L3483" s="522">
        <f t="shared" si="233"/>
        <v>4050</v>
      </c>
      <c r="M3483" s="523">
        <f t="shared" si="231"/>
        <v>2.0408163265306121E-2</v>
      </c>
      <c r="N3483" s="2" t="s">
        <v>40</v>
      </c>
      <c r="O3483" s="15" t="s">
        <v>39</v>
      </c>
    </row>
    <row r="3484" spans="1:15">
      <c r="A3484" s="70">
        <v>2025</v>
      </c>
      <c r="B3484" s="16" t="s">
        <v>1400</v>
      </c>
      <c r="C3484" s="71" t="s">
        <v>4542</v>
      </c>
      <c r="D3484" s="2" t="s">
        <v>1119</v>
      </c>
      <c r="E3484" s="150" t="s">
        <v>4545</v>
      </c>
      <c r="F3484" s="96">
        <v>200</v>
      </c>
      <c r="G3484" s="1" t="s">
        <v>19</v>
      </c>
      <c r="H3484" s="8">
        <v>45</v>
      </c>
      <c r="I3484" s="8">
        <f t="shared" si="232"/>
        <v>9000</v>
      </c>
      <c r="J3484" s="539">
        <v>43</v>
      </c>
      <c r="K3484" s="521">
        <f t="shared" si="230"/>
        <v>2</v>
      </c>
      <c r="L3484" s="522">
        <f t="shared" si="233"/>
        <v>400</v>
      </c>
      <c r="M3484" s="523">
        <f t="shared" si="231"/>
        <v>4.4444444444444446E-2</v>
      </c>
      <c r="N3484" s="2" t="s">
        <v>40</v>
      </c>
      <c r="O3484" s="15" t="s">
        <v>39</v>
      </c>
    </row>
    <row r="3485" spans="1:15">
      <c r="A3485" s="70">
        <v>2025</v>
      </c>
      <c r="B3485" s="16" t="s">
        <v>1400</v>
      </c>
      <c r="C3485" s="71" t="s">
        <v>4542</v>
      </c>
      <c r="D3485" s="2" t="s">
        <v>1119</v>
      </c>
      <c r="E3485" s="150" t="s">
        <v>4546</v>
      </c>
      <c r="F3485" s="96">
        <v>60</v>
      </c>
      <c r="G3485" s="1" t="s">
        <v>19</v>
      </c>
      <c r="H3485" s="8">
        <v>800</v>
      </c>
      <c r="I3485" s="8">
        <f t="shared" si="232"/>
        <v>48000</v>
      </c>
      <c r="J3485" s="539">
        <v>780</v>
      </c>
      <c r="K3485" s="521">
        <f t="shared" si="230"/>
        <v>20</v>
      </c>
      <c r="L3485" s="522">
        <f t="shared" si="233"/>
        <v>1200</v>
      </c>
      <c r="M3485" s="523">
        <f t="shared" si="231"/>
        <v>2.5000000000000001E-2</v>
      </c>
      <c r="N3485" s="2" t="s">
        <v>40</v>
      </c>
      <c r="O3485" s="15" t="s">
        <v>39</v>
      </c>
    </row>
    <row r="3486" spans="1:15">
      <c r="A3486" s="70">
        <v>2025</v>
      </c>
      <c r="B3486" s="16" t="s">
        <v>1400</v>
      </c>
      <c r="C3486" s="71" t="s">
        <v>4547</v>
      </c>
      <c r="D3486" s="2" t="s">
        <v>27</v>
      </c>
      <c r="E3486" s="150" t="s">
        <v>1147</v>
      </c>
      <c r="F3486" s="96">
        <v>100</v>
      </c>
      <c r="G3486" s="1" t="s">
        <v>615</v>
      </c>
      <c r="H3486" s="8">
        <v>205.11</v>
      </c>
      <c r="I3486" s="8">
        <f t="shared" si="232"/>
        <v>20511</v>
      </c>
      <c r="J3486" s="539">
        <v>145</v>
      </c>
      <c r="K3486" s="521">
        <f t="shared" si="230"/>
        <v>60.110000000000014</v>
      </c>
      <c r="L3486" s="522">
        <f t="shared" si="233"/>
        <v>6011.0000000000018</v>
      </c>
      <c r="M3486" s="523">
        <f t="shared" si="231"/>
        <v>0.29306225927551077</v>
      </c>
      <c r="N3486" s="2" t="s">
        <v>22</v>
      </c>
      <c r="O3486" s="15" t="s">
        <v>105</v>
      </c>
    </row>
    <row r="3487" spans="1:15">
      <c r="A3487" s="70">
        <v>2025</v>
      </c>
      <c r="B3487" s="16" t="s">
        <v>1400</v>
      </c>
      <c r="C3487" s="71" t="s">
        <v>4548</v>
      </c>
      <c r="D3487" s="2" t="s">
        <v>1042</v>
      </c>
      <c r="E3487" s="150" t="s">
        <v>711</v>
      </c>
      <c r="F3487" s="96">
        <v>4741</v>
      </c>
      <c r="G3487" s="1" t="s">
        <v>37</v>
      </c>
      <c r="H3487" s="8">
        <v>395</v>
      </c>
      <c r="I3487" s="8">
        <f t="shared" si="232"/>
        <v>1872695</v>
      </c>
      <c r="J3487" s="539">
        <v>393</v>
      </c>
      <c r="K3487" s="521">
        <f t="shared" si="230"/>
        <v>2</v>
      </c>
      <c r="L3487" s="522">
        <f t="shared" si="233"/>
        <v>9482</v>
      </c>
      <c r="M3487" s="523">
        <f t="shared" si="231"/>
        <v>5.0632911392405064E-3</v>
      </c>
      <c r="N3487" s="2" t="s">
        <v>40</v>
      </c>
      <c r="O3487" s="15" t="s">
        <v>105</v>
      </c>
    </row>
    <row r="3488" spans="1:15">
      <c r="A3488" s="70">
        <v>2025</v>
      </c>
      <c r="B3488" s="16" t="s">
        <v>1400</v>
      </c>
      <c r="C3488" s="71" t="s">
        <v>4549</v>
      </c>
      <c r="D3488" s="2" t="s">
        <v>1658</v>
      </c>
      <c r="E3488" s="150" t="s">
        <v>4550</v>
      </c>
      <c r="F3488" s="96">
        <v>547</v>
      </c>
      <c r="G3488" s="1" t="s">
        <v>302</v>
      </c>
      <c r="H3488" s="8">
        <v>1276.1300000000001</v>
      </c>
      <c r="I3488" s="8">
        <f t="shared" si="232"/>
        <v>698043.1100000001</v>
      </c>
      <c r="J3488" s="539">
        <v>1243.2</v>
      </c>
      <c r="K3488" s="521">
        <f t="shared" si="230"/>
        <v>32.930000000000064</v>
      </c>
      <c r="L3488" s="522">
        <f t="shared" si="233"/>
        <v>18012.710000000036</v>
      </c>
      <c r="M3488" s="523">
        <f t="shared" si="231"/>
        <v>2.5804581037982072E-2</v>
      </c>
      <c r="N3488" s="2" t="s">
        <v>40</v>
      </c>
      <c r="O3488" s="15" t="s">
        <v>105</v>
      </c>
    </row>
    <row r="3489" spans="1:15">
      <c r="A3489" s="70">
        <v>2025</v>
      </c>
      <c r="B3489" s="16" t="s">
        <v>1400</v>
      </c>
      <c r="C3489" s="71" t="s">
        <v>4551</v>
      </c>
      <c r="D3489" s="2" t="s">
        <v>4552</v>
      </c>
      <c r="E3489" s="150" t="s">
        <v>4553</v>
      </c>
      <c r="F3489" s="96">
        <v>1</v>
      </c>
      <c r="G3489" s="1" t="s">
        <v>285</v>
      </c>
      <c r="H3489" s="8">
        <v>332000</v>
      </c>
      <c r="I3489" s="8">
        <f t="shared" si="232"/>
        <v>332000</v>
      </c>
      <c r="J3489" s="539">
        <v>309000</v>
      </c>
      <c r="K3489" s="521">
        <f t="shared" si="230"/>
        <v>23000</v>
      </c>
      <c r="L3489" s="522">
        <f t="shared" si="233"/>
        <v>23000</v>
      </c>
      <c r="M3489" s="523">
        <f t="shared" si="231"/>
        <v>6.9277108433734941E-2</v>
      </c>
      <c r="N3489" s="2" t="s">
        <v>40</v>
      </c>
      <c r="O3489" s="15" t="s">
        <v>105</v>
      </c>
    </row>
    <row r="3490" spans="1:15">
      <c r="A3490" s="70">
        <v>2025</v>
      </c>
      <c r="B3490" s="16" t="s">
        <v>1400</v>
      </c>
      <c r="C3490" s="71" t="s">
        <v>4554</v>
      </c>
      <c r="D3490" s="2" t="s">
        <v>2167</v>
      </c>
      <c r="E3490" s="150" t="s">
        <v>4555</v>
      </c>
      <c r="F3490" s="96">
        <v>550</v>
      </c>
      <c r="G3490" s="1" t="s">
        <v>19</v>
      </c>
      <c r="H3490" s="8">
        <v>1534.5</v>
      </c>
      <c r="I3490" s="8">
        <f t="shared" si="232"/>
        <v>843975</v>
      </c>
      <c r="J3490" s="539">
        <v>1455.3</v>
      </c>
      <c r="K3490" s="521">
        <f t="shared" si="230"/>
        <v>79.200000000000045</v>
      </c>
      <c r="L3490" s="522">
        <f t="shared" si="233"/>
        <v>43560.000000000022</v>
      </c>
      <c r="M3490" s="523">
        <f t="shared" si="231"/>
        <v>5.1612903225806479E-2</v>
      </c>
      <c r="N3490" s="2" t="s">
        <v>40</v>
      </c>
      <c r="O3490" s="15" t="s">
        <v>105</v>
      </c>
    </row>
    <row r="3491" spans="1:15">
      <c r="A3491" s="70">
        <v>2025</v>
      </c>
      <c r="B3491" s="16" t="s">
        <v>1400</v>
      </c>
      <c r="C3491" s="71" t="s">
        <v>4556</v>
      </c>
      <c r="D3491" s="2" t="s">
        <v>329</v>
      </c>
      <c r="E3491" s="150" t="s">
        <v>379</v>
      </c>
      <c r="F3491" s="96">
        <v>40</v>
      </c>
      <c r="G3491" s="1" t="s">
        <v>331</v>
      </c>
      <c r="H3491" s="8">
        <v>4285</v>
      </c>
      <c r="I3491" s="8">
        <f t="shared" si="232"/>
        <v>171400</v>
      </c>
      <c r="J3491" s="539">
        <v>4050</v>
      </c>
      <c r="K3491" s="521">
        <f t="shared" si="230"/>
        <v>235</v>
      </c>
      <c r="L3491" s="522">
        <f t="shared" si="233"/>
        <v>9400</v>
      </c>
      <c r="M3491" s="523">
        <f t="shared" si="231"/>
        <v>5.4842473745624273E-2</v>
      </c>
      <c r="N3491" s="2" t="s">
        <v>22</v>
      </c>
      <c r="O3491" s="15" t="s">
        <v>39</v>
      </c>
    </row>
    <row r="3492" spans="1:15">
      <c r="A3492" s="70">
        <v>2025</v>
      </c>
      <c r="B3492" s="16" t="s">
        <v>1400</v>
      </c>
      <c r="C3492" s="71" t="s">
        <v>4557</v>
      </c>
      <c r="D3492" s="2" t="s">
        <v>1119</v>
      </c>
      <c r="E3492" s="150" t="s">
        <v>4486</v>
      </c>
      <c r="F3492" s="96">
        <v>20</v>
      </c>
      <c r="G3492" s="1" t="s">
        <v>19</v>
      </c>
      <c r="H3492" s="8">
        <v>600</v>
      </c>
      <c r="I3492" s="8">
        <f t="shared" si="232"/>
        <v>12000</v>
      </c>
      <c r="J3492" s="539">
        <v>580</v>
      </c>
      <c r="K3492" s="521">
        <f t="shared" si="230"/>
        <v>20</v>
      </c>
      <c r="L3492" s="522">
        <f t="shared" si="233"/>
        <v>400</v>
      </c>
      <c r="M3492" s="523">
        <f t="shared" si="231"/>
        <v>3.3333333333333333E-2</v>
      </c>
      <c r="N3492" s="2" t="s">
        <v>40</v>
      </c>
      <c r="O3492" s="15" t="s">
        <v>39</v>
      </c>
    </row>
    <row r="3493" spans="1:15">
      <c r="A3493" s="70">
        <v>2025</v>
      </c>
      <c r="B3493" s="16" t="s">
        <v>1400</v>
      </c>
      <c r="C3493" s="71" t="s">
        <v>4558</v>
      </c>
      <c r="D3493" s="2" t="s">
        <v>4334</v>
      </c>
      <c r="E3493" s="150" t="s">
        <v>4559</v>
      </c>
      <c r="F3493" s="96">
        <v>2200</v>
      </c>
      <c r="G3493" s="1" t="s">
        <v>19</v>
      </c>
      <c r="H3493" s="8">
        <f>121*38</f>
        <v>4598</v>
      </c>
      <c r="I3493" s="8">
        <f t="shared" si="232"/>
        <v>10115600</v>
      </c>
      <c r="J3493" s="539">
        <f>115*38</f>
        <v>4370</v>
      </c>
      <c r="K3493" s="521">
        <f t="shared" si="230"/>
        <v>228</v>
      </c>
      <c r="L3493" s="522">
        <f t="shared" si="233"/>
        <v>501600</v>
      </c>
      <c r="M3493" s="523">
        <f t="shared" si="231"/>
        <v>4.9586776859504134E-2</v>
      </c>
      <c r="N3493" s="2" t="s">
        <v>40</v>
      </c>
      <c r="O3493" s="15" t="s">
        <v>39</v>
      </c>
    </row>
    <row r="3494" spans="1:15">
      <c r="A3494" s="70">
        <v>2025</v>
      </c>
      <c r="B3494" s="16" t="s">
        <v>1400</v>
      </c>
      <c r="C3494" s="71" t="s">
        <v>4558</v>
      </c>
      <c r="D3494" s="2" t="s">
        <v>4334</v>
      </c>
      <c r="E3494" s="150" t="s">
        <v>4559</v>
      </c>
      <c r="F3494" s="96">
        <v>1</v>
      </c>
      <c r="G3494" s="1" t="s">
        <v>285</v>
      </c>
      <c r="H3494" s="8"/>
      <c r="I3494" s="8">
        <f t="shared" si="232"/>
        <v>0</v>
      </c>
      <c r="J3494" s="539"/>
      <c r="K3494" s="521">
        <f t="shared" si="230"/>
        <v>0</v>
      </c>
      <c r="L3494" s="522">
        <v>35826.083333333336</v>
      </c>
      <c r="M3494" s="523" t="e">
        <f t="shared" si="231"/>
        <v>#DIV/0!</v>
      </c>
      <c r="N3494" s="2" t="s">
        <v>30</v>
      </c>
      <c r="O3494" s="15" t="s">
        <v>39</v>
      </c>
    </row>
    <row r="3495" spans="1:15">
      <c r="A3495" s="70">
        <v>2025</v>
      </c>
      <c r="B3495" s="16" t="s">
        <v>1400</v>
      </c>
      <c r="C3495" s="71" t="s">
        <v>4560</v>
      </c>
      <c r="D3495" s="2" t="s">
        <v>4561</v>
      </c>
      <c r="E3495" s="150" t="s">
        <v>982</v>
      </c>
      <c r="F3495" s="96">
        <v>9000</v>
      </c>
      <c r="G3495" s="1" t="s">
        <v>19</v>
      </c>
      <c r="H3495" s="8">
        <v>12</v>
      </c>
      <c r="I3495" s="8">
        <f t="shared" si="232"/>
        <v>108000</v>
      </c>
      <c r="J3495" s="539">
        <v>11</v>
      </c>
      <c r="K3495" s="521">
        <f t="shared" si="230"/>
        <v>1</v>
      </c>
      <c r="L3495" s="522">
        <f t="shared" ref="L3495:L3526" si="234">K3495*F3495</f>
        <v>9000</v>
      </c>
      <c r="M3495" s="523">
        <f t="shared" si="231"/>
        <v>8.3333333333333329E-2</v>
      </c>
      <c r="N3495" s="2" t="s">
        <v>22</v>
      </c>
      <c r="O3495" s="15" t="s">
        <v>105</v>
      </c>
    </row>
    <row r="3496" spans="1:15">
      <c r="A3496" s="70">
        <v>2025</v>
      </c>
      <c r="B3496" s="16" t="s">
        <v>1400</v>
      </c>
      <c r="C3496" s="71" t="s">
        <v>4562</v>
      </c>
      <c r="D3496" s="2" t="s">
        <v>94</v>
      </c>
      <c r="E3496" s="150" t="s">
        <v>1316</v>
      </c>
      <c r="F3496" s="96">
        <v>300</v>
      </c>
      <c r="G3496" s="1" t="s">
        <v>19</v>
      </c>
      <c r="H3496" s="8">
        <v>15.5</v>
      </c>
      <c r="I3496" s="8">
        <f t="shared" si="232"/>
        <v>4650</v>
      </c>
      <c r="J3496" s="539">
        <v>14.76</v>
      </c>
      <c r="K3496" s="521">
        <f t="shared" si="230"/>
        <v>0.74000000000000021</v>
      </c>
      <c r="L3496" s="522">
        <f t="shared" si="234"/>
        <v>222.00000000000006</v>
      </c>
      <c r="M3496" s="523">
        <f t="shared" si="231"/>
        <v>4.7741935483870984E-2</v>
      </c>
      <c r="N3496" s="2" t="s">
        <v>22</v>
      </c>
      <c r="O3496" s="15" t="s">
        <v>105</v>
      </c>
    </row>
    <row r="3497" spans="1:15">
      <c r="A3497" s="70">
        <v>2025</v>
      </c>
      <c r="B3497" s="16" t="s">
        <v>1400</v>
      </c>
      <c r="C3497" s="71" t="s">
        <v>4562</v>
      </c>
      <c r="D3497" s="2" t="s">
        <v>94</v>
      </c>
      <c r="E3497" s="150" t="s">
        <v>457</v>
      </c>
      <c r="F3497" s="96">
        <v>100</v>
      </c>
      <c r="G3497" s="1" t="s">
        <v>19</v>
      </c>
      <c r="H3497" s="8">
        <v>5.25</v>
      </c>
      <c r="I3497" s="8">
        <f t="shared" si="232"/>
        <v>525</v>
      </c>
      <c r="J3497" s="539">
        <v>5.0999999999999996</v>
      </c>
      <c r="K3497" s="521">
        <f t="shared" si="230"/>
        <v>0.15000000000000036</v>
      </c>
      <c r="L3497" s="522">
        <f t="shared" si="234"/>
        <v>15.000000000000036</v>
      </c>
      <c r="M3497" s="523">
        <f t="shared" si="231"/>
        <v>2.857142857142864E-2</v>
      </c>
      <c r="N3497" s="2" t="s">
        <v>22</v>
      </c>
      <c r="O3497" s="15" t="s">
        <v>105</v>
      </c>
    </row>
    <row r="3498" spans="1:15">
      <c r="A3498" s="70">
        <v>2025</v>
      </c>
      <c r="B3498" s="16" t="s">
        <v>1400</v>
      </c>
      <c r="C3498" s="71" t="s">
        <v>4562</v>
      </c>
      <c r="D3498" s="2" t="s">
        <v>94</v>
      </c>
      <c r="E3498" s="150" t="s">
        <v>458</v>
      </c>
      <c r="F3498" s="96">
        <v>200</v>
      </c>
      <c r="G3498" s="1" t="s">
        <v>19</v>
      </c>
      <c r="H3498" s="8">
        <v>9.5</v>
      </c>
      <c r="I3498" s="8">
        <f t="shared" si="232"/>
        <v>1900</v>
      </c>
      <c r="J3498" s="539">
        <v>9.35</v>
      </c>
      <c r="K3498" s="521">
        <f t="shared" si="230"/>
        <v>0.15000000000000036</v>
      </c>
      <c r="L3498" s="522">
        <f t="shared" si="234"/>
        <v>30.000000000000071</v>
      </c>
      <c r="M3498" s="523">
        <f t="shared" si="231"/>
        <v>1.5789473684210565E-2</v>
      </c>
      <c r="N3498" s="2" t="s">
        <v>22</v>
      </c>
      <c r="O3498" s="15" t="s">
        <v>105</v>
      </c>
    </row>
    <row r="3499" spans="1:15">
      <c r="A3499" s="70">
        <v>2025</v>
      </c>
      <c r="B3499" s="16" t="s">
        <v>1400</v>
      </c>
      <c r="C3499" s="71" t="s">
        <v>4563</v>
      </c>
      <c r="D3499" s="2" t="s">
        <v>27</v>
      </c>
      <c r="E3499" s="150" t="s">
        <v>550</v>
      </c>
      <c r="F3499" s="96">
        <v>4500</v>
      </c>
      <c r="G3499" s="1" t="s">
        <v>19</v>
      </c>
      <c r="H3499" s="8">
        <v>47.56</v>
      </c>
      <c r="I3499" s="8">
        <f t="shared" si="232"/>
        <v>214020</v>
      </c>
      <c r="J3499" s="539">
        <v>46.5</v>
      </c>
      <c r="K3499" s="521">
        <f t="shared" si="230"/>
        <v>1.0600000000000023</v>
      </c>
      <c r="L3499" s="522">
        <f t="shared" si="234"/>
        <v>4770.00000000001</v>
      </c>
      <c r="M3499" s="523">
        <f t="shared" si="231"/>
        <v>2.2287636669470191E-2</v>
      </c>
      <c r="N3499" s="2" t="s">
        <v>22</v>
      </c>
      <c r="O3499" s="15" t="s">
        <v>105</v>
      </c>
    </row>
    <row r="3500" spans="1:15">
      <c r="A3500" s="70">
        <v>2025</v>
      </c>
      <c r="B3500" s="16" t="s">
        <v>1400</v>
      </c>
      <c r="C3500" s="71" t="s">
        <v>4564</v>
      </c>
      <c r="D3500" s="2" t="s">
        <v>166</v>
      </c>
      <c r="E3500" s="150" t="s">
        <v>3062</v>
      </c>
      <c r="F3500" s="96">
        <v>21880</v>
      </c>
      <c r="G3500" s="1" t="s">
        <v>37</v>
      </c>
      <c r="H3500" s="8">
        <v>29.7</v>
      </c>
      <c r="I3500" s="8">
        <f t="shared" si="232"/>
        <v>649836</v>
      </c>
      <c r="J3500" s="539">
        <v>25.74</v>
      </c>
      <c r="K3500" s="521">
        <f t="shared" si="230"/>
        <v>3.9600000000000009</v>
      </c>
      <c r="L3500" s="522">
        <f t="shared" si="234"/>
        <v>86644.800000000017</v>
      </c>
      <c r="M3500" s="523">
        <f t="shared" si="231"/>
        <v>0.13333333333333336</v>
      </c>
      <c r="N3500" s="2" t="s">
        <v>22</v>
      </c>
      <c r="O3500" s="15" t="s">
        <v>105</v>
      </c>
    </row>
    <row r="3501" spans="1:15">
      <c r="A3501" s="70">
        <v>2025</v>
      </c>
      <c r="B3501" s="16" t="s">
        <v>1400</v>
      </c>
      <c r="C3501" s="71" t="s">
        <v>4565</v>
      </c>
      <c r="D3501" s="2" t="s">
        <v>270</v>
      </c>
      <c r="E3501" s="150" t="s">
        <v>73</v>
      </c>
      <c r="F3501" s="96">
        <v>1948.5</v>
      </c>
      <c r="G3501" s="1" t="s">
        <v>37</v>
      </c>
      <c r="H3501" s="8">
        <v>430</v>
      </c>
      <c r="I3501" s="8">
        <f t="shared" si="232"/>
        <v>837855</v>
      </c>
      <c r="J3501" s="539">
        <v>408</v>
      </c>
      <c r="K3501" s="521">
        <f t="shared" si="230"/>
        <v>22</v>
      </c>
      <c r="L3501" s="522">
        <f t="shared" si="234"/>
        <v>42867</v>
      </c>
      <c r="M3501" s="523">
        <f t="shared" si="231"/>
        <v>5.1162790697674418E-2</v>
      </c>
      <c r="N3501" s="2" t="s">
        <v>22</v>
      </c>
      <c r="O3501" s="15" t="s">
        <v>105</v>
      </c>
    </row>
    <row r="3502" spans="1:15">
      <c r="A3502" s="70">
        <v>2025</v>
      </c>
      <c r="B3502" s="16" t="s">
        <v>1400</v>
      </c>
      <c r="C3502" s="71" t="s">
        <v>4566</v>
      </c>
      <c r="D3502" s="2" t="s">
        <v>166</v>
      </c>
      <c r="E3502" s="150" t="s">
        <v>3062</v>
      </c>
      <c r="F3502" s="96">
        <v>20590</v>
      </c>
      <c r="G3502" s="1" t="s">
        <v>37</v>
      </c>
      <c r="H3502" s="8">
        <v>29.7</v>
      </c>
      <c r="I3502" s="8">
        <f t="shared" si="232"/>
        <v>611523</v>
      </c>
      <c r="J3502" s="539">
        <v>25.74</v>
      </c>
      <c r="K3502" s="521">
        <f t="shared" si="230"/>
        <v>3.9600000000000009</v>
      </c>
      <c r="L3502" s="522">
        <f t="shared" si="234"/>
        <v>81536.400000000023</v>
      </c>
      <c r="M3502" s="523">
        <f t="shared" si="231"/>
        <v>0.13333333333333336</v>
      </c>
      <c r="N3502" s="2" t="s">
        <v>22</v>
      </c>
      <c r="O3502" s="15" t="s">
        <v>105</v>
      </c>
    </row>
    <row r="3503" spans="1:15">
      <c r="A3503" s="70">
        <v>2025</v>
      </c>
      <c r="B3503" s="16" t="s">
        <v>1400</v>
      </c>
      <c r="C3503" s="71" t="s">
        <v>4567</v>
      </c>
      <c r="D3503" s="2" t="s">
        <v>4568</v>
      </c>
      <c r="E3503" s="150" t="s">
        <v>3880</v>
      </c>
      <c r="F3503" s="96">
        <v>200</v>
      </c>
      <c r="G3503" s="1" t="s">
        <v>1368</v>
      </c>
      <c r="H3503" s="8">
        <v>2630</v>
      </c>
      <c r="I3503" s="8">
        <f t="shared" si="232"/>
        <v>526000</v>
      </c>
      <c r="J3503" s="539">
        <v>2600</v>
      </c>
      <c r="K3503" s="521">
        <f t="shared" si="230"/>
        <v>30</v>
      </c>
      <c r="L3503" s="522">
        <f t="shared" si="234"/>
        <v>6000</v>
      </c>
      <c r="M3503" s="523">
        <f t="shared" si="231"/>
        <v>1.1406844106463879E-2</v>
      </c>
      <c r="N3503" s="2" t="s">
        <v>40</v>
      </c>
      <c r="O3503" s="15" t="s">
        <v>39</v>
      </c>
    </row>
    <row r="3504" spans="1:15">
      <c r="A3504" s="70">
        <v>2025</v>
      </c>
      <c r="B3504" s="16" t="s">
        <v>1400</v>
      </c>
      <c r="C3504" s="71" t="s">
        <v>4569</v>
      </c>
      <c r="D3504" s="2" t="s">
        <v>4570</v>
      </c>
      <c r="E3504" s="150" t="s">
        <v>1207</v>
      </c>
      <c r="F3504" s="96">
        <v>1300</v>
      </c>
      <c r="G3504" s="1" t="s">
        <v>19</v>
      </c>
      <c r="H3504" s="8">
        <v>3.15</v>
      </c>
      <c r="I3504" s="8">
        <f t="shared" si="232"/>
        <v>4095</v>
      </c>
      <c r="J3504" s="539">
        <v>2.85</v>
      </c>
      <c r="K3504" s="521">
        <f t="shared" si="230"/>
        <v>0.29999999999999982</v>
      </c>
      <c r="L3504" s="522">
        <f t="shared" si="234"/>
        <v>389.99999999999977</v>
      </c>
      <c r="M3504" s="523">
        <f t="shared" si="231"/>
        <v>9.5238095238095191E-2</v>
      </c>
      <c r="N3504" s="2" t="s">
        <v>40</v>
      </c>
      <c r="O3504" s="15" t="s">
        <v>39</v>
      </c>
    </row>
    <row r="3505" spans="1:15">
      <c r="A3505" s="70">
        <v>2025</v>
      </c>
      <c r="B3505" s="16" t="s">
        <v>1400</v>
      </c>
      <c r="C3505" s="71" t="s">
        <v>4569</v>
      </c>
      <c r="D3505" s="2" t="s">
        <v>4570</v>
      </c>
      <c r="E3505" s="150" t="s">
        <v>1208</v>
      </c>
      <c r="F3505" s="96">
        <v>3800</v>
      </c>
      <c r="G3505" s="1" t="s">
        <v>19</v>
      </c>
      <c r="H3505" s="8">
        <v>65</v>
      </c>
      <c r="I3505" s="8">
        <f t="shared" si="232"/>
        <v>247000</v>
      </c>
      <c r="J3505" s="539">
        <v>60</v>
      </c>
      <c r="K3505" s="521">
        <f t="shared" si="230"/>
        <v>5</v>
      </c>
      <c r="L3505" s="522">
        <f t="shared" si="234"/>
        <v>19000</v>
      </c>
      <c r="M3505" s="523">
        <f t="shared" si="231"/>
        <v>7.6923076923076927E-2</v>
      </c>
      <c r="N3505" s="2" t="s">
        <v>40</v>
      </c>
      <c r="O3505" s="15" t="s">
        <v>39</v>
      </c>
    </row>
    <row r="3506" spans="1:15">
      <c r="A3506" s="70">
        <v>2025</v>
      </c>
      <c r="B3506" s="16" t="s">
        <v>1400</v>
      </c>
      <c r="C3506" s="71" t="s">
        <v>4571</v>
      </c>
      <c r="D3506" s="2" t="s">
        <v>4570</v>
      </c>
      <c r="E3506" s="150" t="s">
        <v>1211</v>
      </c>
      <c r="F3506" s="96">
        <v>4400</v>
      </c>
      <c r="G3506" s="1" t="s">
        <v>19</v>
      </c>
      <c r="H3506" s="8">
        <v>9</v>
      </c>
      <c r="I3506" s="8">
        <f t="shared" si="232"/>
        <v>39600</v>
      </c>
      <c r="J3506" s="539">
        <v>8.3000000000000007</v>
      </c>
      <c r="K3506" s="521">
        <f t="shared" si="230"/>
        <v>0.69999999999999929</v>
      </c>
      <c r="L3506" s="522">
        <f t="shared" si="234"/>
        <v>3079.9999999999968</v>
      </c>
      <c r="M3506" s="523">
        <f t="shared" si="231"/>
        <v>7.7777777777777696E-2</v>
      </c>
      <c r="N3506" s="2" t="s">
        <v>40</v>
      </c>
      <c r="O3506" s="15" t="s">
        <v>39</v>
      </c>
    </row>
    <row r="3507" spans="1:15">
      <c r="A3507" s="70">
        <v>2025</v>
      </c>
      <c r="B3507" s="16" t="s">
        <v>1400</v>
      </c>
      <c r="C3507" s="71" t="s">
        <v>4571</v>
      </c>
      <c r="D3507" s="2" t="s">
        <v>4570</v>
      </c>
      <c r="E3507" s="150" t="s">
        <v>1210</v>
      </c>
      <c r="F3507" s="96">
        <v>7500</v>
      </c>
      <c r="G3507" s="1" t="s">
        <v>19</v>
      </c>
      <c r="H3507" s="8">
        <v>6.75</v>
      </c>
      <c r="I3507" s="8">
        <f t="shared" si="232"/>
        <v>50625</v>
      </c>
      <c r="J3507" s="539">
        <v>6.2</v>
      </c>
      <c r="K3507" s="521">
        <f t="shared" si="230"/>
        <v>0.54999999999999982</v>
      </c>
      <c r="L3507" s="522">
        <f t="shared" si="234"/>
        <v>4124.9999999999991</v>
      </c>
      <c r="M3507" s="523">
        <f t="shared" si="231"/>
        <v>8.148148148148146E-2</v>
      </c>
      <c r="N3507" s="2" t="s">
        <v>40</v>
      </c>
      <c r="O3507" s="15" t="s">
        <v>39</v>
      </c>
    </row>
    <row r="3508" spans="1:15">
      <c r="A3508" s="70">
        <v>2025</v>
      </c>
      <c r="B3508" s="16" t="s">
        <v>1400</v>
      </c>
      <c r="C3508" s="71" t="s">
        <v>4571</v>
      </c>
      <c r="D3508" s="2" t="s">
        <v>4570</v>
      </c>
      <c r="E3508" s="150" t="s">
        <v>4572</v>
      </c>
      <c r="F3508" s="96">
        <v>2000</v>
      </c>
      <c r="G3508" s="1" t="s">
        <v>19</v>
      </c>
      <c r="H3508" s="8">
        <v>9</v>
      </c>
      <c r="I3508" s="8">
        <f t="shared" si="232"/>
        <v>18000</v>
      </c>
      <c r="J3508" s="539">
        <v>8</v>
      </c>
      <c r="K3508" s="521">
        <f t="shared" si="230"/>
        <v>1</v>
      </c>
      <c r="L3508" s="522">
        <f t="shared" si="234"/>
        <v>2000</v>
      </c>
      <c r="M3508" s="523">
        <f t="shared" si="231"/>
        <v>0.1111111111111111</v>
      </c>
      <c r="N3508" s="2" t="s">
        <v>40</v>
      </c>
      <c r="O3508" s="15" t="s">
        <v>39</v>
      </c>
    </row>
    <row r="3509" spans="1:15">
      <c r="A3509" s="70">
        <v>2025</v>
      </c>
      <c r="B3509" s="16" t="s">
        <v>1400</v>
      </c>
      <c r="C3509" s="71" t="s">
        <v>4571</v>
      </c>
      <c r="D3509" s="2" t="s">
        <v>4570</v>
      </c>
      <c r="E3509" s="150" t="s">
        <v>4573</v>
      </c>
      <c r="F3509" s="96">
        <v>1300</v>
      </c>
      <c r="G3509" s="1" t="s">
        <v>19</v>
      </c>
      <c r="H3509" s="8">
        <v>12.5</v>
      </c>
      <c r="I3509" s="8">
        <f t="shared" si="232"/>
        <v>16250</v>
      </c>
      <c r="J3509" s="539">
        <v>12</v>
      </c>
      <c r="K3509" s="521">
        <f t="shared" si="230"/>
        <v>0.5</v>
      </c>
      <c r="L3509" s="522">
        <f t="shared" si="234"/>
        <v>650</v>
      </c>
      <c r="M3509" s="523">
        <f t="shared" si="231"/>
        <v>0.04</v>
      </c>
      <c r="N3509" s="2" t="s">
        <v>40</v>
      </c>
      <c r="O3509" s="15" t="s">
        <v>39</v>
      </c>
    </row>
    <row r="3510" spans="1:15">
      <c r="A3510" s="70">
        <v>2025</v>
      </c>
      <c r="B3510" s="16" t="s">
        <v>1400</v>
      </c>
      <c r="C3510" s="71" t="s">
        <v>4571</v>
      </c>
      <c r="D3510" s="2" t="s">
        <v>4570</v>
      </c>
      <c r="E3510" s="150" t="s">
        <v>4574</v>
      </c>
      <c r="F3510" s="96">
        <v>200</v>
      </c>
      <c r="G3510" s="1" t="s">
        <v>19</v>
      </c>
      <c r="H3510" s="8">
        <v>16.8</v>
      </c>
      <c r="I3510" s="8">
        <f t="shared" si="232"/>
        <v>3360</v>
      </c>
      <c r="J3510" s="539">
        <v>16.5</v>
      </c>
      <c r="K3510" s="521">
        <f t="shared" si="230"/>
        <v>0.30000000000000071</v>
      </c>
      <c r="L3510" s="522">
        <f t="shared" si="234"/>
        <v>60.000000000000142</v>
      </c>
      <c r="M3510" s="523">
        <f t="shared" si="231"/>
        <v>1.7857142857142898E-2</v>
      </c>
      <c r="N3510" s="2" t="s">
        <v>40</v>
      </c>
      <c r="O3510" s="15" t="s">
        <v>39</v>
      </c>
    </row>
    <row r="3511" spans="1:15">
      <c r="A3511" s="70">
        <v>2025</v>
      </c>
      <c r="B3511" s="16" t="s">
        <v>1400</v>
      </c>
      <c r="C3511" s="71" t="s">
        <v>4575</v>
      </c>
      <c r="D3511" s="2" t="s">
        <v>192</v>
      </c>
      <c r="E3511" s="150" t="s">
        <v>3358</v>
      </c>
      <c r="F3511" s="96">
        <v>20000</v>
      </c>
      <c r="G3511" s="1" t="s">
        <v>37</v>
      </c>
      <c r="H3511" s="8">
        <v>65</v>
      </c>
      <c r="I3511" s="8">
        <f t="shared" si="232"/>
        <v>1300000</v>
      </c>
      <c r="J3511" s="539">
        <v>64</v>
      </c>
      <c r="K3511" s="521">
        <f t="shared" si="230"/>
        <v>1</v>
      </c>
      <c r="L3511" s="522">
        <f t="shared" si="234"/>
        <v>20000</v>
      </c>
      <c r="M3511" s="523">
        <f t="shared" si="231"/>
        <v>1.5384615384615385E-2</v>
      </c>
      <c r="N3511" s="2" t="s">
        <v>22</v>
      </c>
      <c r="O3511" s="15" t="s">
        <v>39</v>
      </c>
    </row>
    <row r="3512" spans="1:15">
      <c r="A3512" s="70">
        <v>2025</v>
      </c>
      <c r="B3512" s="16" t="s">
        <v>1400</v>
      </c>
      <c r="C3512" s="71" t="s">
        <v>4576</v>
      </c>
      <c r="D3512" s="2" t="s">
        <v>192</v>
      </c>
      <c r="E3512" s="150" t="s">
        <v>813</v>
      </c>
      <c r="F3512" s="96">
        <v>40000</v>
      </c>
      <c r="G3512" s="1" t="s">
        <v>37</v>
      </c>
      <c r="H3512" s="8">
        <v>44.5</v>
      </c>
      <c r="I3512" s="8">
        <f t="shared" si="232"/>
        <v>1780000</v>
      </c>
      <c r="J3512" s="539">
        <v>42</v>
      </c>
      <c r="K3512" s="521">
        <f t="shared" si="230"/>
        <v>2.5</v>
      </c>
      <c r="L3512" s="522">
        <f t="shared" si="234"/>
        <v>100000</v>
      </c>
      <c r="M3512" s="523">
        <f t="shared" si="231"/>
        <v>5.6179775280898875E-2</v>
      </c>
      <c r="N3512" s="2" t="s">
        <v>22</v>
      </c>
      <c r="O3512" s="15" t="s">
        <v>39</v>
      </c>
    </row>
    <row r="3513" spans="1:15">
      <c r="A3513" s="70">
        <v>2025</v>
      </c>
      <c r="B3513" s="16" t="s">
        <v>1400</v>
      </c>
      <c r="C3513" s="71" t="s">
        <v>4577</v>
      </c>
      <c r="D3513" s="2" t="s">
        <v>192</v>
      </c>
      <c r="E3513" s="150" t="s">
        <v>503</v>
      </c>
      <c r="F3513" s="96">
        <v>95000</v>
      </c>
      <c r="G3513" s="1" t="s">
        <v>37</v>
      </c>
      <c r="H3513" s="8">
        <v>56.5</v>
      </c>
      <c r="I3513" s="8">
        <f t="shared" si="232"/>
        <v>5367500</v>
      </c>
      <c r="J3513" s="539">
        <v>55.5</v>
      </c>
      <c r="K3513" s="521">
        <f t="shared" si="230"/>
        <v>1</v>
      </c>
      <c r="L3513" s="522">
        <f t="shared" si="234"/>
        <v>95000</v>
      </c>
      <c r="M3513" s="523">
        <f t="shared" si="231"/>
        <v>1.7699115044247787E-2</v>
      </c>
      <c r="N3513" s="2" t="s">
        <v>22</v>
      </c>
      <c r="O3513" s="15" t="s">
        <v>39</v>
      </c>
    </row>
    <row r="3514" spans="1:15">
      <c r="A3514" s="70">
        <v>2025</v>
      </c>
      <c r="B3514" s="16" t="s">
        <v>1400</v>
      </c>
      <c r="C3514" s="71" t="s">
        <v>4578</v>
      </c>
      <c r="D3514" s="2" t="s">
        <v>192</v>
      </c>
      <c r="E3514" s="150" t="s">
        <v>502</v>
      </c>
      <c r="F3514" s="96">
        <v>440000</v>
      </c>
      <c r="G3514" s="1" t="s">
        <v>37</v>
      </c>
      <c r="H3514" s="8">
        <v>47</v>
      </c>
      <c r="I3514" s="8">
        <f t="shared" si="232"/>
        <v>20680000</v>
      </c>
      <c r="J3514" s="539">
        <v>44.5</v>
      </c>
      <c r="K3514" s="521">
        <f t="shared" si="230"/>
        <v>2.5</v>
      </c>
      <c r="L3514" s="522">
        <f t="shared" si="234"/>
        <v>1100000</v>
      </c>
      <c r="M3514" s="523">
        <f t="shared" si="231"/>
        <v>5.3191489361702128E-2</v>
      </c>
      <c r="N3514" s="2" t="s">
        <v>22</v>
      </c>
      <c r="O3514" s="15" t="s">
        <v>39</v>
      </c>
    </row>
    <row r="3515" spans="1:15">
      <c r="A3515" s="70">
        <v>2025</v>
      </c>
      <c r="B3515" s="16" t="s">
        <v>1400</v>
      </c>
      <c r="C3515" s="71" t="s">
        <v>4579</v>
      </c>
      <c r="D3515" s="2" t="s">
        <v>522</v>
      </c>
      <c r="E3515" s="150" t="s">
        <v>4580</v>
      </c>
      <c r="F3515" s="96">
        <v>1</v>
      </c>
      <c r="G3515" s="1" t="s">
        <v>285</v>
      </c>
      <c r="H3515" s="8">
        <v>4671696.75</v>
      </c>
      <c r="I3515" s="8">
        <f t="shared" si="232"/>
        <v>4671696.75</v>
      </c>
      <c r="J3515" s="539">
        <v>4550000</v>
      </c>
      <c r="K3515" s="521">
        <f t="shared" si="230"/>
        <v>121696.75</v>
      </c>
      <c r="L3515" s="522">
        <f t="shared" si="234"/>
        <v>121696.75</v>
      </c>
      <c r="M3515" s="523">
        <f t="shared" si="231"/>
        <v>2.6049796575516166E-2</v>
      </c>
      <c r="N3515" s="2" t="s">
        <v>40</v>
      </c>
      <c r="O3515" s="15" t="s">
        <v>4066</v>
      </c>
    </row>
    <row r="3516" spans="1:15">
      <c r="A3516" s="70">
        <v>2025</v>
      </c>
      <c r="B3516" s="16" t="s">
        <v>1400</v>
      </c>
      <c r="C3516" s="71" t="s">
        <v>4581</v>
      </c>
      <c r="D3516" s="2" t="s">
        <v>4582</v>
      </c>
      <c r="E3516" s="150" t="s">
        <v>4583</v>
      </c>
      <c r="F3516" s="96">
        <v>36</v>
      </c>
      <c r="G3516" s="1" t="s">
        <v>19</v>
      </c>
      <c r="H3516" s="8">
        <v>1300</v>
      </c>
      <c r="I3516" s="8">
        <f t="shared" si="232"/>
        <v>46800</v>
      </c>
      <c r="J3516" s="539">
        <v>1200</v>
      </c>
      <c r="K3516" s="521">
        <f t="shared" si="230"/>
        <v>100</v>
      </c>
      <c r="L3516" s="522">
        <f t="shared" si="234"/>
        <v>3600</v>
      </c>
      <c r="M3516" s="523">
        <f t="shared" si="231"/>
        <v>7.6923076923076927E-2</v>
      </c>
      <c r="N3516" s="2" t="s">
        <v>22</v>
      </c>
      <c r="O3516" s="15" t="s">
        <v>4066</v>
      </c>
    </row>
    <row r="3517" spans="1:15">
      <c r="A3517" s="70">
        <v>2025</v>
      </c>
      <c r="B3517" s="16" t="s">
        <v>1400</v>
      </c>
      <c r="C3517" s="71" t="s">
        <v>4581</v>
      </c>
      <c r="D3517" s="2" t="s">
        <v>4582</v>
      </c>
      <c r="E3517" s="150" t="s">
        <v>4584</v>
      </c>
      <c r="F3517" s="96">
        <v>36</v>
      </c>
      <c r="G3517" s="1" t="s">
        <v>19</v>
      </c>
      <c r="H3517" s="8">
        <v>580</v>
      </c>
      <c r="I3517" s="8">
        <f t="shared" si="232"/>
        <v>20880</v>
      </c>
      <c r="J3517" s="539">
        <v>550</v>
      </c>
      <c r="K3517" s="521">
        <f t="shared" si="230"/>
        <v>30</v>
      </c>
      <c r="L3517" s="522">
        <f t="shared" si="234"/>
        <v>1080</v>
      </c>
      <c r="M3517" s="523">
        <f t="shared" si="231"/>
        <v>5.1724137931034482E-2</v>
      </c>
      <c r="N3517" s="2" t="s">
        <v>22</v>
      </c>
      <c r="O3517" s="15" t="s">
        <v>4066</v>
      </c>
    </row>
    <row r="3518" spans="1:15">
      <c r="A3518" s="70">
        <v>2025</v>
      </c>
      <c r="B3518" s="16" t="s">
        <v>1400</v>
      </c>
      <c r="C3518" s="71" t="s">
        <v>4581</v>
      </c>
      <c r="D3518" s="2" t="s">
        <v>4582</v>
      </c>
      <c r="E3518" s="150" t="s">
        <v>4585</v>
      </c>
      <c r="F3518" s="96">
        <v>12</v>
      </c>
      <c r="G3518" s="1" t="s">
        <v>19</v>
      </c>
      <c r="H3518" s="8">
        <v>1800</v>
      </c>
      <c r="I3518" s="8">
        <f t="shared" si="232"/>
        <v>21600</v>
      </c>
      <c r="J3518" s="539">
        <v>1700</v>
      </c>
      <c r="K3518" s="521">
        <f t="shared" si="230"/>
        <v>100</v>
      </c>
      <c r="L3518" s="522">
        <f t="shared" si="234"/>
        <v>1200</v>
      </c>
      <c r="M3518" s="523">
        <f t="shared" si="231"/>
        <v>5.5555555555555552E-2</v>
      </c>
      <c r="N3518" s="2" t="s">
        <v>22</v>
      </c>
      <c r="O3518" s="15" t="s">
        <v>4066</v>
      </c>
    </row>
    <row r="3519" spans="1:15">
      <c r="A3519" s="70">
        <v>2025</v>
      </c>
      <c r="B3519" s="16" t="s">
        <v>1400</v>
      </c>
      <c r="C3519" s="71" t="s">
        <v>4586</v>
      </c>
      <c r="D3519" s="2" t="s">
        <v>2934</v>
      </c>
      <c r="E3519" s="150" t="s">
        <v>4587</v>
      </c>
      <c r="F3519" s="96">
        <v>1</v>
      </c>
      <c r="G3519" s="1" t="s">
        <v>285</v>
      </c>
      <c r="H3519" s="8">
        <v>416336.3</v>
      </c>
      <c r="I3519" s="8">
        <f t="shared" si="232"/>
        <v>416336.3</v>
      </c>
      <c r="J3519" s="539">
        <v>400000</v>
      </c>
      <c r="K3519" s="521">
        <f t="shared" si="230"/>
        <v>16336.299999999988</v>
      </c>
      <c r="L3519" s="522">
        <f t="shared" si="234"/>
        <v>16336.299999999988</v>
      </c>
      <c r="M3519" s="523">
        <f t="shared" si="231"/>
        <v>3.9238231208760778E-2</v>
      </c>
      <c r="N3519" s="2" t="s">
        <v>22</v>
      </c>
      <c r="O3519" s="15" t="s">
        <v>4066</v>
      </c>
    </row>
    <row r="3520" spans="1:15">
      <c r="A3520" s="70">
        <v>2025</v>
      </c>
      <c r="B3520" s="16" t="s">
        <v>1400</v>
      </c>
      <c r="C3520" s="71" t="s">
        <v>4588</v>
      </c>
      <c r="D3520" s="2" t="s">
        <v>2934</v>
      </c>
      <c r="E3520" s="150" t="s">
        <v>4589</v>
      </c>
      <c r="F3520" s="96">
        <v>1</v>
      </c>
      <c r="G3520" s="1" t="s">
        <v>285</v>
      </c>
      <c r="H3520" s="8">
        <v>337620.3</v>
      </c>
      <c r="I3520" s="8">
        <f t="shared" si="232"/>
        <v>337620.3</v>
      </c>
      <c r="J3520" s="539">
        <v>320000</v>
      </c>
      <c r="K3520" s="521">
        <f t="shared" si="230"/>
        <v>17620.299999999988</v>
      </c>
      <c r="L3520" s="522">
        <f t="shared" si="234"/>
        <v>17620.299999999988</v>
      </c>
      <c r="M3520" s="523">
        <f t="shared" si="231"/>
        <v>5.2189693569965993E-2</v>
      </c>
      <c r="N3520" s="2" t="s">
        <v>22</v>
      </c>
      <c r="O3520" s="15" t="s">
        <v>4066</v>
      </c>
    </row>
    <row r="3521" spans="1:15">
      <c r="A3521" s="70">
        <v>2025</v>
      </c>
      <c r="B3521" s="16" t="s">
        <v>1400</v>
      </c>
      <c r="C3521" s="71" t="s">
        <v>4590</v>
      </c>
      <c r="D3521" s="2" t="s">
        <v>3020</v>
      </c>
      <c r="E3521" s="150" t="s">
        <v>4591</v>
      </c>
      <c r="F3521" s="96">
        <v>1</v>
      </c>
      <c r="G3521" s="1" t="s">
        <v>285</v>
      </c>
      <c r="H3521" s="8">
        <v>95000</v>
      </c>
      <c r="I3521" s="8">
        <f t="shared" si="232"/>
        <v>95000</v>
      </c>
      <c r="J3521" s="539">
        <v>92000</v>
      </c>
      <c r="K3521" s="521">
        <f t="shared" si="230"/>
        <v>3000</v>
      </c>
      <c r="L3521" s="522">
        <f t="shared" si="234"/>
        <v>3000</v>
      </c>
      <c r="M3521" s="523">
        <f t="shared" si="231"/>
        <v>3.1578947368421054E-2</v>
      </c>
      <c r="N3521" s="2" t="s">
        <v>40</v>
      </c>
      <c r="O3521" s="15" t="s">
        <v>4066</v>
      </c>
    </row>
    <row r="3522" spans="1:15">
      <c r="A3522" s="70">
        <v>2025</v>
      </c>
      <c r="B3522" s="16" t="s">
        <v>1400</v>
      </c>
      <c r="C3522" s="71" t="s">
        <v>4592</v>
      </c>
      <c r="D3522" s="2" t="s">
        <v>110</v>
      </c>
      <c r="E3522" s="150" t="s">
        <v>4593</v>
      </c>
      <c r="F3522" s="96">
        <v>10</v>
      </c>
      <c r="G3522" s="1" t="s">
        <v>19</v>
      </c>
      <c r="H3522" s="8">
        <v>290</v>
      </c>
      <c r="I3522" s="8">
        <f t="shared" si="232"/>
        <v>2900</v>
      </c>
      <c r="J3522" s="539">
        <v>270</v>
      </c>
      <c r="K3522" s="521">
        <f t="shared" si="230"/>
        <v>20</v>
      </c>
      <c r="L3522" s="522">
        <f t="shared" si="234"/>
        <v>200</v>
      </c>
      <c r="M3522" s="523">
        <f t="shared" si="231"/>
        <v>6.8965517241379309E-2</v>
      </c>
      <c r="N3522" s="2" t="s">
        <v>22</v>
      </c>
      <c r="O3522" s="15" t="s">
        <v>4066</v>
      </c>
    </row>
    <row r="3523" spans="1:15">
      <c r="A3523" s="70">
        <v>2025</v>
      </c>
      <c r="B3523" s="16" t="s">
        <v>1400</v>
      </c>
      <c r="C3523" s="71" t="s">
        <v>4592</v>
      </c>
      <c r="D3523" s="2" t="s">
        <v>110</v>
      </c>
      <c r="E3523" s="150" t="s">
        <v>4594</v>
      </c>
      <c r="F3523" s="96">
        <v>5</v>
      </c>
      <c r="G3523" s="1" t="s">
        <v>19</v>
      </c>
      <c r="H3523" s="8">
        <v>200</v>
      </c>
      <c r="I3523" s="8">
        <f t="shared" si="232"/>
        <v>1000</v>
      </c>
      <c r="J3523" s="539">
        <v>180</v>
      </c>
      <c r="K3523" s="521">
        <f t="shared" ref="K3523:K3573" si="235">H3523-J3523</f>
        <v>20</v>
      </c>
      <c r="L3523" s="522">
        <f t="shared" si="234"/>
        <v>100</v>
      </c>
      <c r="M3523" s="523">
        <f t="shared" ref="M3523:M3568" si="236">K3523/H3523</f>
        <v>0.1</v>
      </c>
      <c r="N3523" s="2" t="s">
        <v>22</v>
      </c>
      <c r="O3523" s="15" t="s">
        <v>4066</v>
      </c>
    </row>
    <row r="3524" spans="1:15">
      <c r="A3524" s="70">
        <v>2025</v>
      </c>
      <c r="B3524" s="16" t="s">
        <v>1400</v>
      </c>
      <c r="C3524" s="71" t="s">
        <v>4592</v>
      </c>
      <c r="D3524" s="2" t="s">
        <v>110</v>
      </c>
      <c r="E3524" s="150" t="s">
        <v>4595</v>
      </c>
      <c r="F3524" s="96">
        <v>2</v>
      </c>
      <c r="G3524" s="1" t="s">
        <v>19</v>
      </c>
      <c r="H3524" s="8">
        <v>200</v>
      </c>
      <c r="I3524" s="8">
        <f t="shared" si="232"/>
        <v>400</v>
      </c>
      <c r="J3524" s="539">
        <v>180</v>
      </c>
      <c r="K3524" s="521">
        <f t="shared" si="235"/>
        <v>20</v>
      </c>
      <c r="L3524" s="522">
        <f t="shared" si="234"/>
        <v>40</v>
      </c>
      <c r="M3524" s="523">
        <f t="shared" si="236"/>
        <v>0.1</v>
      </c>
      <c r="N3524" s="2" t="s">
        <v>22</v>
      </c>
      <c r="O3524" s="15" t="s">
        <v>4066</v>
      </c>
    </row>
    <row r="3525" spans="1:15">
      <c r="A3525" s="70">
        <v>2025</v>
      </c>
      <c r="B3525" s="16" t="s">
        <v>1400</v>
      </c>
      <c r="C3525" s="71" t="s">
        <v>4592</v>
      </c>
      <c r="D3525" s="2" t="s">
        <v>110</v>
      </c>
      <c r="E3525" s="150" t="s">
        <v>4596</v>
      </c>
      <c r="F3525" s="96">
        <v>1</v>
      </c>
      <c r="G3525" s="1" t="s">
        <v>19</v>
      </c>
      <c r="H3525" s="8">
        <v>850</v>
      </c>
      <c r="I3525" s="8">
        <f t="shared" si="232"/>
        <v>850</v>
      </c>
      <c r="J3525" s="539">
        <v>820</v>
      </c>
      <c r="K3525" s="521">
        <f t="shared" si="235"/>
        <v>30</v>
      </c>
      <c r="L3525" s="522">
        <f t="shared" si="234"/>
        <v>30</v>
      </c>
      <c r="M3525" s="523">
        <f t="shared" si="236"/>
        <v>3.5294117647058823E-2</v>
      </c>
      <c r="N3525" s="2" t="s">
        <v>22</v>
      </c>
      <c r="O3525" s="15" t="s">
        <v>4066</v>
      </c>
    </row>
    <row r="3526" spans="1:15">
      <c r="A3526" s="70">
        <v>2025</v>
      </c>
      <c r="B3526" s="16" t="s">
        <v>1400</v>
      </c>
      <c r="C3526" s="71" t="s">
        <v>4597</v>
      </c>
      <c r="D3526" s="2" t="s">
        <v>4179</v>
      </c>
      <c r="E3526" s="150" t="s">
        <v>4598</v>
      </c>
      <c r="F3526" s="96">
        <v>1</v>
      </c>
      <c r="G3526" s="1" t="s">
        <v>285</v>
      </c>
      <c r="H3526" s="8">
        <v>139440</v>
      </c>
      <c r="I3526" s="8">
        <f t="shared" ref="I3526:I3589" si="237">H3526*F3526</f>
        <v>139440</v>
      </c>
      <c r="J3526" s="539">
        <v>130000</v>
      </c>
      <c r="K3526" s="521">
        <f t="shared" si="235"/>
        <v>9440</v>
      </c>
      <c r="L3526" s="522">
        <f t="shared" si="234"/>
        <v>9440</v>
      </c>
      <c r="M3526" s="523">
        <f t="shared" si="236"/>
        <v>6.7699368904188179E-2</v>
      </c>
      <c r="N3526" s="2" t="s">
        <v>40</v>
      </c>
      <c r="O3526" s="15" t="s">
        <v>4066</v>
      </c>
    </row>
    <row r="3527" spans="1:15">
      <c r="A3527" s="70">
        <v>2025</v>
      </c>
      <c r="B3527" s="16" t="s">
        <v>1400</v>
      </c>
      <c r="C3527" s="71" t="s">
        <v>4599</v>
      </c>
      <c r="D3527" s="2" t="s">
        <v>871</v>
      </c>
      <c r="E3527" s="150" t="s">
        <v>4600</v>
      </c>
      <c r="F3527" s="96">
        <v>1</v>
      </c>
      <c r="G3527" s="1" t="s">
        <v>19</v>
      </c>
      <c r="H3527" s="8">
        <v>14250</v>
      </c>
      <c r="I3527" s="8">
        <f t="shared" si="237"/>
        <v>14250</v>
      </c>
      <c r="J3527" s="539">
        <v>14000</v>
      </c>
      <c r="K3527" s="521">
        <f t="shared" si="235"/>
        <v>250</v>
      </c>
      <c r="L3527" s="522">
        <f t="shared" ref="L3527:L3558" si="238">K3527*F3527</f>
        <v>250</v>
      </c>
      <c r="M3527" s="523">
        <f t="shared" si="236"/>
        <v>1.7543859649122806E-2</v>
      </c>
      <c r="N3527" s="2" t="s">
        <v>22</v>
      </c>
      <c r="O3527" s="15" t="s">
        <v>4066</v>
      </c>
    </row>
    <row r="3528" spans="1:15">
      <c r="A3528" s="70">
        <v>2025</v>
      </c>
      <c r="B3528" s="16" t="s">
        <v>1400</v>
      </c>
      <c r="C3528" s="71" t="s">
        <v>4601</v>
      </c>
      <c r="D3528" s="2" t="s">
        <v>27</v>
      </c>
      <c r="E3528" s="150" t="s">
        <v>4602</v>
      </c>
      <c r="F3528" s="96">
        <v>590</v>
      </c>
      <c r="G3528" s="1" t="s">
        <v>1146</v>
      </c>
      <c r="H3528" s="8">
        <v>995</v>
      </c>
      <c r="I3528" s="8">
        <f t="shared" si="237"/>
        <v>587050</v>
      </c>
      <c r="J3528" s="539">
        <v>990</v>
      </c>
      <c r="K3528" s="521">
        <f t="shared" si="235"/>
        <v>5</v>
      </c>
      <c r="L3528" s="522">
        <f t="shared" si="238"/>
        <v>2950</v>
      </c>
      <c r="M3528" s="523">
        <f t="shared" si="236"/>
        <v>5.0251256281407036E-3</v>
      </c>
      <c r="N3528" s="2" t="s">
        <v>22</v>
      </c>
      <c r="O3528" s="15" t="s">
        <v>4066</v>
      </c>
    </row>
    <row r="3529" spans="1:15">
      <c r="A3529" s="70">
        <v>2025</v>
      </c>
      <c r="B3529" s="16" t="s">
        <v>1400</v>
      </c>
      <c r="C3529" s="71" t="s">
        <v>4601</v>
      </c>
      <c r="D3529" s="2" t="s">
        <v>27</v>
      </c>
      <c r="E3529" s="150" t="s">
        <v>4602</v>
      </c>
      <c r="F3529" s="96">
        <v>850</v>
      </c>
      <c r="G3529" s="1" t="s">
        <v>1146</v>
      </c>
      <c r="H3529" s="8">
        <v>995</v>
      </c>
      <c r="I3529" s="8">
        <f t="shared" si="237"/>
        <v>845750</v>
      </c>
      <c r="J3529" s="539">
        <v>990</v>
      </c>
      <c r="K3529" s="521">
        <f t="shared" si="235"/>
        <v>5</v>
      </c>
      <c r="L3529" s="522">
        <f t="shared" si="238"/>
        <v>4250</v>
      </c>
      <c r="M3529" s="523">
        <f t="shared" si="236"/>
        <v>5.0251256281407036E-3</v>
      </c>
      <c r="N3529" s="2" t="s">
        <v>22</v>
      </c>
      <c r="O3529" s="15" t="s">
        <v>4066</v>
      </c>
    </row>
    <row r="3530" spans="1:15">
      <c r="A3530" s="70">
        <v>2025</v>
      </c>
      <c r="B3530" s="16" t="s">
        <v>1400</v>
      </c>
      <c r="C3530" s="71" t="s">
        <v>4601</v>
      </c>
      <c r="D3530" s="2" t="s">
        <v>27</v>
      </c>
      <c r="E3530" s="150" t="s">
        <v>4603</v>
      </c>
      <c r="F3530" s="96">
        <v>120</v>
      </c>
      <c r="G3530" s="1" t="s">
        <v>1146</v>
      </c>
      <c r="H3530" s="8">
        <v>270</v>
      </c>
      <c r="I3530" s="8">
        <f t="shared" si="237"/>
        <v>32400</v>
      </c>
      <c r="J3530" s="539">
        <v>266</v>
      </c>
      <c r="K3530" s="521">
        <f t="shared" si="235"/>
        <v>4</v>
      </c>
      <c r="L3530" s="522">
        <f t="shared" si="238"/>
        <v>480</v>
      </c>
      <c r="M3530" s="523">
        <f t="shared" si="236"/>
        <v>1.4814814814814815E-2</v>
      </c>
      <c r="N3530" s="2" t="s">
        <v>22</v>
      </c>
      <c r="O3530" s="15" t="s">
        <v>4066</v>
      </c>
    </row>
    <row r="3531" spans="1:15" ht="24">
      <c r="A3531" s="423">
        <v>2025</v>
      </c>
      <c r="B3531" s="425" t="s">
        <v>1400</v>
      </c>
      <c r="C3531" s="72" t="s">
        <v>4601</v>
      </c>
      <c r="D3531" s="28" t="s">
        <v>27</v>
      </c>
      <c r="E3531" s="441" t="s">
        <v>4604</v>
      </c>
      <c r="F3531" s="96">
        <v>215</v>
      </c>
      <c r="G3531" s="1" t="s">
        <v>1146</v>
      </c>
      <c r="H3531" s="8">
        <v>370</v>
      </c>
      <c r="I3531" s="8">
        <f t="shared" si="237"/>
        <v>79550</v>
      </c>
      <c r="J3531" s="539">
        <v>367</v>
      </c>
      <c r="K3531" s="521">
        <f t="shared" si="235"/>
        <v>3</v>
      </c>
      <c r="L3531" s="522">
        <f t="shared" si="238"/>
        <v>645</v>
      </c>
      <c r="M3531" s="523">
        <f t="shared" si="236"/>
        <v>8.1081081081081086E-3</v>
      </c>
      <c r="N3531" s="2" t="s">
        <v>22</v>
      </c>
      <c r="O3531" s="15" t="s">
        <v>4066</v>
      </c>
    </row>
    <row r="3532" spans="1:15" ht="24">
      <c r="A3532" s="423">
        <v>2025</v>
      </c>
      <c r="B3532" s="425" t="s">
        <v>1400</v>
      </c>
      <c r="C3532" s="72" t="s">
        <v>4601</v>
      </c>
      <c r="D3532" s="28" t="s">
        <v>27</v>
      </c>
      <c r="E3532" s="441" t="s">
        <v>4605</v>
      </c>
      <c r="F3532" s="96">
        <v>160</v>
      </c>
      <c r="G3532" s="1" t="s">
        <v>1146</v>
      </c>
      <c r="H3532" s="8">
        <v>370</v>
      </c>
      <c r="I3532" s="8">
        <f t="shared" si="237"/>
        <v>59200</v>
      </c>
      <c r="J3532" s="539">
        <v>367</v>
      </c>
      <c r="K3532" s="521">
        <f t="shared" si="235"/>
        <v>3</v>
      </c>
      <c r="L3532" s="522">
        <f t="shared" si="238"/>
        <v>480</v>
      </c>
      <c r="M3532" s="523">
        <f t="shared" si="236"/>
        <v>8.1081081081081086E-3</v>
      </c>
      <c r="N3532" s="2" t="s">
        <v>22</v>
      </c>
      <c r="O3532" s="15" t="s">
        <v>4066</v>
      </c>
    </row>
    <row r="3533" spans="1:15">
      <c r="A3533" s="70">
        <v>2025</v>
      </c>
      <c r="B3533" s="16" t="s">
        <v>1400</v>
      </c>
      <c r="C3533" s="71" t="s">
        <v>4601</v>
      </c>
      <c r="D3533" s="2" t="s">
        <v>27</v>
      </c>
      <c r="E3533" s="150" t="s">
        <v>4606</v>
      </c>
      <c r="F3533" s="96">
        <v>100</v>
      </c>
      <c r="G3533" s="1" t="s">
        <v>1146</v>
      </c>
      <c r="H3533" s="8">
        <v>575</v>
      </c>
      <c r="I3533" s="8">
        <f t="shared" si="237"/>
        <v>57500</v>
      </c>
      <c r="J3533" s="539">
        <v>570</v>
      </c>
      <c r="K3533" s="521">
        <f t="shared" si="235"/>
        <v>5</v>
      </c>
      <c r="L3533" s="522">
        <f t="shared" si="238"/>
        <v>500</v>
      </c>
      <c r="M3533" s="523">
        <f t="shared" si="236"/>
        <v>8.6956521739130436E-3</v>
      </c>
      <c r="N3533" s="2" t="s">
        <v>22</v>
      </c>
      <c r="O3533" s="15" t="s">
        <v>4066</v>
      </c>
    </row>
    <row r="3534" spans="1:15">
      <c r="A3534" s="70">
        <v>2025</v>
      </c>
      <c r="B3534" s="16" t="s">
        <v>1400</v>
      </c>
      <c r="C3534" s="71" t="s">
        <v>4601</v>
      </c>
      <c r="D3534" s="2" t="s">
        <v>27</v>
      </c>
      <c r="E3534" s="150" t="s">
        <v>4607</v>
      </c>
      <c r="F3534" s="96">
        <v>120</v>
      </c>
      <c r="G3534" s="1" t="s">
        <v>1146</v>
      </c>
      <c r="H3534" s="8">
        <v>367</v>
      </c>
      <c r="I3534" s="8">
        <f t="shared" si="237"/>
        <v>44040</v>
      </c>
      <c r="J3534" s="539">
        <v>365</v>
      </c>
      <c r="K3534" s="521">
        <f t="shared" si="235"/>
        <v>2</v>
      </c>
      <c r="L3534" s="522">
        <f t="shared" si="238"/>
        <v>240</v>
      </c>
      <c r="M3534" s="523">
        <f t="shared" si="236"/>
        <v>5.4495912806539508E-3</v>
      </c>
      <c r="N3534" s="2" t="s">
        <v>22</v>
      </c>
      <c r="O3534" s="15" t="s">
        <v>4066</v>
      </c>
    </row>
    <row r="3535" spans="1:15">
      <c r="A3535" s="70">
        <v>2025</v>
      </c>
      <c r="B3535" s="16" t="s">
        <v>1400</v>
      </c>
      <c r="C3535" s="71" t="s">
        <v>4608</v>
      </c>
      <c r="D3535" s="2" t="s">
        <v>94</v>
      </c>
      <c r="E3535" s="150" t="s">
        <v>4609</v>
      </c>
      <c r="F3535" s="96">
        <v>400</v>
      </c>
      <c r="G3535" s="1" t="s">
        <v>1146</v>
      </c>
      <c r="H3535" s="8">
        <v>775.92</v>
      </c>
      <c r="I3535" s="8">
        <f t="shared" si="237"/>
        <v>310368</v>
      </c>
      <c r="J3535" s="539">
        <v>768</v>
      </c>
      <c r="K3535" s="521">
        <f t="shared" si="235"/>
        <v>7.9199999999999591</v>
      </c>
      <c r="L3535" s="522">
        <f t="shared" si="238"/>
        <v>3167.9999999999836</v>
      </c>
      <c r="M3535" s="523">
        <f t="shared" si="236"/>
        <v>1.0207237859573099E-2</v>
      </c>
      <c r="N3535" s="2" t="s">
        <v>22</v>
      </c>
      <c r="O3535" s="15" t="s">
        <v>4066</v>
      </c>
    </row>
    <row r="3536" spans="1:15">
      <c r="A3536" s="70">
        <v>2025</v>
      </c>
      <c r="B3536" s="16" t="s">
        <v>1400</v>
      </c>
      <c r="C3536" s="71" t="s">
        <v>4608</v>
      </c>
      <c r="D3536" s="2" t="s">
        <v>94</v>
      </c>
      <c r="E3536" s="150" t="s">
        <v>4610</v>
      </c>
      <c r="F3536" s="96">
        <v>100</v>
      </c>
      <c r="G3536" s="1" t="s">
        <v>1146</v>
      </c>
      <c r="H3536" s="8">
        <v>168.64</v>
      </c>
      <c r="I3536" s="8">
        <f t="shared" si="237"/>
        <v>16864</v>
      </c>
      <c r="J3536" s="539">
        <v>167.8</v>
      </c>
      <c r="K3536" s="521">
        <f t="shared" si="235"/>
        <v>0.83999999999997499</v>
      </c>
      <c r="L3536" s="522">
        <f t="shared" si="238"/>
        <v>83.999999999997499</v>
      </c>
      <c r="M3536" s="523">
        <f t="shared" si="236"/>
        <v>4.9810246679315405E-3</v>
      </c>
      <c r="N3536" s="2" t="s">
        <v>22</v>
      </c>
      <c r="O3536" s="15" t="s">
        <v>4066</v>
      </c>
    </row>
    <row r="3537" spans="1:15">
      <c r="A3537" s="70">
        <v>2025</v>
      </c>
      <c r="B3537" s="16" t="s">
        <v>1400</v>
      </c>
      <c r="C3537" s="71" t="s">
        <v>4611</v>
      </c>
      <c r="D3537" s="2" t="s">
        <v>110</v>
      </c>
      <c r="E3537" s="150" t="s">
        <v>4612</v>
      </c>
      <c r="F3537" s="96">
        <v>1</v>
      </c>
      <c r="G3537" s="1" t="s">
        <v>19</v>
      </c>
      <c r="H3537" s="8">
        <v>25500</v>
      </c>
      <c r="I3537" s="8">
        <f t="shared" si="237"/>
        <v>25500</v>
      </c>
      <c r="J3537" s="539">
        <v>25000</v>
      </c>
      <c r="K3537" s="521">
        <f t="shared" si="235"/>
        <v>500</v>
      </c>
      <c r="L3537" s="522">
        <f t="shared" si="238"/>
        <v>500</v>
      </c>
      <c r="M3537" s="523">
        <f t="shared" si="236"/>
        <v>1.9607843137254902E-2</v>
      </c>
      <c r="N3537" s="2" t="s">
        <v>40</v>
      </c>
      <c r="O3537" s="15" t="s">
        <v>4066</v>
      </c>
    </row>
    <row r="3538" spans="1:15">
      <c r="A3538" s="70">
        <v>2025</v>
      </c>
      <c r="B3538" s="16" t="s">
        <v>1400</v>
      </c>
      <c r="C3538" s="71" t="s">
        <v>4613</v>
      </c>
      <c r="D3538" s="2" t="s">
        <v>125</v>
      </c>
      <c r="E3538" s="150" t="s">
        <v>4614</v>
      </c>
      <c r="F3538" s="96">
        <v>1</v>
      </c>
      <c r="G3538" s="1" t="s">
        <v>285</v>
      </c>
      <c r="H3538" s="8">
        <v>368984</v>
      </c>
      <c r="I3538" s="8">
        <f t="shared" si="237"/>
        <v>368984</v>
      </c>
      <c r="J3538" s="539">
        <v>359759.4</v>
      </c>
      <c r="K3538" s="521">
        <f t="shared" si="235"/>
        <v>9224.5999999999767</v>
      </c>
      <c r="L3538" s="522">
        <f t="shared" si="238"/>
        <v>9224.5999999999767</v>
      </c>
      <c r="M3538" s="523">
        <f t="shared" si="236"/>
        <v>2.4999999999999935E-2</v>
      </c>
      <c r="N3538" s="2" t="s">
        <v>40</v>
      </c>
      <c r="O3538" s="15" t="s">
        <v>4066</v>
      </c>
    </row>
    <row r="3539" spans="1:15">
      <c r="A3539" s="70">
        <v>2025</v>
      </c>
      <c r="B3539" s="16" t="s">
        <v>1400</v>
      </c>
      <c r="C3539" s="71" t="s">
        <v>4615</v>
      </c>
      <c r="D3539" s="2" t="s">
        <v>4179</v>
      </c>
      <c r="E3539" s="150" t="s">
        <v>4616</v>
      </c>
      <c r="F3539" s="96">
        <v>1</v>
      </c>
      <c r="G3539" s="1" t="s">
        <v>285</v>
      </c>
      <c r="H3539" s="8">
        <v>1180000</v>
      </c>
      <c r="I3539" s="8">
        <f t="shared" si="237"/>
        <v>1180000</v>
      </c>
      <c r="J3539" s="539">
        <v>1100000</v>
      </c>
      <c r="K3539" s="521">
        <f t="shared" si="235"/>
        <v>80000</v>
      </c>
      <c r="L3539" s="522">
        <f t="shared" si="238"/>
        <v>80000</v>
      </c>
      <c r="M3539" s="523">
        <f t="shared" si="236"/>
        <v>6.7796610169491525E-2</v>
      </c>
      <c r="N3539" s="2" t="s">
        <v>40</v>
      </c>
      <c r="O3539" s="15" t="s">
        <v>4066</v>
      </c>
    </row>
    <row r="3540" spans="1:15">
      <c r="A3540" s="70">
        <v>2025</v>
      </c>
      <c r="B3540" s="16" t="s">
        <v>1400</v>
      </c>
      <c r="C3540" s="71" t="s">
        <v>4615</v>
      </c>
      <c r="D3540" s="2" t="s">
        <v>4179</v>
      </c>
      <c r="E3540" s="150" t="s">
        <v>4617</v>
      </c>
      <c r="F3540" s="96">
        <v>1</v>
      </c>
      <c r="G3540" s="1" t="s">
        <v>285</v>
      </c>
      <c r="H3540" s="8">
        <v>5060000</v>
      </c>
      <c r="I3540" s="8">
        <f t="shared" si="237"/>
        <v>5060000</v>
      </c>
      <c r="J3540" s="539">
        <v>5000000</v>
      </c>
      <c r="K3540" s="521">
        <f t="shared" si="235"/>
        <v>60000</v>
      </c>
      <c r="L3540" s="522">
        <f t="shared" si="238"/>
        <v>60000</v>
      </c>
      <c r="M3540" s="523">
        <f t="shared" si="236"/>
        <v>1.1857707509881422E-2</v>
      </c>
      <c r="N3540" s="2" t="s">
        <v>40</v>
      </c>
      <c r="O3540" s="15" t="s">
        <v>4066</v>
      </c>
    </row>
    <row r="3541" spans="1:15">
      <c r="A3541" s="70">
        <v>2025</v>
      </c>
      <c r="B3541" s="16" t="s">
        <v>1400</v>
      </c>
      <c r="C3541" s="71" t="s">
        <v>4615</v>
      </c>
      <c r="D3541" s="2" t="s">
        <v>4179</v>
      </c>
      <c r="E3541" s="150" t="s">
        <v>4618</v>
      </c>
      <c r="F3541" s="96">
        <v>1</v>
      </c>
      <c r="G3541" s="1" t="s">
        <v>285</v>
      </c>
      <c r="H3541" s="8">
        <v>875000</v>
      </c>
      <c r="I3541" s="8">
        <f t="shared" si="237"/>
        <v>875000</v>
      </c>
      <c r="J3541" s="539">
        <v>870000</v>
      </c>
      <c r="K3541" s="521">
        <f t="shared" si="235"/>
        <v>5000</v>
      </c>
      <c r="L3541" s="522">
        <f t="shared" si="238"/>
        <v>5000</v>
      </c>
      <c r="M3541" s="523">
        <f t="shared" si="236"/>
        <v>5.7142857142857143E-3</v>
      </c>
      <c r="N3541" s="2" t="s">
        <v>40</v>
      </c>
      <c r="O3541" s="15" t="s">
        <v>4066</v>
      </c>
    </row>
    <row r="3542" spans="1:15">
      <c r="A3542" s="70">
        <v>2025</v>
      </c>
      <c r="B3542" s="16" t="s">
        <v>1400</v>
      </c>
      <c r="C3542" s="71" t="s">
        <v>4619</v>
      </c>
      <c r="D3542" s="2" t="s">
        <v>398</v>
      </c>
      <c r="E3542" s="150" t="s">
        <v>4620</v>
      </c>
      <c r="F3542" s="96">
        <v>1</v>
      </c>
      <c r="G3542" s="1" t="s">
        <v>285</v>
      </c>
      <c r="H3542" s="8">
        <v>110000</v>
      </c>
      <c r="I3542" s="8">
        <f t="shared" si="237"/>
        <v>110000</v>
      </c>
      <c r="J3542" s="539">
        <v>100000</v>
      </c>
      <c r="K3542" s="521">
        <f t="shared" si="235"/>
        <v>10000</v>
      </c>
      <c r="L3542" s="522">
        <f t="shared" si="238"/>
        <v>10000</v>
      </c>
      <c r="M3542" s="523">
        <f t="shared" si="236"/>
        <v>9.0909090909090912E-2</v>
      </c>
      <c r="N3542" s="2" t="s">
        <v>22</v>
      </c>
      <c r="O3542" s="15" t="s">
        <v>4066</v>
      </c>
    </row>
    <row r="3543" spans="1:15">
      <c r="A3543" s="70">
        <v>2025</v>
      </c>
      <c r="B3543" s="16" t="s">
        <v>1400</v>
      </c>
      <c r="C3543" s="71" t="s">
        <v>4621</v>
      </c>
      <c r="D3543" s="2" t="s">
        <v>1948</v>
      </c>
      <c r="E3543" s="150" t="s">
        <v>4622</v>
      </c>
      <c r="F3543" s="96">
        <v>3</v>
      </c>
      <c r="G3543" s="1" t="s">
        <v>302</v>
      </c>
      <c r="H3543" s="8">
        <v>100</v>
      </c>
      <c r="I3543" s="8">
        <f t="shared" si="237"/>
        <v>300</v>
      </c>
      <c r="J3543" s="539">
        <v>95</v>
      </c>
      <c r="K3543" s="521">
        <f t="shared" si="235"/>
        <v>5</v>
      </c>
      <c r="L3543" s="522">
        <f t="shared" si="238"/>
        <v>15</v>
      </c>
      <c r="M3543" s="523">
        <f t="shared" si="236"/>
        <v>0.05</v>
      </c>
      <c r="N3543" s="2" t="s">
        <v>22</v>
      </c>
      <c r="O3543" s="15" t="s">
        <v>4066</v>
      </c>
    </row>
    <row r="3544" spans="1:15">
      <c r="A3544" s="70">
        <v>2025</v>
      </c>
      <c r="B3544" s="16" t="s">
        <v>1400</v>
      </c>
      <c r="C3544" s="71" t="s">
        <v>4621</v>
      </c>
      <c r="D3544" s="2" t="s">
        <v>1948</v>
      </c>
      <c r="E3544" s="150" t="s">
        <v>4623</v>
      </c>
      <c r="F3544" s="96">
        <v>2</v>
      </c>
      <c r="G3544" s="1" t="s">
        <v>19</v>
      </c>
      <c r="H3544" s="8">
        <v>1910</v>
      </c>
      <c r="I3544" s="8">
        <f t="shared" si="237"/>
        <v>3820</v>
      </c>
      <c r="J3544" s="539">
        <v>1814.5</v>
      </c>
      <c r="K3544" s="521">
        <f t="shared" si="235"/>
        <v>95.5</v>
      </c>
      <c r="L3544" s="522">
        <f t="shared" si="238"/>
        <v>191</v>
      </c>
      <c r="M3544" s="523">
        <f t="shared" si="236"/>
        <v>0.05</v>
      </c>
      <c r="N3544" s="2" t="s">
        <v>22</v>
      </c>
      <c r="O3544" s="15" t="s">
        <v>4066</v>
      </c>
    </row>
    <row r="3545" spans="1:15">
      <c r="A3545" s="70">
        <v>2025</v>
      </c>
      <c r="B3545" s="16" t="s">
        <v>1400</v>
      </c>
      <c r="C3545" s="71" t="s">
        <v>4624</v>
      </c>
      <c r="D3545" s="2" t="s">
        <v>2305</v>
      </c>
      <c r="E3545" s="150" t="s">
        <v>4625</v>
      </c>
      <c r="F3545" s="96">
        <v>1</v>
      </c>
      <c r="G3545" s="1" t="s">
        <v>285</v>
      </c>
      <c r="H3545" s="8">
        <v>247400</v>
      </c>
      <c r="I3545" s="8">
        <f t="shared" si="237"/>
        <v>247400</v>
      </c>
      <c r="J3545" s="539">
        <v>242800</v>
      </c>
      <c r="K3545" s="521">
        <f t="shared" si="235"/>
        <v>4600</v>
      </c>
      <c r="L3545" s="522">
        <f t="shared" si="238"/>
        <v>4600</v>
      </c>
      <c r="M3545" s="523">
        <f t="shared" si="236"/>
        <v>1.8593371059013743E-2</v>
      </c>
      <c r="N3545" s="2" t="s">
        <v>40</v>
      </c>
      <c r="O3545" s="15" t="s">
        <v>4066</v>
      </c>
    </row>
    <row r="3546" spans="1:15">
      <c r="A3546" s="70">
        <v>2025</v>
      </c>
      <c r="B3546" s="16" t="s">
        <v>1400</v>
      </c>
      <c r="C3546" s="71" t="s">
        <v>4626</v>
      </c>
      <c r="D3546" s="2" t="s">
        <v>1948</v>
      </c>
      <c r="E3546" s="150" t="s">
        <v>4627</v>
      </c>
      <c r="F3546" s="96">
        <v>3</v>
      </c>
      <c r="G3546" s="1" t="s">
        <v>302</v>
      </c>
      <c r="H3546" s="8">
        <v>100</v>
      </c>
      <c r="I3546" s="8">
        <f t="shared" si="237"/>
        <v>300</v>
      </c>
      <c r="J3546" s="539">
        <v>95</v>
      </c>
      <c r="K3546" s="521">
        <f t="shared" si="235"/>
        <v>5</v>
      </c>
      <c r="L3546" s="522">
        <f t="shared" si="238"/>
        <v>15</v>
      </c>
      <c r="M3546" s="523">
        <f t="shared" si="236"/>
        <v>0.05</v>
      </c>
      <c r="N3546" s="2" t="s">
        <v>22</v>
      </c>
      <c r="O3546" s="15" t="s">
        <v>4066</v>
      </c>
    </row>
    <row r="3547" spans="1:15">
      <c r="A3547" s="70">
        <v>2025</v>
      </c>
      <c r="B3547" s="16" t="s">
        <v>1400</v>
      </c>
      <c r="C3547" s="71" t="s">
        <v>4628</v>
      </c>
      <c r="D3547" s="2" t="s">
        <v>54</v>
      </c>
      <c r="E3547" s="150" t="s">
        <v>4629</v>
      </c>
      <c r="F3547" s="96">
        <v>1</v>
      </c>
      <c r="G3547" s="1" t="s">
        <v>285</v>
      </c>
      <c r="H3547" s="8">
        <v>490000</v>
      </c>
      <c r="I3547" s="8">
        <f t="shared" si="237"/>
        <v>490000</v>
      </c>
      <c r="J3547" s="539">
        <v>450000</v>
      </c>
      <c r="K3547" s="521">
        <f t="shared" si="235"/>
        <v>40000</v>
      </c>
      <c r="L3547" s="522">
        <f t="shared" si="238"/>
        <v>40000</v>
      </c>
      <c r="M3547" s="523">
        <f t="shared" si="236"/>
        <v>8.1632653061224483E-2</v>
      </c>
      <c r="N3547" s="2" t="s">
        <v>22</v>
      </c>
      <c r="O3547" s="15" t="s">
        <v>4066</v>
      </c>
    </row>
    <row r="3548" spans="1:15">
      <c r="A3548" s="70">
        <v>2025</v>
      </c>
      <c r="B3548" s="16" t="s">
        <v>1400</v>
      </c>
      <c r="C3548" s="71" t="s">
        <v>4630</v>
      </c>
      <c r="D3548" s="2" t="s">
        <v>118</v>
      </c>
      <c r="E3548" s="150" t="s">
        <v>4631</v>
      </c>
      <c r="F3548" s="96">
        <v>1</v>
      </c>
      <c r="G3548" s="1" t="s">
        <v>19</v>
      </c>
      <c r="H3548" s="8">
        <v>29000</v>
      </c>
      <c r="I3548" s="8">
        <f t="shared" si="237"/>
        <v>29000</v>
      </c>
      <c r="J3548" s="539">
        <v>27800</v>
      </c>
      <c r="K3548" s="521">
        <f t="shared" si="235"/>
        <v>1200</v>
      </c>
      <c r="L3548" s="522">
        <f t="shared" si="238"/>
        <v>1200</v>
      </c>
      <c r="M3548" s="523">
        <f t="shared" si="236"/>
        <v>4.1379310344827586E-2</v>
      </c>
      <c r="N3548" s="2" t="s">
        <v>22</v>
      </c>
      <c r="O3548" s="15" t="s">
        <v>4066</v>
      </c>
    </row>
    <row r="3549" spans="1:15">
      <c r="A3549" s="70">
        <v>2025</v>
      </c>
      <c r="B3549" s="16" t="s">
        <v>1400</v>
      </c>
      <c r="C3549" s="71" t="s">
        <v>4632</v>
      </c>
      <c r="D3549" s="2" t="s">
        <v>248</v>
      </c>
      <c r="E3549" s="150" t="s">
        <v>4633</v>
      </c>
      <c r="F3549" s="96">
        <v>1</v>
      </c>
      <c r="G3549" s="1" t="s">
        <v>19</v>
      </c>
      <c r="H3549" s="8">
        <v>9000</v>
      </c>
      <c r="I3549" s="8">
        <f t="shared" si="237"/>
        <v>9000</v>
      </c>
      <c r="J3549" s="539">
        <v>7500</v>
      </c>
      <c r="K3549" s="521">
        <f t="shared" si="235"/>
        <v>1500</v>
      </c>
      <c r="L3549" s="522">
        <f t="shared" si="238"/>
        <v>1500</v>
      </c>
      <c r="M3549" s="523">
        <f t="shared" si="236"/>
        <v>0.16666666666666666</v>
      </c>
      <c r="N3549" s="2" t="s">
        <v>22</v>
      </c>
      <c r="O3549" s="15" t="s">
        <v>4066</v>
      </c>
    </row>
    <row r="3550" spans="1:15">
      <c r="A3550" s="70">
        <v>2025</v>
      </c>
      <c r="B3550" s="16" t="s">
        <v>1400</v>
      </c>
      <c r="C3550" s="71" t="s">
        <v>4634</v>
      </c>
      <c r="D3550" s="2" t="s">
        <v>398</v>
      </c>
      <c r="E3550" s="150" t="s">
        <v>4635</v>
      </c>
      <c r="F3550" s="96">
        <v>1</v>
      </c>
      <c r="G3550" s="1" t="s">
        <v>285</v>
      </c>
      <c r="H3550" s="8">
        <v>49800</v>
      </c>
      <c r="I3550" s="8">
        <f t="shared" si="237"/>
        <v>49800</v>
      </c>
      <c r="J3550" s="539">
        <v>40000</v>
      </c>
      <c r="K3550" s="521">
        <f t="shared" si="235"/>
        <v>9800</v>
      </c>
      <c r="L3550" s="522">
        <f t="shared" si="238"/>
        <v>9800</v>
      </c>
      <c r="M3550" s="523">
        <f t="shared" si="236"/>
        <v>0.19678714859437751</v>
      </c>
      <c r="N3550" s="2" t="s">
        <v>22</v>
      </c>
      <c r="O3550" s="15" t="s">
        <v>4066</v>
      </c>
    </row>
    <row r="3551" spans="1:15">
      <c r="A3551" s="70">
        <v>2025</v>
      </c>
      <c r="B3551" s="16" t="s">
        <v>1400</v>
      </c>
      <c r="C3551" s="71" t="s">
        <v>4636</v>
      </c>
      <c r="D3551" s="2" t="s">
        <v>4637</v>
      </c>
      <c r="E3551" s="150" t="s">
        <v>4638</v>
      </c>
      <c r="F3551" s="96">
        <v>1</v>
      </c>
      <c r="G3551" s="1" t="s">
        <v>285</v>
      </c>
      <c r="H3551" s="8">
        <v>626250</v>
      </c>
      <c r="I3551" s="8">
        <f t="shared" si="237"/>
        <v>626250</v>
      </c>
      <c r="J3551" s="539">
        <v>596250</v>
      </c>
      <c r="K3551" s="521">
        <f t="shared" si="235"/>
        <v>30000</v>
      </c>
      <c r="L3551" s="522">
        <f t="shared" si="238"/>
        <v>30000</v>
      </c>
      <c r="M3551" s="523">
        <f t="shared" si="236"/>
        <v>4.790419161676647E-2</v>
      </c>
      <c r="N3551" s="2" t="s">
        <v>22</v>
      </c>
      <c r="O3551" s="15" t="s">
        <v>4066</v>
      </c>
    </row>
    <row r="3552" spans="1:15">
      <c r="A3552" s="70">
        <v>2025</v>
      </c>
      <c r="B3552" s="16" t="s">
        <v>1400</v>
      </c>
      <c r="C3552" s="71" t="s">
        <v>4636</v>
      </c>
      <c r="D3552" s="2" t="s">
        <v>4637</v>
      </c>
      <c r="E3552" s="150" t="s">
        <v>4639</v>
      </c>
      <c r="F3552" s="96">
        <v>1</v>
      </c>
      <c r="G3552" s="1" t="s">
        <v>285</v>
      </c>
      <c r="H3552" s="8">
        <v>603325</v>
      </c>
      <c r="I3552" s="8">
        <f t="shared" si="237"/>
        <v>603325</v>
      </c>
      <c r="J3552" s="539">
        <v>573325</v>
      </c>
      <c r="K3552" s="521">
        <f t="shared" si="235"/>
        <v>30000</v>
      </c>
      <c r="L3552" s="522">
        <f t="shared" si="238"/>
        <v>30000</v>
      </c>
      <c r="M3552" s="523">
        <f t="shared" si="236"/>
        <v>4.9724443707786017E-2</v>
      </c>
      <c r="N3552" s="2" t="s">
        <v>22</v>
      </c>
      <c r="O3552" s="15" t="s">
        <v>4066</v>
      </c>
    </row>
    <row r="3553" spans="1:15">
      <c r="A3553" s="70">
        <v>2025</v>
      </c>
      <c r="B3553" s="16" t="s">
        <v>1400</v>
      </c>
      <c r="C3553" s="71" t="s">
        <v>4640</v>
      </c>
      <c r="D3553" s="2" t="s">
        <v>345</v>
      </c>
      <c r="E3553" s="150" t="s">
        <v>4641</v>
      </c>
      <c r="F3553" s="96">
        <v>1</v>
      </c>
      <c r="G3553" s="1" t="s">
        <v>285</v>
      </c>
      <c r="H3553" s="8">
        <v>1014000</v>
      </c>
      <c r="I3553" s="8">
        <f t="shared" si="237"/>
        <v>1014000</v>
      </c>
      <c r="J3553" s="539">
        <v>990000</v>
      </c>
      <c r="K3553" s="521">
        <f t="shared" si="235"/>
        <v>24000</v>
      </c>
      <c r="L3553" s="522">
        <f t="shared" si="238"/>
        <v>24000</v>
      </c>
      <c r="M3553" s="523">
        <f t="shared" si="236"/>
        <v>2.3668639053254437E-2</v>
      </c>
      <c r="N3553" s="2" t="s">
        <v>40</v>
      </c>
      <c r="O3553" s="15" t="s">
        <v>4066</v>
      </c>
    </row>
    <row r="3554" spans="1:15">
      <c r="A3554" s="70">
        <v>2025</v>
      </c>
      <c r="B3554" s="16" t="s">
        <v>1400</v>
      </c>
      <c r="C3554" s="71" t="s">
        <v>4642</v>
      </c>
      <c r="D3554" s="2" t="s">
        <v>57</v>
      </c>
      <c r="E3554" s="150" t="s">
        <v>4643</v>
      </c>
      <c r="F3554" s="96">
        <v>1</v>
      </c>
      <c r="G3554" s="1" t="s">
        <v>285</v>
      </c>
      <c r="H3554" s="8">
        <v>639090</v>
      </c>
      <c r="I3554" s="8">
        <f t="shared" si="237"/>
        <v>639090</v>
      </c>
      <c r="J3554" s="539">
        <v>630000</v>
      </c>
      <c r="K3554" s="521">
        <f t="shared" si="235"/>
        <v>9090</v>
      </c>
      <c r="L3554" s="522">
        <f t="shared" si="238"/>
        <v>9090</v>
      </c>
      <c r="M3554" s="523">
        <f t="shared" si="236"/>
        <v>1.4223348824109281E-2</v>
      </c>
      <c r="N3554" s="2" t="s">
        <v>40</v>
      </c>
      <c r="O3554" s="15" t="s">
        <v>4066</v>
      </c>
    </row>
    <row r="3555" spans="1:15">
      <c r="A3555" s="70">
        <v>2025</v>
      </c>
      <c r="B3555" s="16" t="s">
        <v>1400</v>
      </c>
      <c r="C3555" s="71" t="s">
        <v>4644</v>
      </c>
      <c r="D3555" s="2" t="s">
        <v>4179</v>
      </c>
      <c r="E3555" s="150" t="s">
        <v>4645</v>
      </c>
      <c r="F3555" s="96">
        <v>1</v>
      </c>
      <c r="G3555" s="1" t="s">
        <v>285</v>
      </c>
      <c r="H3555" s="8">
        <v>599000</v>
      </c>
      <c r="I3555" s="8">
        <f t="shared" si="237"/>
        <v>599000</v>
      </c>
      <c r="J3555" s="539">
        <v>590000</v>
      </c>
      <c r="K3555" s="521">
        <f t="shared" si="235"/>
        <v>9000</v>
      </c>
      <c r="L3555" s="522">
        <f t="shared" si="238"/>
        <v>9000</v>
      </c>
      <c r="M3555" s="523">
        <f t="shared" si="236"/>
        <v>1.5025041736227046E-2</v>
      </c>
      <c r="N3555" s="2" t="s">
        <v>40</v>
      </c>
      <c r="O3555" s="15" t="s">
        <v>4066</v>
      </c>
    </row>
    <row r="3556" spans="1:15">
      <c r="A3556" s="70">
        <v>2025</v>
      </c>
      <c r="B3556" s="16" t="s">
        <v>1400</v>
      </c>
      <c r="C3556" s="71" t="s">
        <v>4644</v>
      </c>
      <c r="D3556" s="2" t="s">
        <v>4179</v>
      </c>
      <c r="E3556" s="150" t="s">
        <v>4646</v>
      </c>
      <c r="F3556" s="96">
        <v>1</v>
      </c>
      <c r="G3556" s="1" t="s">
        <v>285</v>
      </c>
      <c r="H3556" s="8">
        <v>208000</v>
      </c>
      <c r="I3556" s="8">
        <f t="shared" si="237"/>
        <v>208000</v>
      </c>
      <c r="J3556" s="539">
        <v>200000</v>
      </c>
      <c r="K3556" s="521">
        <f t="shared" si="235"/>
        <v>8000</v>
      </c>
      <c r="L3556" s="522">
        <f t="shared" si="238"/>
        <v>8000</v>
      </c>
      <c r="M3556" s="523">
        <f t="shared" si="236"/>
        <v>3.8461538461538464E-2</v>
      </c>
      <c r="N3556" s="2" t="s">
        <v>40</v>
      </c>
      <c r="O3556" s="15" t="s">
        <v>4066</v>
      </c>
    </row>
    <row r="3557" spans="1:15">
      <c r="A3557" s="70">
        <v>2025</v>
      </c>
      <c r="B3557" s="16" t="s">
        <v>1400</v>
      </c>
      <c r="C3557" s="71" t="s">
        <v>4647</v>
      </c>
      <c r="D3557" s="2" t="s">
        <v>4231</v>
      </c>
      <c r="E3557" s="150" t="s">
        <v>4648</v>
      </c>
      <c r="F3557" s="96">
        <v>1</v>
      </c>
      <c r="G3557" s="1" t="s">
        <v>285</v>
      </c>
      <c r="H3557" s="8">
        <v>119015</v>
      </c>
      <c r="I3557" s="8">
        <f t="shared" si="237"/>
        <v>119015</v>
      </c>
      <c r="J3557" s="539">
        <v>113064.25</v>
      </c>
      <c r="K3557" s="521">
        <f t="shared" si="235"/>
        <v>5950.75</v>
      </c>
      <c r="L3557" s="522">
        <f t="shared" si="238"/>
        <v>5950.75</v>
      </c>
      <c r="M3557" s="523">
        <f t="shared" si="236"/>
        <v>0.05</v>
      </c>
      <c r="N3557" s="2" t="s">
        <v>40</v>
      </c>
      <c r="O3557" s="15" t="s">
        <v>4066</v>
      </c>
    </row>
    <row r="3558" spans="1:15" ht="24">
      <c r="A3558" s="423">
        <v>2025</v>
      </c>
      <c r="B3558" s="425" t="s">
        <v>1400</v>
      </c>
      <c r="C3558" s="72" t="s">
        <v>4649</v>
      </c>
      <c r="D3558" s="28" t="s">
        <v>4231</v>
      </c>
      <c r="E3558" s="560" t="s">
        <v>4650</v>
      </c>
      <c r="F3558" s="96">
        <v>1</v>
      </c>
      <c r="G3558" s="3" t="s">
        <v>285</v>
      </c>
      <c r="H3558" s="29">
        <v>131200</v>
      </c>
      <c r="I3558" s="29">
        <f t="shared" si="237"/>
        <v>131200</v>
      </c>
      <c r="J3558" s="552">
        <v>124640</v>
      </c>
      <c r="K3558" s="521">
        <f t="shared" si="235"/>
        <v>6560</v>
      </c>
      <c r="L3558" s="522">
        <f t="shared" si="238"/>
        <v>6560</v>
      </c>
      <c r="M3558" s="523">
        <f t="shared" si="236"/>
        <v>0.05</v>
      </c>
      <c r="N3558" s="2" t="s">
        <v>40</v>
      </c>
      <c r="O3558" s="15" t="s">
        <v>4066</v>
      </c>
    </row>
    <row r="3559" spans="1:15" ht="24">
      <c r="A3559" s="423">
        <v>2025</v>
      </c>
      <c r="B3559" s="425" t="s">
        <v>1400</v>
      </c>
      <c r="C3559" s="72" t="s">
        <v>4649</v>
      </c>
      <c r="D3559" s="28" t="s">
        <v>4231</v>
      </c>
      <c r="E3559" s="560" t="s">
        <v>4651</v>
      </c>
      <c r="F3559" s="96">
        <v>1</v>
      </c>
      <c r="G3559" s="3" t="s">
        <v>285</v>
      </c>
      <c r="H3559" s="29">
        <v>112135</v>
      </c>
      <c r="I3559" s="29">
        <f t="shared" si="237"/>
        <v>112135</v>
      </c>
      <c r="J3559" s="552">
        <v>106528.25</v>
      </c>
      <c r="K3559" s="521">
        <f t="shared" si="235"/>
        <v>5606.75</v>
      </c>
      <c r="L3559" s="522">
        <f t="shared" ref="L3559:L3573" si="239">K3559*F3559</f>
        <v>5606.75</v>
      </c>
      <c r="M3559" s="523">
        <f t="shared" si="236"/>
        <v>0.05</v>
      </c>
      <c r="N3559" s="2" t="s">
        <v>40</v>
      </c>
      <c r="O3559" s="15" t="s">
        <v>4066</v>
      </c>
    </row>
    <row r="3560" spans="1:15">
      <c r="A3560" s="70">
        <v>2025</v>
      </c>
      <c r="B3560" s="16" t="s">
        <v>1400</v>
      </c>
      <c r="C3560" s="71" t="s">
        <v>4652</v>
      </c>
      <c r="D3560" s="2" t="s">
        <v>96</v>
      </c>
      <c r="E3560" s="150" t="s">
        <v>99</v>
      </c>
      <c r="F3560" s="96">
        <v>50</v>
      </c>
      <c r="G3560" s="1" t="s">
        <v>19</v>
      </c>
      <c r="H3560" s="8">
        <v>432</v>
      </c>
      <c r="I3560" s="8">
        <f t="shared" si="237"/>
        <v>21600</v>
      </c>
      <c r="J3560" s="539">
        <v>405</v>
      </c>
      <c r="K3560" s="521">
        <f t="shared" si="235"/>
        <v>27</v>
      </c>
      <c r="L3560" s="522">
        <f t="shared" si="239"/>
        <v>1350</v>
      </c>
      <c r="M3560" s="523">
        <f t="shared" si="236"/>
        <v>6.25E-2</v>
      </c>
      <c r="N3560" s="2" t="s">
        <v>40</v>
      </c>
      <c r="O3560" s="15" t="s">
        <v>4066</v>
      </c>
    </row>
    <row r="3561" spans="1:15">
      <c r="A3561" s="70">
        <v>2025</v>
      </c>
      <c r="B3561" s="16" t="s">
        <v>1400</v>
      </c>
      <c r="C3561" s="71" t="s">
        <v>4653</v>
      </c>
      <c r="D3561" s="2" t="s">
        <v>1948</v>
      </c>
      <c r="E3561" s="150" t="s">
        <v>25</v>
      </c>
      <c r="F3561" s="96">
        <v>48</v>
      </c>
      <c r="G3561" s="1" t="s">
        <v>19</v>
      </c>
      <c r="H3561" s="8">
        <v>37</v>
      </c>
      <c r="I3561" s="8">
        <f t="shared" si="237"/>
        <v>1776</v>
      </c>
      <c r="J3561" s="539">
        <v>35</v>
      </c>
      <c r="K3561" s="521">
        <f t="shared" si="235"/>
        <v>2</v>
      </c>
      <c r="L3561" s="522">
        <f t="shared" si="239"/>
        <v>96</v>
      </c>
      <c r="M3561" s="523">
        <f t="shared" si="236"/>
        <v>5.4054054054054057E-2</v>
      </c>
      <c r="N3561" s="2" t="s">
        <v>40</v>
      </c>
      <c r="O3561" s="15" t="s">
        <v>4066</v>
      </c>
    </row>
    <row r="3562" spans="1:15">
      <c r="A3562" s="70">
        <v>2025</v>
      </c>
      <c r="B3562" s="16" t="s">
        <v>1400</v>
      </c>
      <c r="C3562" s="71" t="s">
        <v>4653</v>
      </c>
      <c r="D3562" s="2" t="s">
        <v>1948</v>
      </c>
      <c r="E3562" s="150" t="s">
        <v>1420</v>
      </c>
      <c r="F3562" s="96">
        <v>2000</v>
      </c>
      <c r="G3562" s="1" t="s">
        <v>19</v>
      </c>
      <c r="H3562" s="8">
        <v>1.31</v>
      </c>
      <c r="I3562" s="8">
        <f t="shared" si="237"/>
        <v>2620</v>
      </c>
      <c r="J3562" s="539">
        <v>1.18</v>
      </c>
      <c r="K3562" s="521">
        <f t="shared" si="235"/>
        <v>0.13000000000000012</v>
      </c>
      <c r="L3562" s="522">
        <f t="shared" si="239"/>
        <v>260.00000000000023</v>
      </c>
      <c r="M3562" s="523">
        <f t="shared" si="236"/>
        <v>9.9236641221374128E-2</v>
      </c>
      <c r="N3562" s="2" t="s">
        <v>40</v>
      </c>
      <c r="O3562" s="15" t="s">
        <v>4066</v>
      </c>
    </row>
    <row r="3563" spans="1:15">
      <c r="A3563" s="70">
        <v>2025</v>
      </c>
      <c r="B3563" s="16" t="s">
        <v>1400</v>
      </c>
      <c r="C3563" s="71" t="s">
        <v>4654</v>
      </c>
      <c r="D3563" s="2" t="s">
        <v>17</v>
      </c>
      <c r="E3563" s="150" t="s">
        <v>4655</v>
      </c>
      <c r="F3563" s="96">
        <v>36</v>
      </c>
      <c r="G3563" s="1" t="s">
        <v>4656</v>
      </c>
      <c r="H3563" s="8">
        <v>60</v>
      </c>
      <c r="I3563" s="8">
        <f t="shared" si="237"/>
        <v>2160</v>
      </c>
      <c r="J3563" s="539">
        <v>58</v>
      </c>
      <c r="K3563" s="521">
        <f t="shared" si="235"/>
        <v>2</v>
      </c>
      <c r="L3563" s="522">
        <f t="shared" si="239"/>
        <v>72</v>
      </c>
      <c r="M3563" s="523">
        <f t="shared" si="236"/>
        <v>3.3333333333333333E-2</v>
      </c>
      <c r="N3563" s="2" t="s">
        <v>40</v>
      </c>
      <c r="O3563" s="15" t="s">
        <v>4066</v>
      </c>
    </row>
    <row r="3564" spans="1:15">
      <c r="A3564" s="70">
        <v>2025</v>
      </c>
      <c r="B3564" s="16" t="s">
        <v>1400</v>
      </c>
      <c r="C3564" s="71" t="s">
        <v>4654</v>
      </c>
      <c r="D3564" s="2" t="s">
        <v>17</v>
      </c>
      <c r="E3564" s="150" t="s">
        <v>4657</v>
      </c>
      <c r="F3564" s="96">
        <v>192</v>
      </c>
      <c r="G3564" s="1" t="s">
        <v>1259</v>
      </c>
      <c r="H3564" s="8">
        <v>18</v>
      </c>
      <c r="I3564" s="8">
        <f t="shared" si="237"/>
        <v>3456</v>
      </c>
      <c r="J3564" s="539">
        <v>17</v>
      </c>
      <c r="K3564" s="521">
        <f t="shared" si="235"/>
        <v>1</v>
      </c>
      <c r="L3564" s="522">
        <f t="shared" si="239"/>
        <v>192</v>
      </c>
      <c r="M3564" s="523">
        <f t="shared" si="236"/>
        <v>5.5555555555555552E-2</v>
      </c>
      <c r="N3564" s="2" t="s">
        <v>40</v>
      </c>
      <c r="O3564" s="15" t="s">
        <v>4066</v>
      </c>
    </row>
    <row r="3565" spans="1:15">
      <c r="A3565" s="70">
        <v>2025</v>
      </c>
      <c r="B3565" s="16" t="s">
        <v>1400</v>
      </c>
      <c r="C3565" s="71" t="s">
        <v>4658</v>
      </c>
      <c r="D3565" s="2" t="s">
        <v>4659</v>
      </c>
      <c r="E3565" s="150" t="s">
        <v>4660</v>
      </c>
      <c r="F3565" s="96">
        <v>1</v>
      </c>
      <c r="G3565" s="1" t="s">
        <v>19</v>
      </c>
      <c r="H3565" s="8">
        <v>12000</v>
      </c>
      <c r="I3565" s="8">
        <f t="shared" si="237"/>
        <v>12000</v>
      </c>
      <c r="J3565" s="539">
        <v>11400</v>
      </c>
      <c r="K3565" s="521">
        <f t="shared" si="235"/>
        <v>600</v>
      </c>
      <c r="L3565" s="522">
        <f t="shared" si="239"/>
        <v>600</v>
      </c>
      <c r="M3565" s="523">
        <f t="shared" si="236"/>
        <v>0.05</v>
      </c>
      <c r="N3565" s="2" t="s">
        <v>40</v>
      </c>
      <c r="O3565" s="15" t="s">
        <v>4066</v>
      </c>
    </row>
    <row r="3566" spans="1:15">
      <c r="A3566" s="70">
        <v>2025</v>
      </c>
      <c r="B3566" s="16" t="s">
        <v>1400</v>
      </c>
      <c r="C3566" s="71" t="s">
        <v>4658</v>
      </c>
      <c r="D3566" s="2" t="s">
        <v>4659</v>
      </c>
      <c r="E3566" s="150" t="s">
        <v>4661</v>
      </c>
      <c r="F3566" s="96">
        <v>1</v>
      </c>
      <c r="G3566" s="1" t="s">
        <v>19</v>
      </c>
      <c r="H3566" s="8">
        <v>6500</v>
      </c>
      <c r="I3566" s="8">
        <f t="shared" si="237"/>
        <v>6500</v>
      </c>
      <c r="J3566" s="539">
        <v>6175</v>
      </c>
      <c r="K3566" s="521">
        <f t="shared" si="235"/>
        <v>325</v>
      </c>
      <c r="L3566" s="522">
        <f t="shared" si="239"/>
        <v>325</v>
      </c>
      <c r="M3566" s="523">
        <f t="shared" si="236"/>
        <v>0.05</v>
      </c>
      <c r="N3566" s="2" t="s">
        <v>40</v>
      </c>
      <c r="O3566" s="15" t="s">
        <v>4066</v>
      </c>
    </row>
    <row r="3567" spans="1:15">
      <c r="A3567" s="70">
        <v>2025</v>
      </c>
      <c r="B3567" s="16" t="s">
        <v>1400</v>
      </c>
      <c r="C3567" s="71" t="s">
        <v>4662</v>
      </c>
      <c r="D3567" s="2" t="s">
        <v>4663</v>
      </c>
      <c r="E3567" s="150" t="s">
        <v>4664</v>
      </c>
      <c r="F3567" s="96">
        <v>1</v>
      </c>
      <c r="G3567" s="1" t="s">
        <v>285</v>
      </c>
      <c r="H3567" s="8">
        <v>149490</v>
      </c>
      <c r="I3567" s="8">
        <f t="shared" si="237"/>
        <v>149490</v>
      </c>
      <c r="J3567" s="539">
        <v>148960.56</v>
      </c>
      <c r="K3567" s="521">
        <f t="shared" si="235"/>
        <v>529.44000000000233</v>
      </c>
      <c r="L3567" s="522">
        <f t="shared" si="239"/>
        <v>529.44000000000233</v>
      </c>
      <c r="M3567" s="523">
        <f t="shared" si="236"/>
        <v>3.5416415813766962E-3</v>
      </c>
      <c r="N3567" s="2" t="s">
        <v>30</v>
      </c>
      <c r="O3567" s="15" t="s">
        <v>4066</v>
      </c>
    </row>
    <row r="3568" spans="1:15">
      <c r="A3568" s="70">
        <v>2025</v>
      </c>
      <c r="B3568" s="16" t="s">
        <v>1400</v>
      </c>
      <c r="C3568" s="71" t="s">
        <v>4665</v>
      </c>
      <c r="D3568" s="2" t="s">
        <v>335</v>
      </c>
      <c r="E3568" s="150" t="s">
        <v>336</v>
      </c>
      <c r="F3568" s="96">
        <v>112000</v>
      </c>
      <c r="G3568" s="1" t="s">
        <v>337</v>
      </c>
      <c r="H3568" s="8">
        <v>32</v>
      </c>
      <c r="I3568" s="8">
        <f t="shared" si="237"/>
        <v>3584000</v>
      </c>
      <c r="J3568" s="539">
        <v>31.25</v>
      </c>
      <c r="K3568" s="521">
        <f>H3568-J3568</f>
        <v>0.75</v>
      </c>
      <c r="L3568" s="522">
        <f t="shared" si="239"/>
        <v>84000</v>
      </c>
      <c r="M3568" s="523">
        <f t="shared" si="236"/>
        <v>2.34375E-2</v>
      </c>
      <c r="N3568" s="2" t="s">
        <v>22</v>
      </c>
      <c r="O3568" s="15" t="s">
        <v>39</v>
      </c>
    </row>
    <row r="3569" spans="1:15">
      <c r="A3569" s="70">
        <v>2026</v>
      </c>
      <c r="B3569" s="16" t="s">
        <v>15</v>
      </c>
      <c r="C3569" s="70" t="s">
        <v>4666</v>
      </c>
      <c r="D3569" s="15" t="s">
        <v>17</v>
      </c>
      <c r="E3569" s="15" t="s">
        <v>3920</v>
      </c>
      <c r="F3569" s="95">
        <v>6</v>
      </c>
      <c r="G3569" s="16" t="s">
        <v>19</v>
      </c>
      <c r="H3569" s="17">
        <v>55</v>
      </c>
      <c r="I3569" s="17">
        <f t="shared" si="237"/>
        <v>330</v>
      </c>
      <c r="J3569" s="519">
        <v>32</v>
      </c>
      <c r="K3569" s="519">
        <f t="shared" si="235"/>
        <v>23</v>
      </c>
      <c r="L3569" s="519">
        <f t="shared" si="239"/>
        <v>138</v>
      </c>
      <c r="M3569" s="557">
        <f>K3569/H3569</f>
        <v>0.41818181818181815</v>
      </c>
      <c r="N3569" s="2" t="s">
        <v>40</v>
      </c>
      <c r="O3569" s="15" t="s">
        <v>39</v>
      </c>
    </row>
    <row r="3570" spans="1:15">
      <c r="A3570" s="70">
        <v>2026</v>
      </c>
      <c r="B3570" s="16" t="s">
        <v>15</v>
      </c>
      <c r="C3570" s="70" t="s">
        <v>4667</v>
      </c>
      <c r="D3570" s="15" t="s">
        <v>17</v>
      </c>
      <c r="E3570" s="15" t="s">
        <v>3919</v>
      </c>
      <c r="F3570" s="95">
        <v>1</v>
      </c>
      <c r="G3570" s="16" t="s">
        <v>19</v>
      </c>
      <c r="H3570" s="17">
        <v>50</v>
      </c>
      <c r="I3570" s="17">
        <f t="shared" si="237"/>
        <v>50</v>
      </c>
      <c r="J3570" s="519">
        <v>27</v>
      </c>
      <c r="K3570" s="519">
        <f t="shared" si="235"/>
        <v>23</v>
      </c>
      <c r="L3570" s="519">
        <f t="shared" si="239"/>
        <v>23</v>
      </c>
      <c r="M3570" s="557">
        <f>K3570/H3570</f>
        <v>0.46</v>
      </c>
      <c r="N3570" s="2" t="s">
        <v>40</v>
      </c>
      <c r="O3570" s="15" t="s">
        <v>39</v>
      </c>
    </row>
    <row r="3571" spans="1:15">
      <c r="A3571" s="70">
        <v>2026</v>
      </c>
      <c r="B3571" s="16" t="s">
        <v>15</v>
      </c>
      <c r="C3571" s="70" t="s">
        <v>4668</v>
      </c>
      <c r="D3571" s="15" t="s">
        <v>1119</v>
      </c>
      <c r="E3571" s="15" t="s">
        <v>2240</v>
      </c>
      <c r="F3571" s="95">
        <v>3270</v>
      </c>
      <c r="G3571" s="16" t="s">
        <v>19</v>
      </c>
      <c r="H3571" s="17">
        <v>20</v>
      </c>
      <c r="I3571" s="17">
        <f t="shared" si="237"/>
        <v>65400</v>
      </c>
      <c r="J3571" s="519">
        <v>14</v>
      </c>
      <c r="K3571" s="519">
        <f t="shared" si="235"/>
        <v>6</v>
      </c>
      <c r="L3571" s="519">
        <f t="shared" si="239"/>
        <v>19620</v>
      </c>
      <c r="M3571" s="557">
        <f>K3571/H3571</f>
        <v>0.3</v>
      </c>
      <c r="N3571" s="2" t="s">
        <v>40</v>
      </c>
      <c r="O3571" s="15" t="s">
        <v>39</v>
      </c>
    </row>
    <row r="3572" spans="1:15">
      <c r="A3572" s="70">
        <v>2026</v>
      </c>
      <c r="B3572" s="16" t="s">
        <v>15</v>
      </c>
      <c r="C3572" s="70" t="s">
        <v>4669</v>
      </c>
      <c r="D3572" s="15" t="s">
        <v>599</v>
      </c>
      <c r="E3572" s="15" t="s">
        <v>1211</v>
      </c>
      <c r="F3572" s="95">
        <v>1635</v>
      </c>
      <c r="G3572" s="16" t="s">
        <v>19</v>
      </c>
      <c r="H3572" s="17">
        <v>9</v>
      </c>
      <c r="I3572" s="17">
        <f t="shared" si="237"/>
        <v>14715</v>
      </c>
      <c r="J3572" s="519">
        <v>8.3000000000000007</v>
      </c>
      <c r="K3572" s="519">
        <f t="shared" si="235"/>
        <v>0.69999999999999929</v>
      </c>
      <c r="L3572" s="519">
        <f t="shared" si="239"/>
        <v>1144.4999999999989</v>
      </c>
      <c r="M3572" s="557">
        <f>K3572/H3572</f>
        <v>7.7777777777777696E-2</v>
      </c>
      <c r="N3572" s="2" t="s">
        <v>40</v>
      </c>
      <c r="O3572" s="15" t="s">
        <v>39</v>
      </c>
    </row>
    <row r="3573" spans="1:15">
      <c r="A3573" s="70">
        <v>2026</v>
      </c>
      <c r="B3573" s="16" t="s">
        <v>15</v>
      </c>
      <c r="C3573" s="70" t="s">
        <v>4669</v>
      </c>
      <c r="D3573" s="15" t="s">
        <v>599</v>
      </c>
      <c r="E3573" s="15" t="s">
        <v>1210</v>
      </c>
      <c r="F3573" s="95">
        <v>3270</v>
      </c>
      <c r="G3573" s="16" t="s">
        <v>19</v>
      </c>
      <c r="H3573" s="17">
        <v>6.75</v>
      </c>
      <c r="I3573" s="17">
        <f t="shared" si="237"/>
        <v>22072.5</v>
      </c>
      <c r="J3573" s="519">
        <v>6.2</v>
      </c>
      <c r="K3573" s="519">
        <f t="shared" si="235"/>
        <v>0.54999999999999982</v>
      </c>
      <c r="L3573" s="519">
        <f t="shared" si="239"/>
        <v>1798.4999999999993</v>
      </c>
      <c r="M3573" s="557">
        <f>K3573/H3573</f>
        <v>8.148148148148146E-2</v>
      </c>
      <c r="N3573" s="2" t="s">
        <v>40</v>
      </c>
      <c r="O3573" s="15" t="s">
        <v>39</v>
      </c>
    </row>
    <row r="3574" spans="1:15">
      <c r="A3574" s="70">
        <v>2026</v>
      </c>
      <c r="B3574" s="16" t="s">
        <v>15</v>
      </c>
      <c r="C3574" s="70" t="s">
        <v>4670</v>
      </c>
      <c r="D3574" s="15" t="s">
        <v>1119</v>
      </c>
      <c r="E3574" s="15" t="s">
        <v>4414</v>
      </c>
      <c r="F3574" s="95">
        <v>1635</v>
      </c>
      <c r="G3574" s="16" t="s">
        <v>19</v>
      </c>
      <c r="H3574" s="17">
        <v>16</v>
      </c>
      <c r="I3574" s="17">
        <f t="shared" si="237"/>
        <v>26160</v>
      </c>
      <c r="J3574" s="519">
        <v>15</v>
      </c>
      <c r="K3574" s="519">
        <f t="shared" ref="K3574:K3587" si="240">H3574-J3574</f>
        <v>1</v>
      </c>
      <c r="L3574" s="519">
        <f t="shared" ref="L3574:L3587" si="241">K3574*F3574</f>
        <v>1635</v>
      </c>
      <c r="M3574" s="557">
        <f t="shared" ref="M3574:M3587" si="242">K3574/H3574</f>
        <v>6.25E-2</v>
      </c>
      <c r="N3574" s="2" t="s">
        <v>40</v>
      </c>
      <c r="O3574" s="15" t="s">
        <v>39</v>
      </c>
    </row>
    <row r="3575" spans="1:15">
      <c r="A3575" s="70">
        <v>2026</v>
      </c>
      <c r="B3575" s="16" t="s">
        <v>15</v>
      </c>
      <c r="C3575" s="70" t="s">
        <v>4670</v>
      </c>
      <c r="D3575" s="15" t="s">
        <v>1119</v>
      </c>
      <c r="E3575" s="15" t="s">
        <v>4532</v>
      </c>
      <c r="F3575" s="95">
        <v>1635</v>
      </c>
      <c r="G3575" s="16" t="s">
        <v>19</v>
      </c>
      <c r="H3575" s="17">
        <v>18</v>
      </c>
      <c r="I3575" s="17">
        <f t="shared" si="237"/>
        <v>29430</v>
      </c>
      <c r="J3575" s="519">
        <v>17</v>
      </c>
      <c r="K3575" s="519">
        <f t="shared" si="240"/>
        <v>1</v>
      </c>
      <c r="L3575" s="519">
        <f t="shared" si="241"/>
        <v>1635</v>
      </c>
      <c r="M3575" s="557">
        <f t="shared" si="242"/>
        <v>5.5555555555555552E-2</v>
      </c>
      <c r="N3575" s="2" t="s">
        <v>40</v>
      </c>
      <c r="O3575" s="15" t="s">
        <v>39</v>
      </c>
    </row>
    <row r="3576" spans="1:15">
      <c r="A3576" s="70">
        <v>2026</v>
      </c>
      <c r="B3576" s="16" t="s">
        <v>15</v>
      </c>
      <c r="C3576" s="70" t="s">
        <v>4670</v>
      </c>
      <c r="D3576" s="15" t="s">
        <v>1119</v>
      </c>
      <c r="E3576" s="15" t="s">
        <v>4390</v>
      </c>
      <c r="F3576" s="95">
        <v>50</v>
      </c>
      <c r="G3576" s="16" t="s">
        <v>19</v>
      </c>
      <c r="H3576" s="17">
        <v>560</v>
      </c>
      <c r="I3576" s="17">
        <f t="shared" si="237"/>
        <v>28000</v>
      </c>
      <c r="J3576" s="519">
        <v>520</v>
      </c>
      <c r="K3576" s="519">
        <f t="shared" si="240"/>
        <v>40</v>
      </c>
      <c r="L3576" s="519">
        <f t="shared" si="241"/>
        <v>2000</v>
      </c>
      <c r="M3576" s="557">
        <f t="shared" si="242"/>
        <v>7.1428571428571425E-2</v>
      </c>
      <c r="N3576" s="2" t="s">
        <v>40</v>
      </c>
      <c r="O3576" s="15" t="s">
        <v>39</v>
      </c>
    </row>
    <row r="3577" spans="1:15">
      <c r="A3577" s="70">
        <v>2026</v>
      </c>
      <c r="B3577" s="16" t="s">
        <v>15</v>
      </c>
      <c r="C3577" s="70" t="s">
        <v>4670</v>
      </c>
      <c r="D3577" s="15" t="s">
        <v>1119</v>
      </c>
      <c r="E3577" s="15" t="s">
        <v>4671</v>
      </c>
      <c r="F3577" s="95">
        <v>545</v>
      </c>
      <c r="G3577" s="16" t="s">
        <v>19</v>
      </c>
      <c r="H3577" s="17">
        <v>145</v>
      </c>
      <c r="I3577" s="17">
        <f t="shared" si="237"/>
        <v>79025</v>
      </c>
      <c r="J3577" s="519">
        <v>140</v>
      </c>
      <c r="K3577" s="519">
        <f t="shared" si="240"/>
        <v>5</v>
      </c>
      <c r="L3577" s="519">
        <f t="shared" si="241"/>
        <v>2725</v>
      </c>
      <c r="M3577" s="557">
        <f t="shared" si="242"/>
        <v>3.4482758620689655E-2</v>
      </c>
      <c r="N3577" s="2" t="s">
        <v>40</v>
      </c>
      <c r="O3577" s="15" t="s">
        <v>39</v>
      </c>
    </row>
    <row r="3578" spans="1:15">
      <c r="A3578" s="70">
        <v>2026</v>
      </c>
      <c r="B3578" s="16" t="s">
        <v>15</v>
      </c>
      <c r="C3578" s="70" t="s">
        <v>4670</v>
      </c>
      <c r="D3578" s="15" t="s">
        <v>1119</v>
      </c>
      <c r="E3578" s="15" t="s">
        <v>4408</v>
      </c>
      <c r="F3578" s="95">
        <v>1635</v>
      </c>
      <c r="G3578" s="16" t="s">
        <v>19</v>
      </c>
      <c r="H3578" s="17">
        <v>19</v>
      </c>
      <c r="I3578" s="17">
        <f t="shared" si="237"/>
        <v>31065</v>
      </c>
      <c r="J3578" s="519">
        <v>18</v>
      </c>
      <c r="K3578" s="519">
        <f t="shared" si="240"/>
        <v>1</v>
      </c>
      <c r="L3578" s="519">
        <f t="shared" si="241"/>
        <v>1635</v>
      </c>
      <c r="M3578" s="557">
        <f t="shared" si="242"/>
        <v>5.2631578947368418E-2</v>
      </c>
      <c r="N3578" s="2" t="s">
        <v>40</v>
      </c>
      <c r="O3578" s="15" t="s">
        <v>39</v>
      </c>
    </row>
    <row r="3579" spans="1:15">
      <c r="A3579" s="70">
        <v>2026</v>
      </c>
      <c r="B3579" s="16" t="s">
        <v>15</v>
      </c>
      <c r="C3579" s="70" t="s">
        <v>4670</v>
      </c>
      <c r="D3579" s="15" t="s">
        <v>1119</v>
      </c>
      <c r="E3579" s="15" t="s">
        <v>2263</v>
      </c>
      <c r="F3579" s="95">
        <v>545</v>
      </c>
      <c r="G3579" s="16" t="s">
        <v>19</v>
      </c>
      <c r="H3579" s="17">
        <v>85</v>
      </c>
      <c r="I3579" s="17">
        <f t="shared" si="237"/>
        <v>46325</v>
      </c>
      <c r="J3579" s="519">
        <v>80</v>
      </c>
      <c r="K3579" s="519">
        <f t="shared" si="240"/>
        <v>5</v>
      </c>
      <c r="L3579" s="519">
        <f t="shared" si="241"/>
        <v>2725</v>
      </c>
      <c r="M3579" s="557">
        <f t="shared" si="242"/>
        <v>5.8823529411764705E-2</v>
      </c>
      <c r="N3579" s="2" t="s">
        <v>40</v>
      </c>
      <c r="O3579" s="15" t="s">
        <v>39</v>
      </c>
    </row>
    <row r="3580" spans="1:15">
      <c r="A3580" s="70">
        <v>2026</v>
      </c>
      <c r="B3580" s="16" t="s">
        <v>15</v>
      </c>
      <c r="C3580" s="70" t="s">
        <v>4670</v>
      </c>
      <c r="D3580" s="15" t="s">
        <v>1119</v>
      </c>
      <c r="E3580" s="15" t="s">
        <v>4672</v>
      </c>
      <c r="F3580" s="95">
        <v>545</v>
      </c>
      <c r="G3580" s="16" t="s">
        <v>19</v>
      </c>
      <c r="H3580" s="17">
        <v>50</v>
      </c>
      <c r="I3580" s="17">
        <f t="shared" si="237"/>
        <v>27250</v>
      </c>
      <c r="J3580" s="519">
        <v>48</v>
      </c>
      <c r="K3580" s="519">
        <f t="shared" si="240"/>
        <v>2</v>
      </c>
      <c r="L3580" s="519">
        <f t="shared" si="241"/>
        <v>1090</v>
      </c>
      <c r="M3580" s="557">
        <f t="shared" si="242"/>
        <v>0.04</v>
      </c>
      <c r="N3580" s="2" t="s">
        <v>40</v>
      </c>
      <c r="O3580" s="15" t="s">
        <v>39</v>
      </c>
    </row>
    <row r="3581" spans="1:15">
      <c r="A3581" s="70">
        <v>2026</v>
      </c>
      <c r="B3581" s="16" t="s">
        <v>15</v>
      </c>
      <c r="C3581" s="70" t="s">
        <v>4670</v>
      </c>
      <c r="D3581" s="15" t="s">
        <v>1119</v>
      </c>
      <c r="E3581" s="15" t="s">
        <v>4673</v>
      </c>
      <c r="F3581" s="95">
        <v>545</v>
      </c>
      <c r="G3581" s="16" t="s">
        <v>19</v>
      </c>
      <c r="H3581" s="17">
        <v>290</v>
      </c>
      <c r="I3581" s="17">
        <f t="shared" si="237"/>
        <v>158050</v>
      </c>
      <c r="J3581" s="519">
        <v>280</v>
      </c>
      <c r="K3581" s="519">
        <f t="shared" si="240"/>
        <v>10</v>
      </c>
      <c r="L3581" s="519">
        <f t="shared" si="241"/>
        <v>5450</v>
      </c>
      <c r="M3581" s="557">
        <f t="shared" si="242"/>
        <v>3.4482758620689655E-2</v>
      </c>
      <c r="N3581" s="2" t="s">
        <v>40</v>
      </c>
      <c r="O3581" s="15" t="s">
        <v>39</v>
      </c>
    </row>
    <row r="3582" spans="1:15">
      <c r="A3582" s="70">
        <v>2026</v>
      </c>
      <c r="B3582" s="16" t="s">
        <v>15</v>
      </c>
      <c r="C3582" s="70" t="s">
        <v>4674</v>
      </c>
      <c r="D3582" s="15" t="s">
        <v>229</v>
      </c>
      <c r="E3582" s="15" t="s">
        <v>233</v>
      </c>
      <c r="F3582" s="95">
        <v>6000</v>
      </c>
      <c r="G3582" s="16" t="s">
        <v>231</v>
      </c>
      <c r="H3582" s="17">
        <v>23.5</v>
      </c>
      <c r="I3582" s="17">
        <f t="shared" si="237"/>
        <v>141000</v>
      </c>
      <c r="J3582" s="519">
        <v>23.2</v>
      </c>
      <c r="K3582" s="519">
        <f t="shared" si="240"/>
        <v>0.30000000000000071</v>
      </c>
      <c r="L3582" s="519">
        <f t="shared" si="241"/>
        <v>1800.0000000000043</v>
      </c>
      <c r="M3582" s="557">
        <f t="shared" si="242"/>
        <v>1.2765957446808541E-2</v>
      </c>
      <c r="N3582" s="2" t="s">
        <v>22</v>
      </c>
      <c r="O3582" s="15" t="s">
        <v>39</v>
      </c>
    </row>
    <row r="3583" spans="1:15">
      <c r="A3583" s="70">
        <v>2026</v>
      </c>
      <c r="B3583" s="16" t="s">
        <v>15</v>
      </c>
      <c r="C3583" s="70" t="s">
        <v>4675</v>
      </c>
      <c r="D3583" s="15" t="s">
        <v>192</v>
      </c>
      <c r="E3583" s="15" t="s">
        <v>4676</v>
      </c>
      <c r="F3583" s="95">
        <v>546</v>
      </c>
      <c r="G3583" s="16" t="s">
        <v>19</v>
      </c>
      <c r="H3583" s="17">
        <v>890</v>
      </c>
      <c r="I3583" s="17">
        <f t="shared" si="237"/>
        <v>485940</v>
      </c>
      <c r="J3583" s="519">
        <v>850</v>
      </c>
      <c r="K3583" s="519">
        <f t="shared" si="240"/>
        <v>40</v>
      </c>
      <c r="L3583" s="519">
        <f t="shared" si="241"/>
        <v>21840</v>
      </c>
      <c r="M3583" s="557">
        <f t="shared" si="242"/>
        <v>4.49438202247191E-2</v>
      </c>
      <c r="N3583" s="2" t="s">
        <v>40</v>
      </c>
      <c r="O3583" s="15" t="s">
        <v>39</v>
      </c>
    </row>
    <row r="3584" spans="1:15">
      <c r="A3584" s="70">
        <v>2026</v>
      </c>
      <c r="B3584" s="16" t="s">
        <v>15</v>
      </c>
      <c r="C3584" s="70" t="s">
        <v>4677</v>
      </c>
      <c r="D3584" s="15" t="s">
        <v>200</v>
      </c>
      <c r="E3584" s="15" t="s">
        <v>4678</v>
      </c>
      <c r="F3584" s="95">
        <v>1</v>
      </c>
      <c r="G3584" s="16" t="s">
        <v>302</v>
      </c>
      <c r="H3584" s="17">
        <v>76500</v>
      </c>
      <c r="I3584" s="17">
        <f t="shared" si="237"/>
        <v>76500</v>
      </c>
      <c r="J3584" s="519">
        <v>75000</v>
      </c>
      <c r="K3584" s="519">
        <f t="shared" si="240"/>
        <v>1500</v>
      </c>
      <c r="L3584" s="519">
        <f t="shared" si="241"/>
        <v>1500</v>
      </c>
      <c r="M3584" s="557">
        <f t="shared" si="242"/>
        <v>1.9607843137254902E-2</v>
      </c>
      <c r="N3584" s="2" t="s">
        <v>40</v>
      </c>
      <c r="O3584" s="15" t="s">
        <v>39</v>
      </c>
    </row>
    <row r="3585" spans="1:15">
      <c r="A3585" s="70">
        <v>2026</v>
      </c>
      <c r="B3585" s="16" t="s">
        <v>15</v>
      </c>
      <c r="C3585" s="70" t="s">
        <v>4679</v>
      </c>
      <c r="D3585" s="15" t="s">
        <v>3893</v>
      </c>
      <c r="E3585" s="15" t="s">
        <v>4680</v>
      </c>
      <c r="F3585" s="95">
        <v>1</v>
      </c>
      <c r="G3585" s="16" t="s">
        <v>302</v>
      </c>
      <c r="H3585" s="17">
        <v>8100</v>
      </c>
      <c r="I3585" s="17">
        <f t="shared" si="237"/>
        <v>8100</v>
      </c>
      <c r="J3585" s="519">
        <v>8000</v>
      </c>
      <c r="K3585" s="519">
        <f t="shared" si="240"/>
        <v>100</v>
      </c>
      <c r="L3585" s="519">
        <f t="shared" si="241"/>
        <v>100</v>
      </c>
      <c r="M3585" s="557">
        <f t="shared" si="242"/>
        <v>1.2345679012345678E-2</v>
      </c>
      <c r="N3585" s="2" t="s">
        <v>40</v>
      </c>
      <c r="O3585" s="15" t="s">
        <v>39</v>
      </c>
    </row>
    <row r="3586" spans="1:15">
      <c r="A3586" s="70">
        <v>2026</v>
      </c>
      <c r="B3586" s="16" t="s">
        <v>15</v>
      </c>
      <c r="C3586" s="70" t="s">
        <v>4681</v>
      </c>
      <c r="D3586" s="15" t="s">
        <v>335</v>
      </c>
      <c r="E3586" s="15" t="s">
        <v>336</v>
      </c>
      <c r="F3586" s="95">
        <v>420000</v>
      </c>
      <c r="G3586" s="16" t="s">
        <v>337</v>
      </c>
      <c r="H3586" s="17">
        <v>31.25</v>
      </c>
      <c r="I3586" s="17">
        <f t="shared" si="237"/>
        <v>13125000</v>
      </c>
      <c r="J3586" s="519">
        <v>30.25</v>
      </c>
      <c r="K3586" s="519">
        <f t="shared" si="240"/>
        <v>1</v>
      </c>
      <c r="L3586" s="519">
        <f t="shared" si="241"/>
        <v>420000</v>
      </c>
      <c r="M3586" s="557">
        <f t="shared" si="242"/>
        <v>3.2000000000000001E-2</v>
      </c>
      <c r="N3586" s="2" t="s">
        <v>22</v>
      </c>
      <c r="O3586" s="15" t="s">
        <v>39</v>
      </c>
    </row>
    <row r="3587" spans="1:15">
      <c r="A3587" s="70">
        <v>2026</v>
      </c>
      <c r="B3587" s="16" t="s">
        <v>15</v>
      </c>
      <c r="C3587" s="70" t="s">
        <v>4682</v>
      </c>
      <c r="D3587" s="15" t="s">
        <v>192</v>
      </c>
      <c r="E3587" s="15" t="s">
        <v>4676</v>
      </c>
      <c r="F3587" s="95">
        <v>2</v>
      </c>
      <c r="G3587" s="16" t="s">
        <v>19</v>
      </c>
      <c r="H3587" s="17">
        <v>890</v>
      </c>
      <c r="I3587" s="17">
        <f t="shared" si="237"/>
        <v>1780</v>
      </c>
      <c r="J3587" s="519">
        <v>850</v>
      </c>
      <c r="K3587" s="519">
        <f t="shared" si="240"/>
        <v>40</v>
      </c>
      <c r="L3587" s="519">
        <f t="shared" si="241"/>
        <v>80</v>
      </c>
      <c r="M3587" s="557">
        <f t="shared" si="242"/>
        <v>4.49438202247191E-2</v>
      </c>
      <c r="N3587" s="2" t="s">
        <v>40</v>
      </c>
      <c r="O3587" s="15" t="s">
        <v>39</v>
      </c>
    </row>
    <row r="3588" spans="1:15">
      <c r="A3588" s="70">
        <v>2026</v>
      </c>
      <c r="B3588" s="16" t="s">
        <v>15</v>
      </c>
      <c r="C3588" s="70" t="s">
        <v>4683</v>
      </c>
      <c r="D3588" s="15" t="s">
        <v>590</v>
      </c>
      <c r="E3588" s="15" t="s">
        <v>4684</v>
      </c>
      <c r="F3588" s="95">
        <v>2</v>
      </c>
      <c r="G3588" s="16" t="s">
        <v>302</v>
      </c>
      <c r="H3588" s="17">
        <v>129000</v>
      </c>
      <c r="I3588" s="17">
        <f t="shared" si="237"/>
        <v>258000</v>
      </c>
      <c r="J3588" s="519">
        <v>117000</v>
      </c>
      <c r="K3588" s="519">
        <f t="shared" ref="K3588:K3650" si="243">H3588-J3588</f>
        <v>12000</v>
      </c>
      <c r="L3588" s="519">
        <f t="shared" ref="L3588:L3650" si="244">K3588*F3588</f>
        <v>24000</v>
      </c>
      <c r="M3588" s="557">
        <f t="shared" ref="M3588:M3650" si="245">K3588/H3588</f>
        <v>9.3023255813953487E-2</v>
      </c>
      <c r="N3588" s="2" t="s">
        <v>22</v>
      </c>
      <c r="O3588" s="15" t="s">
        <v>39</v>
      </c>
    </row>
    <row r="3589" spans="1:15">
      <c r="A3589" s="70">
        <v>2026</v>
      </c>
      <c r="B3589" s="16" t="s">
        <v>15</v>
      </c>
      <c r="C3589" s="70" t="s">
        <v>4683</v>
      </c>
      <c r="D3589" s="15" t="s">
        <v>590</v>
      </c>
      <c r="E3589" s="15" t="s">
        <v>4685</v>
      </c>
      <c r="F3589" s="95">
        <v>2</v>
      </c>
      <c r="G3589" s="16" t="s">
        <v>302</v>
      </c>
      <c r="H3589" s="17">
        <v>124000</v>
      </c>
      <c r="I3589" s="17">
        <f t="shared" si="237"/>
        <v>248000</v>
      </c>
      <c r="J3589" s="519">
        <v>112500</v>
      </c>
      <c r="K3589" s="519">
        <f t="shared" si="243"/>
        <v>11500</v>
      </c>
      <c r="L3589" s="519">
        <f t="shared" si="244"/>
        <v>23000</v>
      </c>
      <c r="M3589" s="557">
        <f t="shared" si="245"/>
        <v>9.2741935483870969E-2</v>
      </c>
      <c r="N3589" s="2" t="s">
        <v>22</v>
      </c>
      <c r="O3589" s="15" t="s">
        <v>39</v>
      </c>
    </row>
    <row r="3590" spans="1:15">
      <c r="A3590" s="70">
        <v>2026</v>
      </c>
      <c r="B3590" s="16" t="s">
        <v>15</v>
      </c>
      <c r="C3590" s="70" t="s">
        <v>4683</v>
      </c>
      <c r="D3590" s="15" t="s">
        <v>590</v>
      </c>
      <c r="E3590" s="15" t="s">
        <v>4686</v>
      </c>
      <c r="F3590" s="95">
        <v>2</v>
      </c>
      <c r="G3590" s="16" t="s">
        <v>302</v>
      </c>
      <c r="H3590" s="17">
        <v>99000</v>
      </c>
      <c r="I3590" s="17">
        <f t="shared" ref="I3590:I3652" si="246">H3590*F3590</f>
        <v>198000</v>
      </c>
      <c r="J3590" s="519">
        <v>90000</v>
      </c>
      <c r="K3590" s="519">
        <f t="shared" si="243"/>
        <v>9000</v>
      </c>
      <c r="L3590" s="519">
        <f t="shared" si="244"/>
        <v>18000</v>
      </c>
      <c r="M3590" s="557">
        <f t="shared" si="245"/>
        <v>9.0909090909090912E-2</v>
      </c>
      <c r="N3590" s="2" t="s">
        <v>22</v>
      </c>
      <c r="O3590" s="15" t="s">
        <v>39</v>
      </c>
    </row>
    <row r="3591" spans="1:15">
      <c r="A3591" s="70">
        <v>2026</v>
      </c>
      <c r="B3591" s="16" t="s">
        <v>15</v>
      </c>
      <c r="C3591" s="70" t="s">
        <v>4687</v>
      </c>
      <c r="D3591" s="15" t="s">
        <v>270</v>
      </c>
      <c r="E3591" s="15" t="s">
        <v>1244</v>
      </c>
      <c r="F3591" s="95">
        <v>1</v>
      </c>
      <c r="G3591" s="16" t="s">
        <v>302</v>
      </c>
      <c r="H3591" s="17">
        <v>96548</v>
      </c>
      <c r="I3591" s="17">
        <f t="shared" si="246"/>
        <v>96548</v>
      </c>
      <c r="J3591" s="519">
        <v>95104</v>
      </c>
      <c r="K3591" s="519">
        <f t="shared" si="243"/>
        <v>1444</v>
      </c>
      <c r="L3591" s="519">
        <f t="shared" si="244"/>
        <v>1444</v>
      </c>
      <c r="M3591" s="557">
        <f t="shared" si="245"/>
        <v>1.4956291171230891E-2</v>
      </c>
      <c r="N3591" s="15" t="s">
        <v>40</v>
      </c>
      <c r="O3591" s="15" t="s">
        <v>105</v>
      </c>
    </row>
    <row r="3592" spans="1:15">
      <c r="A3592" s="70">
        <v>2026</v>
      </c>
      <c r="B3592" s="16" t="s">
        <v>15</v>
      </c>
      <c r="C3592" s="70" t="s">
        <v>4688</v>
      </c>
      <c r="D3592" s="15" t="s">
        <v>4689</v>
      </c>
      <c r="E3592" s="15" t="s">
        <v>4690</v>
      </c>
      <c r="F3592" s="95">
        <v>1</v>
      </c>
      <c r="G3592" s="16" t="s">
        <v>285</v>
      </c>
      <c r="H3592" s="17">
        <v>107500</v>
      </c>
      <c r="I3592" s="17">
        <f t="shared" si="246"/>
        <v>107500</v>
      </c>
      <c r="J3592" s="519">
        <v>92000</v>
      </c>
      <c r="K3592" s="519">
        <f t="shared" si="243"/>
        <v>15500</v>
      </c>
      <c r="L3592" s="519">
        <f t="shared" si="244"/>
        <v>15500</v>
      </c>
      <c r="M3592" s="557">
        <f t="shared" si="245"/>
        <v>0.14418604651162792</v>
      </c>
      <c r="N3592" s="15" t="s">
        <v>22</v>
      </c>
      <c r="O3592" s="15" t="s">
        <v>105</v>
      </c>
    </row>
    <row r="3593" spans="1:15">
      <c r="A3593" s="70">
        <v>2026</v>
      </c>
      <c r="B3593" s="16" t="s">
        <v>15</v>
      </c>
      <c r="C3593" s="70" t="s">
        <v>4691</v>
      </c>
      <c r="D3593" s="15" t="s">
        <v>107</v>
      </c>
      <c r="E3593" s="15" t="s">
        <v>4692</v>
      </c>
      <c r="F3593" s="95">
        <v>4</v>
      </c>
      <c r="G3593" s="16" t="s">
        <v>19</v>
      </c>
      <c r="H3593" s="17">
        <v>20380</v>
      </c>
      <c r="I3593" s="17">
        <f t="shared" si="246"/>
        <v>81520</v>
      </c>
      <c r="J3593" s="519">
        <v>18500</v>
      </c>
      <c r="K3593" s="519">
        <f t="shared" si="243"/>
        <v>1880</v>
      </c>
      <c r="L3593" s="519">
        <f t="shared" si="244"/>
        <v>7520</v>
      </c>
      <c r="M3593" s="557">
        <f t="shared" si="245"/>
        <v>9.2247301275760543E-2</v>
      </c>
      <c r="N3593" s="15" t="s">
        <v>22</v>
      </c>
      <c r="O3593" s="15" t="s">
        <v>105</v>
      </c>
    </row>
    <row r="3594" spans="1:15">
      <c r="A3594" s="70">
        <v>2026</v>
      </c>
      <c r="B3594" s="16" t="s">
        <v>15</v>
      </c>
      <c r="C3594" s="70" t="s">
        <v>4693</v>
      </c>
      <c r="D3594" s="15" t="s">
        <v>1227</v>
      </c>
      <c r="E3594" s="15" t="s">
        <v>4694</v>
      </c>
      <c r="F3594" s="95">
        <v>1900</v>
      </c>
      <c r="G3594" s="16" t="s">
        <v>19</v>
      </c>
      <c r="H3594" s="17">
        <v>505</v>
      </c>
      <c r="I3594" s="17">
        <f t="shared" si="246"/>
        <v>959500</v>
      </c>
      <c r="J3594" s="519">
        <v>480</v>
      </c>
      <c r="K3594" s="519">
        <f t="shared" si="243"/>
        <v>25</v>
      </c>
      <c r="L3594" s="519">
        <f t="shared" si="244"/>
        <v>47500</v>
      </c>
      <c r="M3594" s="557">
        <f t="shared" si="245"/>
        <v>4.9504950495049507E-2</v>
      </c>
      <c r="N3594" s="15" t="s">
        <v>20</v>
      </c>
      <c r="O3594" s="15" t="s">
        <v>39</v>
      </c>
    </row>
    <row r="3595" spans="1:15">
      <c r="A3595" s="70">
        <v>2026</v>
      </c>
      <c r="B3595" s="16" t="s">
        <v>15</v>
      </c>
      <c r="C3595" s="70" t="s">
        <v>4693</v>
      </c>
      <c r="D3595" s="15" t="s">
        <v>1227</v>
      </c>
      <c r="E3595" s="15" t="s">
        <v>3175</v>
      </c>
      <c r="F3595" s="95">
        <v>1940</v>
      </c>
      <c r="G3595" s="16" t="s">
        <v>19</v>
      </c>
      <c r="H3595" s="17">
        <v>107</v>
      </c>
      <c r="I3595" s="17">
        <f t="shared" si="246"/>
        <v>207580</v>
      </c>
      <c r="J3595" s="519">
        <v>104</v>
      </c>
      <c r="K3595" s="519">
        <f t="shared" si="243"/>
        <v>3</v>
      </c>
      <c r="L3595" s="519">
        <f t="shared" si="244"/>
        <v>5820</v>
      </c>
      <c r="M3595" s="557">
        <f t="shared" si="245"/>
        <v>2.8037383177570093E-2</v>
      </c>
      <c r="N3595" s="15" t="s">
        <v>20</v>
      </c>
      <c r="O3595" s="15" t="s">
        <v>39</v>
      </c>
    </row>
    <row r="3596" spans="1:15">
      <c r="A3596" s="70">
        <v>2026</v>
      </c>
      <c r="B3596" s="16" t="s">
        <v>15</v>
      </c>
      <c r="C3596" s="70" t="s">
        <v>4693</v>
      </c>
      <c r="D3596" s="15" t="s">
        <v>1227</v>
      </c>
      <c r="E3596" s="15" t="s">
        <v>4695</v>
      </c>
      <c r="F3596" s="95">
        <v>80</v>
      </c>
      <c r="G3596" s="16" t="s">
        <v>19</v>
      </c>
      <c r="H3596" s="17">
        <v>3050</v>
      </c>
      <c r="I3596" s="17">
        <f t="shared" si="246"/>
        <v>244000</v>
      </c>
      <c r="J3596" s="519">
        <v>2900</v>
      </c>
      <c r="K3596" s="519">
        <f t="shared" si="243"/>
        <v>150</v>
      </c>
      <c r="L3596" s="519">
        <f t="shared" si="244"/>
        <v>12000</v>
      </c>
      <c r="M3596" s="557">
        <f t="shared" si="245"/>
        <v>4.9180327868852458E-2</v>
      </c>
      <c r="N3596" s="15" t="s">
        <v>20</v>
      </c>
      <c r="O3596" s="15" t="s">
        <v>39</v>
      </c>
    </row>
    <row r="3597" spans="1:15">
      <c r="A3597" s="70">
        <v>2026</v>
      </c>
      <c r="B3597" s="16" t="s">
        <v>15</v>
      </c>
      <c r="C3597" s="70" t="s">
        <v>4693</v>
      </c>
      <c r="D3597" s="15" t="s">
        <v>1227</v>
      </c>
      <c r="E3597" s="15" t="s">
        <v>3157</v>
      </c>
      <c r="F3597" s="95">
        <v>1240</v>
      </c>
      <c r="G3597" s="16" t="s">
        <v>19</v>
      </c>
      <c r="H3597" s="17">
        <v>1120</v>
      </c>
      <c r="I3597" s="17">
        <f t="shared" si="246"/>
        <v>1388800</v>
      </c>
      <c r="J3597" s="519">
        <v>1070</v>
      </c>
      <c r="K3597" s="519">
        <f t="shared" si="243"/>
        <v>50</v>
      </c>
      <c r="L3597" s="519">
        <f t="shared" si="244"/>
        <v>62000</v>
      </c>
      <c r="M3597" s="557">
        <f t="shared" si="245"/>
        <v>4.4642857142857144E-2</v>
      </c>
      <c r="N3597" s="15" t="s">
        <v>20</v>
      </c>
      <c r="O3597" s="15" t="s">
        <v>39</v>
      </c>
    </row>
    <row r="3598" spans="1:15">
      <c r="A3598" s="70">
        <v>2026</v>
      </c>
      <c r="B3598" s="16" t="s">
        <v>15</v>
      </c>
      <c r="C3598" s="70" t="s">
        <v>4693</v>
      </c>
      <c r="D3598" s="15" t="s">
        <v>1227</v>
      </c>
      <c r="E3598" s="15" t="s">
        <v>3158</v>
      </c>
      <c r="F3598" s="95">
        <v>1240</v>
      </c>
      <c r="G3598" s="16" t="s">
        <v>19</v>
      </c>
      <c r="H3598" s="17">
        <v>185</v>
      </c>
      <c r="I3598" s="17">
        <f t="shared" si="246"/>
        <v>229400</v>
      </c>
      <c r="J3598" s="519">
        <v>180</v>
      </c>
      <c r="K3598" s="519">
        <f t="shared" si="243"/>
        <v>5</v>
      </c>
      <c r="L3598" s="519">
        <f t="shared" si="244"/>
        <v>6200</v>
      </c>
      <c r="M3598" s="557">
        <f t="shared" si="245"/>
        <v>2.7027027027027029E-2</v>
      </c>
      <c r="N3598" s="15" t="s">
        <v>20</v>
      </c>
      <c r="O3598" s="15" t="s">
        <v>39</v>
      </c>
    </row>
    <row r="3599" spans="1:15">
      <c r="A3599" s="70">
        <v>2026</v>
      </c>
      <c r="B3599" s="16" t="s">
        <v>15</v>
      </c>
      <c r="C3599" s="70" t="s">
        <v>4693</v>
      </c>
      <c r="D3599" s="15" t="s">
        <v>1227</v>
      </c>
      <c r="E3599" s="15" t="s">
        <v>3183</v>
      </c>
      <c r="F3599" s="95">
        <v>700</v>
      </c>
      <c r="G3599" s="16" t="s">
        <v>19</v>
      </c>
      <c r="H3599" s="17">
        <v>310</v>
      </c>
      <c r="I3599" s="17">
        <f t="shared" si="246"/>
        <v>217000</v>
      </c>
      <c r="J3599" s="519">
        <v>300</v>
      </c>
      <c r="K3599" s="519">
        <f t="shared" si="243"/>
        <v>10</v>
      </c>
      <c r="L3599" s="519">
        <f t="shared" si="244"/>
        <v>7000</v>
      </c>
      <c r="M3599" s="557">
        <f t="shared" si="245"/>
        <v>3.2258064516129031E-2</v>
      </c>
      <c r="N3599" s="15" t="s">
        <v>20</v>
      </c>
      <c r="O3599" s="15" t="s">
        <v>39</v>
      </c>
    </row>
    <row r="3600" spans="1:15">
      <c r="A3600" s="70">
        <v>2026</v>
      </c>
      <c r="B3600" s="16" t="s">
        <v>15</v>
      </c>
      <c r="C3600" s="70" t="s">
        <v>4693</v>
      </c>
      <c r="D3600" s="15" t="s">
        <v>1227</v>
      </c>
      <c r="E3600" s="15" t="s">
        <v>3217</v>
      </c>
      <c r="F3600" s="95">
        <v>1240</v>
      </c>
      <c r="G3600" s="16" t="s">
        <v>19</v>
      </c>
      <c r="H3600" s="17">
        <v>82</v>
      </c>
      <c r="I3600" s="17">
        <f t="shared" si="246"/>
        <v>101680</v>
      </c>
      <c r="J3600" s="519">
        <v>80</v>
      </c>
      <c r="K3600" s="519">
        <f t="shared" si="243"/>
        <v>2</v>
      </c>
      <c r="L3600" s="519">
        <f t="shared" si="244"/>
        <v>2480</v>
      </c>
      <c r="M3600" s="557">
        <f t="shared" si="245"/>
        <v>2.4390243902439025E-2</v>
      </c>
      <c r="N3600" s="15" t="s">
        <v>20</v>
      </c>
      <c r="O3600" s="15" t="s">
        <v>39</v>
      </c>
    </row>
    <row r="3601" spans="1:15">
      <c r="A3601" s="70">
        <v>2026</v>
      </c>
      <c r="B3601" s="16" t="s">
        <v>15</v>
      </c>
      <c r="C3601" s="70" t="s">
        <v>4693</v>
      </c>
      <c r="D3601" s="15" t="s">
        <v>1227</v>
      </c>
      <c r="E3601" s="15" t="s">
        <v>3184</v>
      </c>
      <c r="F3601" s="95">
        <v>700</v>
      </c>
      <c r="G3601" s="16" t="s">
        <v>19</v>
      </c>
      <c r="H3601" s="17">
        <v>180</v>
      </c>
      <c r="I3601" s="17">
        <f t="shared" si="246"/>
        <v>126000</v>
      </c>
      <c r="J3601" s="519">
        <v>175</v>
      </c>
      <c r="K3601" s="519">
        <f t="shared" si="243"/>
        <v>5</v>
      </c>
      <c r="L3601" s="519">
        <f t="shared" si="244"/>
        <v>3500</v>
      </c>
      <c r="M3601" s="557">
        <f t="shared" si="245"/>
        <v>2.7777777777777776E-2</v>
      </c>
      <c r="N3601" s="15" t="s">
        <v>20</v>
      </c>
      <c r="O3601" s="15" t="s">
        <v>39</v>
      </c>
    </row>
    <row r="3602" spans="1:15">
      <c r="A3602" s="70">
        <v>2026</v>
      </c>
      <c r="B3602" s="16" t="s">
        <v>15</v>
      </c>
      <c r="C3602" s="70" t="s">
        <v>4693</v>
      </c>
      <c r="D3602" s="15" t="s">
        <v>1227</v>
      </c>
      <c r="E3602" s="15" t="s">
        <v>3185</v>
      </c>
      <c r="F3602" s="95">
        <v>1240</v>
      </c>
      <c r="G3602" s="16" t="s">
        <v>19</v>
      </c>
      <c r="H3602" s="17">
        <v>480</v>
      </c>
      <c r="I3602" s="17">
        <f t="shared" si="246"/>
        <v>595200</v>
      </c>
      <c r="J3602" s="519">
        <v>465</v>
      </c>
      <c r="K3602" s="519">
        <f t="shared" si="243"/>
        <v>15</v>
      </c>
      <c r="L3602" s="519">
        <f t="shared" si="244"/>
        <v>18600</v>
      </c>
      <c r="M3602" s="557">
        <f t="shared" si="245"/>
        <v>3.125E-2</v>
      </c>
      <c r="N3602" s="15" t="s">
        <v>20</v>
      </c>
      <c r="O3602" s="15" t="s">
        <v>39</v>
      </c>
    </row>
    <row r="3603" spans="1:15">
      <c r="A3603" s="70">
        <v>2026</v>
      </c>
      <c r="B3603" s="16" t="s">
        <v>15</v>
      </c>
      <c r="C3603" s="70" t="s">
        <v>4693</v>
      </c>
      <c r="D3603" s="15" t="s">
        <v>1227</v>
      </c>
      <c r="E3603" s="15" t="s">
        <v>4696</v>
      </c>
      <c r="F3603" s="95">
        <v>600</v>
      </c>
      <c r="G3603" s="16" t="s">
        <v>19</v>
      </c>
      <c r="H3603" s="17">
        <v>3040</v>
      </c>
      <c r="I3603" s="17">
        <f t="shared" si="246"/>
        <v>1824000</v>
      </c>
      <c r="J3603" s="519">
        <v>2950</v>
      </c>
      <c r="K3603" s="519">
        <f t="shared" si="243"/>
        <v>90</v>
      </c>
      <c r="L3603" s="519">
        <f t="shared" si="244"/>
        <v>54000</v>
      </c>
      <c r="M3603" s="557">
        <f t="shared" si="245"/>
        <v>2.9605263157894735E-2</v>
      </c>
      <c r="N3603" s="15" t="s">
        <v>20</v>
      </c>
      <c r="O3603" s="15" t="s">
        <v>39</v>
      </c>
    </row>
    <row r="3604" spans="1:15">
      <c r="A3604" s="70">
        <v>2026</v>
      </c>
      <c r="B3604" s="16" t="s">
        <v>15</v>
      </c>
      <c r="C3604" s="70" t="s">
        <v>4693</v>
      </c>
      <c r="D3604" s="15" t="s">
        <v>1227</v>
      </c>
      <c r="E3604" s="15" t="s">
        <v>3068</v>
      </c>
      <c r="F3604" s="95">
        <v>4</v>
      </c>
      <c r="G3604" s="16" t="s">
        <v>19</v>
      </c>
      <c r="H3604" s="17">
        <v>480</v>
      </c>
      <c r="I3604" s="17">
        <f t="shared" si="246"/>
        <v>1920</v>
      </c>
      <c r="J3604" s="519">
        <v>465</v>
      </c>
      <c r="K3604" s="519">
        <f t="shared" si="243"/>
        <v>15</v>
      </c>
      <c r="L3604" s="519">
        <f t="shared" si="244"/>
        <v>60</v>
      </c>
      <c r="M3604" s="557">
        <f t="shared" si="245"/>
        <v>3.125E-2</v>
      </c>
      <c r="N3604" s="15" t="s">
        <v>20</v>
      </c>
      <c r="O3604" s="15" t="s">
        <v>39</v>
      </c>
    </row>
    <row r="3605" spans="1:15">
      <c r="A3605" s="70">
        <v>2026</v>
      </c>
      <c r="B3605" s="16" t="s">
        <v>15</v>
      </c>
      <c r="C3605" s="70" t="s">
        <v>4693</v>
      </c>
      <c r="D3605" s="15" t="s">
        <v>1227</v>
      </c>
      <c r="E3605" s="15" t="s">
        <v>4697</v>
      </c>
      <c r="F3605" s="95">
        <v>10</v>
      </c>
      <c r="G3605" s="16" t="s">
        <v>19</v>
      </c>
      <c r="H3605" s="17">
        <v>5820</v>
      </c>
      <c r="I3605" s="17">
        <f t="shared" si="246"/>
        <v>58200</v>
      </c>
      <c r="J3605" s="519">
        <v>5650</v>
      </c>
      <c r="K3605" s="519">
        <f t="shared" si="243"/>
        <v>170</v>
      </c>
      <c r="L3605" s="519">
        <f t="shared" si="244"/>
        <v>1700</v>
      </c>
      <c r="M3605" s="557">
        <f t="shared" si="245"/>
        <v>2.9209621993127148E-2</v>
      </c>
      <c r="N3605" s="15" t="s">
        <v>20</v>
      </c>
      <c r="O3605" s="15" t="s">
        <v>39</v>
      </c>
    </row>
    <row r="3606" spans="1:15">
      <c r="A3606" s="70">
        <v>2026</v>
      </c>
      <c r="B3606" s="16" t="s">
        <v>15</v>
      </c>
      <c r="C3606" s="70" t="s">
        <v>4693</v>
      </c>
      <c r="D3606" s="15" t="s">
        <v>1227</v>
      </c>
      <c r="E3606" s="15" t="s">
        <v>4698</v>
      </c>
      <c r="F3606" s="95">
        <v>12</v>
      </c>
      <c r="G3606" s="16" t="s">
        <v>19</v>
      </c>
      <c r="H3606" s="17">
        <v>1100</v>
      </c>
      <c r="I3606" s="17">
        <f t="shared" si="246"/>
        <v>13200</v>
      </c>
      <c r="J3606" s="519">
        <v>1070</v>
      </c>
      <c r="K3606" s="519">
        <f t="shared" si="243"/>
        <v>30</v>
      </c>
      <c r="L3606" s="519">
        <f t="shared" si="244"/>
        <v>360</v>
      </c>
      <c r="M3606" s="557">
        <f t="shared" si="245"/>
        <v>2.7272727272727271E-2</v>
      </c>
      <c r="N3606" s="15" t="s">
        <v>20</v>
      </c>
      <c r="O3606" s="15" t="s">
        <v>39</v>
      </c>
    </row>
    <row r="3607" spans="1:15">
      <c r="A3607" s="70">
        <v>2026</v>
      </c>
      <c r="B3607" s="16" t="s">
        <v>15</v>
      </c>
      <c r="C3607" s="70" t="s">
        <v>4693</v>
      </c>
      <c r="D3607" s="15" t="s">
        <v>1227</v>
      </c>
      <c r="E3607" s="15" t="s">
        <v>4699</v>
      </c>
      <c r="F3607" s="95">
        <v>5</v>
      </c>
      <c r="G3607" s="16" t="s">
        <v>19</v>
      </c>
      <c r="H3607" s="17">
        <v>5820</v>
      </c>
      <c r="I3607" s="17">
        <f t="shared" si="246"/>
        <v>29100</v>
      </c>
      <c r="J3607" s="519">
        <v>5650</v>
      </c>
      <c r="K3607" s="519">
        <f t="shared" si="243"/>
        <v>170</v>
      </c>
      <c r="L3607" s="519">
        <f t="shared" si="244"/>
        <v>850</v>
      </c>
      <c r="M3607" s="557">
        <f t="shared" si="245"/>
        <v>2.9209621993127148E-2</v>
      </c>
      <c r="N3607" s="15" t="s">
        <v>20</v>
      </c>
      <c r="O3607" s="15" t="s">
        <v>39</v>
      </c>
    </row>
    <row r="3608" spans="1:15">
      <c r="A3608" s="70">
        <v>2026</v>
      </c>
      <c r="B3608" s="16" t="s">
        <v>15</v>
      </c>
      <c r="C3608" s="70" t="s">
        <v>4693</v>
      </c>
      <c r="D3608" s="15" t="s">
        <v>1227</v>
      </c>
      <c r="E3608" s="15" t="s">
        <v>4041</v>
      </c>
      <c r="F3608" s="95">
        <v>270</v>
      </c>
      <c r="G3608" s="16" t="s">
        <v>1368</v>
      </c>
      <c r="H3608" s="17">
        <v>1250</v>
      </c>
      <c r="I3608" s="17">
        <f t="shared" si="246"/>
        <v>337500</v>
      </c>
      <c r="J3608" s="519">
        <v>1210</v>
      </c>
      <c r="K3608" s="519">
        <f t="shared" si="243"/>
        <v>40</v>
      </c>
      <c r="L3608" s="519">
        <f t="shared" si="244"/>
        <v>10800</v>
      </c>
      <c r="M3608" s="557">
        <f t="shared" si="245"/>
        <v>3.2000000000000001E-2</v>
      </c>
      <c r="N3608" s="2" t="s">
        <v>40</v>
      </c>
      <c r="O3608" s="15" t="s">
        <v>39</v>
      </c>
    </row>
    <row r="3609" spans="1:15">
      <c r="A3609" s="70">
        <v>2026</v>
      </c>
      <c r="B3609" s="16" t="s">
        <v>15</v>
      </c>
      <c r="C3609" s="70" t="s">
        <v>4693</v>
      </c>
      <c r="D3609" s="15" t="s">
        <v>1227</v>
      </c>
      <c r="E3609" s="15" t="s">
        <v>4044</v>
      </c>
      <c r="F3609" s="95">
        <v>100</v>
      </c>
      <c r="G3609" s="16" t="s">
        <v>1368</v>
      </c>
      <c r="H3609" s="17">
        <v>580</v>
      </c>
      <c r="I3609" s="17">
        <f t="shared" si="246"/>
        <v>58000</v>
      </c>
      <c r="J3609" s="519">
        <v>540</v>
      </c>
      <c r="K3609" s="519">
        <f t="shared" si="243"/>
        <v>40</v>
      </c>
      <c r="L3609" s="519">
        <f t="shared" si="244"/>
        <v>4000</v>
      </c>
      <c r="M3609" s="557">
        <f t="shared" si="245"/>
        <v>6.8965517241379309E-2</v>
      </c>
      <c r="N3609" s="2" t="s">
        <v>40</v>
      </c>
      <c r="O3609" s="15" t="s">
        <v>39</v>
      </c>
    </row>
    <row r="3610" spans="1:15">
      <c r="A3610" s="70">
        <v>2026</v>
      </c>
      <c r="B3610" s="16" t="s">
        <v>15</v>
      </c>
      <c r="C3610" s="70" t="s">
        <v>4693</v>
      </c>
      <c r="D3610" s="15" t="s">
        <v>1227</v>
      </c>
      <c r="E3610" s="15" t="s">
        <v>1367</v>
      </c>
      <c r="F3610" s="95">
        <v>680</v>
      </c>
      <c r="G3610" s="16" t="s">
        <v>1368</v>
      </c>
      <c r="H3610" s="17">
        <v>1910</v>
      </c>
      <c r="I3610" s="17">
        <f t="shared" si="246"/>
        <v>1298800</v>
      </c>
      <c r="J3610" s="519">
        <v>1885</v>
      </c>
      <c r="K3610" s="519">
        <f t="shared" si="243"/>
        <v>25</v>
      </c>
      <c r="L3610" s="519">
        <f t="shared" si="244"/>
        <v>17000</v>
      </c>
      <c r="M3610" s="557">
        <f t="shared" si="245"/>
        <v>1.3089005235602094E-2</v>
      </c>
      <c r="N3610" s="2" t="s">
        <v>40</v>
      </c>
      <c r="O3610" s="15" t="s">
        <v>39</v>
      </c>
    </row>
    <row r="3611" spans="1:15">
      <c r="A3611" s="70">
        <v>2026</v>
      </c>
      <c r="B3611" s="16" t="s">
        <v>15</v>
      </c>
      <c r="C3611" s="70" t="s">
        <v>4693</v>
      </c>
      <c r="D3611" s="15" t="s">
        <v>1227</v>
      </c>
      <c r="E3611" s="15" t="s">
        <v>2160</v>
      </c>
      <c r="F3611" s="95">
        <v>50</v>
      </c>
      <c r="G3611" s="16" t="s">
        <v>1368</v>
      </c>
      <c r="H3611" s="17">
        <v>4400</v>
      </c>
      <c r="I3611" s="17">
        <f t="shared" si="246"/>
        <v>220000</v>
      </c>
      <c r="J3611" s="519">
        <v>4280</v>
      </c>
      <c r="K3611" s="519">
        <f t="shared" si="243"/>
        <v>120</v>
      </c>
      <c r="L3611" s="519">
        <f t="shared" si="244"/>
        <v>6000</v>
      </c>
      <c r="M3611" s="557">
        <f t="shared" si="245"/>
        <v>2.7272727272727271E-2</v>
      </c>
      <c r="N3611" s="2" t="s">
        <v>40</v>
      </c>
      <c r="O3611" s="15" t="s">
        <v>39</v>
      </c>
    </row>
    <row r="3612" spans="1:15">
      <c r="A3612" s="70">
        <v>2026</v>
      </c>
      <c r="B3612" s="16" t="s">
        <v>15</v>
      </c>
      <c r="C3612" s="70" t="s">
        <v>4700</v>
      </c>
      <c r="D3612" s="15" t="s">
        <v>2011</v>
      </c>
      <c r="E3612" s="15" t="s">
        <v>2689</v>
      </c>
      <c r="F3612" s="95">
        <v>1</v>
      </c>
      <c r="G3612" s="16" t="s">
        <v>285</v>
      </c>
      <c r="H3612" s="17">
        <v>24377.8</v>
      </c>
      <c r="I3612" s="17">
        <f t="shared" si="246"/>
        <v>24377.8</v>
      </c>
      <c r="J3612" s="519">
        <v>23190.25</v>
      </c>
      <c r="K3612" s="519">
        <f t="shared" si="243"/>
        <v>1187.5499999999993</v>
      </c>
      <c r="L3612" s="519">
        <f t="shared" si="244"/>
        <v>1187.5499999999993</v>
      </c>
      <c r="M3612" s="557">
        <f t="shared" si="245"/>
        <v>4.8714404088966164E-2</v>
      </c>
      <c r="N3612" s="15" t="s">
        <v>40</v>
      </c>
      <c r="O3612" s="15" t="s">
        <v>105</v>
      </c>
    </row>
    <row r="3613" spans="1:15">
      <c r="A3613" s="70">
        <v>2026</v>
      </c>
      <c r="B3613" s="16" t="s">
        <v>15</v>
      </c>
      <c r="C3613" s="70" t="s">
        <v>4701</v>
      </c>
      <c r="D3613" s="15" t="s">
        <v>192</v>
      </c>
      <c r="E3613" s="15" t="s">
        <v>4676</v>
      </c>
      <c r="F3613" s="95">
        <v>14</v>
      </c>
      <c r="G3613" s="16" t="s">
        <v>19</v>
      </c>
      <c r="H3613" s="17">
        <v>890</v>
      </c>
      <c r="I3613" s="17">
        <f t="shared" si="246"/>
        <v>12460</v>
      </c>
      <c r="J3613" s="519">
        <v>850</v>
      </c>
      <c r="K3613" s="519">
        <f t="shared" si="243"/>
        <v>40</v>
      </c>
      <c r="L3613" s="519">
        <f t="shared" si="244"/>
        <v>560</v>
      </c>
      <c r="M3613" s="557">
        <f t="shared" si="245"/>
        <v>4.49438202247191E-2</v>
      </c>
      <c r="N3613" s="2" t="s">
        <v>40</v>
      </c>
      <c r="O3613" s="15" t="s">
        <v>39</v>
      </c>
    </row>
    <row r="3614" spans="1:15">
      <c r="A3614" s="70">
        <v>2026</v>
      </c>
      <c r="B3614" s="16" t="s">
        <v>15</v>
      </c>
      <c r="C3614" s="70" t="s">
        <v>4702</v>
      </c>
      <c r="D3614" s="15" t="s">
        <v>329</v>
      </c>
      <c r="E3614" s="15" t="s">
        <v>702</v>
      </c>
      <c r="F3614" s="95">
        <v>500.00883641848503</v>
      </c>
      <c r="G3614" s="16" t="s">
        <v>331</v>
      </c>
      <c r="H3614" s="17">
        <v>2795</v>
      </c>
      <c r="I3614" s="17">
        <f t="shared" si="246"/>
        <v>1397524.6977896658</v>
      </c>
      <c r="J3614" s="519">
        <v>2740</v>
      </c>
      <c r="K3614" s="519">
        <f t="shared" si="243"/>
        <v>55</v>
      </c>
      <c r="L3614" s="519">
        <f t="shared" si="244"/>
        <v>27500.486003016678</v>
      </c>
      <c r="M3614" s="557">
        <f t="shared" si="245"/>
        <v>1.9677996422182469E-2</v>
      </c>
      <c r="N3614" s="15" t="s">
        <v>22</v>
      </c>
      <c r="O3614" s="15" t="s">
        <v>39</v>
      </c>
    </row>
    <row r="3615" spans="1:15">
      <c r="A3615" s="70">
        <v>2026</v>
      </c>
      <c r="B3615" s="16" t="s">
        <v>15</v>
      </c>
      <c r="C3615" s="70" t="s">
        <v>4702</v>
      </c>
      <c r="D3615" s="15" t="s">
        <v>329</v>
      </c>
      <c r="E3615" s="15" t="s">
        <v>3879</v>
      </c>
      <c r="F3615" s="95">
        <v>379.97617506116495</v>
      </c>
      <c r="G3615" s="16" t="s">
        <v>331</v>
      </c>
      <c r="H3615" s="17">
        <v>1530</v>
      </c>
      <c r="I3615" s="17">
        <f t="shared" si="246"/>
        <v>581363.54784358235</v>
      </c>
      <c r="J3615" s="519">
        <v>1500</v>
      </c>
      <c r="K3615" s="519">
        <f t="shared" si="243"/>
        <v>30</v>
      </c>
      <c r="L3615" s="519">
        <f t="shared" si="244"/>
        <v>11399.285251834948</v>
      </c>
      <c r="M3615" s="557">
        <f t="shared" si="245"/>
        <v>1.9607843137254902E-2</v>
      </c>
      <c r="N3615" s="15" t="s">
        <v>22</v>
      </c>
      <c r="O3615" s="15" t="s">
        <v>39</v>
      </c>
    </row>
    <row r="3616" spans="1:15">
      <c r="A3616" s="70">
        <v>2026</v>
      </c>
      <c r="B3616" s="16" t="s">
        <v>15</v>
      </c>
      <c r="C3616" s="70" t="s">
        <v>4702</v>
      </c>
      <c r="D3616" s="15" t="s">
        <v>329</v>
      </c>
      <c r="E3616" s="15" t="s">
        <v>4080</v>
      </c>
      <c r="F3616" s="95">
        <v>149.99550692159613</v>
      </c>
      <c r="G3616" s="16" t="s">
        <v>331</v>
      </c>
      <c r="H3616" s="17">
        <v>2100</v>
      </c>
      <c r="I3616" s="17">
        <f t="shared" si="246"/>
        <v>314990.56453535188</v>
      </c>
      <c r="J3616" s="519">
        <v>2075</v>
      </c>
      <c r="K3616" s="519">
        <f t="shared" si="243"/>
        <v>25</v>
      </c>
      <c r="L3616" s="519">
        <f t="shared" si="244"/>
        <v>3749.8876730399033</v>
      </c>
      <c r="M3616" s="557">
        <f t="shared" si="245"/>
        <v>1.1904761904761904E-2</v>
      </c>
      <c r="N3616" s="15" t="s">
        <v>22</v>
      </c>
      <c r="O3616" s="15" t="s">
        <v>39</v>
      </c>
    </row>
    <row r="3617" spans="1:15">
      <c r="A3617" s="70">
        <v>2026</v>
      </c>
      <c r="B3617" s="16" t="s">
        <v>15</v>
      </c>
      <c r="C3617" s="70" t="s">
        <v>4702</v>
      </c>
      <c r="D3617" s="15" t="s">
        <v>329</v>
      </c>
      <c r="E3617" s="15" t="s">
        <v>702</v>
      </c>
      <c r="F3617" s="95">
        <v>1490.0263325270855</v>
      </c>
      <c r="G3617" s="16" t="s">
        <v>331</v>
      </c>
      <c r="H3617" s="17">
        <v>2795</v>
      </c>
      <c r="I3617" s="17">
        <f t="shared" si="246"/>
        <v>4164623.599413204</v>
      </c>
      <c r="J3617" s="519">
        <v>2740</v>
      </c>
      <c r="K3617" s="519">
        <f t="shared" si="243"/>
        <v>55</v>
      </c>
      <c r="L3617" s="519">
        <f t="shared" si="244"/>
        <v>81951.448288989704</v>
      </c>
      <c r="M3617" s="557">
        <f t="shared" si="245"/>
        <v>1.9677996422182469E-2</v>
      </c>
      <c r="N3617" s="15" t="s">
        <v>22</v>
      </c>
      <c r="O3617" s="15" t="s">
        <v>39</v>
      </c>
    </row>
    <row r="3618" spans="1:15">
      <c r="A3618" s="70">
        <v>2026</v>
      </c>
      <c r="B3618" s="16" t="s">
        <v>15</v>
      </c>
      <c r="C3618" s="70" t="s">
        <v>4702</v>
      </c>
      <c r="D3618" s="15" t="s">
        <v>329</v>
      </c>
      <c r="E3618" s="15" t="s">
        <v>380</v>
      </c>
      <c r="F3618" s="95">
        <v>150.0022904504408</v>
      </c>
      <c r="G3618" s="16" t="s">
        <v>331</v>
      </c>
      <c r="H3618" s="17">
        <v>4470</v>
      </c>
      <c r="I3618" s="17">
        <f t="shared" si="246"/>
        <v>670510.23831347039</v>
      </c>
      <c r="J3618" s="519">
        <v>4400</v>
      </c>
      <c r="K3618" s="519">
        <f t="shared" si="243"/>
        <v>70</v>
      </c>
      <c r="L3618" s="519">
        <f t="shared" si="244"/>
        <v>10500.160331530857</v>
      </c>
      <c r="M3618" s="557">
        <f t="shared" si="245"/>
        <v>1.5659955257270694E-2</v>
      </c>
      <c r="N3618" s="15" t="s">
        <v>22</v>
      </c>
      <c r="O3618" s="15" t="s">
        <v>39</v>
      </c>
    </row>
    <row r="3619" spans="1:15">
      <c r="A3619" s="70">
        <v>2026</v>
      </c>
      <c r="B3619" s="16" t="s">
        <v>15</v>
      </c>
      <c r="C3619" s="70" t="s">
        <v>4702</v>
      </c>
      <c r="D3619" s="15" t="s">
        <v>329</v>
      </c>
      <c r="E3619" s="15" t="s">
        <v>379</v>
      </c>
      <c r="F3619" s="95">
        <v>80.001413826957602</v>
      </c>
      <c r="G3619" s="16" t="s">
        <v>331</v>
      </c>
      <c r="H3619" s="17">
        <v>4200</v>
      </c>
      <c r="I3619" s="17">
        <f t="shared" si="246"/>
        <v>336005.93807322194</v>
      </c>
      <c r="J3619" s="519">
        <v>4180</v>
      </c>
      <c r="K3619" s="519">
        <f t="shared" si="243"/>
        <v>20</v>
      </c>
      <c r="L3619" s="519">
        <f t="shared" si="244"/>
        <v>1600.0282765391521</v>
      </c>
      <c r="M3619" s="557">
        <f t="shared" si="245"/>
        <v>4.7619047619047623E-3</v>
      </c>
      <c r="N3619" s="15" t="s">
        <v>22</v>
      </c>
      <c r="O3619" s="15" t="s">
        <v>39</v>
      </c>
    </row>
    <row r="3620" spans="1:15">
      <c r="A3620" s="70">
        <v>2026</v>
      </c>
      <c r="B3620" s="16" t="s">
        <v>15</v>
      </c>
      <c r="C3620" s="70" t="s">
        <v>4703</v>
      </c>
      <c r="D3620" s="15" t="s">
        <v>229</v>
      </c>
      <c r="E3620" s="15" t="s">
        <v>233</v>
      </c>
      <c r="F3620" s="95">
        <v>12000</v>
      </c>
      <c r="G3620" s="16" t="s">
        <v>231</v>
      </c>
      <c r="H3620" s="17">
        <v>23.5</v>
      </c>
      <c r="I3620" s="17">
        <f t="shared" si="246"/>
        <v>282000</v>
      </c>
      <c r="J3620" s="519">
        <v>23.2</v>
      </c>
      <c r="K3620" s="519">
        <f t="shared" si="243"/>
        <v>0.30000000000000071</v>
      </c>
      <c r="L3620" s="519">
        <f t="shared" si="244"/>
        <v>3600.0000000000086</v>
      </c>
      <c r="M3620" s="557">
        <f t="shared" si="245"/>
        <v>1.2765957446808541E-2</v>
      </c>
      <c r="N3620" s="15" t="s">
        <v>22</v>
      </c>
      <c r="O3620" s="15" t="s">
        <v>39</v>
      </c>
    </row>
    <row r="3621" spans="1:15">
      <c r="A3621" s="70">
        <v>2026</v>
      </c>
      <c r="B3621" s="16" t="s">
        <v>15</v>
      </c>
      <c r="C3621" s="70" t="s">
        <v>4704</v>
      </c>
      <c r="D3621" s="15" t="s">
        <v>192</v>
      </c>
      <c r="E3621" s="15" t="s">
        <v>1200</v>
      </c>
      <c r="F3621" s="95">
        <v>8000</v>
      </c>
      <c r="G3621" s="16" t="s">
        <v>231</v>
      </c>
      <c r="H3621" s="17">
        <v>82</v>
      </c>
      <c r="I3621" s="17">
        <f t="shared" si="246"/>
        <v>656000</v>
      </c>
      <c r="J3621" s="519">
        <v>80</v>
      </c>
      <c r="K3621" s="519">
        <f t="shared" si="243"/>
        <v>2</v>
      </c>
      <c r="L3621" s="519">
        <f t="shared" si="244"/>
        <v>16000</v>
      </c>
      <c r="M3621" s="557">
        <f t="shared" si="245"/>
        <v>2.4390243902439025E-2</v>
      </c>
      <c r="N3621" s="15" t="s">
        <v>40</v>
      </c>
      <c r="O3621" s="15" t="s">
        <v>39</v>
      </c>
    </row>
    <row r="3622" spans="1:15">
      <c r="A3622" s="70">
        <v>2026</v>
      </c>
      <c r="B3622" s="16" t="s">
        <v>15</v>
      </c>
      <c r="C3622" s="70" t="s">
        <v>4705</v>
      </c>
      <c r="D3622" s="15" t="s">
        <v>1204</v>
      </c>
      <c r="E3622" s="15" t="s">
        <v>4706</v>
      </c>
      <c r="F3622" s="95">
        <v>10000</v>
      </c>
      <c r="G3622" s="16" t="s">
        <v>19</v>
      </c>
      <c r="H3622" s="17">
        <v>1.5</v>
      </c>
      <c r="I3622" s="17">
        <f t="shared" si="246"/>
        <v>15000</v>
      </c>
      <c r="J3622" s="519">
        <v>1.4</v>
      </c>
      <c r="K3622" s="519">
        <f t="shared" si="243"/>
        <v>0.10000000000000009</v>
      </c>
      <c r="L3622" s="519">
        <f t="shared" si="244"/>
        <v>1000.0000000000009</v>
      </c>
      <c r="M3622" s="557">
        <f t="shared" si="245"/>
        <v>6.6666666666666721E-2</v>
      </c>
      <c r="N3622" s="15" t="s">
        <v>40</v>
      </c>
      <c r="O3622" s="15" t="s">
        <v>39</v>
      </c>
    </row>
    <row r="3623" spans="1:15">
      <c r="A3623" s="70">
        <v>2026</v>
      </c>
      <c r="B3623" s="16" t="s">
        <v>15</v>
      </c>
      <c r="C3623" s="70" t="s">
        <v>4707</v>
      </c>
      <c r="D3623" s="15" t="s">
        <v>1204</v>
      </c>
      <c r="E3623" s="15" t="s">
        <v>4708</v>
      </c>
      <c r="F3623" s="95">
        <v>5000</v>
      </c>
      <c r="G3623" s="16" t="s">
        <v>19</v>
      </c>
      <c r="H3623" s="17">
        <v>0.5</v>
      </c>
      <c r="I3623" s="17">
        <f t="shared" si="246"/>
        <v>2500</v>
      </c>
      <c r="J3623" s="519">
        <v>0.45</v>
      </c>
      <c r="K3623" s="519">
        <f t="shared" si="243"/>
        <v>4.9999999999999989E-2</v>
      </c>
      <c r="L3623" s="519">
        <f t="shared" si="244"/>
        <v>249.99999999999994</v>
      </c>
      <c r="M3623" s="557">
        <f t="shared" si="245"/>
        <v>9.9999999999999978E-2</v>
      </c>
      <c r="N3623" s="15" t="s">
        <v>22</v>
      </c>
      <c r="O3623" s="15" t="s">
        <v>39</v>
      </c>
    </row>
    <row r="3624" spans="1:15">
      <c r="A3624" s="70">
        <v>2026</v>
      </c>
      <c r="B3624" s="16" t="s">
        <v>15</v>
      </c>
      <c r="C3624" s="70" t="s">
        <v>4707</v>
      </c>
      <c r="D3624" s="15" t="s">
        <v>1204</v>
      </c>
      <c r="E3624" s="15" t="s">
        <v>4709</v>
      </c>
      <c r="F3624" s="95">
        <v>20000</v>
      </c>
      <c r="G3624" s="16" t="s">
        <v>19</v>
      </c>
      <c r="H3624" s="17">
        <v>0.5</v>
      </c>
      <c r="I3624" s="17">
        <f t="shared" si="246"/>
        <v>10000</v>
      </c>
      <c r="J3624" s="519">
        <v>0.48</v>
      </c>
      <c r="K3624" s="519">
        <f t="shared" si="243"/>
        <v>2.0000000000000018E-2</v>
      </c>
      <c r="L3624" s="519">
        <f t="shared" si="244"/>
        <v>400.00000000000034</v>
      </c>
      <c r="M3624" s="557">
        <f t="shared" si="245"/>
        <v>4.0000000000000036E-2</v>
      </c>
      <c r="N3624" s="15" t="s">
        <v>22</v>
      </c>
      <c r="O3624" s="15" t="s">
        <v>39</v>
      </c>
    </row>
    <row r="3625" spans="1:15">
      <c r="A3625" s="70">
        <v>2026</v>
      </c>
      <c r="B3625" s="16" t="s">
        <v>15</v>
      </c>
      <c r="C3625" s="70" t="s">
        <v>4710</v>
      </c>
      <c r="D3625" s="15" t="s">
        <v>1119</v>
      </c>
      <c r="E3625" s="15" t="s">
        <v>4392</v>
      </c>
      <c r="F3625" s="95">
        <v>10</v>
      </c>
      <c r="G3625" s="16" t="s">
        <v>19</v>
      </c>
      <c r="H3625" s="17">
        <v>650</v>
      </c>
      <c r="I3625" s="17">
        <f t="shared" si="246"/>
        <v>6500</v>
      </c>
      <c r="J3625" s="519">
        <v>420</v>
      </c>
      <c r="K3625" s="519">
        <f t="shared" si="243"/>
        <v>230</v>
      </c>
      <c r="L3625" s="519">
        <f t="shared" si="244"/>
        <v>2300</v>
      </c>
      <c r="M3625" s="557">
        <f t="shared" si="245"/>
        <v>0.35384615384615387</v>
      </c>
      <c r="N3625" s="15" t="s">
        <v>40</v>
      </c>
      <c r="O3625" s="15" t="s">
        <v>39</v>
      </c>
    </row>
    <row r="3626" spans="1:15">
      <c r="A3626" s="70">
        <v>2026</v>
      </c>
      <c r="B3626" s="16" t="s">
        <v>15</v>
      </c>
      <c r="C3626" s="70" t="s">
        <v>4710</v>
      </c>
      <c r="D3626" s="15" t="s">
        <v>1119</v>
      </c>
      <c r="E3626" s="15" t="s">
        <v>4392</v>
      </c>
      <c r="F3626" s="95">
        <v>40</v>
      </c>
      <c r="G3626" s="16" t="s">
        <v>19</v>
      </c>
      <c r="H3626" s="17">
        <v>650</v>
      </c>
      <c r="I3626" s="17">
        <f t="shared" si="246"/>
        <v>26000</v>
      </c>
      <c r="J3626" s="519">
        <v>420</v>
      </c>
      <c r="K3626" s="519">
        <f t="shared" si="243"/>
        <v>230</v>
      </c>
      <c r="L3626" s="519">
        <f t="shared" si="244"/>
        <v>9200</v>
      </c>
      <c r="M3626" s="557">
        <f t="shared" si="245"/>
        <v>0.35384615384615387</v>
      </c>
      <c r="N3626" s="15" t="s">
        <v>40</v>
      </c>
      <c r="O3626" s="15" t="s">
        <v>39</v>
      </c>
    </row>
    <row r="3627" spans="1:15">
      <c r="A3627" s="70">
        <v>2026</v>
      </c>
      <c r="B3627" s="16" t="s">
        <v>15</v>
      </c>
      <c r="C3627" s="70" t="s">
        <v>4710</v>
      </c>
      <c r="D3627" s="15" t="s">
        <v>1119</v>
      </c>
      <c r="E3627" s="15" t="s">
        <v>4711</v>
      </c>
      <c r="F3627" s="95">
        <v>30</v>
      </c>
      <c r="G3627" s="16" t="s">
        <v>19</v>
      </c>
      <c r="H3627" s="17">
        <v>40</v>
      </c>
      <c r="I3627" s="17">
        <f t="shared" si="246"/>
        <v>1200</v>
      </c>
      <c r="J3627" s="519">
        <v>38</v>
      </c>
      <c r="K3627" s="519">
        <f t="shared" si="243"/>
        <v>2</v>
      </c>
      <c r="L3627" s="519">
        <f t="shared" si="244"/>
        <v>60</v>
      </c>
      <c r="M3627" s="557">
        <f t="shared" si="245"/>
        <v>0.05</v>
      </c>
      <c r="N3627" s="15" t="s">
        <v>40</v>
      </c>
      <c r="O3627" s="15" t="s">
        <v>39</v>
      </c>
    </row>
    <row r="3628" spans="1:15">
      <c r="A3628" s="70">
        <v>2026</v>
      </c>
      <c r="B3628" s="16" t="s">
        <v>15</v>
      </c>
      <c r="C3628" s="70" t="s">
        <v>4710</v>
      </c>
      <c r="D3628" s="15" t="s">
        <v>1119</v>
      </c>
      <c r="E3628" s="15" t="s">
        <v>4389</v>
      </c>
      <c r="F3628" s="95">
        <v>5</v>
      </c>
      <c r="G3628" s="16" t="s">
        <v>19</v>
      </c>
      <c r="H3628" s="17">
        <v>200</v>
      </c>
      <c r="I3628" s="17">
        <f t="shared" si="246"/>
        <v>1000</v>
      </c>
      <c r="J3628" s="519">
        <v>190</v>
      </c>
      <c r="K3628" s="519">
        <f t="shared" si="243"/>
        <v>10</v>
      </c>
      <c r="L3628" s="519">
        <f t="shared" si="244"/>
        <v>50</v>
      </c>
      <c r="M3628" s="557">
        <f t="shared" si="245"/>
        <v>0.05</v>
      </c>
      <c r="N3628" s="15" t="s">
        <v>40</v>
      </c>
      <c r="O3628" s="15" t="s">
        <v>39</v>
      </c>
    </row>
    <row r="3629" spans="1:15">
      <c r="A3629" s="70">
        <v>2026</v>
      </c>
      <c r="B3629" s="16" t="s">
        <v>15</v>
      </c>
      <c r="C3629" s="70" t="s">
        <v>4710</v>
      </c>
      <c r="D3629" s="15" t="s">
        <v>1119</v>
      </c>
      <c r="E3629" s="15" t="s">
        <v>4491</v>
      </c>
      <c r="F3629" s="95">
        <v>3</v>
      </c>
      <c r="G3629" s="16" t="s">
        <v>19</v>
      </c>
      <c r="H3629" s="17">
        <v>200</v>
      </c>
      <c r="I3629" s="17">
        <f t="shared" si="246"/>
        <v>600</v>
      </c>
      <c r="J3629" s="519">
        <v>190</v>
      </c>
      <c r="K3629" s="519">
        <f t="shared" si="243"/>
        <v>10</v>
      </c>
      <c r="L3629" s="519">
        <f t="shared" si="244"/>
        <v>30</v>
      </c>
      <c r="M3629" s="557">
        <f t="shared" si="245"/>
        <v>0.05</v>
      </c>
      <c r="N3629" s="15" t="s">
        <v>40</v>
      </c>
      <c r="O3629" s="15" t="s">
        <v>39</v>
      </c>
    </row>
    <row r="3630" spans="1:15">
      <c r="A3630" s="70">
        <v>2026</v>
      </c>
      <c r="B3630" s="16" t="s">
        <v>15</v>
      </c>
      <c r="C3630" s="70" t="s">
        <v>4712</v>
      </c>
      <c r="D3630" s="15" t="s">
        <v>1204</v>
      </c>
      <c r="E3630" s="15" t="s">
        <v>4713</v>
      </c>
      <c r="F3630" s="95">
        <v>4000</v>
      </c>
      <c r="G3630" s="16" t="s">
        <v>19</v>
      </c>
      <c r="H3630" s="17">
        <v>4.5999999999999996</v>
      </c>
      <c r="I3630" s="17">
        <f t="shared" si="246"/>
        <v>18400</v>
      </c>
      <c r="J3630" s="519">
        <v>4</v>
      </c>
      <c r="K3630" s="519">
        <f t="shared" si="243"/>
        <v>0.59999999999999964</v>
      </c>
      <c r="L3630" s="519">
        <f t="shared" si="244"/>
        <v>2399.9999999999986</v>
      </c>
      <c r="M3630" s="557">
        <f t="shared" si="245"/>
        <v>0.13043478260869559</v>
      </c>
      <c r="N3630" s="15" t="s">
        <v>22</v>
      </c>
      <c r="O3630" s="15" t="s">
        <v>39</v>
      </c>
    </row>
    <row r="3631" spans="1:15">
      <c r="A3631" s="70">
        <v>2026</v>
      </c>
      <c r="B3631" s="16" t="s">
        <v>15</v>
      </c>
      <c r="C3631" s="70" t="s">
        <v>4712</v>
      </c>
      <c r="D3631" s="15" t="s">
        <v>1204</v>
      </c>
      <c r="E3631" s="15" t="s">
        <v>4709</v>
      </c>
      <c r="F3631" s="95">
        <v>10000</v>
      </c>
      <c r="G3631" s="16" t="s">
        <v>19</v>
      </c>
      <c r="H3631" s="17">
        <v>0.5</v>
      </c>
      <c r="I3631" s="17">
        <f t="shared" si="246"/>
        <v>5000</v>
      </c>
      <c r="J3631" s="519">
        <v>0.48</v>
      </c>
      <c r="K3631" s="519">
        <f t="shared" si="243"/>
        <v>2.0000000000000018E-2</v>
      </c>
      <c r="L3631" s="519">
        <f t="shared" si="244"/>
        <v>200.00000000000017</v>
      </c>
      <c r="M3631" s="557">
        <f t="shared" si="245"/>
        <v>4.0000000000000036E-2</v>
      </c>
      <c r="N3631" s="15" t="s">
        <v>22</v>
      </c>
      <c r="O3631" s="15" t="s">
        <v>39</v>
      </c>
    </row>
    <row r="3632" spans="1:15">
      <c r="A3632" s="70">
        <v>2026</v>
      </c>
      <c r="B3632" s="16" t="s">
        <v>15</v>
      </c>
      <c r="C3632" s="70" t="s">
        <v>4712</v>
      </c>
      <c r="D3632" s="15" t="s">
        <v>1204</v>
      </c>
      <c r="E3632" s="15" t="s">
        <v>4708</v>
      </c>
      <c r="F3632" s="95">
        <v>7000</v>
      </c>
      <c r="G3632" s="16" t="s">
        <v>19</v>
      </c>
      <c r="H3632" s="17">
        <v>0.5</v>
      </c>
      <c r="I3632" s="17">
        <f t="shared" si="246"/>
        <v>3500</v>
      </c>
      <c r="J3632" s="519">
        <v>0.45</v>
      </c>
      <c r="K3632" s="519">
        <f t="shared" si="243"/>
        <v>4.9999999999999989E-2</v>
      </c>
      <c r="L3632" s="519">
        <f t="shared" si="244"/>
        <v>349.99999999999994</v>
      </c>
      <c r="M3632" s="557">
        <f t="shared" si="245"/>
        <v>9.9999999999999978E-2</v>
      </c>
      <c r="N3632" s="15" t="s">
        <v>22</v>
      </c>
      <c r="O3632" s="15" t="s">
        <v>39</v>
      </c>
    </row>
    <row r="3633" spans="1:15">
      <c r="A3633" s="70">
        <v>2026</v>
      </c>
      <c r="B3633" s="16" t="s">
        <v>15</v>
      </c>
      <c r="C3633" s="70" t="s">
        <v>4712</v>
      </c>
      <c r="D3633" s="15" t="s">
        <v>1204</v>
      </c>
      <c r="E3633" s="15" t="s">
        <v>4714</v>
      </c>
      <c r="F3633" s="95">
        <v>3000</v>
      </c>
      <c r="G3633" s="16" t="s">
        <v>19</v>
      </c>
      <c r="H3633" s="17">
        <v>3.5</v>
      </c>
      <c r="I3633" s="17">
        <f t="shared" si="246"/>
        <v>10500</v>
      </c>
      <c r="J3633" s="519">
        <v>3</v>
      </c>
      <c r="K3633" s="519">
        <f t="shared" si="243"/>
        <v>0.5</v>
      </c>
      <c r="L3633" s="519">
        <f t="shared" si="244"/>
        <v>1500</v>
      </c>
      <c r="M3633" s="557">
        <f t="shared" si="245"/>
        <v>0.14285714285714285</v>
      </c>
      <c r="N3633" s="15" t="s">
        <v>22</v>
      </c>
      <c r="O3633" s="15" t="s">
        <v>39</v>
      </c>
    </row>
    <row r="3634" spans="1:15">
      <c r="A3634" s="70">
        <v>2026</v>
      </c>
      <c r="B3634" s="16" t="s">
        <v>15</v>
      </c>
      <c r="C3634" s="70" t="s">
        <v>4712</v>
      </c>
      <c r="D3634" s="15" t="s">
        <v>1204</v>
      </c>
      <c r="E3634" s="15" t="s">
        <v>4715</v>
      </c>
      <c r="F3634" s="95">
        <v>16000</v>
      </c>
      <c r="G3634" s="16" t="s">
        <v>19</v>
      </c>
      <c r="H3634" s="17">
        <v>0.7</v>
      </c>
      <c r="I3634" s="17">
        <f t="shared" si="246"/>
        <v>11200</v>
      </c>
      <c r="J3634" s="519">
        <v>0.6</v>
      </c>
      <c r="K3634" s="519">
        <f t="shared" si="243"/>
        <v>9.9999999999999978E-2</v>
      </c>
      <c r="L3634" s="519">
        <f t="shared" si="244"/>
        <v>1599.9999999999995</v>
      </c>
      <c r="M3634" s="557">
        <f t="shared" si="245"/>
        <v>0.14285714285714282</v>
      </c>
      <c r="N3634" s="15" t="s">
        <v>22</v>
      </c>
      <c r="O3634" s="15" t="s">
        <v>39</v>
      </c>
    </row>
    <row r="3635" spans="1:15">
      <c r="A3635" s="70">
        <v>2026</v>
      </c>
      <c r="B3635" s="16" t="s">
        <v>15</v>
      </c>
      <c r="C3635" s="70" t="s">
        <v>4712</v>
      </c>
      <c r="D3635" s="15" t="s">
        <v>1204</v>
      </c>
      <c r="E3635" s="15" t="s">
        <v>4716</v>
      </c>
      <c r="F3635" s="95">
        <v>47500</v>
      </c>
      <c r="G3635" s="16" t="s">
        <v>19</v>
      </c>
      <c r="H3635" s="17">
        <v>0.77</v>
      </c>
      <c r="I3635" s="17">
        <f t="shared" si="246"/>
        <v>36575</v>
      </c>
      <c r="J3635" s="519">
        <v>0.65</v>
      </c>
      <c r="K3635" s="519">
        <f t="shared" si="243"/>
        <v>0.12</v>
      </c>
      <c r="L3635" s="519">
        <f t="shared" si="244"/>
        <v>5700</v>
      </c>
      <c r="M3635" s="557">
        <f t="shared" si="245"/>
        <v>0.15584415584415584</v>
      </c>
      <c r="N3635" s="15" t="s">
        <v>22</v>
      </c>
      <c r="O3635" s="15" t="s">
        <v>39</v>
      </c>
    </row>
    <row r="3636" spans="1:15">
      <c r="A3636" s="70">
        <v>2026</v>
      </c>
      <c r="B3636" s="16" t="s">
        <v>15</v>
      </c>
      <c r="C3636" s="70" t="s">
        <v>4712</v>
      </c>
      <c r="D3636" s="15" t="s">
        <v>1204</v>
      </c>
      <c r="E3636" s="15" t="s">
        <v>4717</v>
      </c>
      <c r="F3636" s="95">
        <v>11500</v>
      </c>
      <c r="G3636" s="16" t="s">
        <v>19</v>
      </c>
      <c r="H3636" s="17">
        <v>0.95</v>
      </c>
      <c r="I3636" s="17">
        <f t="shared" si="246"/>
        <v>10925</v>
      </c>
      <c r="J3636" s="519">
        <v>0.9</v>
      </c>
      <c r="K3636" s="519">
        <f t="shared" si="243"/>
        <v>4.9999999999999933E-2</v>
      </c>
      <c r="L3636" s="519">
        <f t="shared" si="244"/>
        <v>574.9999999999992</v>
      </c>
      <c r="M3636" s="557">
        <f t="shared" si="245"/>
        <v>5.2631578947368356E-2</v>
      </c>
      <c r="N3636" s="15" t="s">
        <v>22</v>
      </c>
      <c r="O3636" s="15" t="s">
        <v>39</v>
      </c>
    </row>
    <row r="3637" spans="1:15">
      <c r="A3637" s="70">
        <v>2026</v>
      </c>
      <c r="B3637" s="16" t="s">
        <v>15</v>
      </c>
      <c r="C3637" s="70" t="s">
        <v>4712</v>
      </c>
      <c r="D3637" s="15" t="s">
        <v>1204</v>
      </c>
      <c r="E3637" s="15" t="s">
        <v>4718</v>
      </c>
      <c r="F3637" s="95">
        <v>2300</v>
      </c>
      <c r="G3637" s="16" t="s">
        <v>19</v>
      </c>
      <c r="H3637" s="17">
        <v>0.7</v>
      </c>
      <c r="I3637" s="17">
        <f t="shared" si="246"/>
        <v>1610</v>
      </c>
      <c r="J3637" s="519">
        <v>0.6</v>
      </c>
      <c r="K3637" s="519">
        <f t="shared" si="243"/>
        <v>9.9999999999999978E-2</v>
      </c>
      <c r="L3637" s="519">
        <f t="shared" si="244"/>
        <v>229.99999999999994</v>
      </c>
      <c r="M3637" s="557">
        <f t="shared" si="245"/>
        <v>0.14285714285714282</v>
      </c>
      <c r="N3637" s="15" t="s">
        <v>22</v>
      </c>
      <c r="O3637" s="15" t="s">
        <v>39</v>
      </c>
    </row>
    <row r="3638" spans="1:15">
      <c r="A3638" s="70">
        <v>2026</v>
      </c>
      <c r="B3638" s="16" t="s">
        <v>15</v>
      </c>
      <c r="C3638" s="70" t="s">
        <v>4712</v>
      </c>
      <c r="D3638" s="15" t="s">
        <v>1204</v>
      </c>
      <c r="E3638" s="15" t="s">
        <v>4719</v>
      </c>
      <c r="F3638" s="95">
        <v>3100</v>
      </c>
      <c r="G3638" s="16" t="s">
        <v>19</v>
      </c>
      <c r="H3638" s="17">
        <v>3.98</v>
      </c>
      <c r="I3638" s="17">
        <f t="shared" si="246"/>
        <v>12338</v>
      </c>
      <c r="J3638" s="519">
        <v>3.4</v>
      </c>
      <c r="K3638" s="519">
        <f t="shared" si="243"/>
        <v>0.58000000000000007</v>
      </c>
      <c r="L3638" s="519">
        <f t="shared" si="244"/>
        <v>1798.0000000000002</v>
      </c>
      <c r="M3638" s="557">
        <f t="shared" si="245"/>
        <v>0.14572864321608042</v>
      </c>
      <c r="N3638" s="15" t="s">
        <v>22</v>
      </c>
      <c r="O3638" s="15" t="s">
        <v>39</v>
      </c>
    </row>
    <row r="3639" spans="1:15">
      <c r="A3639" s="70">
        <v>2026</v>
      </c>
      <c r="B3639" s="16" t="s">
        <v>15</v>
      </c>
      <c r="C3639" s="70" t="s">
        <v>4712</v>
      </c>
      <c r="D3639" s="15" t="s">
        <v>1204</v>
      </c>
      <c r="E3639" s="15" t="s">
        <v>4720</v>
      </c>
      <c r="F3639" s="95">
        <v>55000</v>
      </c>
      <c r="G3639" s="16" t="s">
        <v>19</v>
      </c>
      <c r="H3639" s="17">
        <v>1</v>
      </c>
      <c r="I3639" s="17">
        <f t="shared" si="246"/>
        <v>55000</v>
      </c>
      <c r="J3639" s="519">
        <v>0.85</v>
      </c>
      <c r="K3639" s="519">
        <f t="shared" si="243"/>
        <v>0.15000000000000002</v>
      </c>
      <c r="L3639" s="519">
        <f t="shared" si="244"/>
        <v>8250.0000000000018</v>
      </c>
      <c r="M3639" s="557">
        <f t="shared" si="245"/>
        <v>0.15000000000000002</v>
      </c>
      <c r="N3639" s="15" t="s">
        <v>22</v>
      </c>
      <c r="O3639" s="15" t="s">
        <v>39</v>
      </c>
    </row>
    <row r="3640" spans="1:15">
      <c r="A3640" s="70">
        <v>2026</v>
      </c>
      <c r="B3640" s="16" t="s">
        <v>15</v>
      </c>
      <c r="C3640" s="70" t="s">
        <v>4712</v>
      </c>
      <c r="D3640" s="15" t="s">
        <v>1204</v>
      </c>
      <c r="E3640" s="15" t="s">
        <v>4721</v>
      </c>
      <c r="F3640" s="95">
        <v>42000</v>
      </c>
      <c r="G3640" s="16" t="s">
        <v>19</v>
      </c>
      <c r="H3640" s="17">
        <v>0.76</v>
      </c>
      <c r="I3640" s="17">
        <f t="shared" si="246"/>
        <v>31920</v>
      </c>
      <c r="J3640" s="519">
        <v>0.7</v>
      </c>
      <c r="K3640" s="519">
        <f t="shared" si="243"/>
        <v>6.0000000000000053E-2</v>
      </c>
      <c r="L3640" s="519">
        <f t="shared" si="244"/>
        <v>2520.0000000000023</v>
      </c>
      <c r="M3640" s="557">
        <f t="shared" si="245"/>
        <v>7.8947368421052697E-2</v>
      </c>
      <c r="N3640" s="15" t="s">
        <v>22</v>
      </c>
      <c r="O3640" s="15" t="s">
        <v>39</v>
      </c>
    </row>
    <row r="3641" spans="1:15">
      <c r="A3641" s="70">
        <v>2026</v>
      </c>
      <c r="B3641" s="16" t="s">
        <v>15</v>
      </c>
      <c r="C3641" s="70" t="s">
        <v>4712</v>
      </c>
      <c r="D3641" s="15" t="s">
        <v>1204</v>
      </c>
      <c r="E3641" s="15" t="s">
        <v>4715</v>
      </c>
      <c r="F3641" s="95">
        <v>10000</v>
      </c>
      <c r="G3641" s="16" t="s">
        <v>19</v>
      </c>
      <c r="H3641" s="17">
        <v>0.7</v>
      </c>
      <c r="I3641" s="17">
        <f t="shared" si="246"/>
        <v>7000</v>
      </c>
      <c r="J3641" s="519">
        <v>0.6</v>
      </c>
      <c r="K3641" s="519">
        <f t="shared" si="243"/>
        <v>9.9999999999999978E-2</v>
      </c>
      <c r="L3641" s="519">
        <f t="shared" si="244"/>
        <v>999.99999999999977</v>
      </c>
      <c r="M3641" s="557">
        <f t="shared" si="245"/>
        <v>0.14285714285714282</v>
      </c>
      <c r="N3641" s="15" t="s">
        <v>22</v>
      </c>
      <c r="O3641" s="15" t="s">
        <v>39</v>
      </c>
    </row>
    <row r="3642" spans="1:15">
      <c r="A3642" s="70">
        <v>2026</v>
      </c>
      <c r="B3642" s="16" t="s">
        <v>15</v>
      </c>
      <c r="C3642" s="70" t="s">
        <v>4712</v>
      </c>
      <c r="D3642" s="15" t="s">
        <v>1204</v>
      </c>
      <c r="E3642" s="15" t="s">
        <v>4717</v>
      </c>
      <c r="F3642" s="95">
        <v>6000</v>
      </c>
      <c r="G3642" s="16" t="s">
        <v>19</v>
      </c>
      <c r="H3642" s="17">
        <v>0.95</v>
      </c>
      <c r="I3642" s="17">
        <f t="shared" si="246"/>
        <v>5700</v>
      </c>
      <c r="J3642" s="519">
        <v>0.9</v>
      </c>
      <c r="K3642" s="519">
        <f t="shared" si="243"/>
        <v>4.9999999999999933E-2</v>
      </c>
      <c r="L3642" s="519">
        <f t="shared" si="244"/>
        <v>299.9999999999996</v>
      </c>
      <c r="M3642" s="557">
        <f t="shared" si="245"/>
        <v>5.2631578947368356E-2</v>
      </c>
      <c r="N3642" s="15" t="s">
        <v>22</v>
      </c>
      <c r="O3642" s="15" t="s">
        <v>39</v>
      </c>
    </row>
    <row r="3643" spans="1:15">
      <c r="A3643" s="70">
        <v>2026</v>
      </c>
      <c r="B3643" s="16" t="s">
        <v>15</v>
      </c>
      <c r="C3643" s="70" t="s">
        <v>4712</v>
      </c>
      <c r="D3643" s="15" t="s">
        <v>1204</v>
      </c>
      <c r="E3643" s="15" t="s">
        <v>4720</v>
      </c>
      <c r="F3643" s="95">
        <v>2000</v>
      </c>
      <c r="G3643" s="16" t="s">
        <v>19</v>
      </c>
      <c r="H3643" s="17">
        <v>1</v>
      </c>
      <c r="I3643" s="17">
        <f t="shared" si="246"/>
        <v>2000</v>
      </c>
      <c r="J3643" s="519">
        <v>0.9</v>
      </c>
      <c r="K3643" s="519">
        <f t="shared" si="243"/>
        <v>9.9999999999999978E-2</v>
      </c>
      <c r="L3643" s="519">
        <f t="shared" si="244"/>
        <v>199.99999999999994</v>
      </c>
      <c r="M3643" s="557">
        <f t="shared" si="245"/>
        <v>9.9999999999999978E-2</v>
      </c>
      <c r="N3643" s="15" t="s">
        <v>22</v>
      </c>
      <c r="O3643" s="15" t="s">
        <v>39</v>
      </c>
    </row>
    <row r="3644" spans="1:15">
      <c r="A3644" s="70">
        <v>2026</v>
      </c>
      <c r="B3644" s="16" t="s">
        <v>15</v>
      </c>
      <c r="C3644" s="70" t="s">
        <v>4712</v>
      </c>
      <c r="D3644" s="15" t="s">
        <v>1204</v>
      </c>
      <c r="E3644" s="15" t="s">
        <v>4722</v>
      </c>
      <c r="F3644" s="95">
        <v>3000</v>
      </c>
      <c r="G3644" s="16" t="s">
        <v>19</v>
      </c>
      <c r="H3644" s="17">
        <v>1.75</v>
      </c>
      <c r="I3644" s="17">
        <f t="shared" si="246"/>
        <v>5250</v>
      </c>
      <c r="J3644" s="519">
        <v>1.4</v>
      </c>
      <c r="K3644" s="519">
        <f t="shared" si="243"/>
        <v>0.35000000000000009</v>
      </c>
      <c r="L3644" s="519">
        <f t="shared" si="244"/>
        <v>1050.0000000000002</v>
      </c>
      <c r="M3644" s="557">
        <f t="shared" si="245"/>
        <v>0.20000000000000004</v>
      </c>
      <c r="N3644" s="15" t="s">
        <v>22</v>
      </c>
      <c r="O3644" s="15" t="s">
        <v>39</v>
      </c>
    </row>
    <row r="3645" spans="1:15">
      <c r="A3645" s="70">
        <v>2026</v>
      </c>
      <c r="B3645" s="16" t="s">
        <v>15</v>
      </c>
      <c r="C3645" s="70" t="s">
        <v>4712</v>
      </c>
      <c r="D3645" s="15" t="s">
        <v>1204</v>
      </c>
      <c r="E3645" s="15" t="s">
        <v>4723</v>
      </c>
      <c r="F3645" s="95">
        <v>1000</v>
      </c>
      <c r="G3645" s="16" t="s">
        <v>19</v>
      </c>
      <c r="H3645" s="17">
        <v>2.5</v>
      </c>
      <c r="I3645" s="17">
        <f t="shared" si="246"/>
        <v>2500</v>
      </c>
      <c r="J3645" s="519">
        <v>2</v>
      </c>
      <c r="K3645" s="519">
        <f t="shared" si="243"/>
        <v>0.5</v>
      </c>
      <c r="L3645" s="519">
        <f t="shared" si="244"/>
        <v>500</v>
      </c>
      <c r="M3645" s="557">
        <f t="shared" si="245"/>
        <v>0.2</v>
      </c>
      <c r="N3645" s="15" t="s">
        <v>22</v>
      </c>
      <c r="O3645" s="15" t="s">
        <v>39</v>
      </c>
    </row>
    <row r="3646" spans="1:15">
      <c r="A3646" s="70">
        <v>2026</v>
      </c>
      <c r="B3646" s="16" t="s">
        <v>15</v>
      </c>
      <c r="C3646" s="70" t="s">
        <v>4712</v>
      </c>
      <c r="D3646" s="15" t="s">
        <v>1204</v>
      </c>
      <c r="E3646" s="15" t="s">
        <v>4724</v>
      </c>
      <c r="F3646" s="95">
        <v>1000</v>
      </c>
      <c r="G3646" s="16" t="s">
        <v>19</v>
      </c>
      <c r="H3646" s="17">
        <v>3.3</v>
      </c>
      <c r="I3646" s="17">
        <f t="shared" si="246"/>
        <v>3300</v>
      </c>
      <c r="J3646" s="519">
        <v>2.4</v>
      </c>
      <c r="K3646" s="519">
        <f t="shared" si="243"/>
        <v>0.89999999999999991</v>
      </c>
      <c r="L3646" s="519">
        <f t="shared" si="244"/>
        <v>899.99999999999989</v>
      </c>
      <c r="M3646" s="557">
        <f t="shared" si="245"/>
        <v>0.27272727272727271</v>
      </c>
      <c r="N3646" s="15" t="s">
        <v>22</v>
      </c>
      <c r="O3646" s="15" t="s">
        <v>39</v>
      </c>
    </row>
    <row r="3647" spans="1:15">
      <c r="A3647" s="70">
        <v>2026</v>
      </c>
      <c r="B3647" s="16" t="s">
        <v>15</v>
      </c>
      <c r="C3647" s="70" t="s">
        <v>4712</v>
      </c>
      <c r="D3647" s="15" t="s">
        <v>1204</v>
      </c>
      <c r="E3647" s="15" t="s">
        <v>4725</v>
      </c>
      <c r="F3647" s="95">
        <v>5000</v>
      </c>
      <c r="G3647" s="16" t="s">
        <v>19</v>
      </c>
      <c r="H3647" s="17">
        <v>0.5</v>
      </c>
      <c r="I3647" s="17">
        <f t="shared" si="246"/>
        <v>2500</v>
      </c>
      <c r="J3647" s="519">
        <v>0.45</v>
      </c>
      <c r="K3647" s="519">
        <f t="shared" si="243"/>
        <v>4.9999999999999989E-2</v>
      </c>
      <c r="L3647" s="519">
        <f t="shared" si="244"/>
        <v>249.99999999999994</v>
      </c>
      <c r="M3647" s="557">
        <f t="shared" si="245"/>
        <v>9.9999999999999978E-2</v>
      </c>
      <c r="N3647" s="15" t="s">
        <v>22</v>
      </c>
      <c r="O3647" s="15" t="s">
        <v>39</v>
      </c>
    </row>
    <row r="3648" spans="1:15">
      <c r="A3648" s="70">
        <v>2026</v>
      </c>
      <c r="B3648" s="16" t="s">
        <v>15</v>
      </c>
      <c r="C3648" s="70" t="s">
        <v>4712</v>
      </c>
      <c r="D3648" s="15" t="s">
        <v>1204</v>
      </c>
      <c r="E3648" s="15" t="s">
        <v>4726</v>
      </c>
      <c r="F3648" s="95">
        <v>2600</v>
      </c>
      <c r="G3648" s="16" t="s">
        <v>19</v>
      </c>
      <c r="H3648" s="17">
        <v>1.35</v>
      </c>
      <c r="I3648" s="17">
        <f t="shared" si="246"/>
        <v>3510.0000000000005</v>
      </c>
      <c r="J3648" s="519">
        <v>1.3</v>
      </c>
      <c r="K3648" s="519">
        <f t="shared" si="243"/>
        <v>5.0000000000000044E-2</v>
      </c>
      <c r="L3648" s="519">
        <f t="shared" si="244"/>
        <v>130.00000000000011</v>
      </c>
      <c r="M3648" s="557">
        <f t="shared" si="245"/>
        <v>3.703703703703707E-2</v>
      </c>
      <c r="N3648" s="15" t="s">
        <v>22</v>
      </c>
      <c r="O3648" s="15" t="s">
        <v>39</v>
      </c>
    </row>
    <row r="3649" spans="1:15">
      <c r="A3649" s="70">
        <v>2026</v>
      </c>
      <c r="B3649" s="16" t="s">
        <v>15</v>
      </c>
      <c r="C3649" s="70" t="s">
        <v>4712</v>
      </c>
      <c r="D3649" s="15" t="s">
        <v>1204</v>
      </c>
      <c r="E3649" s="15" t="s">
        <v>4727</v>
      </c>
      <c r="F3649" s="95">
        <v>300</v>
      </c>
      <c r="G3649" s="16" t="s">
        <v>19</v>
      </c>
      <c r="H3649" s="17">
        <v>19.2</v>
      </c>
      <c r="I3649" s="17">
        <f t="shared" si="246"/>
        <v>5760</v>
      </c>
      <c r="J3649" s="519">
        <v>19</v>
      </c>
      <c r="K3649" s="519">
        <f t="shared" si="243"/>
        <v>0.19999999999999929</v>
      </c>
      <c r="L3649" s="519">
        <f t="shared" si="244"/>
        <v>59.999999999999787</v>
      </c>
      <c r="M3649" s="557">
        <f t="shared" si="245"/>
        <v>1.041666666666663E-2</v>
      </c>
      <c r="N3649" s="15" t="s">
        <v>22</v>
      </c>
      <c r="O3649" s="15" t="s">
        <v>39</v>
      </c>
    </row>
    <row r="3650" spans="1:15">
      <c r="A3650" s="70">
        <v>2026</v>
      </c>
      <c r="B3650" s="16" t="s">
        <v>15</v>
      </c>
      <c r="C3650" s="70" t="s">
        <v>4712</v>
      </c>
      <c r="D3650" s="15" t="s">
        <v>1204</v>
      </c>
      <c r="E3650" s="15" t="s">
        <v>4722</v>
      </c>
      <c r="F3650" s="95">
        <v>4000</v>
      </c>
      <c r="G3650" s="16" t="s">
        <v>19</v>
      </c>
      <c r="H3650" s="17">
        <v>1.75</v>
      </c>
      <c r="I3650" s="17">
        <f t="shared" si="246"/>
        <v>7000</v>
      </c>
      <c r="J3650" s="519">
        <v>1.5</v>
      </c>
      <c r="K3650" s="519">
        <f t="shared" si="243"/>
        <v>0.25</v>
      </c>
      <c r="L3650" s="519">
        <f t="shared" si="244"/>
        <v>1000</v>
      </c>
      <c r="M3650" s="557">
        <f t="shared" si="245"/>
        <v>0.14285714285714285</v>
      </c>
      <c r="N3650" s="15" t="s">
        <v>22</v>
      </c>
      <c r="O3650" s="15" t="s">
        <v>39</v>
      </c>
    </row>
    <row r="3651" spans="1:15">
      <c r="A3651" s="70">
        <v>2026</v>
      </c>
      <c r="B3651" s="16" t="s">
        <v>15</v>
      </c>
      <c r="C3651" s="70" t="s">
        <v>4712</v>
      </c>
      <c r="D3651" s="15" t="s">
        <v>1204</v>
      </c>
      <c r="E3651" s="15" t="s">
        <v>4723</v>
      </c>
      <c r="F3651" s="95">
        <v>9000</v>
      </c>
      <c r="G3651" s="16" t="s">
        <v>19</v>
      </c>
      <c r="H3651" s="17">
        <v>2.5</v>
      </c>
      <c r="I3651" s="17">
        <f t="shared" si="246"/>
        <v>22500</v>
      </c>
      <c r="J3651" s="519">
        <v>2</v>
      </c>
      <c r="K3651" s="519">
        <f t="shared" ref="K3651:K3714" si="247">H3651-J3651</f>
        <v>0.5</v>
      </c>
      <c r="L3651" s="519">
        <f t="shared" ref="L3651:L3714" si="248">K3651*F3651</f>
        <v>4500</v>
      </c>
      <c r="M3651" s="557">
        <f t="shared" ref="M3651:M3714" si="249">K3651/H3651</f>
        <v>0.2</v>
      </c>
      <c r="N3651" s="15" t="s">
        <v>22</v>
      </c>
      <c r="O3651" s="15" t="s">
        <v>39</v>
      </c>
    </row>
    <row r="3652" spans="1:15">
      <c r="A3652" s="70">
        <v>2026</v>
      </c>
      <c r="B3652" s="16" t="s">
        <v>15</v>
      </c>
      <c r="C3652" s="70" t="s">
        <v>4712</v>
      </c>
      <c r="D3652" s="15" t="s">
        <v>1204</v>
      </c>
      <c r="E3652" s="15" t="s">
        <v>4724</v>
      </c>
      <c r="F3652" s="95">
        <v>9000</v>
      </c>
      <c r="G3652" s="16" t="s">
        <v>19</v>
      </c>
      <c r="H3652" s="17">
        <v>3.3</v>
      </c>
      <c r="I3652" s="17">
        <f t="shared" si="246"/>
        <v>29700</v>
      </c>
      <c r="J3652" s="519">
        <v>2.4</v>
      </c>
      <c r="K3652" s="519">
        <f t="shared" si="247"/>
        <v>0.89999999999999991</v>
      </c>
      <c r="L3652" s="519">
        <f t="shared" si="248"/>
        <v>8099.9999999999991</v>
      </c>
      <c r="M3652" s="557">
        <f t="shared" si="249"/>
        <v>0.27272727272727271</v>
      </c>
      <c r="N3652" s="15" t="s">
        <v>22</v>
      </c>
      <c r="O3652" s="15" t="s">
        <v>39</v>
      </c>
    </row>
    <row r="3653" spans="1:15">
      <c r="A3653" s="70">
        <v>2026</v>
      </c>
      <c r="B3653" s="16" t="s">
        <v>15</v>
      </c>
      <c r="C3653" s="70" t="s">
        <v>4712</v>
      </c>
      <c r="D3653" s="15" t="s">
        <v>1204</v>
      </c>
      <c r="E3653" s="15" t="s">
        <v>4728</v>
      </c>
      <c r="F3653" s="95">
        <v>500</v>
      </c>
      <c r="G3653" s="16" t="s">
        <v>19</v>
      </c>
      <c r="H3653" s="17">
        <v>13</v>
      </c>
      <c r="I3653" s="17">
        <f t="shared" ref="I3653:I3716" si="250">H3653*F3653</f>
        <v>6500</v>
      </c>
      <c r="J3653" s="519">
        <v>8</v>
      </c>
      <c r="K3653" s="519">
        <f t="shared" si="247"/>
        <v>5</v>
      </c>
      <c r="L3653" s="519">
        <f t="shared" si="248"/>
        <v>2500</v>
      </c>
      <c r="M3653" s="557">
        <f t="shared" si="249"/>
        <v>0.38461538461538464</v>
      </c>
      <c r="N3653" s="15" t="s">
        <v>22</v>
      </c>
      <c r="O3653" s="15" t="s">
        <v>39</v>
      </c>
    </row>
    <row r="3654" spans="1:15">
      <c r="A3654" s="70">
        <v>2026</v>
      </c>
      <c r="B3654" s="16" t="s">
        <v>15</v>
      </c>
      <c r="C3654" s="70" t="s">
        <v>4712</v>
      </c>
      <c r="D3654" s="15" t="s">
        <v>1204</v>
      </c>
      <c r="E3654" s="15" t="s">
        <v>4729</v>
      </c>
      <c r="F3654" s="95">
        <v>500</v>
      </c>
      <c r="G3654" s="16" t="s">
        <v>19</v>
      </c>
      <c r="H3654" s="17">
        <v>3</v>
      </c>
      <c r="I3654" s="17">
        <f t="shared" si="250"/>
        <v>1500</v>
      </c>
      <c r="J3654" s="519">
        <v>2.8</v>
      </c>
      <c r="K3654" s="519">
        <f t="shared" si="247"/>
        <v>0.20000000000000018</v>
      </c>
      <c r="L3654" s="519">
        <f t="shared" si="248"/>
        <v>100.00000000000009</v>
      </c>
      <c r="M3654" s="557">
        <f t="shared" si="249"/>
        <v>6.6666666666666721E-2</v>
      </c>
      <c r="N3654" s="15" t="s">
        <v>22</v>
      </c>
      <c r="O3654" s="15" t="s">
        <v>39</v>
      </c>
    </row>
    <row r="3655" spans="1:15">
      <c r="A3655" s="70">
        <v>2026</v>
      </c>
      <c r="B3655" s="16" t="s">
        <v>15</v>
      </c>
      <c r="C3655" s="70" t="s">
        <v>4712</v>
      </c>
      <c r="D3655" s="15" t="s">
        <v>1204</v>
      </c>
      <c r="E3655" s="15" t="s">
        <v>4730</v>
      </c>
      <c r="F3655" s="95">
        <v>500</v>
      </c>
      <c r="G3655" s="16" t="s">
        <v>19</v>
      </c>
      <c r="H3655" s="17">
        <v>3</v>
      </c>
      <c r="I3655" s="17">
        <f t="shared" si="250"/>
        <v>1500</v>
      </c>
      <c r="J3655" s="519">
        <v>2.7</v>
      </c>
      <c r="K3655" s="519">
        <f t="shared" si="247"/>
        <v>0.29999999999999982</v>
      </c>
      <c r="L3655" s="519">
        <f t="shared" si="248"/>
        <v>149.99999999999991</v>
      </c>
      <c r="M3655" s="557">
        <f t="shared" si="249"/>
        <v>9.9999999999999936E-2</v>
      </c>
      <c r="N3655" s="15" t="s">
        <v>22</v>
      </c>
      <c r="O3655" s="15" t="s">
        <v>39</v>
      </c>
    </row>
    <row r="3656" spans="1:15">
      <c r="A3656" s="70">
        <v>2026</v>
      </c>
      <c r="B3656" s="16" t="s">
        <v>15</v>
      </c>
      <c r="C3656" s="70" t="s">
        <v>4712</v>
      </c>
      <c r="D3656" s="15" t="s">
        <v>1204</v>
      </c>
      <c r="E3656" s="15" t="s">
        <v>4731</v>
      </c>
      <c r="F3656" s="95">
        <v>46000</v>
      </c>
      <c r="G3656" s="16" t="s">
        <v>19</v>
      </c>
      <c r="H3656" s="17">
        <v>0.89</v>
      </c>
      <c r="I3656" s="17">
        <f t="shared" si="250"/>
        <v>40940</v>
      </c>
      <c r="J3656" s="519">
        <v>0.6</v>
      </c>
      <c r="K3656" s="519">
        <f t="shared" si="247"/>
        <v>0.29000000000000004</v>
      </c>
      <c r="L3656" s="519">
        <f t="shared" si="248"/>
        <v>13340.000000000002</v>
      </c>
      <c r="M3656" s="557">
        <f t="shared" si="249"/>
        <v>0.3258426966292135</v>
      </c>
      <c r="N3656" s="15" t="s">
        <v>22</v>
      </c>
      <c r="O3656" s="15" t="s">
        <v>39</v>
      </c>
    </row>
    <row r="3657" spans="1:15">
      <c r="A3657" s="70">
        <v>2026</v>
      </c>
      <c r="B3657" s="16" t="s">
        <v>15</v>
      </c>
      <c r="C3657" s="70" t="s">
        <v>4712</v>
      </c>
      <c r="D3657" s="15" t="s">
        <v>1204</v>
      </c>
      <c r="E3657" s="15" t="s">
        <v>4732</v>
      </c>
      <c r="F3657" s="95">
        <v>1000</v>
      </c>
      <c r="G3657" s="16" t="s">
        <v>19</v>
      </c>
      <c r="H3657" s="17">
        <v>9.5</v>
      </c>
      <c r="I3657" s="17">
        <f t="shared" si="250"/>
        <v>9500</v>
      </c>
      <c r="J3657" s="519">
        <v>9.1999999999999993</v>
      </c>
      <c r="K3657" s="519">
        <f t="shared" si="247"/>
        <v>0.30000000000000071</v>
      </c>
      <c r="L3657" s="519">
        <f t="shared" si="248"/>
        <v>300.00000000000068</v>
      </c>
      <c r="M3657" s="557">
        <f t="shared" si="249"/>
        <v>3.157894736842113E-2</v>
      </c>
      <c r="N3657" s="15" t="s">
        <v>22</v>
      </c>
      <c r="O3657" s="15" t="s">
        <v>39</v>
      </c>
    </row>
    <row r="3658" spans="1:15">
      <c r="A3658" s="70">
        <v>2026</v>
      </c>
      <c r="B3658" s="16" t="s">
        <v>15</v>
      </c>
      <c r="C3658" s="70" t="s">
        <v>4712</v>
      </c>
      <c r="D3658" s="15" t="s">
        <v>1204</v>
      </c>
      <c r="E3658" s="15" t="s">
        <v>4733</v>
      </c>
      <c r="F3658" s="95">
        <v>300</v>
      </c>
      <c r="G3658" s="16" t="s">
        <v>19</v>
      </c>
      <c r="H3658" s="17">
        <v>28.5</v>
      </c>
      <c r="I3658" s="17">
        <f t="shared" si="250"/>
        <v>8550</v>
      </c>
      <c r="J3658" s="519">
        <v>28.3</v>
      </c>
      <c r="K3658" s="519">
        <f t="shared" si="247"/>
        <v>0.19999999999999929</v>
      </c>
      <c r="L3658" s="519">
        <f t="shared" si="248"/>
        <v>59.999999999999787</v>
      </c>
      <c r="M3658" s="557">
        <f t="shared" si="249"/>
        <v>7.0175438596490978E-3</v>
      </c>
      <c r="N3658" s="15" t="s">
        <v>22</v>
      </c>
      <c r="O3658" s="15" t="s">
        <v>39</v>
      </c>
    </row>
    <row r="3659" spans="1:15">
      <c r="A3659" s="70">
        <v>2026</v>
      </c>
      <c r="B3659" s="16" t="s">
        <v>15</v>
      </c>
      <c r="C3659" s="70" t="s">
        <v>4734</v>
      </c>
      <c r="D3659" s="15" t="s">
        <v>4152</v>
      </c>
      <c r="E3659" s="15" t="s">
        <v>4735</v>
      </c>
      <c r="F3659" s="95">
        <v>400</v>
      </c>
      <c r="G3659" s="16" t="s">
        <v>19</v>
      </c>
      <c r="H3659" s="17">
        <v>5.0999999999999996</v>
      </c>
      <c r="I3659" s="17">
        <f t="shared" si="250"/>
        <v>2039.9999999999998</v>
      </c>
      <c r="J3659" s="519">
        <v>4.78</v>
      </c>
      <c r="K3659" s="519">
        <f t="shared" si="247"/>
        <v>0.3199999999999994</v>
      </c>
      <c r="L3659" s="519">
        <f t="shared" si="248"/>
        <v>127.99999999999976</v>
      </c>
      <c r="M3659" s="557">
        <f t="shared" si="249"/>
        <v>6.2745098039215574E-2</v>
      </c>
      <c r="N3659" s="15" t="s">
        <v>22</v>
      </c>
      <c r="O3659" s="15" t="s">
        <v>39</v>
      </c>
    </row>
    <row r="3660" spans="1:15">
      <c r="A3660" s="70">
        <v>2026</v>
      </c>
      <c r="B3660" s="16" t="s">
        <v>15</v>
      </c>
      <c r="C3660" s="70" t="s">
        <v>4734</v>
      </c>
      <c r="D3660" s="15" t="s">
        <v>4152</v>
      </c>
      <c r="E3660" s="15" t="s">
        <v>4736</v>
      </c>
      <c r="F3660" s="95">
        <v>1000</v>
      </c>
      <c r="G3660" s="16" t="s">
        <v>19</v>
      </c>
      <c r="H3660" s="17">
        <v>3.1</v>
      </c>
      <c r="I3660" s="17">
        <f t="shared" si="250"/>
        <v>3100</v>
      </c>
      <c r="J3660" s="519">
        <v>2.5499999999999998</v>
      </c>
      <c r="K3660" s="519">
        <f t="shared" si="247"/>
        <v>0.55000000000000027</v>
      </c>
      <c r="L3660" s="519">
        <f t="shared" si="248"/>
        <v>550.00000000000023</v>
      </c>
      <c r="M3660" s="557">
        <f t="shared" si="249"/>
        <v>0.17741935483870977</v>
      </c>
      <c r="N3660" s="15" t="s">
        <v>22</v>
      </c>
      <c r="O3660" s="15" t="s">
        <v>39</v>
      </c>
    </row>
    <row r="3661" spans="1:15">
      <c r="A3661" s="70">
        <v>2026</v>
      </c>
      <c r="B3661" s="16" t="s">
        <v>15</v>
      </c>
      <c r="C3661" s="70" t="s">
        <v>4734</v>
      </c>
      <c r="D3661" s="15" t="s">
        <v>4152</v>
      </c>
      <c r="E3661" s="15" t="s">
        <v>4737</v>
      </c>
      <c r="F3661" s="95">
        <v>2500</v>
      </c>
      <c r="G3661" s="16" t="s">
        <v>19</v>
      </c>
      <c r="H3661" s="17">
        <v>4</v>
      </c>
      <c r="I3661" s="17">
        <f t="shared" si="250"/>
        <v>10000</v>
      </c>
      <c r="J3661" s="519">
        <v>3</v>
      </c>
      <c r="K3661" s="519">
        <f t="shared" si="247"/>
        <v>1</v>
      </c>
      <c r="L3661" s="519">
        <f t="shared" si="248"/>
        <v>2500</v>
      </c>
      <c r="M3661" s="557">
        <f t="shared" si="249"/>
        <v>0.25</v>
      </c>
      <c r="N3661" s="15" t="s">
        <v>22</v>
      </c>
      <c r="O3661" s="15" t="s">
        <v>39</v>
      </c>
    </row>
    <row r="3662" spans="1:15">
      <c r="A3662" s="70">
        <v>2026</v>
      </c>
      <c r="B3662" s="16" t="s">
        <v>15</v>
      </c>
      <c r="C3662" s="70" t="s">
        <v>4734</v>
      </c>
      <c r="D3662" s="15" t="s">
        <v>4152</v>
      </c>
      <c r="E3662" s="15" t="s">
        <v>4713</v>
      </c>
      <c r="F3662" s="95">
        <v>1000</v>
      </c>
      <c r="G3662" s="16" t="s">
        <v>19</v>
      </c>
      <c r="H3662" s="17">
        <v>4.5999999999999996</v>
      </c>
      <c r="I3662" s="17">
        <f t="shared" si="250"/>
        <v>4600</v>
      </c>
      <c r="J3662" s="519">
        <v>3.97</v>
      </c>
      <c r="K3662" s="519">
        <f t="shared" si="247"/>
        <v>0.62999999999999945</v>
      </c>
      <c r="L3662" s="519">
        <f t="shared" si="248"/>
        <v>629.99999999999943</v>
      </c>
      <c r="M3662" s="557">
        <f t="shared" si="249"/>
        <v>0.13695652173913034</v>
      </c>
      <c r="N3662" s="15" t="s">
        <v>22</v>
      </c>
      <c r="O3662" s="15" t="s">
        <v>39</v>
      </c>
    </row>
    <row r="3663" spans="1:15">
      <c r="A3663" s="70">
        <v>2026</v>
      </c>
      <c r="B3663" s="16" t="s">
        <v>15</v>
      </c>
      <c r="C3663" s="70" t="s">
        <v>4734</v>
      </c>
      <c r="D3663" s="15" t="s">
        <v>4152</v>
      </c>
      <c r="E3663" s="15" t="s">
        <v>4738</v>
      </c>
      <c r="F3663" s="95">
        <v>2000</v>
      </c>
      <c r="G3663" s="16" t="s">
        <v>19</v>
      </c>
      <c r="H3663" s="17">
        <v>2.8</v>
      </c>
      <c r="I3663" s="17">
        <f t="shared" si="250"/>
        <v>5600</v>
      </c>
      <c r="J3663" s="519">
        <v>2.2000000000000002</v>
      </c>
      <c r="K3663" s="519">
        <f t="shared" si="247"/>
        <v>0.59999999999999964</v>
      </c>
      <c r="L3663" s="519">
        <f t="shared" si="248"/>
        <v>1199.9999999999993</v>
      </c>
      <c r="M3663" s="557">
        <f t="shared" si="249"/>
        <v>0.21428571428571416</v>
      </c>
      <c r="N3663" s="15" t="s">
        <v>22</v>
      </c>
      <c r="O3663" s="15" t="s">
        <v>39</v>
      </c>
    </row>
    <row r="3664" spans="1:15">
      <c r="A3664" s="70">
        <v>2026</v>
      </c>
      <c r="B3664" s="16" t="s">
        <v>15</v>
      </c>
      <c r="C3664" s="70" t="s">
        <v>4734</v>
      </c>
      <c r="D3664" s="15" t="s">
        <v>4152</v>
      </c>
      <c r="E3664" s="15" t="s">
        <v>4739</v>
      </c>
      <c r="F3664" s="95">
        <v>5500</v>
      </c>
      <c r="G3664" s="16" t="s">
        <v>19</v>
      </c>
      <c r="H3664" s="17">
        <v>3.4</v>
      </c>
      <c r="I3664" s="17">
        <f t="shared" si="250"/>
        <v>18700</v>
      </c>
      <c r="J3664" s="519">
        <v>2.88</v>
      </c>
      <c r="K3664" s="519">
        <f t="shared" si="247"/>
        <v>0.52</v>
      </c>
      <c r="L3664" s="519">
        <f t="shared" si="248"/>
        <v>2860</v>
      </c>
      <c r="M3664" s="557">
        <f t="shared" si="249"/>
        <v>0.15294117647058825</v>
      </c>
      <c r="N3664" s="15" t="s">
        <v>22</v>
      </c>
      <c r="O3664" s="15" t="s">
        <v>39</v>
      </c>
    </row>
    <row r="3665" spans="1:15">
      <c r="A3665" s="70">
        <v>2026</v>
      </c>
      <c r="B3665" s="16" t="s">
        <v>15</v>
      </c>
      <c r="C3665" s="70" t="s">
        <v>4734</v>
      </c>
      <c r="D3665" s="15" t="s">
        <v>4152</v>
      </c>
      <c r="E3665" s="15" t="s">
        <v>4740</v>
      </c>
      <c r="F3665" s="95">
        <v>8000</v>
      </c>
      <c r="G3665" s="16" t="s">
        <v>19</v>
      </c>
      <c r="H3665" s="17">
        <v>1.6</v>
      </c>
      <c r="I3665" s="17">
        <f t="shared" si="250"/>
        <v>12800</v>
      </c>
      <c r="J3665" s="519">
        <v>1.26</v>
      </c>
      <c r="K3665" s="519">
        <f t="shared" si="247"/>
        <v>0.34000000000000008</v>
      </c>
      <c r="L3665" s="519">
        <f t="shared" si="248"/>
        <v>2720.0000000000005</v>
      </c>
      <c r="M3665" s="557">
        <f t="shared" si="249"/>
        <v>0.21250000000000005</v>
      </c>
      <c r="N3665" s="15" t="s">
        <v>22</v>
      </c>
      <c r="O3665" s="15" t="s">
        <v>39</v>
      </c>
    </row>
    <row r="3666" spans="1:15">
      <c r="A3666" s="70">
        <v>2026</v>
      </c>
      <c r="B3666" s="16" t="s">
        <v>15</v>
      </c>
      <c r="C3666" s="70" t="s">
        <v>4734</v>
      </c>
      <c r="D3666" s="15" t="s">
        <v>4152</v>
      </c>
      <c r="E3666" s="15" t="s">
        <v>4738</v>
      </c>
      <c r="F3666" s="95">
        <v>11000</v>
      </c>
      <c r="G3666" s="16" t="s">
        <v>19</v>
      </c>
      <c r="H3666" s="17">
        <v>2.8</v>
      </c>
      <c r="I3666" s="17">
        <f t="shared" si="250"/>
        <v>30799.999999999996</v>
      </c>
      <c r="J3666" s="519">
        <v>2.2000000000000002</v>
      </c>
      <c r="K3666" s="519">
        <f t="shared" si="247"/>
        <v>0.59999999999999964</v>
      </c>
      <c r="L3666" s="519">
        <f t="shared" si="248"/>
        <v>6599.9999999999964</v>
      </c>
      <c r="M3666" s="557">
        <f t="shared" si="249"/>
        <v>0.21428571428571416</v>
      </c>
      <c r="N3666" s="15" t="s">
        <v>22</v>
      </c>
      <c r="O3666" s="15" t="s">
        <v>39</v>
      </c>
    </row>
    <row r="3667" spans="1:15">
      <c r="A3667" s="70">
        <v>2026</v>
      </c>
      <c r="B3667" s="16" t="s">
        <v>15</v>
      </c>
      <c r="C3667" s="70" t="s">
        <v>4734</v>
      </c>
      <c r="D3667" s="15" t="s">
        <v>4152</v>
      </c>
      <c r="E3667" s="15" t="s">
        <v>4739</v>
      </c>
      <c r="F3667" s="95">
        <v>5000</v>
      </c>
      <c r="G3667" s="16" t="s">
        <v>19</v>
      </c>
      <c r="H3667" s="17">
        <v>3.4</v>
      </c>
      <c r="I3667" s="17">
        <f t="shared" si="250"/>
        <v>17000</v>
      </c>
      <c r="J3667" s="519">
        <v>2.88</v>
      </c>
      <c r="K3667" s="519">
        <f t="shared" si="247"/>
        <v>0.52</v>
      </c>
      <c r="L3667" s="519">
        <f t="shared" si="248"/>
        <v>2600</v>
      </c>
      <c r="M3667" s="557">
        <f t="shared" si="249"/>
        <v>0.15294117647058825</v>
      </c>
      <c r="N3667" s="15" t="s">
        <v>22</v>
      </c>
      <c r="O3667" s="15" t="s">
        <v>39</v>
      </c>
    </row>
    <row r="3668" spans="1:15">
      <c r="A3668" s="70">
        <v>2026</v>
      </c>
      <c r="B3668" s="16" t="s">
        <v>15</v>
      </c>
      <c r="C3668" s="70" t="s">
        <v>4734</v>
      </c>
      <c r="D3668" s="15" t="s">
        <v>4152</v>
      </c>
      <c r="E3668" s="15" t="s">
        <v>4741</v>
      </c>
      <c r="F3668" s="95">
        <v>3000</v>
      </c>
      <c r="G3668" s="16" t="s">
        <v>19</v>
      </c>
      <c r="H3668" s="17">
        <v>4.5</v>
      </c>
      <c r="I3668" s="17">
        <f t="shared" si="250"/>
        <v>13500</v>
      </c>
      <c r="J3668" s="519">
        <v>3.15</v>
      </c>
      <c r="K3668" s="519">
        <f t="shared" si="247"/>
        <v>1.35</v>
      </c>
      <c r="L3668" s="519">
        <f t="shared" si="248"/>
        <v>4050.0000000000005</v>
      </c>
      <c r="M3668" s="557">
        <f t="shared" si="249"/>
        <v>0.30000000000000004</v>
      </c>
      <c r="N3668" s="15" t="s">
        <v>22</v>
      </c>
      <c r="O3668" s="15" t="s">
        <v>39</v>
      </c>
    </row>
    <row r="3669" spans="1:15">
      <c r="A3669" s="70">
        <v>2026</v>
      </c>
      <c r="B3669" s="16" t="s">
        <v>15</v>
      </c>
      <c r="C3669" s="70" t="s">
        <v>4734</v>
      </c>
      <c r="D3669" s="15" t="s">
        <v>4152</v>
      </c>
      <c r="E3669" s="15" t="s">
        <v>4742</v>
      </c>
      <c r="F3669" s="95">
        <v>8000</v>
      </c>
      <c r="G3669" s="16" t="s">
        <v>19</v>
      </c>
      <c r="H3669" s="17">
        <v>1</v>
      </c>
      <c r="I3669" s="17">
        <f t="shared" si="250"/>
        <v>8000</v>
      </c>
      <c r="J3669" s="519">
        <v>0.67</v>
      </c>
      <c r="K3669" s="519">
        <f t="shared" si="247"/>
        <v>0.32999999999999996</v>
      </c>
      <c r="L3669" s="519">
        <f t="shared" si="248"/>
        <v>2639.9999999999995</v>
      </c>
      <c r="M3669" s="557">
        <f t="shared" si="249"/>
        <v>0.32999999999999996</v>
      </c>
      <c r="N3669" s="15" t="s">
        <v>22</v>
      </c>
      <c r="O3669" s="15" t="s">
        <v>39</v>
      </c>
    </row>
    <row r="3670" spans="1:15">
      <c r="A3670" s="70">
        <v>2026</v>
      </c>
      <c r="B3670" s="16" t="s">
        <v>15</v>
      </c>
      <c r="C3670" s="70" t="s">
        <v>4734</v>
      </c>
      <c r="D3670" s="15" t="s">
        <v>4152</v>
      </c>
      <c r="E3670" s="15" t="s">
        <v>4740</v>
      </c>
      <c r="F3670" s="95">
        <v>4000</v>
      </c>
      <c r="G3670" s="16" t="s">
        <v>19</v>
      </c>
      <c r="H3670" s="17">
        <v>1.6</v>
      </c>
      <c r="I3670" s="17">
        <f t="shared" si="250"/>
        <v>6400</v>
      </c>
      <c r="J3670" s="519">
        <v>1.26</v>
      </c>
      <c r="K3670" s="519">
        <f t="shared" si="247"/>
        <v>0.34000000000000008</v>
      </c>
      <c r="L3670" s="519">
        <f t="shared" si="248"/>
        <v>1360.0000000000002</v>
      </c>
      <c r="M3670" s="557">
        <f t="shared" si="249"/>
        <v>0.21250000000000005</v>
      </c>
      <c r="N3670" s="15" t="s">
        <v>22</v>
      </c>
      <c r="O3670" s="15" t="s">
        <v>39</v>
      </c>
    </row>
    <row r="3671" spans="1:15">
      <c r="A3671" s="70">
        <v>2026</v>
      </c>
      <c r="B3671" s="16" t="s">
        <v>15</v>
      </c>
      <c r="C3671" s="70" t="s">
        <v>4734</v>
      </c>
      <c r="D3671" s="15" t="s">
        <v>4152</v>
      </c>
      <c r="E3671" s="15" t="s">
        <v>4743</v>
      </c>
      <c r="F3671" s="95">
        <v>7000</v>
      </c>
      <c r="G3671" s="16" t="s">
        <v>19</v>
      </c>
      <c r="H3671" s="17">
        <v>2.5</v>
      </c>
      <c r="I3671" s="17">
        <f t="shared" si="250"/>
        <v>17500</v>
      </c>
      <c r="J3671" s="519">
        <v>2</v>
      </c>
      <c r="K3671" s="519">
        <f t="shared" si="247"/>
        <v>0.5</v>
      </c>
      <c r="L3671" s="519">
        <f t="shared" si="248"/>
        <v>3500</v>
      </c>
      <c r="M3671" s="557">
        <f t="shared" si="249"/>
        <v>0.2</v>
      </c>
      <c r="N3671" s="15" t="s">
        <v>22</v>
      </c>
      <c r="O3671" s="15" t="s">
        <v>39</v>
      </c>
    </row>
    <row r="3672" spans="1:15">
      <c r="A3672" s="70">
        <v>2026</v>
      </c>
      <c r="B3672" s="16" t="s">
        <v>15</v>
      </c>
      <c r="C3672" s="70" t="s">
        <v>4734</v>
      </c>
      <c r="D3672" s="15" t="s">
        <v>4152</v>
      </c>
      <c r="E3672" s="15" t="s">
        <v>4744</v>
      </c>
      <c r="F3672" s="95">
        <v>300</v>
      </c>
      <c r="G3672" s="16" t="s">
        <v>19</v>
      </c>
      <c r="H3672" s="17">
        <v>7</v>
      </c>
      <c r="I3672" s="17">
        <f t="shared" si="250"/>
        <v>2100</v>
      </c>
      <c r="J3672" s="519">
        <v>6.25</v>
      </c>
      <c r="K3672" s="519">
        <f t="shared" si="247"/>
        <v>0.75</v>
      </c>
      <c r="L3672" s="519">
        <f t="shared" si="248"/>
        <v>225</v>
      </c>
      <c r="M3672" s="557">
        <f t="shared" si="249"/>
        <v>0.10714285714285714</v>
      </c>
      <c r="N3672" s="15" t="s">
        <v>22</v>
      </c>
      <c r="O3672" s="15" t="s">
        <v>39</v>
      </c>
    </row>
    <row r="3673" spans="1:15">
      <c r="A3673" s="70">
        <v>2026</v>
      </c>
      <c r="B3673" s="16" t="s">
        <v>15</v>
      </c>
      <c r="C3673" s="70" t="s">
        <v>4734</v>
      </c>
      <c r="D3673" s="15" t="s">
        <v>4152</v>
      </c>
      <c r="E3673" s="15" t="s">
        <v>4745</v>
      </c>
      <c r="F3673" s="95">
        <v>12000</v>
      </c>
      <c r="G3673" s="16" t="s">
        <v>19</v>
      </c>
      <c r="H3673" s="17">
        <v>1.2</v>
      </c>
      <c r="I3673" s="17">
        <f t="shared" si="250"/>
        <v>14400</v>
      </c>
      <c r="J3673" s="519">
        <v>0.75</v>
      </c>
      <c r="K3673" s="519">
        <f t="shared" si="247"/>
        <v>0.44999999999999996</v>
      </c>
      <c r="L3673" s="519">
        <f t="shared" si="248"/>
        <v>5399.9999999999991</v>
      </c>
      <c r="M3673" s="557">
        <f t="shared" si="249"/>
        <v>0.375</v>
      </c>
      <c r="N3673" s="15" t="s">
        <v>22</v>
      </c>
      <c r="O3673" s="15" t="s">
        <v>39</v>
      </c>
    </row>
    <row r="3674" spans="1:15">
      <c r="A3674" s="70">
        <v>2026</v>
      </c>
      <c r="B3674" s="16" t="s">
        <v>15</v>
      </c>
      <c r="C3674" s="70" t="s">
        <v>4734</v>
      </c>
      <c r="D3674" s="15" t="s">
        <v>4152</v>
      </c>
      <c r="E3674" s="15" t="s">
        <v>4746</v>
      </c>
      <c r="F3674" s="95">
        <v>1500</v>
      </c>
      <c r="G3674" s="16" t="s">
        <v>19</v>
      </c>
      <c r="H3674" s="17">
        <v>2.2999999999999998</v>
      </c>
      <c r="I3674" s="17">
        <f t="shared" si="250"/>
        <v>3449.9999999999995</v>
      </c>
      <c r="J3674" s="519">
        <v>2.15</v>
      </c>
      <c r="K3674" s="519">
        <f t="shared" si="247"/>
        <v>0.14999999999999991</v>
      </c>
      <c r="L3674" s="519">
        <f t="shared" si="248"/>
        <v>224.99999999999986</v>
      </c>
      <c r="M3674" s="557">
        <f t="shared" si="249"/>
        <v>6.5217391304347797E-2</v>
      </c>
      <c r="N3674" s="15" t="s">
        <v>22</v>
      </c>
      <c r="O3674" s="15" t="s">
        <v>39</v>
      </c>
    </row>
    <row r="3675" spans="1:15">
      <c r="A3675" s="70">
        <v>2026</v>
      </c>
      <c r="B3675" s="16" t="s">
        <v>15</v>
      </c>
      <c r="C3675" s="70" t="s">
        <v>4734</v>
      </c>
      <c r="D3675" s="15" t="s">
        <v>4152</v>
      </c>
      <c r="E3675" s="15" t="s">
        <v>4747</v>
      </c>
      <c r="F3675" s="95">
        <v>35000</v>
      </c>
      <c r="G3675" s="16" t="s">
        <v>19</v>
      </c>
      <c r="H3675" s="17">
        <v>4.1500000000000004</v>
      </c>
      <c r="I3675" s="17">
        <f t="shared" si="250"/>
        <v>145250</v>
      </c>
      <c r="J3675" s="519">
        <v>3.9</v>
      </c>
      <c r="K3675" s="519">
        <f t="shared" si="247"/>
        <v>0.25000000000000044</v>
      </c>
      <c r="L3675" s="519">
        <f t="shared" si="248"/>
        <v>8750.0000000000164</v>
      </c>
      <c r="M3675" s="557">
        <f t="shared" si="249"/>
        <v>6.024096385542179E-2</v>
      </c>
      <c r="N3675" s="15" t="s">
        <v>22</v>
      </c>
      <c r="O3675" s="15" t="s">
        <v>39</v>
      </c>
    </row>
    <row r="3676" spans="1:15">
      <c r="A3676" s="70">
        <v>2026</v>
      </c>
      <c r="B3676" s="16" t="s">
        <v>15</v>
      </c>
      <c r="C3676" s="70" t="s">
        <v>4734</v>
      </c>
      <c r="D3676" s="15" t="s">
        <v>4152</v>
      </c>
      <c r="E3676" s="15" t="s">
        <v>4743</v>
      </c>
      <c r="F3676" s="95">
        <v>1000</v>
      </c>
      <c r="G3676" s="16" t="s">
        <v>19</v>
      </c>
      <c r="H3676" s="17">
        <v>2.5</v>
      </c>
      <c r="I3676" s="17">
        <f t="shared" si="250"/>
        <v>2500</v>
      </c>
      <c r="J3676" s="519">
        <v>2.1</v>
      </c>
      <c r="K3676" s="519">
        <f t="shared" si="247"/>
        <v>0.39999999999999991</v>
      </c>
      <c r="L3676" s="519">
        <f t="shared" si="248"/>
        <v>399.99999999999989</v>
      </c>
      <c r="M3676" s="557">
        <f t="shared" si="249"/>
        <v>0.15999999999999998</v>
      </c>
      <c r="N3676" s="15" t="s">
        <v>22</v>
      </c>
      <c r="O3676" s="15" t="s">
        <v>39</v>
      </c>
    </row>
    <row r="3677" spans="1:15">
      <c r="A3677" s="70">
        <v>2026</v>
      </c>
      <c r="B3677" s="16" t="s">
        <v>15</v>
      </c>
      <c r="C3677" s="70" t="s">
        <v>4734</v>
      </c>
      <c r="D3677" s="15" t="s">
        <v>4152</v>
      </c>
      <c r="E3677" s="15" t="s">
        <v>4748</v>
      </c>
      <c r="F3677" s="95">
        <v>200</v>
      </c>
      <c r="G3677" s="16" t="s">
        <v>19</v>
      </c>
      <c r="H3677" s="17">
        <v>15</v>
      </c>
      <c r="I3677" s="17">
        <f t="shared" si="250"/>
        <v>3000</v>
      </c>
      <c r="J3677" s="519">
        <v>8.6999999999999993</v>
      </c>
      <c r="K3677" s="519">
        <f t="shared" si="247"/>
        <v>6.3000000000000007</v>
      </c>
      <c r="L3677" s="519">
        <f t="shared" si="248"/>
        <v>1260.0000000000002</v>
      </c>
      <c r="M3677" s="557">
        <f t="shared" si="249"/>
        <v>0.42000000000000004</v>
      </c>
      <c r="N3677" s="15" t="s">
        <v>22</v>
      </c>
      <c r="O3677" s="15" t="s">
        <v>39</v>
      </c>
    </row>
    <row r="3678" spans="1:15">
      <c r="A3678" s="70">
        <v>2026</v>
      </c>
      <c r="B3678" s="16" t="s">
        <v>15</v>
      </c>
      <c r="C3678" s="70" t="s">
        <v>4734</v>
      </c>
      <c r="D3678" s="15" t="s">
        <v>4152</v>
      </c>
      <c r="E3678" s="15" t="s">
        <v>4749</v>
      </c>
      <c r="F3678" s="95">
        <v>200</v>
      </c>
      <c r="G3678" s="16" t="s">
        <v>19</v>
      </c>
      <c r="H3678" s="17">
        <v>3.5</v>
      </c>
      <c r="I3678" s="17">
        <f t="shared" si="250"/>
        <v>700</v>
      </c>
      <c r="J3678" s="519">
        <v>2.85</v>
      </c>
      <c r="K3678" s="519">
        <f t="shared" si="247"/>
        <v>0.64999999999999991</v>
      </c>
      <c r="L3678" s="519">
        <f t="shared" si="248"/>
        <v>129.99999999999997</v>
      </c>
      <c r="M3678" s="557">
        <f t="shared" si="249"/>
        <v>0.18571428571428569</v>
      </c>
      <c r="N3678" s="15" t="s">
        <v>22</v>
      </c>
      <c r="O3678" s="15" t="s">
        <v>39</v>
      </c>
    </row>
    <row r="3679" spans="1:15">
      <c r="A3679" s="70">
        <v>2026</v>
      </c>
      <c r="B3679" s="16" t="s">
        <v>15</v>
      </c>
      <c r="C3679" s="70" t="s">
        <v>4734</v>
      </c>
      <c r="D3679" s="15" t="s">
        <v>4152</v>
      </c>
      <c r="E3679" s="15" t="s">
        <v>4750</v>
      </c>
      <c r="F3679" s="95">
        <v>200</v>
      </c>
      <c r="G3679" s="16" t="s">
        <v>19</v>
      </c>
      <c r="H3679" s="17">
        <v>7.7</v>
      </c>
      <c r="I3679" s="17">
        <f t="shared" si="250"/>
        <v>1540</v>
      </c>
      <c r="J3679" s="519">
        <v>7.67</v>
      </c>
      <c r="K3679" s="519">
        <f t="shared" si="247"/>
        <v>3.0000000000000249E-2</v>
      </c>
      <c r="L3679" s="519">
        <f t="shared" si="248"/>
        <v>6.0000000000000497</v>
      </c>
      <c r="M3679" s="557">
        <f t="shared" si="249"/>
        <v>3.8961038961039282E-3</v>
      </c>
      <c r="N3679" s="15" t="s">
        <v>22</v>
      </c>
      <c r="O3679" s="15" t="s">
        <v>39</v>
      </c>
    </row>
    <row r="3680" spans="1:15">
      <c r="A3680" s="70">
        <v>2026</v>
      </c>
      <c r="B3680" s="16" t="s">
        <v>15</v>
      </c>
      <c r="C3680" s="70" t="s">
        <v>4734</v>
      </c>
      <c r="D3680" s="15" t="s">
        <v>4152</v>
      </c>
      <c r="E3680" s="15" t="s">
        <v>4751</v>
      </c>
      <c r="F3680" s="95">
        <v>2000</v>
      </c>
      <c r="G3680" s="16" t="s">
        <v>19</v>
      </c>
      <c r="H3680" s="17">
        <v>1.2</v>
      </c>
      <c r="I3680" s="17">
        <f t="shared" si="250"/>
        <v>2400</v>
      </c>
      <c r="J3680" s="519">
        <v>1.1499999999999999</v>
      </c>
      <c r="K3680" s="519">
        <f t="shared" si="247"/>
        <v>5.0000000000000044E-2</v>
      </c>
      <c r="L3680" s="519">
        <f t="shared" si="248"/>
        <v>100.00000000000009</v>
      </c>
      <c r="M3680" s="557">
        <f t="shared" si="249"/>
        <v>4.1666666666666706E-2</v>
      </c>
      <c r="N3680" s="15" t="s">
        <v>22</v>
      </c>
      <c r="O3680" s="15" t="s">
        <v>39</v>
      </c>
    </row>
    <row r="3681" spans="1:15">
      <c r="A3681" s="70">
        <v>2026</v>
      </c>
      <c r="B3681" s="16" t="s">
        <v>15</v>
      </c>
      <c r="C3681" s="70" t="s">
        <v>4734</v>
      </c>
      <c r="D3681" s="15" t="s">
        <v>4152</v>
      </c>
      <c r="E3681" s="15" t="s">
        <v>4752</v>
      </c>
      <c r="F3681" s="95">
        <v>2000</v>
      </c>
      <c r="G3681" s="16" t="s">
        <v>19</v>
      </c>
      <c r="H3681" s="17">
        <v>0.3</v>
      </c>
      <c r="I3681" s="17">
        <f t="shared" si="250"/>
        <v>600</v>
      </c>
      <c r="J3681" s="519">
        <v>0.17</v>
      </c>
      <c r="K3681" s="519">
        <f t="shared" si="247"/>
        <v>0.12999999999999998</v>
      </c>
      <c r="L3681" s="519">
        <f t="shared" si="248"/>
        <v>259.99999999999994</v>
      </c>
      <c r="M3681" s="557">
        <f t="shared" si="249"/>
        <v>0.43333333333333329</v>
      </c>
      <c r="N3681" s="15" t="s">
        <v>22</v>
      </c>
      <c r="O3681" s="15" t="s">
        <v>39</v>
      </c>
    </row>
    <row r="3682" spans="1:15">
      <c r="A3682" s="70">
        <v>2026</v>
      </c>
      <c r="B3682" s="16" t="s">
        <v>15</v>
      </c>
      <c r="C3682" s="70" t="s">
        <v>4734</v>
      </c>
      <c r="D3682" s="15" t="s">
        <v>4152</v>
      </c>
      <c r="E3682" s="15" t="s">
        <v>4753</v>
      </c>
      <c r="F3682" s="95">
        <v>1000</v>
      </c>
      <c r="G3682" s="16" t="s">
        <v>19</v>
      </c>
      <c r="H3682" s="17">
        <v>8.8000000000000007</v>
      </c>
      <c r="I3682" s="17">
        <f t="shared" si="250"/>
        <v>8800</v>
      </c>
      <c r="J3682" s="519">
        <v>8.16</v>
      </c>
      <c r="K3682" s="519">
        <f t="shared" si="247"/>
        <v>0.64000000000000057</v>
      </c>
      <c r="L3682" s="519">
        <f t="shared" si="248"/>
        <v>640.00000000000057</v>
      </c>
      <c r="M3682" s="557">
        <f t="shared" si="249"/>
        <v>7.2727272727272779E-2</v>
      </c>
      <c r="N3682" s="15" t="s">
        <v>22</v>
      </c>
      <c r="O3682" s="15" t="s">
        <v>39</v>
      </c>
    </row>
    <row r="3683" spans="1:15">
      <c r="A3683" s="70">
        <v>2026</v>
      </c>
      <c r="B3683" s="16" t="s">
        <v>15</v>
      </c>
      <c r="C3683" s="70" t="s">
        <v>4734</v>
      </c>
      <c r="D3683" s="15" t="s">
        <v>4152</v>
      </c>
      <c r="E3683" s="15" t="s">
        <v>4754</v>
      </c>
      <c r="F3683" s="95">
        <v>500</v>
      </c>
      <c r="G3683" s="16" t="s">
        <v>19</v>
      </c>
      <c r="H3683" s="17">
        <v>6</v>
      </c>
      <c r="I3683" s="17">
        <f t="shared" si="250"/>
        <v>3000</v>
      </c>
      <c r="J3683" s="519">
        <v>4.0999999999999996</v>
      </c>
      <c r="K3683" s="519">
        <f t="shared" si="247"/>
        <v>1.9000000000000004</v>
      </c>
      <c r="L3683" s="519">
        <f t="shared" si="248"/>
        <v>950.00000000000023</v>
      </c>
      <c r="M3683" s="557">
        <f t="shared" si="249"/>
        <v>0.31666666666666671</v>
      </c>
      <c r="N3683" s="15" t="s">
        <v>22</v>
      </c>
      <c r="O3683" s="15" t="s">
        <v>39</v>
      </c>
    </row>
    <row r="3684" spans="1:15">
      <c r="A3684" s="70">
        <v>2026</v>
      </c>
      <c r="B3684" s="16" t="s">
        <v>15</v>
      </c>
      <c r="C3684" s="70" t="s">
        <v>4734</v>
      </c>
      <c r="D3684" s="15" t="s">
        <v>4152</v>
      </c>
      <c r="E3684" s="15" t="s">
        <v>4752</v>
      </c>
      <c r="F3684" s="95">
        <v>1000</v>
      </c>
      <c r="G3684" s="16" t="s">
        <v>19</v>
      </c>
      <c r="H3684" s="17">
        <v>0.3</v>
      </c>
      <c r="I3684" s="17">
        <f t="shared" si="250"/>
        <v>300</v>
      </c>
      <c r="J3684" s="519">
        <v>0.17</v>
      </c>
      <c r="K3684" s="519">
        <f t="shared" si="247"/>
        <v>0.12999999999999998</v>
      </c>
      <c r="L3684" s="519">
        <f t="shared" si="248"/>
        <v>129.99999999999997</v>
      </c>
      <c r="M3684" s="557">
        <f t="shared" si="249"/>
        <v>0.43333333333333329</v>
      </c>
      <c r="N3684" s="15" t="s">
        <v>22</v>
      </c>
      <c r="O3684" s="15" t="s">
        <v>39</v>
      </c>
    </row>
    <row r="3685" spans="1:15">
      <c r="A3685" s="70">
        <v>2026</v>
      </c>
      <c r="B3685" s="16" t="s">
        <v>15</v>
      </c>
      <c r="C3685" s="70" t="s">
        <v>4734</v>
      </c>
      <c r="D3685" s="15" t="s">
        <v>4152</v>
      </c>
      <c r="E3685" s="15" t="s">
        <v>4755</v>
      </c>
      <c r="F3685" s="95">
        <v>500</v>
      </c>
      <c r="G3685" s="16" t="s">
        <v>19</v>
      </c>
      <c r="H3685" s="17">
        <v>2.15</v>
      </c>
      <c r="I3685" s="17">
        <f t="shared" si="250"/>
        <v>1075</v>
      </c>
      <c r="J3685" s="519">
        <v>2.0499999999999998</v>
      </c>
      <c r="K3685" s="519">
        <f t="shared" si="247"/>
        <v>0.10000000000000009</v>
      </c>
      <c r="L3685" s="519">
        <f t="shared" si="248"/>
        <v>50.000000000000043</v>
      </c>
      <c r="M3685" s="557">
        <f t="shared" si="249"/>
        <v>4.6511627906976785E-2</v>
      </c>
      <c r="N3685" s="15" t="s">
        <v>22</v>
      </c>
      <c r="O3685" s="15" t="s">
        <v>39</v>
      </c>
    </row>
    <row r="3686" spans="1:15">
      <c r="A3686" s="70">
        <v>2026</v>
      </c>
      <c r="B3686" s="16" t="s">
        <v>15</v>
      </c>
      <c r="C3686" s="70" t="s">
        <v>4734</v>
      </c>
      <c r="D3686" s="15" t="s">
        <v>4152</v>
      </c>
      <c r="E3686" s="15" t="s">
        <v>4756</v>
      </c>
      <c r="F3686" s="95">
        <v>1000</v>
      </c>
      <c r="G3686" s="16" t="s">
        <v>19</v>
      </c>
      <c r="H3686" s="17">
        <v>8.6</v>
      </c>
      <c r="I3686" s="17">
        <f t="shared" si="250"/>
        <v>8600</v>
      </c>
      <c r="J3686" s="519">
        <v>6.5</v>
      </c>
      <c r="K3686" s="519">
        <f t="shared" si="247"/>
        <v>2.0999999999999996</v>
      </c>
      <c r="L3686" s="519">
        <f t="shared" si="248"/>
        <v>2099.9999999999995</v>
      </c>
      <c r="M3686" s="557">
        <f t="shared" si="249"/>
        <v>0.24418604651162787</v>
      </c>
      <c r="N3686" s="15" t="s">
        <v>22</v>
      </c>
      <c r="O3686" s="15" t="s">
        <v>39</v>
      </c>
    </row>
    <row r="3687" spans="1:15">
      <c r="A3687" s="70">
        <v>2026</v>
      </c>
      <c r="B3687" s="16" t="s">
        <v>15</v>
      </c>
      <c r="C3687" s="70" t="s">
        <v>4734</v>
      </c>
      <c r="D3687" s="15" t="s">
        <v>4152</v>
      </c>
      <c r="E3687" s="15" t="s">
        <v>4757</v>
      </c>
      <c r="F3687" s="95">
        <v>5000</v>
      </c>
      <c r="G3687" s="16" t="s">
        <v>19</v>
      </c>
      <c r="H3687" s="17">
        <v>0.56999999999999995</v>
      </c>
      <c r="I3687" s="17">
        <f t="shared" si="250"/>
        <v>2849.9999999999995</v>
      </c>
      <c r="J3687" s="519">
        <v>0.4</v>
      </c>
      <c r="K3687" s="519">
        <f t="shared" si="247"/>
        <v>0.16999999999999993</v>
      </c>
      <c r="L3687" s="519">
        <f t="shared" si="248"/>
        <v>849.99999999999966</v>
      </c>
      <c r="M3687" s="557">
        <f t="shared" si="249"/>
        <v>0.29824561403508765</v>
      </c>
      <c r="N3687" s="15" t="s">
        <v>22</v>
      </c>
      <c r="O3687" s="15" t="s">
        <v>39</v>
      </c>
    </row>
    <row r="3688" spans="1:15">
      <c r="A3688" s="70">
        <v>2026</v>
      </c>
      <c r="B3688" s="16" t="s">
        <v>15</v>
      </c>
      <c r="C3688" s="70" t="s">
        <v>4734</v>
      </c>
      <c r="D3688" s="15" t="s">
        <v>4152</v>
      </c>
      <c r="E3688" s="15" t="s">
        <v>4758</v>
      </c>
      <c r="F3688" s="95">
        <v>10000</v>
      </c>
      <c r="G3688" s="16" t="s">
        <v>19</v>
      </c>
      <c r="H3688" s="17">
        <v>0.55000000000000004</v>
      </c>
      <c r="I3688" s="17">
        <f t="shared" si="250"/>
        <v>5500</v>
      </c>
      <c r="J3688" s="519">
        <v>0.37</v>
      </c>
      <c r="K3688" s="519">
        <f t="shared" si="247"/>
        <v>0.18000000000000005</v>
      </c>
      <c r="L3688" s="519">
        <f t="shared" si="248"/>
        <v>1800.0000000000005</v>
      </c>
      <c r="M3688" s="557">
        <f t="shared" si="249"/>
        <v>0.32727272727272733</v>
      </c>
      <c r="N3688" s="15" t="s">
        <v>22</v>
      </c>
      <c r="O3688" s="15" t="s">
        <v>39</v>
      </c>
    </row>
    <row r="3689" spans="1:15">
      <c r="A3689" s="70">
        <v>2026</v>
      </c>
      <c r="B3689" s="16" t="s">
        <v>15</v>
      </c>
      <c r="C3689" s="70" t="s">
        <v>4734</v>
      </c>
      <c r="D3689" s="15" t="s">
        <v>4152</v>
      </c>
      <c r="E3689" s="15" t="s">
        <v>4757</v>
      </c>
      <c r="F3689" s="95">
        <v>1000</v>
      </c>
      <c r="G3689" s="16" t="s">
        <v>19</v>
      </c>
      <c r="H3689" s="17">
        <v>0.56999999999999995</v>
      </c>
      <c r="I3689" s="17">
        <f t="shared" si="250"/>
        <v>570</v>
      </c>
      <c r="J3689" s="519">
        <v>0.4</v>
      </c>
      <c r="K3689" s="519">
        <f t="shared" si="247"/>
        <v>0.16999999999999993</v>
      </c>
      <c r="L3689" s="519">
        <f t="shared" si="248"/>
        <v>169.99999999999994</v>
      </c>
      <c r="M3689" s="557">
        <f t="shared" si="249"/>
        <v>0.29824561403508765</v>
      </c>
      <c r="N3689" s="15" t="s">
        <v>22</v>
      </c>
      <c r="O3689" s="15" t="s">
        <v>39</v>
      </c>
    </row>
    <row r="3690" spans="1:15">
      <c r="A3690" s="70">
        <v>2026</v>
      </c>
      <c r="B3690" s="16" t="s">
        <v>15</v>
      </c>
      <c r="C3690" s="70" t="s">
        <v>4734</v>
      </c>
      <c r="D3690" s="15" t="s">
        <v>4152</v>
      </c>
      <c r="E3690" s="15" t="s">
        <v>4759</v>
      </c>
      <c r="F3690" s="95">
        <v>400</v>
      </c>
      <c r="G3690" s="16" t="s">
        <v>19</v>
      </c>
      <c r="H3690" s="17">
        <v>7</v>
      </c>
      <c r="I3690" s="17">
        <f t="shared" si="250"/>
        <v>2800</v>
      </c>
      <c r="J3690" s="519">
        <v>5.45</v>
      </c>
      <c r="K3690" s="519">
        <f t="shared" si="247"/>
        <v>1.5499999999999998</v>
      </c>
      <c r="L3690" s="519">
        <f t="shared" si="248"/>
        <v>619.99999999999989</v>
      </c>
      <c r="M3690" s="557">
        <f t="shared" si="249"/>
        <v>0.22142857142857139</v>
      </c>
      <c r="N3690" s="15" t="s">
        <v>22</v>
      </c>
      <c r="O3690" s="15" t="s">
        <v>39</v>
      </c>
    </row>
    <row r="3691" spans="1:15">
      <c r="A3691" s="70">
        <v>2026</v>
      </c>
      <c r="B3691" s="16" t="s">
        <v>15</v>
      </c>
      <c r="C3691" s="70" t="s">
        <v>4734</v>
      </c>
      <c r="D3691" s="15" t="s">
        <v>4152</v>
      </c>
      <c r="E3691" s="15" t="s">
        <v>4760</v>
      </c>
      <c r="F3691" s="95">
        <v>500</v>
      </c>
      <c r="G3691" s="16" t="s">
        <v>19</v>
      </c>
      <c r="H3691" s="17">
        <v>1.3</v>
      </c>
      <c r="I3691" s="17">
        <f t="shared" si="250"/>
        <v>650</v>
      </c>
      <c r="J3691" s="519">
        <v>0.9</v>
      </c>
      <c r="K3691" s="519">
        <f t="shared" si="247"/>
        <v>0.4</v>
      </c>
      <c r="L3691" s="519">
        <f t="shared" si="248"/>
        <v>200</v>
      </c>
      <c r="M3691" s="557">
        <f t="shared" si="249"/>
        <v>0.30769230769230771</v>
      </c>
      <c r="N3691" s="15" t="s">
        <v>22</v>
      </c>
      <c r="O3691" s="15" t="s">
        <v>39</v>
      </c>
    </row>
    <row r="3692" spans="1:15">
      <c r="A3692" s="70">
        <v>2026</v>
      </c>
      <c r="B3692" s="16" t="s">
        <v>15</v>
      </c>
      <c r="C3692" s="70" t="s">
        <v>4734</v>
      </c>
      <c r="D3692" s="15" t="s">
        <v>4152</v>
      </c>
      <c r="E3692" s="15" t="s">
        <v>4761</v>
      </c>
      <c r="F3692" s="95">
        <v>500</v>
      </c>
      <c r="G3692" s="16" t="s">
        <v>19</v>
      </c>
      <c r="H3692" s="17">
        <v>0.15</v>
      </c>
      <c r="I3692" s="17">
        <f t="shared" si="250"/>
        <v>75</v>
      </c>
      <c r="J3692" s="519">
        <v>0.12</v>
      </c>
      <c r="K3692" s="519">
        <f t="shared" si="247"/>
        <v>0.03</v>
      </c>
      <c r="L3692" s="519">
        <f t="shared" si="248"/>
        <v>15</v>
      </c>
      <c r="M3692" s="557">
        <f t="shared" si="249"/>
        <v>0.2</v>
      </c>
      <c r="N3692" s="15" t="s">
        <v>22</v>
      </c>
      <c r="O3692" s="15" t="s">
        <v>39</v>
      </c>
    </row>
    <row r="3693" spans="1:15">
      <c r="A3693" s="70">
        <v>2026</v>
      </c>
      <c r="B3693" s="16" t="s">
        <v>15</v>
      </c>
      <c r="C3693" s="70" t="s">
        <v>4734</v>
      </c>
      <c r="D3693" s="15" t="s">
        <v>4152</v>
      </c>
      <c r="E3693" s="15" t="s">
        <v>4762</v>
      </c>
      <c r="F3693" s="95">
        <v>500</v>
      </c>
      <c r="G3693" s="16" t="s">
        <v>19</v>
      </c>
      <c r="H3693" s="17">
        <v>0.18</v>
      </c>
      <c r="I3693" s="17">
        <f t="shared" si="250"/>
        <v>90</v>
      </c>
      <c r="J3693" s="519">
        <v>0.17</v>
      </c>
      <c r="K3693" s="519">
        <f t="shared" si="247"/>
        <v>9.9999999999999811E-3</v>
      </c>
      <c r="L3693" s="519">
        <f t="shared" si="248"/>
        <v>4.9999999999999902</v>
      </c>
      <c r="M3693" s="557">
        <f t="shared" si="249"/>
        <v>5.5555555555555455E-2</v>
      </c>
      <c r="N3693" s="15" t="s">
        <v>22</v>
      </c>
      <c r="O3693" s="15" t="s">
        <v>39</v>
      </c>
    </row>
    <row r="3694" spans="1:15">
      <c r="A3694" s="70">
        <v>2026</v>
      </c>
      <c r="B3694" s="16" t="s">
        <v>15</v>
      </c>
      <c r="C3694" s="70" t="s">
        <v>4734</v>
      </c>
      <c r="D3694" s="15" t="s">
        <v>4152</v>
      </c>
      <c r="E3694" s="15" t="s">
        <v>4763</v>
      </c>
      <c r="F3694" s="95">
        <v>500</v>
      </c>
      <c r="G3694" s="16" t="s">
        <v>19</v>
      </c>
      <c r="H3694" s="17">
        <v>1.7</v>
      </c>
      <c r="I3694" s="17">
        <f t="shared" si="250"/>
        <v>850</v>
      </c>
      <c r="J3694" s="519">
        <v>1.37</v>
      </c>
      <c r="K3694" s="519">
        <f t="shared" si="247"/>
        <v>0.32999999999999985</v>
      </c>
      <c r="L3694" s="519">
        <f t="shared" si="248"/>
        <v>164.99999999999991</v>
      </c>
      <c r="M3694" s="557">
        <f t="shared" si="249"/>
        <v>0.19411764705882345</v>
      </c>
      <c r="N3694" s="15" t="s">
        <v>22</v>
      </c>
      <c r="O3694" s="15" t="s">
        <v>39</v>
      </c>
    </row>
    <row r="3695" spans="1:15">
      <c r="A3695" s="70">
        <v>2026</v>
      </c>
      <c r="B3695" s="16" t="s">
        <v>15</v>
      </c>
      <c r="C3695" s="70" t="s">
        <v>4734</v>
      </c>
      <c r="D3695" s="15" t="s">
        <v>4152</v>
      </c>
      <c r="E3695" s="15" t="s">
        <v>4764</v>
      </c>
      <c r="F3695" s="95">
        <v>1000</v>
      </c>
      <c r="G3695" s="16" t="s">
        <v>19</v>
      </c>
      <c r="H3695" s="17">
        <v>12.2</v>
      </c>
      <c r="I3695" s="17">
        <f t="shared" si="250"/>
        <v>12200</v>
      </c>
      <c r="J3695" s="519">
        <v>11</v>
      </c>
      <c r="K3695" s="519">
        <f t="shared" si="247"/>
        <v>1.1999999999999993</v>
      </c>
      <c r="L3695" s="519">
        <f t="shared" si="248"/>
        <v>1199.9999999999993</v>
      </c>
      <c r="M3695" s="557">
        <f t="shared" si="249"/>
        <v>9.8360655737704861E-2</v>
      </c>
      <c r="N3695" s="15" t="s">
        <v>22</v>
      </c>
      <c r="O3695" s="15" t="s">
        <v>39</v>
      </c>
    </row>
    <row r="3696" spans="1:15">
      <c r="A3696" s="70">
        <v>2026</v>
      </c>
      <c r="B3696" s="16" t="s">
        <v>15</v>
      </c>
      <c r="C3696" s="70" t="s">
        <v>4765</v>
      </c>
      <c r="D3696" s="15" t="s">
        <v>329</v>
      </c>
      <c r="E3696" s="15" t="s">
        <v>4766</v>
      </c>
      <c r="F3696" s="95">
        <v>1750</v>
      </c>
      <c r="G3696" s="16" t="s">
        <v>1368</v>
      </c>
      <c r="H3696" s="17">
        <v>80</v>
      </c>
      <c r="I3696" s="17">
        <f t="shared" si="250"/>
        <v>140000</v>
      </c>
      <c r="J3696" s="519">
        <v>78</v>
      </c>
      <c r="K3696" s="519">
        <f t="shared" si="247"/>
        <v>2</v>
      </c>
      <c r="L3696" s="519">
        <f t="shared" si="248"/>
        <v>3500</v>
      </c>
      <c r="M3696" s="557">
        <f t="shared" si="249"/>
        <v>2.5000000000000001E-2</v>
      </c>
      <c r="N3696" s="15" t="s">
        <v>40</v>
      </c>
      <c r="O3696" s="15" t="s">
        <v>39</v>
      </c>
    </row>
    <row r="3697" spans="1:15">
      <c r="A3697" s="70">
        <v>2026</v>
      </c>
      <c r="B3697" s="16" t="s">
        <v>15</v>
      </c>
      <c r="C3697" s="70" t="s">
        <v>4767</v>
      </c>
      <c r="D3697" s="15" t="s">
        <v>329</v>
      </c>
      <c r="E3697" s="15" t="s">
        <v>4766</v>
      </c>
      <c r="F3697" s="95">
        <v>1230</v>
      </c>
      <c r="G3697" s="16" t="s">
        <v>1368</v>
      </c>
      <c r="H3697" s="17">
        <v>80</v>
      </c>
      <c r="I3697" s="17">
        <f t="shared" si="250"/>
        <v>98400</v>
      </c>
      <c r="J3697" s="519">
        <v>78</v>
      </c>
      <c r="K3697" s="519">
        <f t="shared" si="247"/>
        <v>2</v>
      </c>
      <c r="L3697" s="519">
        <f t="shared" si="248"/>
        <v>2460</v>
      </c>
      <c r="M3697" s="557">
        <f t="shared" si="249"/>
        <v>2.5000000000000001E-2</v>
      </c>
      <c r="N3697" s="15" t="s">
        <v>40</v>
      </c>
      <c r="O3697" s="15" t="s">
        <v>39</v>
      </c>
    </row>
    <row r="3698" spans="1:15">
      <c r="A3698" s="70">
        <v>2026</v>
      </c>
      <c r="B3698" s="16" t="s">
        <v>15</v>
      </c>
      <c r="C3698" s="70" t="s">
        <v>4768</v>
      </c>
      <c r="D3698" s="15" t="s">
        <v>192</v>
      </c>
      <c r="E3698" s="15" t="s">
        <v>4769</v>
      </c>
      <c r="F3698" s="95">
        <v>1728</v>
      </c>
      <c r="G3698" s="16" t="s">
        <v>19</v>
      </c>
      <c r="H3698" s="17">
        <v>595</v>
      </c>
      <c r="I3698" s="17">
        <f t="shared" si="250"/>
        <v>1028160</v>
      </c>
      <c r="J3698" s="519">
        <v>580</v>
      </c>
      <c r="K3698" s="519">
        <f t="shared" si="247"/>
        <v>15</v>
      </c>
      <c r="L3698" s="519">
        <f t="shared" si="248"/>
        <v>25920</v>
      </c>
      <c r="M3698" s="557">
        <f t="shared" si="249"/>
        <v>2.5210084033613446E-2</v>
      </c>
      <c r="N3698" s="15" t="s">
        <v>22</v>
      </c>
      <c r="O3698" s="15" t="s">
        <v>39</v>
      </c>
    </row>
    <row r="3699" spans="1:15">
      <c r="A3699" s="70">
        <v>2026</v>
      </c>
      <c r="B3699" s="16" t="s">
        <v>15</v>
      </c>
      <c r="C3699" s="70" t="s">
        <v>4770</v>
      </c>
      <c r="D3699" s="15" t="s">
        <v>192</v>
      </c>
      <c r="E3699" s="15" t="s">
        <v>4771</v>
      </c>
      <c r="F3699" s="95">
        <v>1260</v>
      </c>
      <c r="G3699" s="16" t="s">
        <v>19</v>
      </c>
      <c r="H3699" s="17">
        <v>79</v>
      </c>
      <c r="I3699" s="17">
        <f t="shared" si="250"/>
        <v>99540</v>
      </c>
      <c r="J3699" s="519">
        <v>75</v>
      </c>
      <c r="K3699" s="519">
        <f t="shared" si="247"/>
        <v>4</v>
      </c>
      <c r="L3699" s="519">
        <f t="shared" si="248"/>
        <v>5040</v>
      </c>
      <c r="M3699" s="557">
        <f t="shared" si="249"/>
        <v>5.0632911392405063E-2</v>
      </c>
      <c r="N3699" s="15" t="s">
        <v>22</v>
      </c>
      <c r="O3699" s="15" t="s">
        <v>39</v>
      </c>
    </row>
    <row r="3700" spans="1:15">
      <c r="A3700" s="70">
        <v>2026</v>
      </c>
      <c r="B3700" s="16" t="s">
        <v>15</v>
      </c>
      <c r="C3700" s="70" t="s">
        <v>4770</v>
      </c>
      <c r="D3700" s="15" t="s">
        <v>192</v>
      </c>
      <c r="E3700" s="15" t="s">
        <v>4772</v>
      </c>
      <c r="F3700" s="95">
        <v>1260</v>
      </c>
      <c r="G3700" s="16" t="s">
        <v>19</v>
      </c>
      <c r="H3700" s="17">
        <v>79</v>
      </c>
      <c r="I3700" s="17">
        <f t="shared" si="250"/>
        <v>99540</v>
      </c>
      <c r="J3700" s="519">
        <v>75</v>
      </c>
      <c r="K3700" s="519">
        <f t="shared" si="247"/>
        <v>4</v>
      </c>
      <c r="L3700" s="519">
        <f t="shared" si="248"/>
        <v>5040</v>
      </c>
      <c r="M3700" s="557">
        <f t="shared" si="249"/>
        <v>5.0632911392405063E-2</v>
      </c>
      <c r="N3700" s="15" t="s">
        <v>22</v>
      </c>
      <c r="O3700" s="15" t="s">
        <v>39</v>
      </c>
    </row>
    <row r="3701" spans="1:15">
      <c r="A3701" s="70">
        <v>2026</v>
      </c>
      <c r="B3701" s="16" t="s">
        <v>15</v>
      </c>
      <c r="C3701" s="70" t="s">
        <v>4770</v>
      </c>
      <c r="D3701" s="15" t="s">
        <v>192</v>
      </c>
      <c r="E3701" s="15" t="s">
        <v>2008</v>
      </c>
      <c r="F3701" s="95">
        <v>702</v>
      </c>
      <c r="G3701" s="16" t="s">
        <v>19</v>
      </c>
      <c r="H3701" s="17">
        <v>101</v>
      </c>
      <c r="I3701" s="17">
        <f t="shared" si="250"/>
        <v>70902</v>
      </c>
      <c r="J3701" s="519">
        <v>96</v>
      </c>
      <c r="K3701" s="519">
        <f t="shared" si="247"/>
        <v>5</v>
      </c>
      <c r="L3701" s="519">
        <f t="shared" si="248"/>
        <v>3510</v>
      </c>
      <c r="M3701" s="557">
        <f t="shared" si="249"/>
        <v>4.9504950495049507E-2</v>
      </c>
      <c r="N3701" s="15" t="s">
        <v>22</v>
      </c>
      <c r="O3701" s="15" t="s">
        <v>39</v>
      </c>
    </row>
    <row r="3702" spans="1:15">
      <c r="A3702" s="70">
        <v>2026</v>
      </c>
      <c r="B3702" s="16" t="s">
        <v>15</v>
      </c>
      <c r="C3702" s="70" t="s">
        <v>4770</v>
      </c>
      <c r="D3702" s="15" t="s">
        <v>192</v>
      </c>
      <c r="E3702" s="15" t="s">
        <v>2009</v>
      </c>
      <c r="F3702" s="95">
        <v>702</v>
      </c>
      <c r="G3702" s="16" t="s">
        <v>19</v>
      </c>
      <c r="H3702" s="17">
        <v>101</v>
      </c>
      <c r="I3702" s="17">
        <f t="shared" si="250"/>
        <v>70902</v>
      </c>
      <c r="J3702" s="519">
        <v>96</v>
      </c>
      <c r="K3702" s="519">
        <f t="shared" si="247"/>
        <v>5</v>
      </c>
      <c r="L3702" s="519">
        <f t="shared" si="248"/>
        <v>3510</v>
      </c>
      <c r="M3702" s="557">
        <f t="shared" si="249"/>
        <v>4.9504950495049507E-2</v>
      </c>
      <c r="N3702" s="15" t="s">
        <v>22</v>
      </c>
      <c r="O3702" s="15" t="s">
        <v>39</v>
      </c>
    </row>
    <row r="3703" spans="1:15">
      <c r="A3703" s="70">
        <v>2026</v>
      </c>
      <c r="B3703" s="16" t="s">
        <v>15</v>
      </c>
      <c r="C3703" s="70" t="s">
        <v>4770</v>
      </c>
      <c r="D3703" s="15" t="s">
        <v>192</v>
      </c>
      <c r="E3703" s="15" t="s">
        <v>1188</v>
      </c>
      <c r="F3703" s="95">
        <v>1725</v>
      </c>
      <c r="G3703" s="16" t="s">
        <v>19</v>
      </c>
      <c r="H3703" s="17">
        <v>26.5</v>
      </c>
      <c r="I3703" s="17">
        <f t="shared" si="250"/>
        <v>45712.5</v>
      </c>
      <c r="J3703" s="519">
        <v>25</v>
      </c>
      <c r="K3703" s="519">
        <f t="shared" si="247"/>
        <v>1.5</v>
      </c>
      <c r="L3703" s="519">
        <f t="shared" si="248"/>
        <v>2587.5</v>
      </c>
      <c r="M3703" s="557">
        <f t="shared" si="249"/>
        <v>5.6603773584905662E-2</v>
      </c>
      <c r="N3703" s="15" t="s">
        <v>22</v>
      </c>
      <c r="O3703" s="15" t="s">
        <v>39</v>
      </c>
    </row>
    <row r="3704" spans="1:15">
      <c r="A3704" s="70">
        <v>2026</v>
      </c>
      <c r="B3704" s="16" t="s">
        <v>15</v>
      </c>
      <c r="C3704" s="70" t="s">
        <v>4770</v>
      </c>
      <c r="D3704" s="15" t="s">
        <v>192</v>
      </c>
      <c r="E3704" s="15" t="s">
        <v>1189</v>
      </c>
      <c r="F3704" s="95">
        <v>1725</v>
      </c>
      <c r="G3704" s="16" t="s">
        <v>19</v>
      </c>
      <c r="H3704" s="17">
        <v>26.5</v>
      </c>
      <c r="I3704" s="17">
        <f t="shared" si="250"/>
        <v>45712.5</v>
      </c>
      <c r="J3704" s="519">
        <v>25</v>
      </c>
      <c r="K3704" s="519">
        <f t="shared" si="247"/>
        <v>1.5</v>
      </c>
      <c r="L3704" s="519">
        <f t="shared" si="248"/>
        <v>2587.5</v>
      </c>
      <c r="M3704" s="557">
        <f t="shared" si="249"/>
        <v>5.6603773584905662E-2</v>
      </c>
      <c r="N3704" s="15" t="s">
        <v>22</v>
      </c>
      <c r="O3704" s="15" t="s">
        <v>39</v>
      </c>
    </row>
    <row r="3705" spans="1:15">
      <c r="A3705" s="70">
        <v>2026</v>
      </c>
      <c r="B3705" s="16" t="s">
        <v>15</v>
      </c>
      <c r="C3705" s="70" t="s">
        <v>4770</v>
      </c>
      <c r="D3705" s="15" t="s">
        <v>192</v>
      </c>
      <c r="E3705" s="15" t="s">
        <v>2845</v>
      </c>
      <c r="F3705" s="95">
        <v>360</v>
      </c>
      <c r="G3705" s="16" t="s">
        <v>19</v>
      </c>
      <c r="H3705" s="17">
        <v>143</v>
      </c>
      <c r="I3705" s="17">
        <f t="shared" si="250"/>
        <v>51480</v>
      </c>
      <c r="J3705" s="519">
        <v>135</v>
      </c>
      <c r="K3705" s="519">
        <f t="shared" si="247"/>
        <v>8</v>
      </c>
      <c r="L3705" s="519">
        <f t="shared" si="248"/>
        <v>2880</v>
      </c>
      <c r="M3705" s="557">
        <f t="shared" si="249"/>
        <v>5.5944055944055944E-2</v>
      </c>
      <c r="N3705" s="15" t="s">
        <v>22</v>
      </c>
      <c r="O3705" s="15" t="s">
        <v>39</v>
      </c>
    </row>
    <row r="3706" spans="1:15">
      <c r="A3706" s="70">
        <v>2026</v>
      </c>
      <c r="B3706" s="16" t="s">
        <v>15</v>
      </c>
      <c r="C3706" s="70" t="s">
        <v>4770</v>
      </c>
      <c r="D3706" s="15" t="s">
        <v>192</v>
      </c>
      <c r="E3706" s="15" t="s">
        <v>2846</v>
      </c>
      <c r="F3706" s="95">
        <v>360</v>
      </c>
      <c r="G3706" s="16" t="s">
        <v>19</v>
      </c>
      <c r="H3706" s="17">
        <v>143</v>
      </c>
      <c r="I3706" s="17">
        <f t="shared" si="250"/>
        <v>51480</v>
      </c>
      <c r="J3706" s="519">
        <v>135</v>
      </c>
      <c r="K3706" s="519">
        <f t="shared" si="247"/>
        <v>8</v>
      </c>
      <c r="L3706" s="519">
        <f t="shared" si="248"/>
        <v>2880</v>
      </c>
      <c r="M3706" s="557">
        <f t="shared" si="249"/>
        <v>5.5944055944055944E-2</v>
      </c>
      <c r="N3706" s="15" t="s">
        <v>22</v>
      </c>
      <c r="O3706" s="15" t="s">
        <v>39</v>
      </c>
    </row>
    <row r="3707" spans="1:15">
      <c r="A3707" s="70">
        <v>2026</v>
      </c>
      <c r="B3707" s="16" t="s">
        <v>15</v>
      </c>
      <c r="C3707" s="70" t="s">
        <v>4770</v>
      </c>
      <c r="D3707" s="15" t="s">
        <v>192</v>
      </c>
      <c r="E3707" s="15" t="s">
        <v>1953</v>
      </c>
      <c r="F3707" s="95">
        <v>1944</v>
      </c>
      <c r="G3707" s="16" t="s">
        <v>19</v>
      </c>
      <c r="H3707" s="17">
        <v>48</v>
      </c>
      <c r="I3707" s="17">
        <f t="shared" si="250"/>
        <v>93312</v>
      </c>
      <c r="J3707" s="519">
        <v>46</v>
      </c>
      <c r="K3707" s="519">
        <f t="shared" si="247"/>
        <v>2</v>
      </c>
      <c r="L3707" s="519">
        <f t="shared" si="248"/>
        <v>3888</v>
      </c>
      <c r="M3707" s="557">
        <f t="shared" si="249"/>
        <v>4.1666666666666664E-2</v>
      </c>
      <c r="N3707" s="15" t="s">
        <v>22</v>
      </c>
      <c r="O3707" s="15" t="s">
        <v>39</v>
      </c>
    </row>
    <row r="3708" spans="1:15">
      <c r="A3708" s="70">
        <v>2026</v>
      </c>
      <c r="B3708" s="16" t="s">
        <v>15</v>
      </c>
      <c r="C3708" s="70" t="s">
        <v>4770</v>
      </c>
      <c r="D3708" s="15" t="s">
        <v>192</v>
      </c>
      <c r="E3708" s="15" t="s">
        <v>1954</v>
      </c>
      <c r="F3708" s="95">
        <v>1944</v>
      </c>
      <c r="G3708" s="16" t="s">
        <v>19</v>
      </c>
      <c r="H3708" s="17">
        <v>48</v>
      </c>
      <c r="I3708" s="17">
        <f t="shared" si="250"/>
        <v>93312</v>
      </c>
      <c r="J3708" s="519">
        <v>46</v>
      </c>
      <c r="K3708" s="519">
        <f t="shared" si="247"/>
        <v>2</v>
      </c>
      <c r="L3708" s="519">
        <f t="shared" si="248"/>
        <v>3888</v>
      </c>
      <c r="M3708" s="557">
        <f t="shared" si="249"/>
        <v>4.1666666666666664E-2</v>
      </c>
      <c r="N3708" s="15" t="s">
        <v>22</v>
      </c>
      <c r="O3708" s="15" t="s">
        <v>39</v>
      </c>
    </row>
    <row r="3709" spans="1:15">
      <c r="A3709" s="70">
        <v>2026</v>
      </c>
      <c r="B3709" s="16" t="s">
        <v>15</v>
      </c>
      <c r="C3709" s="70" t="s">
        <v>4770</v>
      </c>
      <c r="D3709" s="15" t="s">
        <v>192</v>
      </c>
      <c r="E3709" s="15" t="s">
        <v>1187</v>
      </c>
      <c r="F3709" s="95">
        <v>2784</v>
      </c>
      <c r="G3709" s="16" t="s">
        <v>19</v>
      </c>
      <c r="H3709" s="17">
        <v>320</v>
      </c>
      <c r="I3709" s="17">
        <f t="shared" si="250"/>
        <v>890880</v>
      </c>
      <c r="J3709" s="519">
        <v>310</v>
      </c>
      <c r="K3709" s="519">
        <f t="shared" si="247"/>
        <v>10</v>
      </c>
      <c r="L3709" s="519">
        <f t="shared" si="248"/>
        <v>27840</v>
      </c>
      <c r="M3709" s="557">
        <f t="shared" si="249"/>
        <v>3.125E-2</v>
      </c>
      <c r="N3709" s="15" t="s">
        <v>22</v>
      </c>
      <c r="O3709" s="15" t="s">
        <v>39</v>
      </c>
    </row>
    <row r="3710" spans="1:15">
      <c r="A3710" s="70">
        <v>2026</v>
      </c>
      <c r="B3710" s="16" t="s">
        <v>15</v>
      </c>
      <c r="C3710" s="70" t="s">
        <v>4773</v>
      </c>
      <c r="D3710" s="15" t="s">
        <v>329</v>
      </c>
      <c r="E3710" s="15" t="s">
        <v>4042</v>
      </c>
      <c r="F3710" s="95">
        <v>600</v>
      </c>
      <c r="G3710" s="16" t="s">
        <v>1368</v>
      </c>
      <c r="H3710" s="17">
        <v>1065</v>
      </c>
      <c r="I3710" s="17">
        <f t="shared" si="250"/>
        <v>639000</v>
      </c>
      <c r="J3710" s="519">
        <v>1040</v>
      </c>
      <c r="K3710" s="519">
        <f t="shared" si="247"/>
        <v>25</v>
      </c>
      <c r="L3710" s="519">
        <f t="shared" si="248"/>
        <v>15000</v>
      </c>
      <c r="M3710" s="557">
        <f t="shared" si="249"/>
        <v>2.3474178403755867E-2</v>
      </c>
      <c r="N3710" s="15" t="s">
        <v>40</v>
      </c>
      <c r="O3710" s="15" t="s">
        <v>39</v>
      </c>
    </row>
    <row r="3711" spans="1:15">
      <c r="A3711" s="70">
        <v>2026</v>
      </c>
      <c r="B3711" s="16" t="s">
        <v>15</v>
      </c>
      <c r="C3711" s="70" t="s">
        <v>4774</v>
      </c>
      <c r="D3711" s="15" t="s">
        <v>329</v>
      </c>
      <c r="E3711" s="15" t="s">
        <v>4173</v>
      </c>
      <c r="F3711" s="95">
        <v>150</v>
      </c>
      <c r="G3711" s="16" t="s">
        <v>1368</v>
      </c>
      <c r="H3711" s="17">
        <v>930</v>
      </c>
      <c r="I3711" s="17">
        <f t="shared" si="250"/>
        <v>139500</v>
      </c>
      <c r="J3711" s="519">
        <v>900</v>
      </c>
      <c r="K3711" s="519">
        <f t="shared" si="247"/>
        <v>30</v>
      </c>
      <c r="L3711" s="519">
        <f t="shared" si="248"/>
        <v>4500</v>
      </c>
      <c r="M3711" s="557">
        <f t="shared" si="249"/>
        <v>3.2258064516129031E-2</v>
      </c>
      <c r="N3711" s="15" t="s">
        <v>40</v>
      </c>
      <c r="O3711" s="15" t="s">
        <v>39</v>
      </c>
    </row>
    <row r="3712" spans="1:15">
      <c r="A3712" s="70">
        <v>2026</v>
      </c>
      <c r="B3712" s="16" t="s">
        <v>15</v>
      </c>
      <c r="C3712" s="70" t="s">
        <v>4775</v>
      </c>
      <c r="D3712" s="15" t="s">
        <v>1227</v>
      </c>
      <c r="E3712" s="15" t="s">
        <v>3212</v>
      </c>
      <c r="F3712" s="95">
        <v>700</v>
      </c>
      <c r="G3712" s="16" t="s">
        <v>19</v>
      </c>
      <c r="H3712" s="17">
        <v>940</v>
      </c>
      <c r="I3712" s="17">
        <f t="shared" si="250"/>
        <v>658000</v>
      </c>
      <c r="J3712" s="519">
        <v>920</v>
      </c>
      <c r="K3712" s="519">
        <f t="shared" si="247"/>
        <v>20</v>
      </c>
      <c r="L3712" s="519">
        <f t="shared" si="248"/>
        <v>14000</v>
      </c>
      <c r="M3712" s="557">
        <f t="shared" si="249"/>
        <v>2.1276595744680851E-2</v>
      </c>
      <c r="N3712" s="15" t="s">
        <v>40</v>
      </c>
      <c r="O3712" s="15" t="s">
        <v>39</v>
      </c>
    </row>
    <row r="3713" spans="1:15">
      <c r="A3713" s="70">
        <v>2026</v>
      </c>
      <c r="B3713" s="16" t="s">
        <v>15</v>
      </c>
      <c r="C3713" s="70" t="s">
        <v>4775</v>
      </c>
      <c r="D3713" s="15" t="s">
        <v>1227</v>
      </c>
      <c r="E3713" s="15" t="s">
        <v>1229</v>
      </c>
      <c r="F3713" s="95">
        <v>4000</v>
      </c>
      <c r="G3713" s="16" t="s">
        <v>19</v>
      </c>
      <c r="H3713" s="17">
        <v>73</v>
      </c>
      <c r="I3713" s="17">
        <f t="shared" si="250"/>
        <v>292000</v>
      </c>
      <c r="J3713" s="519">
        <v>71</v>
      </c>
      <c r="K3713" s="519">
        <f t="shared" si="247"/>
        <v>2</v>
      </c>
      <c r="L3713" s="519">
        <f t="shared" si="248"/>
        <v>8000</v>
      </c>
      <c r="M3713" s="557">
        <f t="shared" si="249"/>
        <v>2.7397260273972601E-2</v>
      </c>
      <c r="N3713" s="15" t="s">
        <v>40</v>
      </c>
      <c r="O3713" s="15" t="s">
        <v>39</v>
      </c>
    </row>
    <row r="3714" spans="1:15">
      <c r="A3714" s="70">
        <v>2026</v>
      </c>
      <c r="B3714" s="16" t="s">
        <v>15</v>
      </c>
      <c r="C3714" s="70" t="s">
        <v>4775</v>
      </c>
      <c r="D3714" s="15" t="s">
        <v>1227</v>
      </c>
      <c r="E3714" s="15" t="s">
        <v>1230</v>
      </c>
      <c r="F3714" s="95">
        <v>4000</v>
      </c>
      <c r="G3714" s="16" t="s">
        <v>19</v>
      </c>
      <c r="H3714" s="17">
        <v>87</v>
      </c>
      <c r="I3714" s="17">
        <f t="shared" si="250"/>
        <v>348000</v>
      </c>
      <c r="J3714" s="519">
        <v>85</v>
      </c>
      <c r="K3714" s="519">
        <f t="shared" si="247"/>
        <v>2</v>
      </c>
      <c r="L3714" s="519">
        <f t="shared" si="248"/>
        <v>8000</v>
      </c>
      <c r="M3714" s="557">
        <f t="shared" si="249"/>
        <v>2.2988505747126436E-2</v>
      </c>
      <c r="N3714" s="15" t="s">
        <v>40</v>
      </c>
      <c r="O3714" s="15" t="s">
        <v>39</v>
      </c>
    </row>
    <row r="3715" spans="1:15">
      <c r="A3715" s="70">
        <v>2026</v>
      </c>
      <c r="B3715" s="16" t="s">
        <v>15</v>
      </c>
      <c r="C3715" s="70" t="s">
        <v>4775</v>
      </c>
      <c r="D3715" s="15" t="s">
        <v>1227</v>
      </c>
      <c r="E3715" s="15" t="s">
        <v>1234</v>
      </c>
      <c r="F3715" s="95">
        <v>15700</v>
      </c>
      <c r="G3715" s="16" t="s">
        <v>19</v>
      </c>
      <c r="H3715" s="17">
        <v>10.5</v>
      </c>
      <c r="I3715" s="17">
        <f t="shared" si="250"/>
        <v>164850</v>
      </c>
      <c r="J3715" s="519">
        <v>10.25</v>
      </c>
      <c r="K3715" s="519">
        <f t="shared" ref="K3715:K3778" si="251">H3715-J3715</f>
        <v>0.25</v>
      </c>
      <c r="L3715" s="519">
        <f t="shared" ref="L3715:L3778" si="252">K3715*F3715</f>
        <v>3925</v>
      </c>
      <c r="M3715" s="557">
        <f t="shared" ref="M3715:M3778" si="253">K3715/H3715</f>
        <v>2.3809523809523808E-2</v>
      </c>
      <c r="N3715" s="15" t="s">
        <v>40</v>
      </c>
      <c r="O3715" s="15" t="s">
        <v>39</v>
      </c>
    </row>
    <row r="3716" spans="1:15">
      <c r="A3716" s="70">
        <v>2026</v>
      </c>
      <c r="B3716" s="16" t="s">
        <v>15</v>
      </c>
      <c r="C3716" s="70" t="s">
        <v>4775</v>
      </c>
      <c r="D3716" s="15" t="s">
        <v>1227</v>
      </c>
      <c r="E3716" s="15" t="s">
        <v>3177</v>
      </c>
      <c r="F3716" s="95">
        <v>1940</v>
      </c>
      <c r="G3716" s="16" t="s">
        <v>19</v>
      </c>
      <c r="H3716" s="17">
        <v>47</v>
      </c>
      <c r="I3716" s="17">
        <f t="shared" si="250"/>
        <v>91180</v>
      </c>
      <c r="J3716" s="519">
        <v>46</v>
      </c>
      <c r="K3716" s="519">
        <f t="shared" si="251"/>
        <v>1</v>
      </c>
      <c r="L3716" s="519">
        <f t="shared" si="252"/>
        <v>1940</v>
      </c>
      <c r="M3716" s="557">
        <f t="shared" si="253"/>
        <v>2.1276595744680851E-2</v>
      </c>
      <c r="N3716" s="15" t="s">
        <v>40</v>
      </c>
      <c r="O3716" s="15" t="s">
        <v>39</v>
      </c>
    </row>
    <row r="3717" spans="1:15">
      <c r="A3717" s="70">
        <v>2026</v>
      </c>
      <c r="B3717" s="16" t="s">
        <v>15</v>
      </c>
      <c r="C3717" s="70" t="s">
        <v>4775</v>
      </c>
      <c r="D3717" s="15" t="s">
        <v>1227</v>
      </c>
      <c r="E3717" s="15" t="s">
        <v>3178</v>
      </c>
      <c r="F3717" s="95">
        <v>1940</v>
      </c>
      <c r="G3717" s="16" t="s">
        <v>19</v>
      </c>
      <c r="H3717" s="17">
        <v>31</v>
      </c>
      <c r="I3717" s="17">
        <f t="shared" ref="I3717:I3780" si="254">H3717*F3717</f>
        <v>60140</v>
      </c>
      <c r="J3717" s="519">
        <v>30</v>
      </c>
      <c r="K3717" s="519">
        <f t="shared" si="251"/>
        <v>1</v>
      </c>
      <c r="L3717" s="519">
        <f t="shared" si="252"/>
        <v>1940</v>
      </c>
      <c r="M3717" s="557">
        <f t="shared" si="253"/>
        <v>3.2258064516129031E-2</v>
      </c>
      <c r="N3717" s="15" t="s">
        <v>40</v>
      </c>
      <c r="O3717" s="15" t="s">
        <v>39</v>
      </c>
    </row>
    <row r="3718" spans="1:15">
      <c r="A3718" s="70">
        <v>2026</v>
      </c>
      <c r="B3718" s="16" t="s">
        <v>15</v>
      </c>
      <c r="C3718" s="70" t="s">
        <v>4775</v>
      </c>
      <c r="D3718" s="15" t="s">
        <v>1227</v>
      </c>
      <c r="E3718" s="15" t="s">
        <v>3179</v>
      </c>
      <c r="F3718" s="95">
        <v>1940</v>
      </c>
      <c r="G3718" s="16" t="s">
        <v>19</v>
      </c>
      <c r="H3718" s="17">
        <v>75</v>
      </c>
      <c r="I3718" s="17">
        <f t="shared" si="254"/>
        <v>145500</v>
      </c>
      <c r="J3718" s="519">
        <v>73</v>
      </c>
      <c r="K3718" s="519">
        <f t="shared" si="251"/>
        <v>2</v>
      </c>
      <c r="L3718" s="519">
        <f t="shared" si="252"/>
        <v>3880</v>
      </c>
      <c r="M3718" s="557">
        <f t="shared" si="253"/>
        <v>2.6666666666666668E-2</v>
      </c>
      <c r="N3718" s="15" t="s">
        <v>40</v>
      </c>
      <c r="O3718" s="15" t="s">
        <v>39</v>
      </c>
    </row>
    <row r="3719" spans="1:15">
      <c r="A3719" s="70">
        <v>2026</v>
      </c>
      <c r="B3719" s="16" t="s">
        <v>15</v>
      </c>
      <c r="C3719" s="70" t="s">
        <v>4775</v>
      </c>
      <c r="D3719" s="15" t="s">
        <v>1227</v>
      </c>
      <c r="E3719" s="15" t="s">
        <v>3180</v>
      </c>
      <c r="F3719" s="95">
        <v>1900</v>
      </c>
      <c r="G3719" s="16" t="s">
        <v>19</v>
      </c>
      <c r="H3719" s="17">
        <v>43</v>
      </c>
      <c r="I3719" s="17">
        <f t="shared" si="254"/>
        <v>81700</v>
      </c>
      <c r="J3719" s="519">
        <v>42</v>
      </c>
      <c r="K3719" s="519">
        <f t="shared" si="251"/>
        <v>1</v>
      </c>
      <c r="L3719" s="519">
        <f t="shared" si="252"/>
        <v>1900</v>
      </c>
      <c r="M3719" s="557">
        <f t="shared" si="253"/>
        <v>2.3255813953488372E-2</v>
      </c>
      <c r="N3719" s="15" t="s">
        <v>40</v>
      </c>
      <c r="O3719" s="15" t="s">
        <v>39</v>
      </c>
    </row>
    <row r="3720" spans="1:15">
      <c r="A3720" s="70">
        <v>2026</v>
      </c>
      <c r="B3720" s="16" t="s">
        <v>15</v>
      </c>
      <c r="C3720" s="70" t="s">
        <v>4775</v>
      </c>
      <c r="D3720" s="15" t="s">
        <v>1227</v>
      </c>
      <c r="E3720" s="15" t="s">
        <v>1238</v>
      </c>
      <c r="F3720" s="95">
        <v>4300</v>
      </c>
      <c r="G3720" s="16" t="s">
        <v>19</v>
      </c>
      <c r="H3720" s="17">
        <v>83</v>
      </c>
      <c r="I3720" s="17">
        <f t="shared" si="254"/>
        <v>356900</v>
      </c>
      <c r="J3720" s="519">
        <v>81</v>
      </c>
      <c r="K3720" s="519">
        <f t="shared" si="251"/>
        <v>2</v>
      </c>
      <c r="L3720" s="519">
        <f t="shared" si="252"/>
        <v>8600</v>
      </c>
      <c r="M3720" s="557">
        <f t="shared" si="253"/>
        <v>2.4096385542168676E-2</v>
      </c>
      <c r="N3720" s="15" t="s">
        <v>40</v>
      </c>
      <c r="O3720" s="15" t="s">
        <v>39</v>
      </c>
    </row>
    <row r="3721" spans="1:15">
      <c r="A3721" s="70">
        <v>2026</v>
      </c>
      <c r="B3721" s="16" t="s">
        <v>15</v>
      </c>
      <c r="C3721" s="70" t="s">
        <v>4775</v>
      </c>
      <c r="D3721" s="15" t="s">
        <v>1227</v>
      </c>
      <c r="E3721" s="15" t="s">
        <v>3181</v>
      </c>
      <c r="F3721" s="95">
        <v>1940</v>
      </c>
      <c r="G3721" s="16" t="s">
        <v>19</v>
      </c>
      <c r="H3721" s="17">
        <v>650</v>
      </c>
      <c r="I3721" s="17">
        <f t="shared" si="254"/>
        <v>1261000</v>
      </c>
      <c r="J3721" s="519">
        <v>635</v>
      </c>
      <c r="K3721" s="519">
        <f t="shared" si="251"/>
        <v>15</v>
      </c>
      <c r="L3721" s="519">
        <f t="shared" si="252"/>
        <v>29100</v>
      </c>
      <c r="M3721" s="557">
        <f t="shared" si="253"/>
        <v>2.3076923076923078E-2</v>
      </c>
      <c r="N3721" s="15" t="s">
        <v>40</v>
      </c>
      <c r="O3721" s="15" t="s">
        <v>39</v>
      </c>
    </row>
    <row r="3722" spans="1:15">
      <c r="A3722" s="70">
        <v>2026</v>
      </c>
      <c r="B3722" s="16" t="s">
        <v>15</v>
      </c>
      <c r="C3722" s="70" t="s">
        <v>4775</v>
      </c>
      <c r="D3722" s="15" t="s">
        <v>1227</v>
      </c>
      <c r="E3722" s="15" t="s">
        <v>4776</v>
      </c>
      <c r="F3722" s="95">
        <v>1998</v>
      </c>
      <c r="G3722" s="16" t="s">
        <v>19</v>
      </c>
      <c r="H3722" s="17">
        <v>25</v>
      </c>
      <c r="I3722" s="17">
        <f t="shared" si="254"/>
        <v>49950</v>
      </c>
      <c r="J3722" s="519">
        <v>24.5</v>
      </c>
      <c r="K3722" s="519">
        <f t="shared" si="251"/>
        <v>0.5</v>
      </c>
      <c r="L3722" s="519">
        <f t="shared" si="252"/>
        <v>999</v>
      </c>
      <c r="M3722" s="557">
        <f t="shared" si="253"/>
        <v>0.02</v>
      </c>
      <c r="N3722" s="15" t="s">
        <v>40</v>
      </c>
      <c r="O3722" s="15" t="s">
        <v>39</v>
      </c>
    </row>
    <row r="3723" spans="1:15">
      <c r="A3723" s="70">
        <v>2026</v>
      </c>
      <c r="B3723" s="16" t="s">
        <v>15</v>
      </c>
      <c r="C3723" s="70" t="s">
        <v>4775</v>
      </c>
      <c r="D3723" s="15" t="s">
        <v>1227</v>
      </c>
      <c r="E3723" s="15" t="s">
        <v>4777</v>
      </c>
      <c r="F3723" s="95">
        <v>1998</v>
      </c>
      <c r="G3723" s="16" t="s">
        <v>19</v>
      </c>
      <c r="H3723" s="17">
        <v>25</v>
      </c>
      <c r="I3723" s="17">
        <f t="shared" si="254"/>
        <v>49950</v>
      </c>
      <c r="J3723" s="519">
        <v>24.5</v>
      </c>
      <c r="K3723" s="519">
        <f t="shared" si="251"/>
        <v>0.5</v>
      </c>
      <c r="L3723" s="519">
        <f t="shared" si="252"/>
        <v>999</v>
      </c>
      <c r="M3723" s="557">
        <f t="shared" si="253"/>
        <v>0.02</v>
      </c>
      <c r="N3723" s="15" t="s">
        <v>40</v>
      </c>
      <c r="O3723" s="15" t="s">
        <v>39</v>
      </c>
    </row>
    <row r="3724" spans="1:15">
      <c r="A3724" s="70">
        <v>2026</v>
      </c>
      <c r="B3724" s="16" t="s">
        <v>15</v>
      </c>
      <c r="C3724" s="70" t="s">
        <v>4775</v>
      </c>
      <c r="D3724" s="15" t="s">
        <v>1227</v>
      </c>
      <c r="E3724" s="15" t="s">
        <v>1229</v>
      </c>
      <c r="F3724" s="95">
        <v>1650</v>
      </c>
      <c r="G3724" s="16" t="s">
        <v>19</v>
      </c>
      <c r="H3724" s="17">
        <v>73</v>
      </c>
      <c r="I3724" s="17">
        <f t="shared" si="254"/>
        <v>120450</v>
      </c>
      <c r="J3724" s="519">
        <v>71</v>
      </c>
      <c r="K3724" s="519">
        <f t="shared" si="251"/>
        <v>2</v>
      </c>
      <c r="L3724" s="519">
        <f t="shared" si="252"/>
        <v>3300</v>
      </c>
      <c r="M3724" s="557">
        <f t="shared" si="253"/>
        <v>2.7397260273972601E-2</v>
      </c>
      <c r="N3724" s="15" t="s">
        <v>40</v>
      </c>
      <c r="O3724" s="15" t="s">
        <v>39</v>
      </c>
    </row>
    <row r="3725" spans="1:15">
      <c r="A3725" s="70">
        <v>2026</v>
      </c>
      <c r="B3725" s="16" t="s">
        <v>15</v>
      </c>
      <c r="C3725" s="70" t="s">
        <v>4775</v>
      </c>
      <c r="D3725" s="15" t="s">
        <v>1227</v>
      </c>
      <c r="E3725" s="15" t="s">
        <v>1230</v>
      </c>
      <c r="F3725" s="95">
        <v>1650</v>
      </c>
      <c r="G3725" s="16" t="s">
        <v>19</v>
      </c>
      <c r="H3725" s="17">
        <v>87</v>
      </c>
      <c r="I3725" s="17">
        <f t="shared" si="254"/>
        <v>143550</v>
      </c>
      <c r="J3725" s="519">
        <v>85</v>
      </c>
      <c r="K3725" s="519">
        <f t="shared" si="251"/>
        <v>2</v>
      </c>
      <c r="L3725" s="519">
        <f t="shared" si="252"/>
        <v>3300</v>
      </c>
      <c r="M3725" s="557">
        <f t="shared" si="253"/>
        <v>2.2988505747126436E-2</v>
      </c>
      <c r="N3725" s="15" t="s">
        <v>40</v>
      </c>
      <c r="O3725" s="15" t="s">
        <v>39</v>
      </c>
    </row>
    <row r="3726" spans="1:15">
      <c r="A3726" s="70">
        <v>2026</v>
      </c>
      <c r="B3726" s="16" t="s">
        <v>15</v>
      </c>
      <c r="C3726" s="70" t="s">
        <v>4775</v>
      </c>
      <c r="D3726" s="15" t="s">
        <v>1227</v>
      </c>
      <c r="E3726" s="15" t="s">
        <v>1234</v>
      </c>
      <c r="F3726" s="95">
        <v>3300</v>
      </c>
      <c r="G3726" s="16" t="s">
        <v>19</v>
      </c>
      <c r="H3726" s="17">
        <v>10.5</v>
      </c>
      <c r="I3726" s="17">
        <f t="shared" si="254"/>
        <v>34650</v>
      </c>
      <c r="J3726" s="519">
        <v>10.25</v>
      </c>
      <c r="K3726" s="519">
        <f t="shared" si="251"/>
        <v>0.25</v>
      </c>
      <c r="L3726" s="519">
        <f t="shared" si="252"/>
        <v>825</v>
      </c>
      <c r="M3726" s="557">
        <f t="shared" si="253"/>
        <v>2.3809523809523808E-2</v>
      </c>
      <c r="N3726" s="15" t="s">
        <v>40</v>
      </c>
      <c r="O3726" s="15" t="s">
        <v>39</v>
      </c>
    </row>
    <row r="3727" spans="1:15">
      <c r="A3727" s="70">
        <v>2026</v>
      </c>
      <c r="B3727" s="16" t="s">
        <v>15</v>
      </c>
      <c r="C3727" s="70" t="s">
        <v>4775</v>
      </c>
      <c r="D3727" s="15" t="s">
        <v>1227</v>
      </c>
      <c r="E3727" s="15" t="s">
        <v>1237</v>
      </c>
      <c r="F3727" s="95">
        <v>2040</v>
      </c>
      <c r="G3727" s="16" t="s">
        <v>19</v>
      </c>
      <c r="H3727" s="17">
        <v>35</v>
      </c>
      <c r="I3727" s="17">
        <f t="shared" si="254"/>
        <v>71400</v>
      </c>
      <c r="J3727" s="519">
        <v>34</v>
      </c>
      <c r="K3727" s="519">
        <f t="shared" si="251"/>
        <v>1</v>
      </c>
      <c r="L3727" s="519">
        <f t="shared" si="252"/>
        <v>2040</v>
      </c>
      <c r="M3727" s="557">
        <f t="shared" si="253"/>
        <v>2.8571428571428571E-2</v>
      </c>
      <c r="N3727" s="15" t="s">
        <v>40</v>
      </c>
      <c r="O3727" s="15" t="s">
        <v>39</v>
      </c>
    </row>
    <row r="3728" spans="1:15">
      <c r="A3728" s="70">
        <v>2026</v>
      </c>
      <c r="B3728" s="16" t="s">
        <v>15</v>
      </c>
      <c r="C3728" s="70" t="s">
        <v>4775</v>
      </c>
      <c r="D3728" s="15" t="s">
        <v>1227</v>
      </c>
      <c r="E3728" s="15" t="s">
        <v>3216</v>
      </c>
      <c r="F3728" s="95">
        <v>100</v>
      </c>
      <c r="G3728" s="16" t="s">
        <v>19</v>
      </c>
      <c r="H3728" s="17">
        <v>385</v>
      </c>
      <c r="I3728" s="17">
        <f t="shared" si="254"/>
        <v>38500</v>
      </c>
      <c r="J3728" s="519">
        <v>375</v>
      </c>
      <c r="K3728" s="519">
        <f t="shared" si="251"/>
        <v>10</v>
      </c>
      <c r="L3728" s="519">
        <f t="shared" si="252"/>
        <v>1000</v>
      </c>
      <c r="M3728" s="557">
        <f t="shared" si="253"/>
        <v>2.5974025974025976E-2</v>
      </c>
      <c r="N3728" s="15" t="s">
        <v>40</v>
      </c>
      <c r="O3728" s="15" t="s">
        <v>39</v>
      </c>
    </row>
    <row r="3729" spans="1:15">
      <c r="A3729" s="70">
        <v>2026</v>
      </c>
      <c r="B3729" s="16" t="s">
        <v>15</v>
      </c>
      <c r="C3729" s="70" t="s">
        <v>4775</v>
      </c>
      <c r="D3729" s="15" t="s">
        <v>1227</v>
      </c>
      <c r="E3729" s="15" t="s">
        <v>3182</v>
      </c>
      <c r="F3729" s="95">
        <v>1240</v>
      </c>
      <c r="G3729" s="16" t="s">
        <v>19</v>
      </c>
      <c r="H3729" s="17">
        <v>112</v>
      </c>
      <c r="I3729" s="17">
        <f t="shared" si="254"/>
        <v>138880</v>
      </c>
      <c r="J3729" s="519">
        <v>110</v>
      </c>
      <c r="K3729" s="519">
        <f t="shared" si="251"/>
        <v>2</v>
      </c>
      <c r="L3729" s="519">
        <f t="shared" si="252"/>
        <v>2480</v>
      </c>
      <c r="M3729" s="557">
        <f t="shared" si="253"/>
        <v>1.7857142857142856E-2</v>
      </c>
      <c r="N3729" s="15" t="s">
        <v>40</v>
      </c>
      <c r="O3729" s="15" t="s">
        <v>39</v>
      </c>
    </row>
    <row r="3730" spans="1:15">
      <c r="A3730" s="70">
        <v>2026</v>
      </c>
      <c r="B3730" s="16" t="s">
        <v>15</v>
      </c>
      <c r="C3730" s="70" t="s">
        <v>4775</v>
      </c>
      <c r="D3730" s="15" t="s">
        <v>1227</v>
      </c>
      <c r="E3730" s="15" t="s">
        <v>3214</v>
      </c>
      <c r="F3730" s="95">
        <v>700</v>
      </c>
      <c r="G3730" s="16" t="s">
        <v>19</v>
      </c>
      <c r="H3730" s="17">
        <v>225</v>
      </c>
      <c r="I3730" s="17">
        <f t="shared" si="254"/>
        <v>157500</v>
      </c>
      <c r="J3730" s="519">
        <v>220</v>
      </c>
      <c r="K3730" s="519">
        <f t="shared" si="251"/>
        <v>5</v>
      </c>
      <c r="L3730" s="519">
        <f t="shared" si="252"/>
        <v>3500</v>
      </c>
      <c r="M3730" s="557">
        <f t="shared" si="253"/>
        <v>2.2222222222222223E-2</v>
      </c>
      <c r="N3730" s="15" t="s">
        <v>40</v>
      </c>
      <c r="O3730" s="15" t="s">
        <v>39</v>
      </c>
    </row>
    <row r="3731" spans="1:15">
      <c r="A3731" s="70">
        <v>2026</v>
      </c>
      <c r="B3731" s="16" t="s">
        <v>15</v>
      </c>
      <c r="C3731" s="70" t="s">
        <v>4775</v>
      </c>
      <c r="D3731" s="15" t="s">
        <v>1227</v>
      </c>
      <c r="E3731" s="15" t="s">
        <v>3215</v>
      </c>
      <c r="F3731" s="95">
        <v>200</v>
      </c>
      <c r="G3731" s="16" t="s">
        <v>19</v>
      </c>
      <c r="H3731" s="17">
        <v>400</v>
      </c>
      <c r="I3731" s="17">
        <f t="shared" si="254"/>
        <v>80000</v>
      </c>
      <c r="J3731" s="519">
        <v>390</v>
      </c>
      <c r="K3731" s="519">
        <f t="shared" si="251"/>
        <v>10</v>
      </c>
      <c r="L3731" s="519">
        <f t="shared" si="252"/>
        <v>2000</v>
      </c>
      <c r="M3731" s="557">
        <f t="shared" si="253"/>
        <v>2.5000000000000001E-2</v>
      </c>
      <c r="N3731" s="15" t="s">
        <v>40</v>
      </c>
      <c r="O3731" s="15" t="s">
        <v>39</v>
      </c>
    </row>
    <row r="3732" spans="1:15">
      <c r="A3732" s="70">
        <v>2026</v>
      </c>
      <c r="B3732" s="16" t="s">
        <v>15</v>
      </c>
      <c r="C3732" s="70" t="s">
        <v>4775</v>
      </c>
      <c r="D3732" s="15" t="s">
        <v>1227</v>
      </c>
      <c r="E3732" s="15" t="s">
        <v>1235</v>
      </c>
      <c r="F3732" s="95">
        <v>1700</v>
      </c>
      <c r="G3732" s="16" t="s">
        <v>19</v>
      </c>
      <c r="H3732" s="17">
        <v>45</v>
      </c>
      <c r="I3732" s="17">
        <f t="shared" si="254"/>
        <v>76500</v>
      </c>
      <c r="J3732" s="519">
        <v>44</v>
      </c>
      <c r="K3732" s="519">
        <f t="shared" si="251"/>
        <v>1</v>
      </c>
      <c r="L3732" s="519">
        <f t="shared" si="252"/>
        <v>1700</v>
      </c>
      <c r="M3732" s="557">
        <f t="shared" si="253"/>
        <v>2.2222222222222223E-2</v>
      </c>
      <c r="N3732" s="15" t="s">
        <v>40</v>
      </c>
      <c r="O3732" s="15" t="s">
        <v>39</v>
      </c>
    </row>
    <row r="3733" spans="1:15">
      <c r="A3733" s="70">
        <v>2026</v>
      </c>
      <c r="B3733" s="16" t="s">
        <v>15</v>
      </c>
      <c r="C3733" s="70" t="s">
        <v>4775</v>
      </c>
      <c r="D3733" s="15" t="s">
        <v>1227</v>
      </c>
      <c r="E3733" s="15" t="s">
        <v>3216</v>
      </c>
      <c r="F3733" s="95">
        <v>200</v>
      </c>
      <c r="G3733" s="16" t="s">
        <v>19</v>
      </c>
      <c r="H3733" s="17">
        <v>385</v>
      </c>
      <c r="I3733" s="17">
        <f t="shared" si="254"/>
        <v>77000</v>
      </c>
      <c r="J3733" s="519">
        <v>375</v>
      </c>
      <c r="K3733" s="519">
        <f t="shared" si="251"/>
        <v>10</v>
      </c>
      <c r="L3733" s="519">
        <f t="shared" si="252"/>
        <v>2000</v>
      </c>
      <c r="M3733" s="557">
        <f t="shared" si="253"/>
        <v>2.5974025974025976E-2</v>
      </c>
      <c r="N3733" s="15" t="s">
        <v>40</v>
      </c>
      <c r="O3733" s="15" t="s">
        <v>39</v>
      </c>
    </row>
    <row r="3734" spans="1:15">
      <c r="A3734" s="70">
        <v>2026</v>
      </c>
      <c r="B3734" s="16" t="s">
        <v>15</v>
      </c>
      <c r="C3734" s="70" t="s">
        <v>4775</v>
      </c>
      <c r="D3734" s="15" t="s">
        <v>1227</v>
      </c>
      <c r="E3734" s="15" t="s">
        <v>1236</v>
      </c>
      <c r="F3734" s="95">
        <v>1700</v>
      </c>
      <c r="G3734" s="16" t="s">
        <v>19</v>
      </c>
      <c r="H3734" s="17">
        <v>33</v>
      </c>
      <c r="I3734" s="17">
        <f t="shared" si="254"/>
        <v>56100</v>
      </c>
      <c r="J3734" s="519">
        <v>32</v>
      </c>
      <c r="K3734" s="519">
        <f t="shared" si="251"/>
        <v>1</v>
      </c>
      <c r="L3734" s="519">
        <f t="shared" si="252"/>
        <v>1700</v>
      </c>
      <c r="M3734" s="557">
        <f t="shared" si="253"/>
        <v>3.0303030303030304E-2</v>
      </c>
      <c r="N3734" s="15" t="s">
        <v>40</v>
      </c>
      <c r="O3734" s="15" t="s">
        <v>39</v>
      </c>
    </row>
    <row r="3735" spans="1:15">
      <c r="A3735" s="70">
        <v>2026</v>
      </c>
      <c r="B3735" s="16" t="s">
        <v>15</v>
      </c>
      <c r="C3735" s="70" t="s">
        <v>4775</v>
      </c>
      <c r="D3735" s="15" t="s">
        <v>1227</v>
      </c>
      <c r="E3735" s="15" t="s">
        <v>3218</v>
      </c>
      <c r="F3735" s="95">
        <v>200</v>
      </c>
      <c r="G3735" s="16" t="s">
        <v>19</v>
      </c>
      <c r="H3735" s="17">
        <v>190</v>
      </c>
      <c r="I3735" s="17">
        <f t="shared" si="254"/>
        <v>38000</v>
      </c>
      <c r="J3735" s="519">
        <v>185</v>
      </c>
      <c r="K3735" s="519">
        <f t="shared" si="251"/>
        <v>5</v>
      </c>
      <c r="L3735" s="519">
        <f t="shared" si="252"/>
        <v>1000</v>
      </c>
      <c r="M3735" s="557">
        <f t="shared" si="253"/>
        <v>2.6315789473684209E-2</v>
      </c>
      <c r="N3735" s="15" t="s">
        <v>40</v>
      </c>
      <c r="O3735" s="15" t="s">
        <v>39</v>
      </c>
    </row>
    <row r="3736" spans="1:15">
      <c r="A3736" s="70">
        <v>2026</v>
      </c>
      <c r="B3736" s="16" t="s">
        <v>15</v>
      </c>
      <c r="C3736" s="70" t="s">
        <v>4775</v>
      </c>
      <c r="D3736" s="15" t="s">
        <v>1227</v>
      </c>
      <c r="E3736" s="15" t="s">
        <v>3219</v>
      </c>
      <c r="F3736" s="95">
        <v>200</v>
      </c>
      <c r="G3736" s="16" t="s">
        <v>19</v>
      </c>
      <c r="H3736" s="17">
        <v>1070</v>
      </c>
      <c r="I3736" s="17">
        <f t="shared" si="254"/>
        <v>214000</v>
      </c>
      <c r="J3736" s="519">
        <v>1050</v>
      </c>
      <c r="K3736" s="519">
        <f t="shared" si="251"/>
        <v>20</v>
      </c>
      <c r="L3736" s="519">
        <f t="shared" si="252"/>
        <v>4000</v>
      </c>
      <c r="M3736" s="557">
        <f t="shared" si="253"/>
        <v>1.8691588785046728E-2</v>
      </c>
      <c r="N3736" s="15" t="s">
        <v>40</v>
      </c>
      <c r="O3736" s="15" t="s">
        <v>39</v>
      </c>
    </row>
    <row r="3737" spans="1:15">
      <c r="A3737" s="70">
        <v>2026</v>
      </c>
      <c r="B3737" s="16" t="s">
        <v>15</v>
      </c>
      <c r="C3737" s="70" t="s">
        <v>4775</v>
      </c>
      <c r="D3737" s="15" t="s">
        <v>1227</v>
      </c>
      <c r="E3737" s="15" t="s">
        <v>3249</v>
      </c>
      <c r="F3737" s="95">
        <v>1400</v>
      </c>
      <c r="G3737" s="16" t="s">
        <v>19</v>
      </c>
      <c r="H3737" s="17">
        <v>282</v>
      </c>
      <c r="I3737" s="17">
        <f t="shared" si="254"/>
        <v>394800</v>
      </c>
      <c r="J3737" s="519">
        <v>275</v>
      </c>
      <c r="K3737" s="519">
        <f t="shared" si="251"/>
        <v>7</v>
      </c>
      <c r="L3737" s="519">
        <f t="shared" si="252"/>
        <v>9800</v>
      </c>
      <c r="M3737" s="557">
        <f t="shared" si="253"/>
        <v>2.4822695035460994E-2</v>
      </c>
      <c r="N3737" s="15" t="s">
        <v>40</v>
      </c>
      <c r="O3737" s="15" t="s">
        <v>39</v>
      </c>
    </row>
    <row r="3738" spans="1:15">
      <c r="A3738" s="70">
        <v>2026</v>
      </c>
      <c r="B3738" s="16" t="s">
        <v>15</v>
      </c>
      <c r="C3738" s="70" t="s">
        <v>4775</v>
      </c>
      <c r="D3738" s="15" t="s">
        <v>1227</v>
      </c>
      <c r="E3738" s="15" t="s">
        <v>3159</v>
      </c>
      <c r="F3738" s="95">
        <v>1240</v>
      </c>
      <c r="G3738" s="16" t="s">
        <v>19</v>
      </c>
      <c r="H3738" s="17">
        <v>865</v>
      </c>
      <c r="I3738" s="17">
        <f t="shared" si="254"/>
        <v>1072600</v>
      </c>
      <c r="J3738" s="519">
        <v>845</v>
      </c>
      <c r="K3738" s="519">
        <f t="shared" si="251"/>
        <v>20</v>
      </c>
      <c r="L3738" s="519">
        <f t="shared" si="252"/>
        <v>24800</v>
      </c>
      <c r="M3738" s="557">
        <f t="shared" si="253"/>
        <v>2.3121387283236993E-2</v>
      </c>
      <c r="N3738" s="15" t="s">
        <v>40</v>
      </c>
      <c r="O3738" s="15" t="s">
        <v>39</v>
      </c>
    </row>
    <row r="3739" spans="1:15">
      <c r="A3739" s="70">
        <v>2026</v>
      </c>
      <c r="B3739" s="16" t="s">
        <v>15</v>
      </c>
      <c r="C3739" s="70" t="s">
        <v>4775</v>
      </c>
      <c r="D3739" s="15" t="s">
        <v>1227</v>
      </c>
      <c r="E3739" s="15" t="s">
        <v>3250</v>
      </c>
      <c r="F3739" s="95">
        <v>192</v>
      </c>
      <c r="G3739" s="16" t="s">
        <v>19</v>
      </c>
      <c r="H3739" s="17">
        <v>3340</v>
      </c>
      <c r="I3739" s="17">
        <f t="shared" si="254"/>
        <v>641280</v>
      </c>
      <c r="J3739" s="519">
        <v>3270</v>
      </c>
      <c r="K3739" s="519">
        <f t="shared" si="251"/>
        <v>70</v>
      </c>
      <c r="L3739" s="519">
        <f t="shared" si="252"/>
        <v>13440</v>
      </c>
      <c r="M3739" s="557">
        <f t="shared" si="253"/>
        <v>2.0958083832335328E-2</v>
      </c>
      <c r="N3739" s="15" t="s">
        <v>40</v>
      </c>
      <c r="O3739" s="15" t="s">
        <v>39</v>
      </c>
    </row>
    <row r="3740" spans="1:15">
      <c r="A3740" s="70">
        <v>2026</v>
      </c>
      <c r="B3740" s="16" t="s">
        <v>15</v>
      </c>
      <c r="C3740" s="70" t="s">
        <v>4775</v>
      </c>
      <c r="D3740" s="15" t="s">
        <v>1227</v>
      </c>
      <c r="E3740" s="15" t="s">
        <v>4778</v>
      </c>
      <c r="F3740" s="95">
        <v>882</v>
      </c>
      <c r="G3740" s="16" t="s">
        <v>19</v>
      </c>
      <c r="H3740" s="17">
        <v>32</v>
      </c>
      <c r="I3740" s="17">
        <f t="shared" si="254"/>
        <v>28224</v>
      </c>
      <c r="J3740" s="519">
        <v>31</v>
      </c>
      <c r="K3740" s="519">
        <f t="shared" si="251"/>
        <v>1</v>
      </c>
      <c r="L3740" s="519">
        <f t="shared" si="252"/>
        <v>882</v>
      </c>
      <c r="M3740" s="557">
        <f t="shared" si="253"/>
        <v>3.125E-2</v>
      </c>
      <c r="N3740" s="15" t="s">
        <v>40</v>
      </c>
      <c r="O3740" s="15" t="s">
        <v>39</v>
      </c>
    </row>
    <row r="3741" spans="1:15">
      <c r="A3741" s="70">
        <v>2026</v>
      </c>
      <c r="B3741" s="16" t="s">
        <v>15</v>
      </c>
      <c r="C3741" s="70" t="s">
        <v>4775</v>
      </c>
      <c r="D3741" s="15" t="s">
        <v>1227</v>
      </c>
      <c r="E3741" s="15" t="s">
        <v>4779</v>
      </c>
      <c r="F3741" s="95">
        <v>882</v>
      </c>
      <c r="G3741" s="16" t="s">
        <v>19</v>
      </c>
      <c r="H3741" s="17">
        <v>32</v>
      </c>
      <c r="I3741" s="17">
        <f t="shared" si="254"/>
        <v>28224</v>
      </c>
      <c r="J3741" s="519">
        <v>31</v>
      </c>
      <c r="K3741" s="519">
        <f t="shared" si="251"/>
        <v>1</v>
      </c>
      <c r="L3741" s="519">
        <f t="shared" si="252"/>
        <v>882</v>
      </c>
      <c r="M3741" s="557">
        <f t="shared" si="253"/>
        <v>3.125E-2</v>
      </c>
      <c r="N3741" s="15" t="s">
        <v>40</v>
      </c>
      <c r="O3741" s="15" t="s">
        <v>39</v>
      </c>
    </row>
    <row r="3742" spans="1:15">
      <c r="A3742" s="70">
        <v>2026</v>
      </c>
      <c r="B3742" s="16" t="s">
        <v>15</v>
      </c>
      <c r="C3742" s="70" t="s">
        <v>4775</v>
      </c>
      <c r="D3742" s="15" t="s">
        <v>1227</v>
      </c>
      <c r="E3742" s="15" t="s">
        <v>1239</v>
      </c>
      <c r="F3742" s="95">
        <v>2400</v>
      </c>
      <c r="G3742" s="16" t="s">
        <v>19</v>
      </c>
      <c r="H3742" s="17">
        <v>620</v>
      </c>
      <c r="I3742" s="17">
        <f t="shared" si="254"/>
        <v>1488000</v>
      </c>
      <c r="J3742" s="519">
        <v>605</v>
      </c>
      <c r="K3742" s="519">
        <f t="shared" si="251"/>
        <v>15</v>
      </c>
      <c r="L3742" s="519">
        <f t="shared" si="252"/>
        <v>36000</v>
      </c>
      <c r="M3742" s="557">
        <f t="shared" si="253"/>
        <v>2.4193548387096774E-2</v>
      </c>
      <c r="N3742" s="15" t="s">
        <v>40</v>
      </c>
      <c r="O3742" s="15" t="s">
        <v>39</v>
      </c>
    </row>
    <row r="3743" spans="1:15">
      <c r="A3743" s="70">
        <v>2026</v>
      </c>
      <c r="B3743" s="16" t="s">
        <v>15</v>
      </c>
      <c r="C3743" s="70" t="s">
        <v>4775</v>
      </c>
      <c r="D3743" s="15" t="s">
        <v>1227</v>
      </c>
      <c r="E3743" s="15" t="s">
        <v>3327</v>
      </c>
      <c r="F3743" s="95">
        <v>96</v>
      </c>
      <c r="G3743" s="16" t="s">
        <v>19</v>
      </c>
      <c r="H3743" s="17">
        <v>2270</v>
      </c>
      <c r="I3743" s="17">
        <f t="shared" si="254"/>
        <v>217920</v>
      </c>
      <c r="J3743" s="519">
        <v>2200</v>
      </c>
      <c r="K3743" s="519">
        <f t="shared" si="251"/>
        <v>70</v>
      </c>
      <c r="L3743" s="519">
        <f t="shared" si="252"/>
        <v>6720</v>
      </c>
      <c r="M3743" s="557">
        <f t="shared" si="253"/>
        <v>3.0837004405286344E-2</v>
      </c>
      <c r="N3743" s="15" t="s">
        <v>40</v>
      </c>
      <c r="O3743" s="15" t="s">
        <v>39</v>
      </c>
    </row>
    <row r="3744" spans="1:15">
      <c r="A3744" s="70">
        <v>2026</v>
      </c>
      <c r="B3744" s="16" t="s">
        <v>15</v>
      </c>
      <c r="C3744" s="70" t="s">
        <v>4775</v>
      </c>
      <c r="D3744" s="15" t="s">
        <v>1227</v>
      </c>
      <c r="E3744" s="15" t="s">
        <v>4780</v>
      </c>
      <c r="F3744" s="95">
        <v>2200</v>
      </c>
      <c r="G3744" s="16" t="s">
        <v>19</v>
      </c>
      <c r="H3744" s="17">
        <v>45</v>
      </c>
      <c r="I3744" s="17">
        <f t="shared" si="254"/>
        <v>99000</v>
      </c>
      <c r="J3744" s="519">
        <v>44</v>
      </c>
      <c r="K3744" s="519">
        <f t="shared" si="251"/>
        <v>1</v>
      </c>
      <c r="L3744" s="519">
        <f t="shared" si="252"/>
        <v>2200</v>
      </c>
      <c r="M3744" s="557">
        <f t="shared" si="253"/>
        <v>2.2222222222222223E-2</v>
      </c>
      <c r="N3744" s="15" t="s">
        <v>40</v>
      </c>
      <c r="O3744" s="15" t="s">
        <v>39</v>
      </c>
    </row>
    <row r="3745" spans="1:15">
      <c r="A3745" s="70">
        <v>2026</v>
      </c>
      <c r="B3745" s="16" t="s">
        <v>15</v>
      </c>
      <c r="C3745" s="70" t="s">
        <v>4775</v>
      </c>
      <c r="D3745" s="15" t="s">
        <v>1227</v>
      </c>
      <c r="E3745" s="15" t="s">
        <v>3875</v>
      </c>
      <c r="F3745" s="95">
        <v>1650</v>
      </c>
      <c r="G3745" s="16" t="s">
        <v>19</v>
      </c>
      <c r="H3745" s="17">
        <v>365</v>
      </c>
      <c r="I3745" s="17">
        <f t="shared" si="254"/>
        <v>602250</v>
      </c>
      <c r="J3745" s="519">
        <v>355</v>
      </c>
      <c r="K3745" s="519">
        <f t="shared" si="251"/>
        <v>10</v>
      </c>
      <c r="L3745" s="519">
        <f t="shared" si="252"/>
        <v>16500</v>
      </c>
      <c r="M3745" s="557">
        <f t="shared" si="253"/>
        <v>2.7397260273972601E-2</v>
      </c>
      <c r="N3745" s="15" t="s">
        <v>40</v>
      </c>
      <c r="O3745" s="15" t="s">
        <v>39</v>
      </c>
    </row>
    <row r="3746" spans="1:15">
      <c r="A3746" s="70">
        <v>2026</v>
      </c>
      <c r="B3746" s="16" t="s">
        <v>15</v>
      </c>
      <c r="C3746" s="70" t="s">
        <v>4781</v>
      </c>
      <c r="D3746" s="15" t="s">
        <v>200</v>
      </c>
      <c r="E3746" s="15" t="s">
        <v>4782</v>
      </c>
      <c r="F3746" s="95">
        <v>1</v>
      </c>
      <c r="G3746" s="16" t="s">
        <v>302</v>
      </c>
      <c r="H3746" s="17">
        <v>36500</v>
      </c>
      <c r="I3746" s="17">
        <f t="shared" si="254"/>
        <v>36500</v>
      </c>
      <c r="J3746" s="519">
        <v>34500</v>
      </c>
      <c r="K3746" s="519">
        <f t="shared" si="251"/>
        <v>2000</v>
      </c>
      <c r="L3746" s="519">
        <f t="shared" si="252"/>
        <v>2000</v>
      </c>
      <c r="M3746" s="557">
        <f t="shared" si="253"/>
        <v>5.4794520547945202E-2</v>
      </c>
      <c r="N3746" s="15" t="s">
        <v>40</v>
      </c>
      <c r="O3746" s="15" t="s">
        <v>39</v>
      </c>
    </row>
    <row r="3747" spans="1:15">
      <c r="A3747" s="70">
        <v>2026</v>
      </c>
      <c r="B3747" s="16" t="s">
        <v>15</v>
      </c>
      <c r="C3747" s="70" t="s">
        <v>4783</v>
      </c>
      <c r="D3747" s="15" t="s">
        <v>698</v>
      </c>
      <c r="E3747" s="15" t="s">
        <v>4784</v>
      </c>
      <c r="F3747" s="95">
        <v>2</v>
      </c>
      <c r="G3747" s="16" t="s">
        <v>302</v>
      </c>
      <c r="H3747" s="17">
        <v>13123</v>
      </c>
      <c r="I3747" s="17">
        <f t="shared" si="254"/>
        <v>26246</v>
      </c>
      <c r="J3747" s="519">
        <v>11123</v>
      </c>
      <c r="K3747" s="519">
        <f t="shared" si="251"/>
        <v>2000</v>
      </c>
      <c r="L3747" s="519">
        <f t="shared" si="252"/>
        <v>4000</v>
      </c>
      <c r="M3747" s="557">
        <f t="shared" si="253"/>
        <v>0.15240417587441896</v>
      </c>
      <c r="N3747" s="15" t="s">
        <v>40</v>
      </c>
      <c r="O3747" s="15" t="s">
        <v>39</v>
      </c>
    </row>
    <row r="3748" spans="1:15">
      <c r="A3748" s="70">
        <v>2026</v>
      </c>
      <c r="B3748" s="16" t="s">
        <v>15</v>
      </c>
      <c r="C3748" s="70" t="s">
        <v>4783</v>
      </c>
      <c r="D3748" s="15" t="s">
        <v>698</v>
      </c>
      <c r="E3748" s="15" t="s">
        <v>3231</v>
      </c>
      <c r="F3748" s="95">
        <v>5</v>
      </c>
      <c r="G3748" s="16" t="s">
        <v>302</v>
      </c>
      <c r="H3748" s="17">
        <v>14980</v>
      </c>
      <c r="I3748" s="17">
        <f t="shared" si="254"/>
        <v>74900</v>
      </c>
      <c r="J3748" s="519">
        <v>12980</v>
      </c>
      <c r="K3748" s="519">
        <f t="shared" si="251"/>
        <v>2000</v>
      </c>
      <c r="L3748" s="519">
        <f t="shared" si="252"/>
        <v>10000</v>
      </c>
      <c r="M3748" s="557">
        <f t="shared" si="253"/>
        <v>0.13351134846461948</v>
      </c>
      <c r="N3748" s="15" t="s">
        <v>40</v>
      </c>
      <c r="O3748" s="15" t="s">
        <v>39</v>
      </c>
    </row>
    <row r="3749" spans="1:15">
      <c r="A3749" s="70">
        <v>2026</v>
      </c>
      <c r="B3749" s="16" t="s">
        <v>15</v>
      </c>
      <c r="C3749" s="70" t="s">
        <v>4783</v>
      </c>
      <c r="D3749" s="15" t="s">
        <v>698</v>
      </c>
      <c r="E3749" s="15" t="s">
        <v>4785</v>
      </c>
      <c r="F3749" s="95">
        <v>6</v>
      </c>
      <c r="G3749" s="16" t="s">
        <v>302</v>
      </c>
      <c r="H3749" s="17">
        <v>20656</v>
      </c>
      <c r="I3749" s="17">
        <f t="shared" si="254"/>
        <v>123936</v>
      </c>
      <c r="J3749" s="519">
        <v>18656</v>
      </c>
      <c r="K3749" s="519">
        <f t="shared" si="251"/>
        <v>2000</v>
      </c>
      <c r="L3749" s="519">
        <f t="shared" si="252"/>
        <v>12000</v>
      </c>
      <c r="M3749" s="557">
        <f t="shared" si="253"/>
        <v>9.6824167312161119E-2</v>
      </c>
      <c r="N3749" s="15" t="s">
        <v>40</v>
      </c>
      <c r="O3749" s="15" t="s">
        <v>39</v>
      </c>
    </row>
    <row r="3750" spans="1:15">
      <c r="A3750" s="70">
        <v>2026</v>
      </c>
      <c r="B3750" s="16" t="s">
        <v>15</v>
      </c>
      <c r="C3750" s="70" t="s">
        <v>4783</v>
      </c>
      <c r="D3750" s="15" t="s">
        <v>698</v>
      </c>
      <c r="E3750" s="15" t="s">
        <v>4786</v>
      </c>
      <c r="F3750" s="95">
        <v>4</v>
      </c>
      <c r="G3750" s="16" t="s">
        <v>302</v>
      </c>
      <c r="H3750" s="17">
        <v>12556</v>
      </c>
      <c r="I3750" s="17">
        <f t="shared" si="254"/>
        <v>50224</v>
      </c>
      <c r="J3750" s="519">
        <v>10556</v>
      </c>
      <c r="K3750" s="519">
        <f t="shared" si="251"/>
        <v>2000</v>
      </c>
      <c r="L3750" s="519">
        <f t="shared" si="252"/>
        <v>8000</v>
      </c>
      <c r="M3750" s="557">
        <f t="shared" si="253"/>
        <v>0.15928639694170119</v>
      </c>
      <c r="N3750" s="15" t="s">
        <v>40</v>
      </c>
      <c r="O3750" s="15" t="s">
        <v>39</v>
      </c>
    </row>
    <row r="3751" spans="1:15">
      <c r="A3751" s="70">
        <v>2026</v>
      </c>
      <c r="B3751" s="16" t="s">
        <v>15</v>
      </c>
      <c r="C3751" s="70" t="s">
        <v>4783</v>
      </c>
      <c r="D3751" s="15" t="s">
        <v>698</v>
      </c>
      <c r="E3751" s="15" t="s">
        <v>4787</v>
      </c>
      <c r="F3751" s="95">
        <v>4</v>
      </c>
      <c r="G3751" s="16" t="s">
        <v>302</v>
      </c>
      <c r="H3751" s="17">
        <v>7983</v>
      </c>
      <c r="I3751" s="17">
        <f t="shared" si="254"/>
        <v>31932</v>
      </c>
      <c r="J3751" s="519">
        <v>5983</v>
      </c>
      <c r="K3751" s="519">
        <f t="shared" si="251"/>
        <v>2000</v>
      </c>
      <c r="L3751" s="519">
        <f t="shared" si="252"/>
        <v>8000</v>
      </c>
      <c r="M3751" s="557">
        <f t="shared" si="253"/>
        <v>0.25053238131028438</v>
      </c>
      <c r="N3751" s="15" t="s">
        <v>40</v>
      </c>
      <c r="O3751" s="15" t="s">
        <v>39</v>
      </c>
    </row>
    <row r="3752" spans="1:15">
      <c r="A3752" s="70">
        <v>2026</v>
      </c>
      <c r="B3752" s="16" t="s">
        <v>15</v>
      </c>
      <c r="C3752" s="70" t="s">
        <v>4783</v>
      </c>
      <c r="D3752" s="15" t="s">
        <v>698</v>
      </c>
      <c r="E3752" s="15" t="s">
        <v>4788</v>
      </c>
      <c r="F3752" s="95">
        <v>24</v>
      </c>
      <c r="G3752" s="16" t="s">
        <v>302</v>
      </c>
      <c r="H3752" s="17">
        <v>24266</v>
      </c>
      <c r="I3752" s="17">
        <f t="shared" si="254"/>
        <v>582384</v>
      </c>
      <c r="J3752" s="519">
        <v>22266</v>
      </c>
      <c r="K3752" s="519">
        <f t="shared" si="251"/>
        <v>2000</v>
      </c>
      <c r="L3752" s="519">
        <f t="shared" si="252"/>
        <v>48000</v>
      </c>
      <c r="M3752" s="557">
        <f t="shared" si="253"/>
        <v>8.2419846699085142E-2</v>
      </c>
      <c r="N3752" s="15" t="s">
        <v>40</v>
      </c>
      <c r="O3752" s="15" t="s">
        <v>39</v>
      </c>
    </row>
    <row r="3753" spans="1:15">
      <c r="A3753" s="70">
        <v>2026</v>
      </c>
      <c r="B3753" s="16" t="s">
        <v>15</v>
      </c>
      <c r="C3753" s="70" t="s">
        <v>4783</v>
      </c>
      <c r="D3753" s="15" t="s">
        <v>698</v>
      </c>
      <c r="E3753" s="15" t="s">
        <v>4788</v>
      </c>
      <c r="F3753" s="95">
        <v>18</v>
      </c>
      <c r="G3753" s="16" t="s">
        <v>302</v>
      </c>
      <c r="H3753" s="17">
        <v>24266</v>
      </c>
      <c r="I3753" s="17">
        <f t="shared" si="254"/>
        <v>436788</v>
      </c>
      <c r="J3753" s="519">
        <v>22266</v>
      </c>
      <c r="K3753" s="519">
        <f t="shared" si="251"/>
        <v>2000</v>
      </c>
      <c r="L3753" s="519">
        <f t="shared" si="252"/>
        <v>36000</v>
      </c>
      <c r="M3753" s="557">
        <f t="shared" si="253"/>
        <v>8.2419846699085142E-2</v>
      </c>
      <c r="N3753" s="15" t="s">
        <v>40</v>
      </c>
      <c r="O3753" s="15" t="s">
        <v>39</v>
      </c>
    </row>
    <row r="3754" spans="1:15">
      <c r="A3754" s="70">
        <v>2026</v>
      </c>
      <c r="B3754" s="16" t="s">
        <v>15</v>
      </c>
      <c r="C3754" s="70" t="s">
        <v>4789</v>
      </c>
      <c r="D3754" s="15" t="s">
        <v>1119</v>
      </c>
      <c r="E3754" s="15" t="s">
        <v>4393</v>
      </c>
      <c r="F3754" s="95">
        <v>10</v>
      </c>
      <c r="G3754" s="16" t="s">
        <v>19</v>
      </c>
      <c r="H3754" s="17">
        <v>40</v>
      </c>
      <c r="I3754" s="17">
        <f t="shared" si="254"/>
        <v>400</v>
      </c>
      <c r="J3754" s="519">
        <v>38</v>
      </c>
      <c r="K3754" s="519">
        <f t="shared" si="251"/>
        <v>2</v>
      </c>
      <c r="L3754" s="519">
        <f t="shared" si="252"/>
        <v>20</v>
      </c>
      <c r="M3754" s="557">
        <f t="shared" si="253"/>
        <v>0.05</v>
      </c>
      <c r="N3754" s="15" t="s">
        <v>40</v>
      </c>
      <c r="O3754" s="15" t="s">
        <v>39</v>
      </c>
    </row>
    <row r="3755" spans="1:15">
      <c r="A3755" s="70">
        <v>2026</v>
      </c>
      <c r="B3755" s="16" t="s">
        <v>15</v>
      </c>
      <c r="C3755" s="70" t="s">
        <v>4789</v>
      </c>
      <c r="D3755" s="15" t="s">
        <v>1119</v>
      </c>
      <c r="E3755" s="15" t="s">
        <v>4486</v>
      </c>
      <c r="F3755" s="95">
        <v>20</v>
      </c>
      <c r="G3755" s="16" t="s">
        <v>19</v>
      </c>
      <c r="H3755" s="17">
        <v>600</v>
      </c>
      <c r="I3755" s="17">
        <f t="shared" si="254"/>
        <v>12000</v>
      </c>
      <c r="J3755" s="519">
        <v>580</v>
      </c>
      <c r="K3755" s="519">
        <f t="shared" si="251"/>
        <v>20</v>
      </c>
      <c r="L3755" s="519">
        <f t="shared" si="252"/>
        <v>400</v>
      </c>
      <c r="M3755" s="557">
        <f t="shared" si="253"/>
        <v>3.3333333333333333E-2</v>
      </c>
      <c r="N3755" s="15" t="s">
        <v>40</v>
      </c>
      <c r="O3755" s="15" t="s">
        <v>39</v>
      </c>
    </row>
    <row r="3756" spans="1:15">
      <c r="A3756" s="70">
        <v>2026</v>
      </c>
      <c r="B3756" s="16" t="s">
        <v>15</v>
      </c>
      <c r="C3756" s="70" t="s">
        <v>4789</v>
      </c>
      <c r="D3756" s="15" t="s">
        <v>1119</v>
      </c>
      <c r="E3756" s="15" t="s">
        <v>4489</v>
      </c>
      <c r="F3756" s="95">
        <v>4</v>
      </c>
      <c r="G3756" s="16" t="s">
        <v>19</v>
      </c>
      <c r="H3756" s="17">
        <v>350</v>
      </c>
      <c r="I3756" s="17">
        <f t="shared" si="254"/>
        <v>1400</v>
      </c>
      <c r="J3756" s="519">
        <v>340</v>
      </c>
      <c r="K3756" s="519">
        <f t="shared" si="251"/>
        <v>10</v>
      </c>
      <c r="L3756" s="519">
        <f t="shared" si="252"/>
        <v>40</v>
      </c>
      <c r="M3756" s="557">
        <f t="shared" si="253"/>
        <v>2.8571428571428571E-2</v>
      </c>
      <c r="N3756" s="15" t="s">
        <v>40</v>
      </c>
      <c r="O3756" s="15" t="s">
        <v>39</v>
      </c>
    </row>
    <row r="3757" spans="1:15">
      <c r="A3757" s="70">
        <v>2026</v>
      </c>
      <c r="B3757" s="16" t="s">
        <v>15</v>
      </c>
      <c r="C3757" s="70" t="s">
        <v>4789</v>
      </c>
      <c r="D3757" s="15" t="s">
        <v>1119</v>
      </c>
      <c r="E3757" s="15" t="s">
        <v>4490</v>
      </c>
      <c r="F3757" s="95">
        <v>10</v>
      </c>
      <c r="G3757" s="16" t="s">
        <v>19</v>
      </c>
      <c r="H3757" s="17">
        <v>100</v>
      </c>
      <c r="I3757" s="17">
        <f t="shared" si="254"/>
        <v>1000</v>
      </c>
      <c r="J3757" s="519">
        <v>80</v>
      </c>
      <c r="K3757" s="519">
        <f t="shared" si="251"/>
        <v>20</v>
      </c>
      <c r="L3757" s="519">
        <f t="shared" si="252"/>
        <v>200</v>
      </c>
      <c r="M3757" s="557">
        <f t="shared" si="253"/>
        <v>0.2</v>
      </c>
      <c r="N3757" s="15" t="s">
        <v>40</v>
      </c>
      <c r="O3757" s="15" t="s">
        <v>39</v>
      </c>
    </row>
    <row r="3758" spans="1:15">
      <c r="A3758" s="70">
        <v>2026</v>
      </c>
      <c r="B3758" s="16" t="s">
        <v>15</v>
      </c>
      <c r="C3758" s="70" t="s">
        <v>4789</v>
      </c>
      <c r="D3758" s="15" t="s">
        <v>1119</v>
      </c>
      <c r="E3758" s="15" t="s">
        <v>4790</v>
      </c>
      <c r="F3758" s="95">
        <v>10</v>
      </c>
      <c r="G3758" s="16" t="s">
        <v>19</v>
      </c>
      <c r="H3758" s="17">
        <v>650</v>
      </c>
      <c r="I3758" s="17">
        <f t="shared" si="254"/>
        <v>6500</v>
      </c>
      <c r="J3758" s="519">
        <v>280</v>
      </c>
      <c r="K3758" s="519">
        <f t="shared" si="251"/>
        <v>370</v>
      </c>
      <c r="L3758" s="519">
        <f t="shared" si="252"/>
        <v>3700</v>
      </c>
      <c r="M3758" s="557">
        <f t="shared" si="253"/>
        <v>0.56923076923076921</v>
      </c>
      <c r="N3758" s="15" t="s">
        <v>40</v>
      </c>
      <c r="O3758" s="15" t="s">
        <v>39</v>
      </c>
    </row>
    <row r="3759" spans="1:15">
      <c r="A3759" s="70">
        <v>2026</v>
      </c>
      <c r="B3759" s="16" t="s">
        <v>15</v>
      </c>
      <c r="C3759" s="70" t="s">
        <v>4791</v>
      </c>
      <c r="D3759" s="15" t="s">
        <v>192</v>
      </c>
      <c r="E3759" s="15" t="s">
        <v>4792</v>
      </c>
      <c r="F3759" s="95">
        <v>2500</v>
      </c>
      <c r="G3759" s="16" t="s">
        <v>1605</v>
      </c>
      <c r="H3759" s="17">
        <v>85</v>
      </c>
      <c r="I3759" s="17">
        <f t="shared" si="254"/>
        <v>212500</v>
      </c>
      <c r="J3759" s="519">
        <v>83</v>
      </c>
      <c r="K3759" s="519">
        <f t="shared" si="251"/>
        <v>2</v>
      </c>
      <c r="L3759" s="519">
        <f t="shared" si="252"/>
        <v>5000</v>
      </c>
      <c r="M3759" s="557">
        <f t="shared" si="253"/>
        <v>2.3529411764705882E-2</v>
      </c>
      <c r="N3759" s="15" t="s">
        <v>40</v>
      </c>
      <c r="O3759" s="15" t="s">
        <v>39</v>
      </c>
    </row>
    <row r="3760" spans="1:15">
      <c r="A3760" s="70">
        <v>2026</v>
      </c>
      <c r="B3760" s="16" t="s">
        <v>15</v>
      </c>
      <c r="C3760" s="70" t="s">
        <v>4791</v>
      </c>
      <c r="D3760" s="15" t="s">
        <v>192</v>
      </c>
      <c r="E3760" s="15" t="s">
        <v>2369</v>
      </c>
      <c r="F3760" s="95">
        <v>9000</v>
      </c>
      <c r="G3760" s="16" t="s">
        <v>1605</v>
      </c>
      <c r="H3760" s="17">
        <v>85</v>
      </c>
      <c r="I3760" s="17">
        <f t="shared" si="254"/>
        <v>765000</v>
      </c>
      <c r="J3760" s="519">
        <v>83</v>
      </c>
      <c r="K3760" s="519">
        <f t="shared" si="251"/>
        <v>2</v>
      </c>
      <c r="L3760" s="519">
        <f t="shared" si="252"/>
        <v>18000</v>
      </c>
      <c r="M3760" s="557">
        <f t="shared" si="253"/>
        <v>2.3529411764705882E-2</v>
      </c>
      <c r="N3760" s="15" t="s">
        <v>40</v>
      </c>
      <c r="O3760" s="15" t="s">
        <v>39</v>
      </c>
    </row>
    <row r="3761" spans="1:15">
      <c r="A3761" s="70">
        <v>2026</v>
      </c>
      <c r="B3761" s="16" t="s">
        <v>15</v>
      </c>
      <c r="C3761" s="70" t="s">
        <v>4791</v>
      </c>
      <c r="D3761" s="15" t="s">
        <v>192</v>
      </c>
      <c r="E3761" s="15" t="s">
        <v>4793</v>
      </c>
      <c r="F3761" s="95">
        <v>1000</v>
      </c>
      <c r="G3761" s="16" t="s">
        <v>1605</v>
      </c>
      <c r="H3761" s="17">
        <v>102</v>
      </c>
      <c r="I3761" s="17">
        <f t="shared" si="254"/>
        <v>102000</v>
      </c>
      <c r="J3761" s="519">
        <v>100</v>
      </c>
      <c r="K3761" s="519">
        <f t="shared" si="251"/>
        <v>2</v>
      </c>
      <c r="L3761" s="519">
        <f t="shared" si="252"/>
        <v>2000</v>
      </c>
      <c r="M3761" s="557">
        <f t="shared" si="253"/>
        <v>1.9607843137254902E-2</v>
      </c>
      <c r="N3761" s="15" t="s">
        <v>40</v>
      </c>
      <c r="O3761" s="15" t="s">
        <v>39</v>
      </c>
    </row>
    <row r="3762" spans="1:15">
      <c r="A3762" s="70">
        <v>2026</v>
      </c>
      <c r="B3762" s="16" t="s">
        <v>15</v>
      </c>
      <c r="C3762" s="70" t="s">
        <v>4791</v>
      </c>
      <c r="D3762" s="15" t="s">
        <v>192</v>
      </c>
      <c r="E3762" s="15" t="s">
        <v>2372</v>
      </c>
      <c r="F3762" s="95">
        <v>1000</v>
      </c>
      <c r="G3762" s="16" t="s">
        <v>1605</v>
      </c>
      <c r="H3762" s="17">
        <v>85</v>
      </c>
      <c r="I3762" s="17">
        <f t="shared" si="254"/>
        <v>85000</v>
      </c>
      <c r="J3762" s="519">
        <v>83</v>
      </c>
      <c r="K3762" s="519">
        <f t="shared" si="251"/>
        <v>2</v>
      </c>
      <c r="L3762" s="519">
        <f t="shared" si="252"/>
        <v>2000</v>
      </c>
      <c r="M3762" s="557">
        <f t="shared" si="253"/>
        <v>2.3529411764705882E-2</v>
      </c>
      <c r="N3762" s="15" t="s">
        <v>40</v>
      </c>
      <c r="O3762" s="15" t="s">
        <v>39</v>
      </c>
    </row>
    <row r="3763" spans="1:15">
      <c r="A3763" s="70">
        <v>2026</v>
      </c>
      <c r="B3763" s="16" t="s">
        <v>15</v>
      </c>
      <c r="C3763" s="70" t="s">
        <v>4791</v>
      </c>
      <c r="D3763" s="15" t="s">
        <v>192</v>
      </c>
      <c r="E3763" s="15" t="s">
        <v>2061</v>
      </c>
      <c r="F3763" s="95">
        <v>1000</v>
      </c>
      <c r="G3763" s="16" t="s">
        <v>1605</v>
      </c>
      <c r="H3763" s="17">
        <v>85</v>
      </c>
      <c r="I3763" s="17">
        <f t="shared" si="254"/>
        <v>85000</v>
      </c>
      <c r="J3763" s="519">
        <v>83</v>
      </c>
      <c r="K3763" s="519">
        <f t="shared" si="251"/>
        <v>2</v>
      </c>
      <c r="L3763" s="519">
        <f t="shared" si="252"/>
        <v>2000</v>
      </c>
      <c r="M3763" s="557">
        <f t="shared" si="253"/>
        <v>2.3529411764705882E-2</v>
      </c>
      <c r="N3763" s="15" t="s">
        <v>40</v>
      </c>
      <c r="O3763" s="15" t="s">
        <v>39</v>
      </c>
    </row>
    <row r="3764" spans="1:15">
      <c r="A3764" s="70">
        <v>2026</v>
      </c>
      <c r="B3764" s="16" t="s">
        <v>15</v>
      </c>
      <c r="C3764" s="70" t="s">
        <v>4794</v>
      </c>
      <c r="D3764" s="15" t="s">
        <v>192</v>
      </c>
      <c r="E3764" s="15" t="s">
        <v>1195</v>
      </c>
      <c r="F3764" s="95">
        <v>500</v>
      </c>
      <c r="G3764" s="16" t="s">
        <v>19</v>
      </c>
      <c r="H3764" s="17">
        <v>20</v>
      </c>
      <c r="I3764" s="17">
        <f t="shared" si="254"/>
        <v>10000</v>
      </c>
      <c r="J3764" s="519">
        <v>19</v>
      </c>
      <c r="K3764" s="519">
        <f t="shared" si="251"/>
        <v>1</v>
      </c>
      <c r="L3764" s="519">
        <f t="shared" si="252"/>
        <v>500</v>
      </c>
      <c r="M3764" s="557">
        <f t="shared" si="253"/>
        <v>0.05</v>
      </c>
      <c r="N3764" s="15" t="s">
        <v>40</v>
      </c>
      <c r="O3764" s="15" t="s">
        <v>39</v>
      </c>
    </row>
    <row r="3765" spans="1:15">
      <c r="A3765" s="70">
        <v>2026</v>
      </c>
      <c r="B3765" s="16" t="s">
        <v>15</v>
      </c>
      <c r="C3765" s="70" t="s">
        <v>4794</v>
      </c>
      <c r="D3765" s="15" t="s">
        <v>192</v>
      </c>
      <c r="E3765" s="15" t="s">
        <v>1195</v>
      </c>
      <c r="F3765" s="95">
        <v>4000</v>
      </c>
      <c r="G3765" s="16" t="s">
        <v>19</v>
      </c>
      <c r="H3765" s="17">
        <v>20</v>
      </c>
      <c r="I3765" s="17">
        <f t="shared" si="254"/>
        <v>80000</v>
      </c>
      <c r="J3765" s="519">
        <v>19</v>
      </c>
      <c r="K3765" s="519">
        <f t="shared" si="251"/>
        <v>1</v>
      </c>
      <c r="L3765" s="519">
        <f t="shared" si="252"/>
        <v>4000</v>
      </c>
      <c r="M3765" s="557">
        <f t="shared" si="253"/>
        <v>0.05</v>
      </c>
      <c r="N3765" s="15" t="s">
        <v>40</v>
      </c>
      <c r="O3765" s="15" t="s">
        <v>39</v>
      </c>
    </row>
    <row r="3766" spans="1:15">
      <c r="A3766" s="70">
        <v>2026</v>
      </c>
      <c r="B3766" s="16" t="s">
        <v>15</v>
      </c>
      <c r="C3766" s="70" t="s">
        <v>4794</v>
      </c>
      <c r="D3766" s="15" t="s">
        <v>192</v>
      </c>
      <c r="E3766" s="15" t="s">
        <v>2089</v>
      </c>
      <c r="F3766" s="95">
        <v>1940</v>
      </c>
      <c r="G3766" s="16" t="s">
        <v>19</v>
      </c>
      <c r="H3766" s="17">
        <v>8.5</v>
      </c>
      <c r="I3766" s="17">
        <f t="shared" si="254"/>
        <v>16490</v>
      </c>
      <c r="J3766" s="519">
        <v>8</v>
      </c>
      <c r="K3766" s="519">
        <f t="shared" si="251"/>
        <v>0.5</v>
      </c>
      <c r="L3766" s="519">
        <f t="shared" si="252"/>
        <v>970</v>
      </c>
      <c r="M3766" s="557">
        <f t="shared" si="253"/>
        <v>5.8823529411764705E-2</v>
      </c>
      <c r="N3766" s="15" t="s">
        <v>40</v>
      </c>
      <c r="O3766" s="15" t="s">
        <v>39</v>
      </c>
    </row>
    <row r="3767" spans="1:15">
      <c r="A3767" s="70">
        <v>2026</v>
      </c>
      <c r="B3767" s="16" t="s">
        <v>15</v>
      </c>
      <c r="C3767" s="70" t="s">
        <v>4794</v>
      </c>
      <c r="D3767" s="15" t="s">
        <v>192</v>
      </c>
      <c r="E3767" s="15" t="s">
        <v>2090</v>
      </c>
      <c r="F3767" s="95">
        <v>3880</v>
      </c>
      <c r="G3767" s="16" t="s">
        <v>19</v>
      </c>
      <c r="H3767" s="17">
        <v>11</v>
      </c>
      <c r="I3767" s="17">
        <f t="shared" si="254"/>
        <v>42680</v>
      </c>
      <c r="J3767" s="519">
        <v>10.5</v>
      </c>
      <c r="K3767" s="519">
        <f t="shared" si="251"/>
        <v>0.5</v>
      </c>
      <c r="L3767" s="519">
        <f t="shared" si="252"/>
        <v>1940</v>
      </c>
      <c r="M3767" s="557">
        <f t="shared" si="253"/>
        <v>4.5454545454545456E-2</v>
      </c>
      <c r="N3767" s="15" t="s">
        <v>40</v>
      </c>
      <c r="O3767" s="15" t="s">
        <v>39</v>
      </c>
    </row>
    <row r="3768" spans="1:15">
      <c r="A3768" s="70">
        <v>2026</v>
      </c>
      <c r="B3768" s="16" t="s">
        <v>15</v>
      </c>
      <c r="C3768" s="70" t="s">
        <v>4794</v>
      </c>
      <c r="D3768" s="15" t="s">
        <v>192</v>
      </c>
      <c r="E3768" s="15" t="s">
        <v>2091</v>
      </c>
      <c r="F3768" s="95">
        <v>1940</v>
      </c>
      <c r="G3768" s="16" t="s">
        <v>19</v>
      </c>
      <c r="H3768" s="17">
        <v>9</v>
      </c>
      <c r="I3768" s="17">
        <f t="shared" si="254"/>
        <v>17460</v>
      </c>
      <c r="J3768" s="519">
        <v>8.5</v>
      </c>
      <c r="K3768" s="519">
        <f t="shared" si="251"/>
        <v>0.5</v>
      </c>
      <c r="L3768" s="519">
        <f t="shared" si="252"/>
        <v>970</v>
      </c>
      <c r="M3768" s="557">
        <f t="shared" si="253"/>
        <v>5.5555555555555552E-2</v>
      </c>
      <c r="N3768" s="15" t="s">
        <v>40</v>
      </c>
      <c r="O3768" s="15" t="s">
        <v>39</v>
      </c>
    </row>
    <row r="3769" spans="1:15">
      <c r="A3769" s="70">
        <v>2026</v>
      </c>
      <c r="B3769" s="16" t="s">
        <v>15</v>
      </c>
      <c r="C3769" s="70" t="s">
        <v>4794</v>
      </c>
      <c r="D3769" s="15" t="s">
        <v>192</v>
      </c>
      <c r="E3769" s="15" t="s">
        <v>1196</v>
      </c>
      <c r="F3769" s="95">
        <v>1700</v>
      </c>
      <c r="G3769" s="16" t="s">
        <v>19</v>
      </c>
      <c r="H3769" s="17">
        <v>4.5999999999999996</v>
      </c>
      <c r="I3769" s="17">
        <f t="shared" si="254"/>
        <v>7819.9999999999991</v>
      </c>
      <c r="J3769" s="519">
        <v>4.5</v>
      </c>
      <c r="K3769" s="519">
        <f t="shared" si="251"/>
        <v>9.9999999999999645E-2</v>
      </c>
      <c r="L3769" s="519">
        <f t="shared" si="252"/>
        <v>169.9999999999994</v>
      </c>
      <c r="M3769" s="557">
        <f t="shared" si="253"/>
        <v>2.1739130434782532E-2</v>
      </c>
      <c r="N3769" s="15" t="s">
        <v>40</v>
      </c>
      <c r="O3769" s="15" t="s">
        <v>39</v>
      </c>
    </row>
    <row r="3770" spans="1:15">
      <c r="A3770" s="70">
        <v>2026</v>
      </c>
      <c r="B3770" s="16" t="s">
        <v>15</v>
      </c>
      <c r="C3770" s="70" t="s">
        <v>4794</v>
      </c>
      <c r="D3770" s="15" t="s">
        <v>192</v>
      </c>
      <c r="E3770" s="15" t="s">
        <v>1197</v>
      </c>
      <c r="F3770" s="95">
        <v>3400</v>
      </c>
      <c r="G3770" s="16" t="s">
        <v>19</v>
      </c>
      <c r="H3770" s="17">
        <v>8</v>
      </c>
      <c r="I3770" s="17">
        <f t="shared" si="254"/>
        <v>27200</v>
      </c>
      <c r="J3770" s="519">
        <v>7.5</v>
      </c>
      <c r="K3770" s="519">
        <f t="shared" si="251"/>
        <v>0.5</v>
      </c>
      <c r="L3770" s="519">
        <f t="shared" si="252"/>
        <v>1700</v>
      </c>
      <c r="M3770" s="557">
        <f t="shared" si="253"/>
        <v>6.25E-2</v>
      </c>
      <c r="N3770" s="15" t="s">
        <v>40</v>
      </c>
      <c r="O3770" s="15" t="s">
        <v>39</v>
      </c>
    </row>
    <row r="3771" spans="1:15">
      <c r="A3771" s="70">
        <v>2026</v>
      </c>
      <c r="B3771" s="16" t="s">
        <v>15</v>
      </c>
      <c r="C3771" s="70" t="s">
        <v>4794</v>
      </c>
      <c r="D3771" s="15" t="s">
        <v>192</v>
      </c>
      <c r="E3771" s="15" t="s">
        <v>1198</v>
      </c>
      <c r="F3771" s="95">
        <v>1700</v>
      </c>
      <c r="G3771" s="16" t="s">
        <v>19</v>
      </c>
      <c r="H3771" s="17">
        <v>8</v>
      </c>
      <c r="I3771" s="17">
        <f t="shared" si="254"/>
        <v>13600</v>
      </c>
      <c r="J3771" s="519">
        <v>7.5</v>
      </c>
      <c r="K3771" s="519">
        <f t="shared" si="251"/>
        <v>0.5</v>
      </c>
      <c r="L3771" s="519">
        <f t="shared" si="252"/>
        <v>850</v>
      </c>
      <c r="M3771" s="557">
        <f t="shared" si="253"/>
        <v>6.25E-2</v>
      </c>
      <c r="N3771" s="15" t="s">
        <v>40</v>
      </c>
      <c r="O3771" s="15" t="s">
        <v>39</v>
      </c>
    </row>
    <row r="3772" spans="1:15">
      <c r="A3772" s="70">
        <v>2026</v>
      </c>
      <c r="B3772" s="16" t="s">
        <v>15</v>
      </c>
      <c r="C3772" s="70" t="s">
        <v>4794</v>
      </c>
      <c r="D3772" s="15" t="s">
        <v>192</v>
      </c>
      <c r="E3772" s="15" t="s">
        <v>4795</v>
      </c>
      <c r="F3772" s="95">
        <v>1240</v>
      </c>
      <c r="G3772" s="16" t="s">
        <v>19</v>
      </c>
      <c r="H3772" s="17">
        <v>9</v>
      </c>
      <c r="I3772" s="17">
        <f t="shared" si="254"/>
        <v>11160</v>
      </c>
      <c r="J3772" s="519">
        <v>8.5</v>
      </c>
      <c r="K3772" s="519">
        <f t="shared" si="251"/>
        <v>0.5</v>
      </c>
      <c r="L3772" s="519">
        <f t="shared" si="252"/>
        <v>620</v>
      </c>
      <c r="M3772" s="557">
        <f t="shared" si="253"/>
        <v>5.5555555555555552E-2</v>
      </c>
      <c r="N3772" s="15" t="s">
        <v>40</v>
      </c>
      <c r="O3772" s="15" t="s">
        <v>39</v>
      </c>
    </row>
    <row r="3773" spans="1:15">
      <c r="A3773" s="70">
        <v>2026</v>
      </c>
      <c r="B3773" s="16" t="s">
        <v>15</v>
      </c>
      <c r="C3773" s="70" t="s">
        <v>4794</v>
      </c>
      <c r="D3773" s="15" t="s">
        <v>192</v>
      </c>
      <c r="E3773" s="15" t="s">
        <v>4796</v>
      </c>
      <c r="F3773" s="95">
        <v>2480</v>
      </c>
      <c r="G3773" s="16" t="s">
        <v>19</v>
      </c>
      <c r="H3773" s="17">
        <v>16</v>
      </c>
      <c r="I3773" s="17">
        <f t="shared" si="254"/>
        <v>39680</v>
      </c>
      <c r="J3773" s="519">
        <v>15.25</v>
      </c>
      <c r="K3773" s="519">
        <f t="shared" si="251"/>
        <v>0.75</v>
      </c>
      <c r="L3773" s="519">
        <f t="shared" si="252"/>
        <v>1860</v>
      </c>
      <c r="M3773" s="557">
        <f t="shared" si="253"/>
        <v>4.6875E-2</v>
      </c>
      <c r="N3773" s="15" t="s">
        <v>40</v>
      </c>
      <c r="O3773" s="15" t="s">
        <v>39</v>
      </c>
    </row>
    <row r="3774" spans="1:15">
      <c r="A3774" s="70">
        <v>2026</v>
      </c>
      <c r="B3774" s="16" t="s">
        <v>15</v>
      </c>
      <c r="C3774" s="70" t="s">
        <v>4794</v>
      </c>
      <c r="D3774" s="15" t="s">
        <v>192</v>
      </c>
      <c r="E3774" s="15" t="s">
        <v>4797</v>
      </c>
      <c r="F3774" s="95">
        <v>1240</v>
      </c>
      <c r="G3774" s="16" t="s">
        <v>19</v>
      </c>
      <c r="H3774" s="17">
        <v>11</v>
      </c>
      <c r="I3774" s="17">
        <f t="shared" si="254"/>
        <v>13640</v>
      </c>
      <c r="J3774" s="519">
        <v>10.25</v>
      </c>
      <c r="K3774" s="519">
        <f t="shared" si="251"/>
        <v>0.75</v>
      </c>
      <c r="L3774" s="519">
        <f t="shared" si="252"/>
        <v>930</v>
      </c>
      <c r="M3774" s="557">
        <f t="shared" si="253"/>
        <v>6.8181818181818177E-2</v>
      </c>
      <c r="N3774" s="15" t="s">
        <v>40</v>
      </c>
      <c r="O3774" s="15" t="s">
        <v>39</v>
      </c>
    </row>
    <row r="3775" spans="1:15">
      <c r="A3775" s="70">
        <v>2026</v>
      </c>
      <c r="B3775" s="16" t="s">
        <v>15</v>
      </c>
      <c r="C3775" s="70" t="s">
        <v>4794</v>
      </c>
      <c r="D3775" s="15" t="s">
        <v>192</v>
      </c>
      <c r="E3775" s="15" t="s">
        <v>4798</v>
      </c>
      <c r="F3775" s="95">
        <v>1400</v>
      </c>
      <c r="G3775" s="16" t="s">
        <v>19</v>
      </c>
      <c r="H3775" s="17">
        <v>24</v>
      </c>
      <c r="I3775" s="17">
        <f t="shared" si="254"/>
        <v>33600</v>
      </c>
      <c r="J3775" s="519">
        <v>23</v>
      </c>
      <c r="K3775" s="519">
        <f t="shared" si="251"/>
        <v>1</v>
      </c>
      <c r="L3775" s="519">
        <f t="shared" si="252"/>
        <v>1400</v>
      </c>
      <c r="M3775" s="557">
        <f t="shared" si="253"/>
        <v>4.1666666666666664E-2</v>
      </c>
      <c r="N3775" s="15" t="s">
        <v>40</v>
      </c>
      <c r="O3775" s="15" t="s">
        <v>39</v>
      </c>
    </row>
    <row r="3776" spans="1:15">
      <c r="A3776" s="70">
        <v>2026</v>
      </c>
      <c r="B3776" s="16" t="s">
        <v>15</v>
      </c>
      <c r="C3776" s="70" t="s">
        <v>4794</v>
      </c>
      <c r="D3776" s="15" t="s">
        <v>192</v>
      </c>
      <c r="E3776" s="15" t="s">
        <v>4799</v>
      </c>
      <c r="F3776" s="95">
        <v>700</v>
      </c>
      <c r="G3776" s="16" t="s">
        <v>19</v>
      </c>
      <c r="H3776" s="17">
        <v>16</v>
      </c>
      <c r="I3776" s="17">
        <f t="shared" si="254"/>
        <v>11200</v>
      </c>
      <c r="J3776" s="519">
        <v>15.25</v>
      </c>
      <c r="K3776" s="519">
        <f t="shared" si="251"/>
        <v>0.75</v>
      </c>
      <c r="L3776" s="519">
        <f t="shared" si="252"/>
        <v>525</v>
      </c>
      <c r="M3776" s="557">
        <f t="shared" si="253"/>
        <v>4.6875E-2</v>
      </c>
      <c r="N3776" s="15" t="s">
        <v>40</v>
      </c>
      <c r="O3776" s="15" t="s">
        <v>39</v>
      </c>
    </row>
    <row r="3777" spans="1:15">
      <c r="A3777" s="70">
        <v>2026</v>
      </c>
      <c r="B3777" s="16" t="s">
        <v>15</v>
      </c>
      <c r="C3777" s="70" t="s">
        <v>4794</v>
      </c>
      <c r="D3777" s="15" t="s">
        <v>192</v>
      </c>
      <c r="E3777" s="15" t="s">
        <v>4800</v>
      </c>
      <c r="F3777" s="95">
        <v>300</v>
      </c>
      <c r="G3777" s="16" t="s">
        <v>19</v>
      </c>
      <c r="H3777" s="17">
        <v>17</v>
      </c>
      <c r="I3777" s="17">
        <f t="shared" si="254"/>
        <v>5100</v>
      </c>
      <c r="J3777" s="519">
        <v>16</v>
      </c>
      <c r="K3777" s="519">
        <f t="shared" si="251"/>
        <v>1</v>
      </c>
      <c r="L3777" s="519">
        <f t="shared" si="252"/>
        <v>300</v>
      </c>
      <c r="M3777" s="557">
        <f t="shared" si="253"/>
        <v>5.8823529411764705E-2</v>
      </c>
      <c r="N3777" s="15" t="s">
        <v>40</v>
      </c>
      <c r="O3777" s="15" t="s">
        <v>39</v>
      </c>
    </row>
    <row r="3778" spans="1:15">
      <c r="A3778" s="70">
        <v>2026</v>
      </c>
      <c r="B3778" s="16" t="s">
        <v>15</v>
      </c>
      <c r="C3778" s="70" t="s">
        <v>4794</v>
      </c>
      <c r="D3778" s="15" t="s">
        <v>192</v>
      </c>
      <c r="E3778" s="15" t="s">
        <v>4801</v>
      </c>
      <c r="F3778" s="95">
        <v>600</v>
      </c>
      <c r="G3778" s="16" t="s">
        <v>19</v>
      </c>
      <c r="H3778" s="17">
        <v>26</v>
      </c>
      <c r="I3778" s="17">
        <f t="shared" si="254"/>
        <v>15600</v>
      </c>
      <c r="J3778" s="519">
        <v>24.75</v>
      </c>
      <c r="K3778" s="519">
        <f t="shared" si="251"/>
        <v>1.25</v>
      </c>
      <c r="L3778" s="519">
        <f t="shared" si="252"/>
        <v>750</v>
      </c>
      <c r="M3778" s="557">
        <f t="shared" si="253"/>
        <v>4.807692307692308E-2</v>
      </c>
      <c r="N3778" s="15" t="s">
        <v>40</v>
      </c>
      <c r="O3778" s="15" t="s">
        <v>39</v>
      </c>
    </row>
    <row r="3779" spans="1:15">
      <c r="A3779" s="70">
        <v>2026</v>
      </c>
      <c r="B3779" s="16" t="s">
        <v>15</v>
      </c>
      <c r="C3779" s="70" t="s">
        <v>4794</v>
      </c>
      <c r="D3779" s="15" t="s">
        <v>192</v>
      </c>
      <c r="E3779" s="15" t="s">
        <v>4802</v>
      </c>
      <c r="F3779" s="95">
        <v>300</v>
      </c>
      <c r="G3779" s="16" t="s">
        <v>19</v>
      </c>
      <c r="H3779" s="17">
        <v>23</v>
      </c>
      <c r="I3779" s="17">
        <f t="shared" si="254"/>
        <v>6900</v>
      </c>
      <c r="J3779" s="519">
        <v>22</v>
      </c>
      <c r="K3779" s="519">
        <f t="shared" ref="K3779:K3845" si="255">H3779-J3779</f>
        <v>1</v>
      </c>
      <c r="L3779" s="519">
        <f t="shared" ref="L3779:L3844" si="256">K3779*F3779</f>
        <v>300</v>
      </c>
      <c r="M3779" s="557">
        <f t="shared" ref="M3779:M3844" si="257">K3779/H3779</f>
        <v>4.3478260869565216E-2</v>
      </c>
      <c r="N3779" s="15" t="s">
        <v>40</v>
      </c>
      <c r="O3779" s="15" t="s">
        <v>39</v>
      </c>
    </row>
    <row r="3780" spans="1:15">
      <c r="A3780" s="70">
        <v>2026</v>
      </c>
      <c r="B3780" s="16" t="s">
        <v>15</v>
      </c>
      <c r="C3780" s="70" t="s">
        <v>4803</v>
      </c>
      <c r="D3780" s="15" t="s">
        <v>329</v>
      </c>
      <c r="E3780" s="15" t="s">
        <v>4804</v>
      </c>
      <c r="F3780" s="95">
        <v>545</v>
      </c>
      <c r="G3780" s="16" t="s">
        <v>331</v>
      </c>
      <c r="H3780" s="17">
        <v>2340</v>
      </c>
      <c r="I3780" s="17">
        <f t="shared" si="254"/>
        <v>1275300</v>
      </c>
      <c r="J3780" s="519">
        <v>2300</v>
      </c>
      <c r="K3780" s="519">
        <f t="shared" si="255"/>
        <v>40</v>
      </c>
      <c r="L3780" s="519">
        <f t="shared" si="256"/>
        <v>21800</v>
      </c>
      <c r="M3780" s="557">
        <f t="shared" si="257"/>
        <v>1.7094017094017096E-2</v>
      </c>
      <c r="N3780" s="15" t="s">
        <v>40</v>
      </c>
      <c r="O3780" s="15" t="s">
        <v>39</v>
      </c>
    </row>
    <row r="3781" spans="1:15">
      <c r="A3781" s="70">
        <v>2026</v>
      </c>
      <c r="B3781" s="16" t="s">
        <v>15</v>
      </c>
      <c r="C3781" s="70" t="s">
        <v>4803</v>
      </c>
      <c r="D3781" s="15" t="s">
        <v>329</v>
      </c>
      <c r="E3781" s="15" t="s">
        <v>4805</v>
      </c>
      <c r="F3781" s="95">
        <v>273</v>
      </c>
      <c r="G3781" s="16" t="s">
        <v>331</v>
      </c>
      <c r="H3781" s="17">
        <v>2625</v>
      </c>
      <c r="I3781" s="17">
        <f t="shared" ref="I3781:I3850" si="258">H3781*F3781</f>
        <v>716625</v>
      </c>
      <c r="J3781" s="519">
        <v>2600</v>
      </c>
      <c r="K3781" s="519">
        <f t="shared" si="255"/>
        <v>25</v>
      </c>
      <c r="L3781" s="519">
        <f t="shared" si="256"/>
        <v>6825</v>
      </c>
      <c r="M3781" s="557">
        <f t="shared" si="257"/>
        <v>9.5238095238095247E-3</v>
      </c>
      <c r="N3781" s="15" t="s">
        <v>40</v>
      </c>
      <c r="O3781" s="15" t="s">
        <v>39</v>
      </c>
    </row>
    <row r="3782" spans="1:15">
      <c r="A3782" s="70">
        <v>2026</v>
      </c>
      <c r="B3782" s="16" t="s">
        <v>15</v>
      </c>
      <c r="C3782" s="70" t="s">
        <v>4806</v>
      </c>
      <c r="D3782" s="15" t="s">
        <v>1204</v>
      </c>
      <c r="E3782" s="15" t="s">
        <v>4807</v>
      </c>
      <c r="F3782" s="95">
        <v>11000</v>
      </c>
      <c r="G3782" s="16" t="s">
        <v>19</v>
      </c>
      <c r="H3782" s="17">
        <v>0.83</v>
      </c>
      <c r="I3782" s="17">
        <f t="shared" si="258"/>
        <v>9130</v>
      </c>
      <c r="J3782" s="519">
        <v>0.8</v>
      </c>
      <c r="K3782" s="519">
        <f t="shared" si="255"/>
        <v>2.9999999999999916E-2</v>
      </c>
      <c r="L3782" s="519">
        <f t="shared" si="256"/>
        <v>329.99999999999909</v>
      </c>
      <c r="M3782" s="557">
        <f t="shared" si="257"/>
        <v>3.6144578313252913E-2</v>
      </c>
      <c r="N3782" s="15" t="s">
        <v>40</v>
      </c>
      <c r="O3782" s="15" t="s">
        <v>39</v>
      </c>
    </row>
    <row r="3783" spans="1:15">
      <c r="A3783" s="70">
        <v>2026</v>
      </c>
      <c r="B3783" s="16" t="s">
        <v>15</v>
      </c>
      <c r="C3783" s="70" t="s">
        <v>4806</v>
      </c>
      <c r="D3783" s="15" t="s">
        <v>1204</v>
      </c>
      <c r="E3783" s="15" t="s">
        <v>4808</v>
      </c>
      <c r="F3783" s="95">
        <v>5000</v>
      </c>
      <c r="G3783" s="16" t="s">
        <v>19</v>
      </c>
      <c r="H3783" s="17">
        <v>2.37</v>
      </c>
      <c r="I3783" s="17">
        <f t="shared" si="258"/>
        <v>11850</v>
      </c>
      <c r="J3783" s="519">
        <v>2.2999999999999998</v>
      </c>
      <c r="K3783" s="519">
        <f t="shared" si="255"/>
        <v>7.0000000000000284E-2</v>
      </c>
      <c r="L3783" s="519">
        <f t="shared" si="256"/>
        <v>350.00000000000142</v>
      </c>
      <c r="M3783" s="557">
        <f t="shared" si="257"/>
        <v>2.9535864978903072E-2</v>
      </c>
      <c r="N3783" s="15" t="s">
        <v>40</v>
      </c>
      <c r="O3783" s="15" t="s">
        <v>39</v>
      </c>
    </row>
    <row r="3784" spans="1:15">
      <c r="A3784" s="70">
        <v>2026</v>
      </c>
      <c r="B3784" s="16" t="s">
        <v>15</v>
      </c>
      <c r="C3784" s="70" t="s">
        <v>4809</v>
      </c>
      <c r="D3784" s="15" t="s">
        <v>329</v>
      </c>
      <c r="E3784" s="15" t="s">
        <v>3958</v>
      </c>
      <c r="F3784" s="95">
        <v>400</v>
      </c>
      <c r="G3784" s="16" t="s">
        <v>1368</v>
      </c>
      <c r="H3784" s="17">
        <v>580</v>
      </c>
      <c r="I3784" s="17">
        <f t="shared" si="258"/>
        <v>232000</v>
      </c>
      <c r="J3784" s="519">
        <v>550</v>
      </c>
      <c r="K3784" s="519">
        <f t="shared" si="255"/>
        <v>30</v>
      </c>
      <c r="L3784" s="519">
        <f t="shared" si="256"/>
        <v>12000</v>
      </c>
      <c r="M3784" s="557">
        <f t="shared" si="257"/>
        <v>5.1724137931034482E-2</v>
      </c>
      <c r="N3784" s="15" t="s">
        <v>40</v>
      </c>
      <c r="O3784" s="15" t="s">
        <v>39</v>
      </c>
    </row>
    <row r="3785" spans="1:15">
      <c r="A3785" s="70">
        <v>2026</v>
      </c>
      <c r="B3785" s="16" t="s">
        <v>15</v>
      </c>
      <c r="C3785" s="70" t="s">
        <v>4810</v>
      </c>
      <c r="D3785" s="15" t="s">
        <v>192</v>
      </c>
      <c r="E3785" s="15" t="s">
        <v>2084</v>
      </c>
      <c r="F3785" s="95">
        <v>5500</v>
      </c>
      <c r="G3785" s="16" t="s">
        <v>1605</v>
      </c>
      <c r="H3785" s="17">
        <v>86</v>
      </c>
      <c r="I3785" s="17">
        <f t="shared" si="258"/>
        <v>473000</v>
      </c>
      <c r="J3785" s="519">
        <v>85</v>
      </c>
      <c r="K3785" s="519">
        <f t="shared" si="255"/>
        <v>1</v>
      </c>
      <c r="L3785" s="519">
        <f t="shared" si="256"/>
        <v>5500</v>
      </c>
      <c r="M3785" s="557">
        <f t="shared" si="257"/>
        <v>1.1627906976744186E-2</v>
      </c>
      <c r="N3785" s="15" t="s">
        <v>40</v>
      </c>
      <c r="O3785" s="15" t="s">
        <v>39</v>
      </c>
    </row>
    <row r="3786" spans="1:15">
      <c r="A3786" s="70">
        <v>2026</v>
      </c>
      <c r="B3786" s="16" t="s">
        <v>15</v>
      </c>
      <c r="C3786" s="70" t="s">
        <v>4811</v>
      </c>
      <c r="D3786" s="15" t="s">
        <v>192</v>
      </c>
      <c r="E3786" s="15" t="s">
        <v>1200</v>
      </c>
      <c r="F3786" s="95">
        <v>4000</v>
      </c>
      <c r="G3786" s="16" t="s">
        <v>37</v>
      </c>
      <c r="H3786" s="17">
        <v>85</v>
      </c>
      <c r="I3786" s="17">
        <f t="shared" si="258"/>
        <v>340000</v>
      </c>
      <c r="J3786" s="519">
        <v>81</v>
      </c>
      <c r="K3786" s="519">
        <f t="shared" si="255"/>
        <v>4</v>
      </c>
      <c r="L3786" s="519">
        <f t="shared" si="256"/>
        <v>16000</v>
      </c>
      <c r="M3786" s="557">
        <f t="shared" si="257"/>
        <v>4.7058823529411764E-2</v>
      </c>
      <c r="N3786" s="15" t="s">
        <v>40</v>
      </c>
      <c r="O3786" s="15" t="s">
        <v>39</v>
      </c>
    </row>
    <row r="3787" spans="1:15">
      <c r="A3787" s="70">
        <v>2026</v>
      </c>
      <c r="B3787" s="16" t="s">
        <v>15</v>
      </c>
      <c r="C3787" s="70" t="s">
        <v>4811</v>
      </c>
      <c r="D3787" s="15" t="s">
        <v>192</v>
      </c>
      <c r="E3787" s="15" t="s">
        <v>1199</v>
      </c>
      <c r="F3787" s="95">
        <v>2000</v>
      </c>
      <c r="G3787" s="16" t="s">
        <v>37</v>
      </c>
      <c r="H3787" s="17">
        <v>85</v>
      </c>
      <c r="I3787" s="17">
        <f t="shared" si="258"/>
        <v>170000</v>
      </c>
      <c r="J3787" s="519">
        <v>80</v>
      </c>
      <c r="K3787" s="519">
        <f t="shared" si="255"/>
        <v>5</v>
      </c>
      <c r="L3787" s="519">
        <f t="shared" si="256"/>
        <v>10000</v>
      </c>
      <c r="M3787" s="557">
        <f t="shared" si="257"/>
        <v>5.8823529411764705E-2</v>
      </c>
      <c r="N3787" s="15" t="s">
        <v>40</v>
      </c>
      <c r="O3787" s="15" t="s">
        <v>39</v>
      </c>
    </row>
    <row r="3788" spans="1:15">
      <c r="A3788" s="70">
        <v>2026</v>
      </c>
      <c r="B3788" s="16" t="s">
        <v>15</v>
      </c>
      <c r="C3788" s="70" t="s">
        <v>4811</v>
      </c>
      <c r="D3788" s="15" t="s">
        <v>192</v>
      </c>
      <c r="E3788" s="15" t="s">
        <v>1199</v>
      </c>
      <c r="F3788" s="95">
        <v>4000</v>
      </c>
      <c r="G3788" s="16" t="s">
        <v>37</v>
      </c>
      <c r="H3788" s="17">
        <v>85</v>
      </c>
      <c r="I3788" s="17">
        <f t="shared" si="258"/>
        <v>340000</v>
      </c>
      <c r="J3788" s="519">
        <v>80</v>
      </c>
      <c r="K3788" s="519">
        <f t="shared" si="255"/>
        <v>5</v>
      </c>
      <c r="L3788" s="519">
        <f t="shared" si="256"/>
        <v>20000</v>
      </c>
      <c r="M3788" s="557">
        <f t="shared" si="257"/>
        <v>5.8823529411764705E-2</v>
      </c>
      <c r="N3788" s="15" t="s">
        <v>40</v>
      </c>
      <c r="O3788" s="15" t="s">
        <v>39</v>
      </c>
    </row>
    <row r="3789" spans="1:15">
      <c r="A3789" s="70">
        <v>2026</v>
      </c>
      <c r="B3789" s="16" t="s">
        <v>15</v>
      </c>
      <c r="C3789" s="70" t="s">
        <v>4811</v>
      </c>
      <c r="D3789" s="15" t="s">
        <v>192</v>
      </c>
      <c r="E3789" s="15" t="s">
        <v>1201</v>
      </c>
      <c r="F3789" s="95">
        <v>1000</v>
      </c>
      <c r="G3789" s="16" t="s">
        <v>37</v>
      </c>
      <c r="H3789" s="17">
        <v>85</v>
      </c>
      <c r="I3789" s="17">
        <f t="shared" si="258"/>
        <v>85000</v>
      </c>
      <c r="J3789" s="519">
        <v>80</v>
      </c>
      <c r="K3789" s="519">
        <f t="shared" si="255"/>
        <v>5</v>
      </c>
      <c r="L3789" s="519">
        <f t="shared" si="256"/>
        <v>5000</v>
      </c>
      <c r="M3789" s="557">
        <f t="shared" si="257"/>
        <v>5.8823529411764705E-2</v>
      </c>
      <c r="N3789" s="15" t="s">
        <v>40</v>
      </c>
      <c r="O3789" s="15" t="s">
        <v>39</v>
      </c>
    </row>
    <row r="3790" spans="1:15">
      <c r="A3790" s="70">
        <v>2026</v>
      </c>
      <c r="B3790" s="16" t="s">
        <v>15</v>
      </c>
      <c r="C3790" s="70" t="s">
        <v>4811</v>
      </c>
      <c r="D3790" s="15" t="s">
        <v>192</v>
      </c>
      <c r="E3790" s="15" t="s">
        <v>2084</v>
      </c>
      <c r="F3790" s="95">
        <v>500</v>
      </c>
      <c r="G3790" s="16" t="s">
        <v>37</v>
      </c>
      <c r="H3790" s="17">
        <v>86</v>
      </c>
      <c r="I3790" s="17">
        <f t="shared" si="258"/>
        <v>43000</v>
      </c>
      <c r="J3790" s="519">
        <v>85</v>
      </c>
      <c r="K3790" s="519">
        <f t="shared" si="255"/>
        <v>1</v>
      </c>
      <c r="L3790" s="519">
        <f t="shared" si="256"/>
        <v>500</v>
      </c>
      <c r="M3790" s="557">
        <f t="shared" si="257"/>
        <v>1.1627906976744186E-2</v>
      </c>
      <c r="N3790" s="15" t="s">
        <v>40</v>
      </c>
      <c r="O3790" s="15" t="s">
        <v>39</v>
      </c>
    </row>
    <row r="3791" spans="1:15">
      <c r="A3791" s="70">
        <v>2026</v>
      </c>
      <c r="B3791" s="16" t="s">
        <v>15</v>
      </c>
      <c r="C3791" s="70" t="s">
        <v>4811</v>
      </c>
      <c r="D3791" s="15" t="s">
        <v>192</v>
      </c>
      <c r="E3791" s="15" t="s">
        <v>2084</v>
      </c>
      <c r="F3791" s="95">
        <v>5500</v>
      </c>
      <c r="G3791" s="16" t="s">
        <v>37</v>
      </c>
      <c r="H3791" s="17">
        <v>86</v>
      </c>
      <c r="I3791" s="17">
        <f t="shared" si="258"/>
        <v>473000</v>
      </c>
      <c r="J3791" s="519">
        <v>85</v>
      </c>
      <c r="K3791" s="519">
        <f t="shared" si="255"/>
        <v>1</v>
      </c>
      <c r="L3791" s="519">
        <f t="shared" si="256"/>
        <v>5500</v>
      </c>
      <c r="M3791" s="557">
        <f t="shared" si="257"/>
        <v>1.1627906976744186E-2</v>
      </c>
      <c r="N3791" s="15" t="s">
        <v>40</v>
      </c>
      <c r="O3791" s="15" t="s">
        <v>39</v>
      </c>
    </row>
    <row r="3792" spans="1:15">
      <c r="A3792" s="70">
        <v>2026</v>
      </c>
      <c r="B3792" s="16" t="s">
        <v>15</v>
      </c>
      <c r="C3792" s="70" t="s">
        <v>4811</v>
      </c>
      <c r="D3792" s="15" t="s">
        <v>192</v>
      </c>
      <c r="E3792" s="15" t="s">
        <v>1202</v>
      </c>
      <c r="F3792" s="95">
        <v>7000</v>
      </c>
      <c r="G3792" s="16" t="s">
        <v>37</v>
      </c>
      <c r="H3792" s="17">
        <v>215</v>
      </c>
      <c r="I3792" s="17">
        <f t="shared" si="258"/>
        <v>1505000</v>
      </c>
      <c r="J3792" s="519">
        <v>205</v>
      </c>
      <c r="K3792" s="519">
        <f t="shared" si="255"/>
        <v>10</v>
      </c>
      <c r="L3792" s="519">
        <f t="shared" si="256"/>
        <v>70000</v>
      </c>
      <c r="M3792" s="557">
        <f t="shared" si="257"/>
        <v>4.6511627906976744E-2</v>
      </c>
      <c r="N3792" s="15" t="s">
        <v>40</v>
      </c>
      <c r="O3792" s="15" t="s">
        <v>39</v>
      </c>
    </row>
    <row r="3793" spans="1:15">
      <c r="A3793" s="70">
        <v>2026</v>
      </c>
      <c r="B3793" s="16" t="s">
        <v>15</v>
      </c>
      <c r="C3793" s="70" t="s">
        <v>4811</v>
      </c>
      <c r="D3793" s="15" t="s">
        <v>192</v>
      </c>
      <c r="E3793" s="15" t="s">
        <v>1202</v>
      </c>
      <c r="F3793" s="95">
        <v>2500</v>
      </c>
      <c r="G3793" s="16" t="s">
        <v>37</v>
      </c>
      <c r="H3793" s="17">
        <v>215</v>
      </c>
      <c r="I3793" s="17">
        <f t="shared" si="258"/>
        <v>537500</v>
      </c>
      <c r="J3793" s="519">
        <v>205</v>
      </c>
      <c r="K3793" s="519">
        <f t="shared" si="255"/>
        <v>10</v>
      </c>
      <c r="L3793" s="519">
        <f t="shared" si="256"/>
        <v>25000</v>
      </c>
      <c r="M3793" s="557">
        <f t="shared" si="257"/>
        <v>4.6511627906976744E-2</v>
      </c>
      <c r="N3793" s="15" t="s">
        <v>40</v>
      </c>
      <c r="O3793" s="15" t="s">
        <v>39</v>
      </c>
    </row>
    <row r="3794" spans="1:15">
      <c r="A3794" s="70">
        <v>2026</v>
      </c>
      <c r="B3794" s="16" t="s">
        <v>15</v>
      </c>
      <c r="C3794" s="70" t="s">
        <v>4811</v>
      </c>
      <c r="D3794" s="15" t="s">
        <v>192</v>
      </c>
      <c r="E3794" s="15" t="s">
        <v>2083</v>
      </c>
      <c r="F3794" s="95">
        <v>1000</v>
      </c>
      <c r="G3794" s="16" t="s">
        <v>37</v>
      </c>
      <c r="H3794" s="17">
        <v>215</v>
      </c>
      <c r="I3794" s="17">
        <f t="shared" si="258"/>
        <v>215000</v>
      </c>
      <c r="J3794" s="519">
        <v>205</v>
      </c>
      <c r="K3794" s="519">
        <f t="shared" si="255"/>
        <v>10</v>
      </c>
      <c r="L3794" s="519">
        <f t="shared" si="256"/>
        <v>10000</v>
      </c>
      <c r="M3794" s="557">
        <f t="shared" si="257"/>
        <v>4.6511627906976744E-2</v>
      </c>
      <c r="N3794" s="15" t="s">
        <v>40</v>
      </c>
      <c r="O3794" s="15" t="s">
        <v>39</v>
      </c>
    </row>
    <row r="3795" spans="1:15">
      <c r="A3795" s="70">
        <v>2026</v>
      </c>
      <c r="B3795" s="16" t="s">
        <v>15</v>
      </c>
      <c r="C3795" s="70" t="s">
        <v>4811</v>
      </c>
      <c r="D3795" s="15" t="s">
        <v>192</v>
      </c>
      <c r="E3795" s="15" t="s">
        <v>2083</v>
      </c>
      <c r="F3795" s="95">
        <v>5500</v>
      </c>
      <c r="G3795" s="16" t="s">
        <v>37</v>
      </c>
      <c r="H3795" s="17">
        <v>215</v>
      </c>
      <c r="I3795" s="17">
        <f t="shared" si="258"/>
        <v>1182500</v>
      </c>
      <c r="J3795" s="519">
        <v>205</v>
      </c>
      <c r="K3795" s="519">
        <f t="shared" si="255"/>
        <v>10</v>
      </c>
      <c r="L3795" s="519">
        <f t="shared" si="256"/>
        <v>55000</v>
      </c>
      <c r="M3795" s="557">
        <f t="shared" si="257"/>
        <v>4.6511627906976744E-2</v>
      </c>
      <c r="N3795" s="15" t="s">
        <v>40</v>
      </c>
      <c r="O3795" s="15" t="s">
        <v>39</v>
      </c>
    </row>
    <row r="3796" spans="1:15">
      <c r="A3796" s="70">
        <v>2026</v>
      </c>
      <c r="B3796" s="16" t="s">
        <v>15</v>
      </c>
      <c r="C3796" s="70" t="s">
        <v>4812</v>
      </c>
      <c r="D3796" s="15" t="s">
        <v>192</v>
      </c>
      <c r="E3796" s="15" t="s">
        <v>1195</v>
      </c>
      <c r="F3796" s="95">
        <v>1650</v>
      </c>
      <c r="G3796" s="16" t="s">
        <v>19</v>
      </c>
      <c r="H3796" s="17">
        <v>20</v>
      </c>
      <c r="I3796" s="17">
        <f t="shared" si="258"/>
        <v>33000</v>
      </c>
      <c r="J3796" s="519">
        <v>19</v>
      </c>
      <c r="K3796" s="519">
        <f t="shared" si="255"/>
        <v>1</v>
      </c>
      <c r="L3796" s="519">
        <f t="shared" si="256"/>
        <v>1650</v>
      </c>
      <c r="M3796" s="557">
        <f t="shared" si="257"/>
        <v>0.05</v>
      </c>
      <c r="N3796" s="15" t="s">
        <v>40</v>
      </c>
      <c r="O3796" s="15" t="s">
        <v>39</v>
      </c>
    </row>
    <row r="3797" spans="1:15">
      <c r="A3797" s="70">
        <v>2026</v>
      </c>
      <c r="B3797" s="16" t="s">
        <v>15</v>
      </c>
      <c r="C3797" s="70" t="s">
        <v>4812</v>
      </c>
      <c r="D3797" s="15" t="s">
        <v>192</v>
      </c>
      <c r="E3797" s="15" t="s">
        <v>4795</v>
      </c>
      <c r="F3797" s="95">
        <v>2200</v>
      </c>
      <c r="G3797" s="16" t="s">
        <v>19</v>
      </c>
      <c r="H3797" s="17">
        <v>9</v>
      </c>
      <c r="I3797" s="17">
        <f t="shared" si="258"/>
        <v>19800</v>
      </c>
      <c r="J3797" s="519">
        <v>8.5</v>
      </c>
      <c r="K3797" s="519">
        <f t="shared" si="255"/>
        <v>0.5</v>
      </c>
      <c r="L3797" s="519">
        <f t="shared" si="256"/>
        <v>1100</v>
      </c>
      <c r="M3797" s="557">
        <f t="shared" si="257"/>
        <v>5.5555555555555552E-2</v>
      </c>
      <c r="N3797" s="15" t="s">
        <v>40</v>
      </c>
      <c r="O3797" s="15" t="s">
        <v>39</v>
      </c>
    </row>
    <row r="3798" spans="1:15">
      <c r="A3798" s="70">
        <v>2026</v>
      </c>
      <c r="B3798" s="16" t="s">
        <v>15</v>
      </c>
      <c r="C3798" s="70" t="s">
        <v>4812</v>
      </c>
      <c r="D3798" s="15" t="s">
        <v>192</v>
      </c>
      <c r="E3798" s="15" t="s">
        <v>4796</v>
      </c>
      <c r="F3798" s="95">
        <v>2200</v>
      </c>
      <c r="G3798" s="16" t="s">
        <v>19</v>
      </c>
      <c r="H3798" s="17">
        <v>16</v>
      </c>
      <c r="I3798" s="17">
        <f t="shared" si="258"/>
        <v>35200</v>
      </c>
      <c r="J3798" s="519">
        <v>15.25</v>
      </c>
      <c r="K3798" s="519">
        <f t="shared" si="255"/>
        <v>0.75</v>
      </c>
      <c r="L3798" s="519">
        <f t="shared" si="256"/>
        <v>1650</v>
      </c>
      <c r="M3798" s="557">
        <f t="shared" si="257"/>
        <v>4.6875E-2</v>
      </c>
      <c r="N3798" s="15" t="s">
        <v>40</v>
      </c>
      <c r="O3798" s="15" t="s">
        <v>39</v>
      </c>
    </row>
    <row r="3799" spans="1:15">
      <c r="A3799" s="70">
        <v>2026</v>
      </c>
      <c r="B3799" s="16" t="s">
        <v>15</v>
      </c>
      <c r="C3799" s="70" t="s">
        <v>4813</v>
      </c>
      <c r="D3799" s="15" t="s">
        <v>17</v>
      </c>
      <c r="E3799" s="15" t="s">
        <v>4814</v>
      </c>
      <c r="F3799" s="95">
        <v>820</v>
      </c>
      <c r="G3799" s="16" t="s">
        <v>4815</v>
      </c>
      <c r="H3799" s="17">
        <v>210</v>
      </c>
      <c r="I3799" s="17">
        <f t="shared" si="258"/>
        <v>172200</v>
      </c>
      <c r="J3799" s="519">
        <v>200</v>
      </c>
      <c r="K3799" s="519">
        <f t="shared" si="255"/>
        <v>10</v>
      </c>
      <c r="L3799" s="519">
        <f t="shared" si="256"/>
        <v>8200</v>
      </c>
      <c r="M3799" s="557">
        <f t="shared" si="257"/>
        <v>4.7619047619047616E-2</v>
      </c>
      <c r="N3799" s="15" t="s">
        <v>40</v>
      </c>
      <c r="O3799" s="15" t="s">
        <v>4066</v>
      </c>
    </row>
    <row r="3800" spans="1:15">
      <c r="A3800" s="70">
        <v>2026</v>
      </c>
      <c r="B3800" s="16" t="s">
        <v>15</v>
      </c>
      <c r="C3800" s="70" t="s">
        <v>4816</v>
      </c>
      <c r="D3800" s="15" t="s">
        <v>599</v>
      </c>
      <c r="E3800" s="15" t="s">
        <v>600</v>
      </c>
      <c r="F3800" s="95">
        <v>6</v>
      </c>
      <c r="G3800" s="16" t="s">
        <v>19</v>
      </c>
      <c r="H3800" s="17">
        <v>260</v>
      </c>
      <c r="I3800" s="17">
        <f t="shared" si="258"/>
        <v>1560</v>
      </c>
      <c r="J3800" s="519">
        <v>235</v>
      </c>
      <c r="K3800" s="519">
        <f t="shared" si="255"/>
        <v>25</v>
      </c>
      <c r="L3800" s="519">
        <f t="shared" si="256"/>
        <v>150</v>
      </c>
      <c r="M3800" s="557">
        <f t="shared" si="257"/>
        <v>9.6153846153846159E-2</v>
      </c>
      <c r="N3800" s="15" t="s">
        <v>40</v>
      </c>
      <c r="O3800" s="15" t="s">
        <v>39</v>
      </c>
    </row>
    <row r="3801" spans="1:15">
      <c r="A3801" s="70">
        <v>2026</v>
      </c>
      <c r="B3801" s="16" t="s">
        <v>15</v>
      </c>
      <c r="C3801" s="70" t="s">
        <v>4817</v>
      </c>
      <c r="D3801" s="15" t="s">
        <v>4818</v>
      </c>
      <c r="E3801" s="15" t="s">
        <v>4819</v>
      </c>
      <c r="F3801" s="95">
        <v>340</v>
      </c>
      <c r="G3801" s="16" t="s">
        <v>302</v>
      </c>
      <c r="H3801" s="17">
        <v>3450</v>
      </c>
      <c r="I3801" s="17">
        <f t="shared" si="258"/>
        <v>1173000</v>
      </c>
      <c r="J3801" s="519">
        <v>3300</v>
      </c>
      <c r="K3801" s="519">
        <f t="shared" si="255"/>
        <v>150</v>
      </c>
      <c r="L3801" s="519">
        <f t="shared" si="256"/>
        <v>51000</v>
      </c>
      <c r="M3801" s="557">
        <f t="shared" si="257"/>
        <v>4.3478260869565216E-2</v>
      </c>
      <c r="N3801" s="15" t="s">
        <v>40</v>
      </c>
      <c r="O3801" s="15" t="s">
        <v>39</v>
      </c>
    </row>
    <row r="3802" spans="1:15">
      <c r="A3802" s="70">
        <v>2026</v>
      </c>
      <c r="B3802" s="16" t="s">
        <v>15</v>
      </c>
      <c r="C3802" s="70" t="s">
        <v>4820</v>
      </c>
      <c r="D3802" s="15" t="s">
        <v>329</v>
      </c>
      <c r="E3802" s="15" t="s">
        <v>4821</v>
      </c>
      <c r="F3802" s="95">
        <v>50</v>
      </c>
      <c r="G3802" s="16" t="s">
        <v>1368</v>
      </c>
      <c r="H3802" s="17">
        <v>360</v>
      </c>
      <c r="I3802" s="17">
        <f t="shared" si="258"/>
        <v>18000</v>
      </c>
      <c r="J3802" s="519">
        <v>330</v>
      </c>
      <c r="K3802" s="519">
        <f t="shared" si="255"/>
        <v>30</v>
      </c>
      <c r="L3802" s="519">
        <f t="shared" si="256"/>
        <v>1500</v>
      </c>
      <c r="M3802" s="557">
        <f t="shared" si="257"/>
        <v>8.3333333333333329E-2</v>
      </c>
      <c r="N3802" s="15" t="s">
        <v>40</v>
      </c>
      <c r="O3802" s="15" t="s">
        <v>39</v>
      </c>
    </row>
    <row r="3803" spans="1:15">
      <c r="A3803" s="70">
        <v>2026</v>
      </c>
      <c r="B3803" s="16" t="s">
        <v>15</v>
      </c>
      <c r="C3803" s="70" t="s">
        <v>4822</v>
      </c>
      <c r="D3803" s="15" t="s">
        <v>3893</v>
      </c>
      <c r="E3803" s="15" t="s">
        <v>4680</v>
      </c>
      <c r="F3803" s="95">
        <v>3</v>
      </c>
      <c r="G3803" s="16" t="s">
        <v>19</v>
      </c>
      <c r="H3803" s="17">
        <v>8100</v>
      </c>
      <c r="I3803" s="17">
        <f t="shared" si="258"/>
        <v>24300</v>
      </c>
      <c r="J3803" s="519">
        <v>8000</v>
      </c>
      <c r="K3803" s="519">
        <f t="shared" si="255"/>
        <v>100</v>
      </c>
      <c r="L3803" s="519">
        <f t="shared" si="256"/>
        <v>300</v>
      </c>
      <c r="M3803" s="557">
        <f t="shared" si="257"/>
        <v>1.2345679012345678E-2</v>
      </c>
      <c r="N3803" s="15" t="s">
        <v>40</v>
      </c>
      <c r="O3803" s="15" t="s">
        <v>39</v>
      </c>
    </row>
    <row r="3804" spans="1:15">
      <c r="A3804" s="70">
        <v>2026</v>
      </c>
      <c r="B3804" s="16" t="s">
        <v>15</v>
      </c>
      <c r="C3804" s="70" t="s">
        <v>4823</v>
      </c>
      <c r="D3804" s="15" t="s">
        <v>192</v>
      </c>
      <c r="E3804" s="15" t="s">
        <v>4824</v>
      </c>
      <c r="F3804" s="95">
        <v>1000</v>
      </c>
      <c r="G3804" s="16" t="s">
        <v>37</v>
      </c>
      <c r="H3804" s="17">
        <v>149</v>
      </c>
      <c r="I3804" s="17">
        <f t="shared" si="258"/>
        <v>149000</v>
      </c>
      <c r="J3804" s="519">
        <v>147</v>
      </c>
      <c r="K3804" s="519">
        <f t="shared" si="255"/>
        <v>2</v>
      </c>
      <c r="L3804" s="519">
        <f t="shared" si="256"/>
        <v>2000</v>
      </c>
      <c r="M3804" s="557">
        <f t="shared" si="257"/>
        <v>1.3422818791946308E-2</v>
      </c>
      <c r="N3804" s="15" t="s">
        <v>40</v>
      </c>
      <c r="O3804" s="15" t="s">
        <v>39</v>
      </c>
    </row>
    <row r="3805" spans="1:15">
      <c r="A3805" s="70">
        <v>2026</v>
      </c>
      <c r="B3805" s="16" t="s">
        <v>15</v>
      </c>
      <c r="C3805" s="70" t="s">
        <v>4823</v>
      </c>
      <c r="D3805" s="15" t="s">
        <v>192</v>
      </c>
      <c r="E3805" s="15" t="s">
        <v>4825</v>
      </c>
      <c r="F3805" s="95">
        <v>800</v>
      </c>
      <c r="G3805" s="16" t="s">
        <v>37</v>
      </c>
      <c r="H3805" s="17">
        <v>150</v>
      </c>
      <c r="I3805" s="17">
        <f t="shared" si="258"/>
        <v>120000</v>
      </c>
      <c r="J3805" s="519">
        <v>147</v>
      </c>
      <c r="K3805" s="519">
        <f t="shared" si="255"/>
        <v>3</v>
      </c>
      <c r="L3805" s="519">
        <f t="shared" si="256"/>
        <v>2400</v>
      </c>
      <c r="M3805" s="557">
        <f t="shared" si="257"/>
        <v>0.02</v>
      </c>
      <c r="N3805" s="15" t="s">
        <v>40</v>
      </c>
      <c r="O3805" s="15" t="s">
        <v>39</v>
      </c>
    </row>
    <row r="3806" spans="1:15">
      <c r="A3806" s="70">
        <v>2026</v>
      </c>
      <c r="B3806" s="16" t="s">
        <v>15</v>
      </c>
      <c r="C3806" s="70" t="s">
        <v>4826</v>
      </c>
      <c r="D3806" s="15" t="s">
        <v>166</v>
      </c>
      <c r="E3806" s="448" t="s">
        <v>3062</v>
      </c>
      <c r="F3806" s="95">
        <v>20590</v>
      </c>
      <c r="G3806" s="16" t="s">
        <v>37</v>
      </c>
      <c r="H3806" s="17">
        <v>472.81</v>
      </c>
      <c r="I3806" s="17">
        <f t="shared" si="258"/>
        <v>9735157.9000000004</v>
      </c>
      <c r="J3806" s="519">
        <v>397.31</v>
      </c>
      <c r="K3806" s="519">
        <f t="shared" si="255"/>
        <v>75.5</v>
      </c>
      <c r="L3806" s="519">
        <f t="shared" si="256"/>
        <v>1554545</v>
      </c>
      <c r="M3806" s="557">
        <f t="shared" si="257"/>
        <v>0.15968359383261777</v>
      </c>
      <c r="N3806" s="15" t="s">
        <v>40</v>
      </c>
      <c r="O3806" s="15" t="s">
        <v>105</v>
      </c>
    </row>
    <row r="3807" spans="1:15">
      <c r="A3807" s="70">
        <v>2026</v>
      </c>
      <c r="B3807" s="16" t="s">
        <v>15</v>
      </c>
      <c r="C3807" s="70" t="s">
        <v>4827</v>
      </c>
      <c r="D3807" s="15" t="s">
        <v>166</v>
      </c>
      <c r="E3807" s="448" t="s">
        <v>3062</v>
      </c>
      <c r="F3807" s="95">
        <v>20590</v>
      </c>
      <c r="G3807" s="16" t="s">
        <v>37</v>
      </c>
      <c r="H3807" s="17">
        <v>472.81</v>
      </c>
      <c r="I3807" s="17">
        <f>H3807*F3807</f>
        <v>9735157.9000000004</v>
      </c>
      <c r="J3807" s="519">
        <v>397.31</v>
      </c>
      <c r="K3807" s="519">
        <f t="shared" si="255"/>
        <v>75.5</v>
      </c>
      <c r="L3807" s="519">
        <f t="shared" si="256"/>
        <v>1554545</v>
      </c>
      <c r="M3807" s="557">
        <f t="shared" si="257"/>
        <v>0.15968359383261777</v>
      </c>
      <c r="N3807" s="15" t="s">
        <v>40</v>
      </c>
      <c r="O3807" s="15" t="s">
        <v>105</v>
      </c>
    </row>
    <row r="3808" spans="1:15">
      <c r="A3808" s="70">
        <v>2026</v>
      </c>
      <c r="B3808" s="16" t="s">
        <v>15</v>
      </c>
      <c r="C3808" s="70" t="s">
        <v>4828</v>
      </c>
      <c r="D3808" s="15" t="s">
        <v>166</v>
      </c>
      <c r="E3808" s="448" t="s">
        <v>3062</v>
      </c>
      <c r="F3808" s="95">
        <v>20590</v>
      </c>
      <c r="G3808" s="16" t="s">
        <v>37</v>
      </c>
      <c r="H3808" s="17">
        <v>472.81</v>
      </c>
      <c r="I3808" s="17">
        <f t="shared" si="258"/>
        <v>9735157.9000000004</v>
      </c>
      <c r="J3808" s="519">
        <v>397.31</v>
      </c>
      <c r="K3808" s="519">
        <f t="shared" si="255"/>
        <v>75.5</v>
      </c>
      <c r="L3808" s="519">
        <f t="shared" si="256"/>
        <v>1554545</v>
      </c>
      <c r="M3808" s="557">
        <f t="shared" si="257"/>
        <v>0.15968359383261777</v>
      </c>
      <c r="N3808" s="15" t="s">
        <v>40</v>
      </c>
      <c r="O3808" s="15" t="s">
        <v>105</v>
      </c>
    </row>
    <row r="3809" spans="1:15">
      <c r="A3809" s="70">
        <v>2026</v>
      </c>
      <c r="B3809" s="16" t="s">
        <v>15</v>
      </c>
      <c r="C3809" s="70" t="s">
        <v>4829</v>
      </c>
      <c r="D3809" s="15" t="s">
        <v>166</v>
      </c>
      <c r="E3809" s="448" t="s">
        <v>3062</v>
      </c>
      <c r="F3809" s="95">
        <v>20120</v>
      </c>
      <c r="G3809" s="16" t="s">
        <v>37</v>
      </c>
      <c r="H3809" s="17">
        <v>472.81</v>
      </c>
      <c r="I3809" s="17">
        <f t="shared" si="258"/>
        <v>9512937.1999999993</v>
      </c>
      <c r="J3809" s="519">
        <v>447.52</v>
      </c>
      <c r="K3809" s="519">
        <f t="shared" si="255"/>
        <v>25.29000000000002</v>
      </c>
      <c r="L3809" s="519">
        <f t="shared" si="256"/>
        <v>508834.8000000004</v>
      </c>
      <c r="M3809" s="557">
        <f t="shared" si="257"/>
        <v>5.3488716397707366E-2</v>
      </c>
      <c r="N3809" s="15" t="s">
        <v>40</v>
      </c>
      <c r="O3809" s="15" t="s">
        <v>105</v>
      </c>
    </row>
    <row r="3810" spans="1:15">
      <c r="A3810" s="70">
        <v>2026</v>
      </c>
      <c r="B3810" s="16" t="s">
        <v>15</v>
      </c>
      <c r="C3810" s="70" t="s">
        <v>4830</v>
      </c>
      <c r="D3810" s="15" t="s">
        <v>1042</v>
      </c>
      <c r="E3810" s="448" t="s">
        <v>711</v>
      </c>
      <c r="F3810" s="95">
        <v>4964</v>
      </c>
      <c r="G3810" s="16" t="s">
        <v>37</v>
      </c>
      <c r="H3810" s="17">
        <v>427</v>
      </c>
      <c r="I3810" s="17">
        <f t="shared" si="258"/>
        <v>2119628</v>
      </c>
      <c r="J3810" s="519">
        <v>426.5</v>
      </c>
      <c r="K3810" s="519">
        <f t="shared" si="255"/>
        <v>0.5</v>
      </c>
      <c r="L3810" s="519">
        <f t="shared" si="256"/>
        <v>2482</v>
      </c>
      <c r="M3810" s="557">
        <f t="shared" si="257"/>
        <v>1.17096018735363E-3</v>
      </c>
      <c r="N3810" s="15" t="s">
        <v>22</v>
      </c>
      <c r="O3810" s="15" t="s">
        <v>105</v>
      </c>
    </row>
    <row r="3811" spans="1:15">
      <c r="A3811" s="70">
        <v>2026</v>
      </c>
      <c r="B3811" s="16" t="s">
        <v>15</v>
      </c>
      <c r="C3811" s="70" t="s">
        <v>4831</v>
      </c>
      <c r="D3811" s="15" t="s">
        <v>304</v>
      </c>
      <c r="E3811" s="15" t="s">
        <v>4832</v>
      </c>
      <c r="F3811" s="95">
        <v>6</v>
      </c>
      <c r="G3811" s="16" t="s">
        <v>19</v>
      </c>
      <c r="H3811" s="17">
        <v>11000</v>
      </c>
      <c r="I3811" s="17">
        <f t="shared" si="258"/>
        <v>66000</v>
      </c>
      <c r="J3811" s="519">
        <v>10500</v>
      </c>
      <c r="K3811" s="519">
        <f t="shared" si="255"/>
        <v>500</v>
      </c>
      <c r="L3811" s="519">
        <f t="shared" si="256"/>
        <v>3000</v>
      </c>
      <c r="M3811" s="557">
        <f t="shared" si="257"/>
        <v>4.5454545454545456E-2</v>
      </c>
      <c r="N3811" s="15" t="s">
        <v>40</v>
      </c>
      <c r="O3811" s="15" t="s">
        <v>105</v>
      </c>
    </row>
    <row r="3812" spans="1:15">
      <c r="A3812" s="70">
        <v>2026</v>
      </c>
      <c r="B3812" s="16" t="s">
        <v>15</v>
      </c>
      <c r="C3812" s="70" t="s">
        <v>4833</v>
      </c>
      <c r="D3812" s="15" t="s">
        <v>1204</v>
      </c>
      <c r="E3812" s="15" t="s">
        <v>4834</v>
      </c>
      <c r="F3812" s="95">
        <v>545</v>
      </c>
      <c r="G3812" s="16" t="s">
        <v>19</v>
      </c>
      <c r="H3812" s="17">
        <v>15</v>
      </c>
      <c r="I3812" s="17">
        <f t="shared" si="258"/>
        <v>8175</v>
      </c>
      <c r="J3812" s="519">
        <v>13.7</v>
      </c>
      <c r="K3812" s="519">
        <f t="shared" si="255"/>
        <v>1.3000000000000007</v>
      </c>
      <c r="L3812" s="519">
        <f t="shared" si="256"/>
        <v>708.50000000000034</v>
      </c>
      <c r="M3812" s="557">
        <f t="shared" si="257"/>
        <v>8.6666666666666711E-2</v>
      </c>
      <c r="N3812" s="15" t="s">
        <v>40</v>
      </c>
      <c r="O3812" s="15" t="s">
        <v>105</v>
      </c>
    </row>
    <row r="3813" spans="1:15">
      <c r="A3813" s="70">
        <v>2026</v>
      </c>
      <c r="B3813" s="16" t="s">
        <v>15</v>
      </c>
      <c r="C3813" s="70" t="s">
        <v>4835</v>
      </c>
      <c r="D3813" s="15" t="s">
        <v>279</v>
      </c>
      <c r="E3813" s="15" t="s">
        <v>4091</v>
      </c>
      <c r="F3813" s="95">
        <v>200</v>
      </c>
      <c r="G3813" s="16" t="s">
        <v>19</v>
      </c>
      <c r="H3813" s="17">
        <v>9.31</v>
      </c>
      <c r="I3813" s="17">
        <f t="shared" si="258"/>
        <v>1862</v>
      </c>
      <c r="J3813" s="519">
        <v>8.82</v>
      </c>
      <c r="K3813" s="519">
        <f t="shared" si="255"/>
        <v>0.49000000000000021</v>
      </c>
      <c r="L3813" s="519">
        <f t="shared" si="256"/>
        <v>98.000000000000043</v>
      </c>
      <c r="M3813" s="557">
        <f t="shared" si="257"/>
        <v>5.2631578947368439E-2</v>
      </c>
      <c r="N3813" s="15" t="s">
        <v>40</v>
      </c>
      <c r="O3813" s="15" t="s">
        <v>105</v>
      </c>
    </row>
    <row r="3814" spans="1:15">
      <c r="A3814" s="70">
        <v>2026</v>
      </c>
      <c r="B3814" s="16" t="s">
        <v>15</v>
      </c>
      <c r="C3814" s="70" t="s">
        <v>4835</v>
      </c>
      <c r="D3814" s="15" t="s">
        <v>279</v>
      </c>
      <c r="E3814" s="15" t="s">
        <v>4836</v>
      </c>
      <c r="F3814" s="95">
        <v>200</v>
      </c>
      <c r="G3814" s="16" t="s">
        <v>19</v>
      </c>
      <c r="H3814" s="17">
        <v>12.26</v>
      </c>
      <c r="I3814" s="17">
        <f t="shared" ref="I3814:I3816" si="259">H3814*F3814</f>
        <v>2452</v>
      </c>
      <c r="J3814" s="519">
        <v>12.25</v>
      </c>
      <c r="K3814" s="519">
        <f t="shared" ref="K3814:K3816" si="260">H3814-J3814</f>
        <v>9.9999999999997868E-3</v>
      </c>
      <c r="L3814" s="519">
        <f t="shared" ref="L3814:L3816" si="261">K3814*F3814</f>
        <v>1.9999999999999574</v>
      </c>
      <c r="M3814" s="557">
        <f t="shared" si="257"/>
        <v>8.1566068515495811E-4</v>
      </c>
      <c r="N3814" s="15" t="s">
        <v>40</v>
      </c>
      <c r="O3814" s="15" t="s">
        <v>105</v>
      </c>
    </row>
    <row r="3815" spans="1:15">
      <c r="A3815" s="70">
        <v>2026</v>
      </c>
      <c r="B3815" s="16" t="s">
        <v>15</v>
      </c>
      <c r="C3815" s="70" t="s">
        <v>4835</v>
      </c>
      <c r="D3815" s="15" t="s">
        <v>279</v>
      </c>
      <c r="E3815" s="15" t="s">
        <v>4090</v>
      </c>
      <c r="F3815" s="95">
        <v>200</v>
      </c>
      <c r="G3815" s="16" t="s">
        <v>19</v>
      </c>
      <c r="H3815" s="17">
        <v>70.97</v>
      </c>
      <c r="I3815" s="17">
        <f t="shared" si="259"/>
        <v>14194</v>
      </c>
      <c r="J3815" s="519">
        <v>68.13</v>
      </c>
      <c r="K3815" s="519">
        <f t="shared" si="260"/>
        <v>2.8400000000000034</v>
      </c>
      <c r="L3815" s="519">
        <f t="shared" si="261"/>
        <v>568.00000000000068</v>
      </c>
      <c r="M3815" s="557">
        <f t="shared" si="257"/>
        <v>4.0016908552909729E-2</v>
      </c>
      <c r="N3815" s="15" t="s">
        <v>40</v>
      </c>
      <c r="O3815" s="15" t="s">
        <v>105</v>
      </c>
    </row>
    <row r="3816" spans="1:15">
      <c r="A3816" s="70">
        <v>2026</v>
      </c>
      <c r="B3816" s="16" t="s">
        <v>15</v>
      </c>
      <c r="C3816" s="70" t="s">
        <v>4835</v>
      </c>
      <c r="D3816" s="15" t="s">
        <v>279</v>
      </c>
      <c r="E3816" s="15" t="s">
        <v>3724</v>
      </c>
      <c r="F3816" s="95">
        <v>2000</v>
      </c>
      <c r="G3816" s="16" t="s">
        <v>19</v>
      </c>
      <c r="H3816" s="17">
        <v>18.239999999999998</v>
      </c>
      <c r="I3816" s="17">
        <f t="shared" si="259"/>
        <v>36480</v>
      </c>
      <c r="J3816" s="519">
        <v>15.92</v>
      </c>
      <c r="K3816" s="519">
        <f t="shared" si="260"/>
        <v>2.3199999999999985</v>
      </c>
      <c r="L3816" s="519">
        <f t="shared" si="261"/>
        <v>4639.9999999999973</v>
      </c>
      <c r="M3816" s="557">
        <f t="shared" si="257"/>
        <v>0.12719298245614027</v>
      </c>
      <c r="N3816" s="15" t="s">
        <v>40</v>
      </c>
      <c r="O3816" s="15" t="s">
        <v>105</v>
      </c>
    </row>
    <row r="3817" spans="1:15">
      <c r="A3817" s="70">
        <v>2026</v>
      </c>
      <c r="B3817" s="16" t="s">
        <v>15</v>
      </c>
      <c r="C3817" s="70" t="s">
        <v>4837</v>
      </c>
      <c r="D3817" s="15" t="s">
        <v>270</v>
      </c>
      <c r="E3817" s="15" t="s">
        <v>4838</v>
      </c>
      <c r="F3817" s="95">
        <v>1</v>
      </c>
      <c r="G3817" s="16" t="s">
        <v>302</v>
      </c>
      <c r="H3817" s="17">
        <v>84940</v>
      </c>
      <c r="I3817" s="17">
        <f t="shared" si="258"/>
        <v>84940</v>
      </c>
      <c r="J3817" s="519">
        <v>83708</v>
      </c>
      <c r="K3817" s="519">
        <f t="shared" si="255"/>
        <v>1232</v>
      </c>
      <c r="L3817" s="519">
        <f t="shared" si="256"/>
        <v>1232</v>
      </c>
      <c r="M3817" s="557">
        <f t="shared" si="257"/>
        <v>1.4504356016011303E-2</v>
      </c>
      <c r="N3817" s="15" t="s">
        <v>40</v>
      </c>
      <c r="O3817" s="15" t="s">
        <v>105</v>
      </c>
    </row>
    <row r="3818" spans="1:15">
      <c r="A3818" s="70">
        <v>2026</v>
      </c>
      <c r="B3818" s="16" t="s">
        <v>15</v>
      </c>
      <c r="C3818" s="70" t="s">
        <v>4839</v>
      </c>
      <c r="D3818" s="15" t="s">
        <v>673</v>
      </c>
      <c r="E3818" s="15" t="s">
        <v>4840</v>
      </c>
      <c r="F3818" s="95">
        <v>5</v>
      </c>
      <c r="G3818" s="16" t="s">
        <v>798</v>
      </c>
      <c r="H3818" s="17">
        <v>155</v>
      </c>
      <c r="I3818" s="17">
        <f t="shared" si="258"/>
        <v>775</v>
      </c>
      <c r="J3818" s="519">
        <v>145</v>
      </c>
      <c r="K3818" s="519">
        <f t="shared" si="255"/>
        <v>10</v>
      </c>
      <c r="L3818" s="519">
        <f t="shared" si="256"/>
        <v>50</v>
      </c>
      <c r="M3818" s="557">
        <f t="shared" si="257"/>
        <v>6.4516129032258063E-2</v>
      </c>
      <c r="N3818" s="15" t="s">
        <v>40</v>
      </c>
      <c r="O3818" s="15" t="s">
        <v>4066</v>
      </c>
    </row>
    <row r="3819" spans="1:15">
      <c r="A3819" s="70">
        <v>2026</v>
      </c>
      <c r="B3819" s="16" t="s">
        <v>15</v>
      </c>
      <c r="C3819" s="70" t="s">
        <v>4839</v>
      </c>
      <c r="D3819" s="15" t="s">
        <v>673</v>
      </c>
      <c r="E3819" s="15" t="s">
        <v>4841</v>
      </c>
      <c r="F3819" s="95">
        <v>10</v>
      </c>
      <c r="G3819" s="16" t="s">
        <v>798</v>
      </c>
      <c r="H3819" s="17">
        <v>155</v>
      </c>
      <c r="I3819" s="17">
        <f t="shared" si="258"/>
        <v>1550</v>
      </c>
      <c r="J3819" s="519">
        <v>145</v>
      </c>
      <c r="K3819" s="519">
        <f t="shared" si="255"/>
        <v>10</v>
      </c>
      <c r="L3819" s="519">
        <f t="shared" si="256"/>
        <v>100</v>
      </c>
      <c r="M3819" s="557">
        <f t="shared" si="257"/>
        <v>6.4516129032258063E-2</v>
      </c>
      <c r="N3819" s="15" t="s">
        <v>40</v>
      </c>
      <c r="O3819" s="15" t="s">
        <v>4066</v>
      </c>
    </row>
    <row r="3820" spans="1:15">
      <c r="A3820" s="70">
        <v>2026</v>
      </c>
      <c r="B3820" s="16" t="s">
        <v>15</v>
      </c>
      <c r="C3820" s="70" t="s">
        <v>4839</v>
      </c>
      <c r="D3820" s="15" t="s">
        <v>673</v>
      </c>
      <c r="E3820" s="15" t="s">
        <v>4842</v>
      </c>
      <c r="F3820" s="95">
        <v>5</v>
      </c>
      <c r="G3820" s="16" t="s">
        <v>798</v>
      </c>
      <c r="H3820" s="17">
        <v>155</v>
      </c>
      <c r="I3820" s="17">
        <f t="shared" si="258"/>
        <v>775</v>
      </c>
      <c r="J3820" s="519">
        <v>145</v>
      </c>
      <c r="K3820" s="519">
        <f t="shared" si="255"/>
        <v>10</v>
      </c>
      <c r="L3820" s="519">
        <f t="shared" si="256"/>
        <v>50</v>
      </c>
      <c r="M3820" s="557">
        <f t="shared" si="257"/>
        <v>6.4516129032258063E-2</v>
      </c>
      <c r="N3820" s="15" t="s">
        <v>40</v>
      </c>
      <c r="O3820" s="15" t="s">
        <v>4066</v>
      </c>
    </row>
    <row r="3821" spans="1:15">
      <c r="A3821" s="70">
        <v>2026</v>
      </c>
      <c r="B3821" s="16" t="s">
        <v>15</v>
      </c>
      <c r="C3821" s="70" t="s">
        <v>4843</v>
      </c>
      <c r="D3821" s="15" t="s">
        <v>24</v>
      </c>
      <c r="E3821" s="15" t="s">
        <v>4844</v>
      </c>
      <c r="F3821" s="95">
        <v>1</v>
      </c>
      <c r="G3821" s="16" t="s">
        <v>19</v>
      </c>
      <c r="H3821" s="17">
        <v>1850</v>
      </c>
      <c r="I3821" s="17">
        <f t="shared" si="258"/>
        <v>1850</v>
      </c>
      <c r="J3821" s="519">
        <v>1800</v>
      </c>
      <c r="K3821" s="519">
        <f t="shared" si="255"/>
        <v>50</v>
      </c>
      <c r="L3821" s="519">
        <f t="shared" si="256"/>
        <v>50</v>
      </c>
      <c r="M3821" s="557">
        <f t="shared" si="257"/>
        <v>2.7027027027027029E-2</v>
      </c>
      <c r="N3821" s="15" t="s">
        <v>22</v>
      </c>
      <c r="O3821" s="15" t="s">
        <v>4066</v>
      </c>
    </row>
    <row r="3822" spans="1:15">
      <c r="A3822" s="70">
        <v>2026</v>
      </c>
      <c r="B3822" s="16" t="s">
        <v>15</v>
      </c>
      <c r="C3822" s="70" t="s">
        <v>4845</v>
      </c>
      <c r="D3822" s="15" t="s">
        <v>398</v>
      </c>
      <c r="E3822" s="15" t="s">
        <v>4846</v>
      </c>
      <c r="F3822" s="95">
        <v>1</v>
      </c>
      <c r="G3822" s="16" t="s">
        <v>59</v>
      </c>
      <c r="H3822" s="17">
        <v>5000</v>
      </c>
      <c r="I3822" s="17">
        <f t="shared" si="258"/>
        <v>5000</v>
      </c>
      <c r="J3822" s="519">
        <v>4000</v>
      </c>
      <c r="K3822" s="519">
        <f t="shared" si="255"/>
        <v>1000</v>
      </c>
      <c r="L3822" s="519">
        <f t="shared" si="256"/>
        <v>1000</v>
      </c>
      <c r="M3822" s="557">
        <f t="shared" si="257"/>
        <v>0.2</v>
      </c>
      <c r="N3822" s="15" t="s">
        <v>40</v>
      </c>
      <c r="O3822" s="15" t="s">
        <v>4066</v>
      </c>
    </row>
    <row r="3823" spans="1:15">
      <c r="A3823" s="70">
        <v>2026</v>
      </c>
      <c r="B3823" s="16" t="s">
        <v>15</v>
      </c>
      <c r="C3823" s="70" t="s">
        <v>4847</v>
      </c>
      <c r="D3823" s="15" t="s">
        <v>398</v>
      </c>
      <c r="E3823" s="15" t="s">
        <v>4848</v>
      </c>
      <c r="F3823" s="95">
        <v>1</v>
      </c>
      <c r="G3823" s="16" t="s">
        <v>59</v>
      </c>
      <c r="H3823" s="17">
        <v>18000</v>
      </c>
      <c r="I3823" s="17">
        <f t="shared" si="258"/>
        <v>18000</v>
      </c>
      <c r="J3823" s="519">
        <v>15000</v>
      </c>
      <c r="K3823" s="519">
        <f t="shared" si="255"/>
        <v>3000</v>
      </c>
      <c r="L3823" s="519">
        <f t="shared" si="256"/>
        <v>3000</v>
      </c>
      <c r="M3823" s="557">
        <f t="shared" si="257"/>
        <v>0.16666666666666666</v>
      </c>
      <c r="N3823" s="15" t="s">
        <v>40</v>
      </c>
      <c r="O3823" s="15" t="s">
        <v>4066</v>
      </c>
    </row>
    <row r="3824" spans="1:15">
      <c r="A3824" s="70">
        <v>2026</v>
      </c>
      <c r="B3824" s="16" t="s">
        <v>15</v>
      </c>
      <c r="C3824" s="70" t="s">
        <v>4849</v>
      </c>
      <c r="D3824" s="15" t="s">
        <v>311</v>
      </c>
      <c r="E3824" s="15" t="s">
        <v>4850</v>
      </c>
      <c r="F3824" s="95">
        <v>23</v>
      </c>
      <c r="G3824" s="16" t="s">
        <v>19</v>
      </c>
      <c r="H3824" s="17">
        <v>25400</v>
      </c>
      <c r="I3824" s="17">
        <f t="shared" si="258"/>
        <v>584200</v>
      </c>
      <c r="J3824" s="519">
        <v>24000</v>
      </c>
      <c r="K3824" s="519">
        <f t="shared" si="255"/>
        <v>1400</v>
      </c>
      <c r="L3824" s="519">
        <f t="shared" si="256"/>
        <v>32200</v>
      </c>
      <c r="M3824" s="557">
        <f t="shared" si="257"/>
        <v>5.5118110236220472E-2</v>
      </c>
      <c r="N3824" s="15" t="s">
        <v>40</v>
      </c>
      <c r="O3824" s="15" t="s">
        <v>4066</v>
      </c>
    </row>
    <row r="3825" spans="1:15">
      <c r="A3825" s="70">
        <v>2026</v>
      </c>
      <c r="B3825" s="16" t="s">
        <v>15</v>
      </c>
      <c r="C3825" s="70" t="s">
        <v>4851</v>
      </c>
      <c r="D3825" s="15" t="s">
        <v>2294</v>
      </c>
      <c r="E3825" s="15" t="s">
        <v>4852</v>
      </c>
      <c r="F3825" s="95">
        <v>1</v>
      </c>
      <c r="G3825" s="16" t="s">
        <v>59</v>
      </c>
      <c r="H3825" s="17">
        <v>14317.5</v>
      </c>
      <c r="I3825" s="17">
        <f t="shared" si="258"/>
        <v>14317.5</v>
      </c>
      <c r="J3825" s="519">
        <v>10000</v>
      </c>
      <c r="K3825" s="519">
        <f t="shared" si="255"/>
        <v>4317.5</v>
      </c>
      <c r="L3825" s="519">
        <f t="shared" si="256"/>
        <v>4317.5</v>
      </c>
      <c r="M3825" s="557">
        <f t="shared" si="257"/>
        <v>0.30155404225598043</v>
      </c>
      <c r="N3825" s="15" t="s">
        <v>22</v>
      </c>
      <c r="O3825" s="15" t="s">
        <v>4066</v>
      </c>
    </row>
    <row r="3826" spans="1:15">
      <c r="A3826" s="70">
        <v>2026</v>
      </c>
      <c r="B3826" s="16" t="s">
        <v>15</v>
      </c>
      <c r="C3826" s="70" t="s">
        <v>4853</v>
      </c>
      <c r="D3826" s="15" t="s">
        <v>4854</v>
      </c>
      <c r="E3826" s="15" t="s">
        <v>4855</v>
      </c>
      <c r="F3826" s="95">
        <v>1</v>
      </c>
      <c r="G3826" s="16" t="s">
        <v>59</v>
      </c>
      <c r="H3826" s="17">
        <v>160000</v>
      </c>
      <c r="I3826" s="17">
        <f t="shared" si="258"/>
        <v>160000</v>
      </c>
      <c r="J3826" s="519">
        <v>140000</v>
      </c>
      <c r="K3826" s="519">
        <f t="shared" si="255"/>
        <v>20000</v>
      </c>
      <c r="L3826" s="519">
        <f t="shared" si="256"/>
        <v>20000</v>
      </c>
      <c r="M3826" s="557">
        <f t="shared" si="257"/>
        <v>0.125</v>
      </c>
      <c r="N3826" s="15" t="s">
        <v>40</v>
      </c>
      <c r="O3826" s="15" t="s">
        <v>4066</v>
      </c>
    </row>
    <row r="3827" spans="1:15">
      <c r="A3827" s="70">
        <v>2026</v>
      </c>
      <c r="B3827" s="16" t="s">
        <v>15</v>
      </c>
      <c r="C3827" s="70" t="s">
        <v>4856</v>
      </c>
      <c r="D3827" s="15" t="s">
        <v>4857</v>
      </c>
      <c r="E3827" s="15" t="s">
        <v>4858</v>
      </c>
      <c r="F3827" s="95">
        <v>1</v>
      </c>
      <c r="G3827" s="16" t="s">
        <v>59</v>
      </c>
      <c r="H3827" s="17">
        <v>161050</v>
      </c>
      <c r="I3827" s="17">
        <f t="shared" si="258"/>
        <v>161050</v>
      </c>
      <c r="J3827" s="519">
        <v>158000</v>
      </c>
      <c r="K3827" s="519">
        <f t="shared" si="255"/>
        <v>3050</v>
      </c>
      <c r="L3827" s="519">
        <f t="shared" si="256"/>
        <v>3050</v>
      </c>
      <c r="M3827" s="557">
        <f t="shared" si="257"/>
        <v>1.893821794473766E-2</v>
      </c>
      <c r="N3827" s="15" t="s">
        <v>40</v>
      </c>
      <c r="O3827" s="15" t="s">
        <v>4066</v>
      </c>
    </row>
    <row r="3828" spans="1:15">
      <c r="A3828" s="70">
        <v>2026</v>
      </c>
      <c r="B3828" s="16" t="s">
        <v>15</v>
      </c>
      <c r="C3828" s="70" t="s">
        <v>4859</v>
      </c>
      <c r="D3828" s="15" t="s">
        <v>17</v>
      </c>
      <c r="E3828" s="15" t="s">
        <v>4655</v>
      </c>
      <c r="F3828" s="95">
        <v>72</v>
      </c>
      <c r="G3828" s="16" t="s">
        <v>4860</v>
      </c>
      <c r="H3828" s="17">
        <v>60</v>
      </c>
      <c r="I3828" s="17">
        <f t="shared" si="258"/>
        <v>4320</v>
      </c>
      <c r="J3828" s="519">
        <v>58</v>
      </c>
      <c r="K3828" s="519">
        <f t="shared" si="255"/>
        <v>2</v>
      </c>
      <c r="L3828" s="519">
        <f t="shared" si="256"/>
        <v>144</v>
      </c>
      <c r="M3828" s="557">
        <f t="shared" si="257"/>
        <v>3.3333333333333333E-2</v>
      </c>
      <c r="N3828" s="15" t="s">
        <v>40</v>
      </c>
      <c r="O3828" s="15" t="s">
        <v>4066</v>
      </c>
    </row>
    <row r="3829" spans="1:15">
      <c r="A3829" s="70">
        <v>2026</v>
      </c>
      <c r="B3829" s="16" t="s">
        <v>15</v>
      </c>
      <c r="C3829" s="70" t="s">
        <v>4861</v>
      </c>
      <c r="D3829" s="15" t="s">
        <v>673</v>
      </c>
      <c r="E3829" s="15" t="s">
        <v>4862</v>
      </c>
      <c r="F3829" s="95">
        <v>5000</v>
      </c>
      <c r="G3829" s="16" t="s">
        <v>19</v>
      </c>
      <c r="H3829" s="17">
        <v>0.55000000000000004</v>
      </c>
      <c r="I3829" s="17">
        <f t="shared" si="258"/>
        <v>2750</v>
      </c>
      <c r="J3829" s="519">
        <v>0.52</v>
      </c>
      <c r="K3829" s="519">
        <f t="shared" si="255"/>
        <v>3.0000000000000027E-2</v>
      </c>
      <c r="L3829" s="519">
        <f t="shared" si="256"/>
        <v>150.00000000000014</v>
      </c>
      <c r="M3829" s="557">
        <f t="shared" si="257"/>
        <v>5.4545454545454591E-2</v>
      </c>
      <c r="N3829" s="15" t="s">
        <v>40</v>
      </c>
      <c r="O3829" s="15" t="s">
        <v>4066</v>
      </c>
    </row>
    <row r="3830" spans="1:15">
      <c r="A3830" s="70">
        <v>2026</v>
      </c>
      <c r="B3830" s="16" t="s">
        <v>15</v>
      </c>
      <c r="C3830" s="70" t="s">
        <v>4863</v>
      </c>
      <c r="D3830" s="15" t="s">
        <v>1948</v>
      </c>
      <c r="E3830" s="15" t="s">
        <v>1420</v>
      </c>
      <c r="F3830" s="95">
        <v>2000</v>
      </c>
      <c r="G3830" s="16" t="s">
        <v>19</v>
      </c>
      <c r="H3830" s="17">
        <v>1.31</v>
      </c>
      <c r="I3830" s="17">
        <f t="shared" si="258"/>
        <v>2620</v>
      </c>
      <c r="J3830" s="519">
        <v>1.19</v>
      </c>
      <c r="K3830" s="519">
        <f t="shared" si="255"/>
        <v>0.12000000000000011</v>
      </c>
      <c r="L3830" s="519">
        <f t="shared" si="256"/>
        <v>240.00000000000023</v>
      </c>
      <c r="M3830" s="557">
        <f t="shared" si="257"/>
        <v>9.1603053435114587E-2</v>
      </c>
      <c r="N3830" s="15" t="s">
        <v>40</v>
      </c>
      <c r="O3830" s="15" t="s">
        <v>4066</v>
      </c>
    </row>
    <row r="3831" spans="1:15">
      <c r="A3831" s="70">
        <v>2026</v>
      </c>
      <c r="B3831" s="16" t="s">
        <v>15</v>
      </c>
      <c r="C3831" s="70" t="s">
        <v>4864</v>
      </c>
      <c r="D3831" s="15" t="s">
        <v>673</v>
      </c>
      <c r="E3831" s="15" t="s">
        <v>4865</v>
      </c>
      <c r="F3831" s="95">
        <v>4</v>
      </c>
      <c r="G3831" s="16" t="s">
        <v>4860</v>
      </c>
      <c r="H3831" s="17">
        <v>130</v>
      </c>
      <c r="I3831" s="17">
        <f t="shared" si="258"/>
        <v>520</v>
      </c>
      <c r="J3831" s="519">
        <v>120</v>
      </c>
      <c r="K3831" s="519">
        <f t="shared" si="255"/>
        <v>10</v>
      </c>
      <c r="L3831" s="519">
        <f t="shared" si="256"/>
        <v>40</v>
      </c>
      <c r="M3831" s="557">
        <f t="shared" si="257"/>
        <v>7.6923076923076927E-2</v>
      </c>
      <c r="N3831" s="15" t="s">
        <v>40</v>
      </c>
      <c r="O3831" s="15" t="s">
        <v>4066</v>
      </c>
    </row>
    <row r="3832" spans="1:15">
      <c r="A3832" s="70">
        <v>2026</v>
      </c>
      <c r="B3832" s="16" t="s">
        <v>15</v>
      </c>
      <c r="C3832" s="70" t="s">
        <v>4866</v>
      </c>
      <c r="D3832" s="15" t="s">
        <v>1958</v>
      </c>
      <c r="E3832" s="15" t="s">
        <v>4867</v>
      </c>
      <c r="F3832" s="95">
        <v>18</v>
      </c>
      <c r="G3832" s="16" t="s">
        <v>19</v>
      </c>
      <c r="H3832" s="17">
        <v>1250</v>
      </c>
      <c r="I3832" s="17">
        <f t="shared" si="258"/>
        <v>22500</v>
      </c>
      <c r="J3832" s="519">
        <v>1230</v>
      </c>
      <c r="K3832" s="519">
        <f t="shared" si="255"/>
        <v>20</v>
      </c>
      <c r="L3832" s="519">
        <f t="shared" si="256"/>
        <v>360</v>
      </c>
      <c r="M3832" s="557">
        <f t="shared" si="257"/>
        <v>1.6E-2</v>
      </c>
      <c r="N3832" s="15" t="s">
        <v>40</v>
      </c>
      <c r="O3832" s="15" t="s">
        <v>4066</v>
      </c>
    </row>
    <row r="3833" spans="1:15">
      <c r="A3833" s="70">
        <v>2026</v>
      </c>
      <c r="B3833" s="16" t="s">
        <v>15</v>
      </c>
      <c r="C3833" s="70" t="s">
        <v>4868</v>
      </c>
      <c r="D3833" s="15" t="s">
        <v>1094</v>
      </c>
      <c r="E3833" s="15" t="s">
        <v>4869</v>
      </c>
      <c r="F3833" s="95">
        <v>2</v>
      </c>
      <c r="G3833" s="16" t="s">
        <v>302</v>
      </c>
      <c r="H3833" s="17">
        <v>1350</v>
      </c>
      <c r="I3833" s="17">
        <f t="shared" si="258"/>
        <v>2700</v>
      </c>
      <c r="J3833" s="519">
        <v>1300</v>
      </c>
      <c r="K3833" s="519">
        <f t="shared" si="255"/>
        <v>50</v>
      </c>
      <c r="L3833" s="519">
        <f t="shared" si="256"/>
        <v>100</v>
      </c>
      <c r="M3833" s="557">
        <f t="shared" si="257"/>
        <v>3.7037037037037035E-2</v>
      </c>
      <c r="N3833" s="15" t="s">
        <v>22</v>
      </c>
      <c r="O3833" s="15" t="s">
        <v>4066</v>
      </c>
    </row>
    <row r="3834" spans="1:15">
      <c r="A3834" s="70">
        <v>2026</v>
      </c>
      <c r="B3834" s="16" t="s">
        <v>15</v>
      </c>
      <c r="C3834" s="70" t="s">
        <v>4870</v>
      </c>
      <c r="D3834" s="15" t="s">
        <v>1390</v>
      </c>
      <c r="E3834" s="15" t="s">
        <v>4871</v>
      </c>
      <c r="F3834" s="95">
        <v>1</v>
      </c>
      <c r="G3834" s="16" t="s">
        <v>19</v>
      </c>
      <c r="H3834" s="17">
        <v>177.57</v>
      </c>
      <c r="I3834" s="17">
        <f t="shared" si="258"/>
        <v>177.57</v>
      </c>
      <c r="J3834" s="519">
        <v>172.24</v>
      </c>
      <c r="K3834" s="519">
        <f t="shared" si="255"/>
        <v>5.3299999999999841</v>
      </c>
      <c r="L3834" s="519">
        <f t="shared" si="256"/>
        <v>5.3299999999999841</v>
      </c>
      <c r="M3834" s="557">
        <f t="shared" si="257"/>
        <v>3.0016331587542851E-2</v>
      </c>
      <c r="N3834" s="15" t="s">
        <v>40</v>
      </c>
      <c r="O3834" s="15" t="s">
        <v>4066</v>
      </c>
    </row>
    <row r="3835" spans="1:15">
      <c r="A3835" s="70">
        <v>2026</v>
      </c>
      <c r="B3835" s="16" t="s">
        <v>15</v>
      </c>
      <c r="C3835" s="70" t="s">
        <v>4872</v>
      </c>
      <c r="D3835" s="15" t="s">
        <v>96</v>
      </c>
      <c r="E3835" s="15" t="s">
        <v>99</v>
      </c>
      <c r="F3835" s="95">
        <v>50</v>
      </c>
      <c r="G3835" s="16" t="s">
        <v>19</v>
      </c>
      <c r="H3835" s="17">
        <v>432</v>
      </c>
      <c r="I3835" s="17">
        <f t="shared" si="258"/>
        <v>21600</v>
      </c>
      <c r="J3835" s="519">
        <v>405</v>
      </c>
      <c r="K3835" s="519">
        <f t="shared" si="255"/>
        <v>27</v>
      </c>
      <c r="L3835" s="519">
        <f t="shared" si="256"/>
        <v>1350</v>
      </c>
      <c r="M3835" s="557">
        <f t="shared" si="257"/>
        <v>6.25E-2</v>
      </c>
      <c r="N3835" s="15" t="s">
        <v>40</v>
      </c>
      <c r="O3835" s="15" t="s">
        <v>4066</v>
      </c>
    </row>
    <row r="3836" spans="1:15">
      <c r="A3836" s="70">
        <v>2026</v>
      </c>
      <c r="B3836" s="16" t="s">
        <v>15</v>
      </c>
      <c r="C3836" s="70" t="s">
        <v>4873</v>
      </c>
      <c r="D3836" s="15" t="s">
        <v>4231</v>
      </c>
      <c r="E3836" s="15" t="s">
        <v>4874</v>
      </c>
      <c r="F3836" s="95">
        <v>1</v>
      </c>
      <c r="G3836" s="16" t="s">
        <v>285</v>
      </c>
      <c r="H3836" s="17">
        <v>93000</v>
      </c>
      <c r="I3836" s="17">
        <f t="shared" si="258"/>
        <v>93000</v>
      </c>
      <c r="J3836" s="519">
        <v>85000</v>
      </c>
      <c r="K3836" s="519">
        <f t="shared" si="255"/>
        <v>8000</v>
      </c>
      <c r="L3836" s="519">
        <f t="shared" si="256"/>
        <v>8000</v>
      </c>
      <c r="M3836" s="557">
        <f t="shared" si="257"/>
        <v>8.6021505376344093E-2</v>
      </c>
      <c r="N3836" s="15" t="s">
        <v>40</v>
      </c>
      <c r="O3836" s="15" t="s">
        <v>4066</v>
      </c>
    </row>
    <row r="3837" spans="1:15">
      <c r="A3837" s="70">
        <v>2026</v>
      </c>
      <c r="B3837" s="16" t="s">
        <v>15</v>
      </c>
      <c r="C3837" s="70" t="s">
        <v>4875</v>
      </c>
      <c r="D3837" s="15" t="s">
        <v>398</v>
      </c>
      <c r="E3837" s="15" t="s">
        <v>4876</v>
      </c>
      <c r="F3837" s="95">
        <v>1</v>
      </c>
      <c r="G3837" s="16" t="s">
        <v>285</v>
      </c>
      <c r="H3837" s="17">
        <v>74000</v>
      </c>
      <c r="I3837" s="17">
        <f t="shared" si="258"/>
        <v>74000</v>
      </c>
      <c r="J3837" s="519">
        <v>70000</v>
      </c>
      <c r="K3837" s="519">
        <f t="shared" si="255"/>
        <v>4000</v>
      </c>
      <c r="L3837" s="519">
        <f t="shared" si="256"/>
        <v>4000</v>
      </c>
      <c r="M3837" s="557">
        <f t="shared" si="257"/>
        <v>5.4054054054054057E-2</v>
      </c>
      <c r="N3837" s="15" t="s">
        <v>40</v>
      </c>
      <c r="O3837" s="15" t="s">
        <v>4066</v>
      </c>
    </row>
    <row r="3838" spans="1:15">
      <c r="A3838" s="70">
        <v>2026</v>
      </c>
      <c r="B3838" s="16" t="s">
        <v>15</v>
      </c>
      <c r="C3838" s="70" t="s">
        <v>4877</v>
      </c>
      <c r="D3838" s="15" t="s">
        <v>4231</v>
      </c>
      <c r="E3838" s="15" t="s">
        <v>4878</v>
      </c>
      <c r="F3838" s="95">
        <v>1</v>
      </c>
      <c r="G3838" s="16" t="s">
        <v>285</v>
      </c>
      <c r="H3838" s="17">
        <v>8537</v>
      </c>
      <c r="I3838" s="17">
        <f t="shared" si="258"/>
        <v>8537</v>
      </c>
      <c r="J3838" s="519">
        <v>7037</v>
      </c>
      <c r="K3838" s="519">
        <f t="shared" si="255"/>
        <v>1500</v>
      </c>
      <c r="L3838" s="519">
        <f t="shared" si="256"/>
        <v>1500</v>
      </c>
      <c r="M3838" s="557">
        <f t="shared" si="257"/>
        <v>0.17570575143493031</v>
      </c>
      <c r="N3838" s="15" t="s">
        <v>40</v>
      </c>
      <c r="O3838" s="15" t="s">
        <v>4066</v>
      </c>
    </row>
    <row r="3839" spans="1:15">
      <c r="A3839" s="70">
        <v>2026</v>
      </c>
      <c r="B3839" s="16" t="s">
        <v>15</v>
      </c>
      <c r="C3839" s="70" t="s">
        <v>4879</v>
      </c>
      <c r="D3839" s="15" t="s">
        <v>4880</v>
      </c>
      <c r="E3839" s="565" t="s">
        <v>4881</v>
      </c>
      <c r="F3839" s="95">
        <v>1</v>
      </c>
      <c r="G3839" s="16" t="s">
        <v>285</v>
      </c>
      <c r="H3839" s="17">
        <v>50000</v>
      </c>
      <c r="I3839" s="17">
        <f t="shared" si="258"/>
        <v>50000</v>
      </c>
      <c r="J3839" s="519">
        <v>35000</v>
      </c>
      <c r="K3839" s="519">
        <f t="shared" si="255"/>
        <v>15000</v>
      </c>
      <c r="L3839" s="519">
        <f t="shared" si="256"/>
        <v>15000</v>
      </c>
      <c r="M3839" s="557">
        <f t="shared" si="257"/>
        <v>0.3</v>
      </c>
      <c r="N3839" s="15" t="s">
        <v>40</v>
      </c>
      <c r="O3839" s="15" t="s">
        <v>4066</v>
      </c>
    </row>
    <row r="3840" spans="1:15">
      <c r="A3840" s="70">
        <v>2026</v>
      </c>
      <c r="B3840" s="16" t="s">
        <v>15</v>
      </c>
      <c r="C3840" s="70" t="s">
        <v>4882</v>
      </c>
      <c r="D3840" s="15" t="s">
        <v>1525</v>
      </c>
      <c r="E3840" s="15" t="s">
        <v>4883</v>
      </c>
      <c r="F3840" s="95">
        <v>1</v>
      </c>
      <c r="G3840" s="16" t="s">
        <v>59</v>
      </c>
      <c r="H3840" s="17">
        <v>200000</v>
      </c>
      <c r="I3840" s="17">
        <f t="shared" si="258"/>
        <v>200000</v>
      </c>
      <c r="J3840" s="519">
        <v>185000</v>
      </c>
      <c r="K3840" s="519">
        <f t="shared" si="255"/>
        <v>15000</v>
      </c>
      <c r="L3840" s="519">
        <f t="shared" si="256"/>
        <v>15000</v>
      </c>
      <c r="M3840" s="557">
        <f t="shared" si="257"/>
        <v>7.4999999999999997E-2</v>
      </c>
      <c r="N3840" s="15" t="s">
        <v>40</v>
      </c>
      <c r="O3840" s="15" t="s">
        <v>4066</v>
      </c>
    </row>
    <row r="3841" spans="1:15">
      <c r="A3841" s="70">
        <v>2026</v>
      </c>
      <c r="B3841" s="16" t="s">
        <v>15</v>
      </c>
      <c r="C3841" s="70" t="s">
        <v>4884</v>
      </c>
      <c r="D3841" s="15" t="s">
        <v>3150</v>
      </c>
      <c r="E3841" s="15" t="s">
        <v>4885</v>
      </c>
      <c r="F3841" s="95">
        <v>8</v>
      </c>
      <c r="G3841" s="16" t="s">
        <v>19</v>
      </c>
      <c r="H3841" s="17">
        <v>296000</v>
      </c>
      <c r="I3841" s="17">
        <f t="shared" si="258"/>
        <v>2368000</v>
      </c>
      <c r="J3841" s="519">
        <v>248750</v>
      </c>
      <c r="K3841" s="519">
        <f t="shared" si="255"/>
        <v>47250</v>
      </c>
      <c r="L3841" s="519">
        <f t="shared" si="256"/>
        <v>378000</v>
      </c>
      <c r="M3841" s="557">
        <f t="shared" si="257"/>
        <v>0.15962837837837837</v>
      </c>
      <c r="N3841" s="15" t="s">
        <v>40</v>
      </c>
      <c r="O3841" s="15" t="s">
        <v>4066</v>
      </c>
    </row>
    <row r="3842" spans="1:15">
      <c r="A3842" s="70">
        <v>2026</v>
      </c>
      <c r="B3842" s="16" t="s">
        <v>15</v>
      </c>
      <c r="C3842" s="70" t="s">
        <v>4886</v>
      </c>
      <c r="D3842" s="15" t="s">
        <v>4887</v>
      </c>
      <c r="E3842" s="15" t="s">
        <v>4888</v>
      </c>
      <c r="F3842" s="95">
        <v>1</v>
      </c>
      <c r="G3842" s="16" t="s">
        <v>19</v>
      </c>
      <c r="H3842" s="17">
        <v>182500</v>
      </c>
      <c r="I3842" s="17">
        <f t="shared" si="258"/>
        <v>182500</v>
      </c>
      <c r="J3842" s="519">
        <v>152500</v>
      </c>
      <c r="K3842" s="519">
        <f t="shared" si="255"/>
        <v>30000</v>
      </c>
      <c r="L3842" s="519">
        <f t="shared" si="256"/>
        <v>30000</v>
      </c>
      <c r="M3842" s="557">
        <f t="shared" si="257"/>
        <v>0.16438356164383561</v>
      </c>
      <c r="N3842" s="15" t="s">
        <v>22</v>
      </c>
      <c r="O3842" s="15" t="s">
        <v>4066</v>
      </c>
    </row>
    <row r="3843" spans="1:15">
      <c r="A3843" s="70">
        <v>2026</v>
      </c>
      <c r="B3843" s="16" t="s">
        <v>15</v>
      </c>
      <c r="C3843" s="70" t="s">
        <v>4889</v>
      </c>
      <c r="D3843" s="15" t="s">
        <v>2167</v>
      </c>
      <c r="E3843" s="15" t="s">
        <v>4890</v>
      </c>
      <c r="F3843" s="95">
        <v>15000</v>
      </c>
      <c r="G3843" s="16" t="s">
        <v>37</v>
      </c>
      <c r="H3843" s="17">
        <f>4*38</f>
        <v>152</v>
      </c>
      <c r="I3843" s="17">
        <f t="shared" si="258"/>
        <v>2280000</v>
      </c>
      <c r="J3843" s="519">
        <f>3.5*38</f>
        <v>133</v>
      </c>
      <c r="K3843" s="519">
        <f t="shared" si="255"/>
        <v>19</v>
      </c>
      <c r="L3843" s="519">
        <f t="shared" si="256"/>
        <v>285000</v>
      </c>
      <c r="M3843" s="557">
        <f t="shared" si="257"/>
        <v>0.125</v>
      </c>
      <c r="N3843" s="15" t="s">
        <v>22</v>
      </c>
      <c r="O3843" s="15" t="s">
        <v>39</v>
      </c>
    </row>
    <row r="3844" spans="1:15">
      <c r="A3844" s="70">
        <v>2026</v>
      </c>
      <c r="B3844" s="16" t="s">
        <v>15</v>
      </c>
      <c r="C3844" s="70" t="s">
        <v>4889</v>
      </c>
      <c r="D3844" s="15" t="s">
        <v>2167</v>
      </c>
      <c r="E3844" s="15" t="s">
        <v>4891</v>
      </c>
      <c r="F3844" s="95">
        <v>1300</v>
      </c>
      <c r="G3844" s="16" t="s">
        <v>37</v>
      </c>
      <c r="H3844" s="17">
        <f>3.87*38</f>
        <v>147.06</v>
      </c>
      <c r="I3844" s="17">
        <f t="shared" si="258"/>
        <v>191178</v>
      </c>
      <c r="J3844" s="519">
        <f>3.5*38</f>
        <v>133</v>
      </c>
      <c r="K3844" s="519">
        <f t="shared" si="255"/>
        <v>14.060000000000002</v>
      </c>
      <c r="L3844" s="519">
        <f t="shared" si="256"/>
        <v>18278.000000000004</v>
      </c>
      <c r="M3844" s="557">
        <f t="shared" si="257"/>
        <v>9.5607235142118871E-2</v>
      </c>
      <c r="N3844" s="15" t="s">
        <v>22</v>
      </c>
      <c r="O3844" s="15" t="s">
        <v>39</v>
      </c>
    </row>
    <row r="3845" spans="1:15">
      <c r="A3845" s="70">
        <v>2026</v>
      </c>
      <c r="B3845" s="16" t="s">
        <v>15</v>
      </c>
      <c r="C3845" s="70" t="s">
        <v>4892</v>
      </c>
      <c r="D3845" s="15" t="s">
        <v>708</v>
      </c>
      <c r="E3845" s="15" t="s">
        <v>709</v>
      </c>
      <c r="F3845" s="95">
        <v>3152</v>
      </c>
      <c r="G3845" s="16" t="s">
        <v>37</v>
      </c>
      <c r="H3845" s="17">
        <v>471.8</v>
      </c>
      <c r="I3845" s="17">
        <f t="shared" si="258"/>
        <v>1487113.6</v>
      </c>
      <c r="J3845" s="519">
        <v>453</v>
      </c>
      <c r="K3845" s="519">
        <f t="shared" si="255"/>
        <v>18.800000000000011</v>
      </c>
      <c r="L3845" s="519">
        <f t="shared" ref="L3845" si="262">K3845*F3845</f>
        <v>59257.600000000035</v>
      </c>
      <c r="M3845" s="557">
        <f t="shared" ref="M3845" si="263">K3845/H3845</f>
        <v>3.9847392963119989E-2</v>
      </c>
      <c r="N3845" s="15" t="s">
        <v>40</v>
      </c>
      <c r="O3845" s="15" t="s">
        <v>105</v>
      </c>
    </row>
    <row r="3846" spans="1:15">
      <c r="A3846" s="70">
        <v>2026</v>
      </c>
      <c r="B3846" s="16" t="s">
        <v>15</v>
      </c>
      <c r="C3846" s="70" t="s">
        <v>4893</v>
      </c>
      <c r="D3846" s="15" t="s">
        <v>1804</v>
      </c>
      <c r="E3846" s="15" t="s">
        <v>4894</v>
      </c>
      <c r="F3846" s="95">
        <v>1</v>
      </c>
      <c r="G3846" s="16" t="s">
        <v>285</v>
      </c>
      <c r="H3846" s="17">
        <v>21652.97</v>
      </c>
      <c r="I3846" s="17">
        <f t="shared" si="258"/>
        <v>21652.97</v>
      </c>
      <c r="J3846" s="519">
        <v>20036.5</v>
      </c>
      <c r="K3846" s="519">
        <f t="shared" ref="K3846" si="264">H3846-J3846</f>
        <v>1616.4700000000012</v>
      </c>
      <c r="L3846" s="519">
        <f t="shared" ref="L3846" si="265">K3846*F3846</f>
        <v>1616.4700000000012</v>
      </c>
      <c r="M3846" s="557">
        <f t="shared" ref="M3846" si="266">K3846/H3846</f>
        <v>7.4653500189581432E-2</v>
      </c>
      <c r="N3846" s="15" t="s">
        <v>40</v>
      </c>
      <c r="O3846" s="15" t="s">
        <v>105</v>
      </c>
    </row>
    <row r="3847" spans="1:15">
      <c r="A3847" s="70">
        <v>2026</v>
      </c>
      <c r="B3847" s="16" t="s">
        <v>15</v>
      </c>
      <c r="C3847" s="70" t="s">
        <v>4893</v>
      </c>
      <c r="D3847" s="15" t="s">
        <v>1804</v>
      </c>
      <c r="E3847" s="15" t="s">
        <v>4895</v>
      </c>
      <c r="F3847" s="95">
        <v>1</v>
      </c>
      <c r="G3847" s="16" t="s">
        <v>285</v>
      </c>
      <c r="H3847" s="17">
        <v>3500</v>
      </c>
      <c r="I3847" s="17">
        <f t="shared" ref="I3847:I3848" si="267">H3847*F3847</f>
        <v>3500</v>
      </c>
      <c r="J3847" s="519">
        <v>3000</v>
      </c>
      <c r="K3847" s="519">
        <f t="shared" ref="K3847:K3848" si="268">H3847-J3847</f>
        <v>500</v>
      </c>
      <c r="L3847" s="519">
        <f t="shared" ref="L3847:L3848" si="269">K3847*F3847</f>
        <v>500</v>
      </c>
      <c r="M3847" s="557">
        <f t="shared" ref="M3847:M3848" si="270">K3847/H3847</f>
        <v>0.14285714285714285</v>
      </c>
      <c r="N3847" s="15" t="s">
        <v>22</v>
      </c>
      <c r="O3847" s="15" t="s">
        <v>105</v>
      </c>
    </row>
    <row r="3848" spans="1:15">
      <c r="A3848" s="70">
        <v>2026</v>
      </c>
      <c r="B3848" s="16" t="s">
        <v>15</v>
      </c>
      <c r="C3848" s="70" t="s">
        <v>4896</v>
      </c>
      <c r="D3848" s="15" t="s">
        <v>4329</v>
      </c>
      <c r="E3848" s="15" t="s">
        <v>4330</v>
      </c>
      <c r="F3848" s="95">
        <v>1</v>
      </c>
      <c r="G3848" s="16" t="s">
        <v>285</v>
      </c>
      <c r="H3848" s="17">
        <v>218661.27</v>
      </c>
      <c r="I3848" s="17">
        <f t="shared" si="267"/>
        <v>218661.27</v>
      </c>
      <c r="J3848" s="519">
        <v>202435.15</v>
      </c>
      <c r="K3848" s="519">
        <f t="shared" si="268"/>
        <v>16226.119999999995</v>
      </c>
      <c r="L3848" s="519">
        <f t="shared" si="269"/>
        <v>16226.119999999995</v>
      </c>
      <c r="M3848" s="557">
        <f t="shared" si="270"/>
        <v>7.4206648484205717E-2</v>
      </c>
      <c r="N3848" s="15" t="s">
        <v>22</v>
      </c>
      <c r="O3848" s="15" t="s">
        <v>105</v>
      </c>
    </row>
    <row r="3849" spans="1:15">
      <c r="A3849" s="70">
        <v>2026</v>
      </c>
      <c r="B3849" s="16" t="s">
        <v>178</v>
      </c>
      <c r="C3849" s="70" t="s">
        <v>4897</v>
      </c>
      <c r="D3849" s="15" t="s">
        <v>329</v>
      </c>
      <c r="E3849" s="15" t="s">
        <v>4898</v>
      </c>
      <c r="F3849" s="95">
        <v>200</v>
      </c>
      <c r="G3849" s="16" t="s">
        <v>1368</v>
      </c>
      <c r="H3849" s="17">
        <v>1295</v>
      </c>
      <c r="I3849" s="17">
        <f t="shared" si="258"/>
        <v>259000</v>
      </c>
      <c r="J3849" s="519">
        <v>1235</v>
      </c>
      <c r="K3849" s="519">
        <f t="shared" ref="K3849:K3912" si="271">H3849-J3849</f>
        <v>60</v>
      </c>
      <c r="L3849" s="519">
        <f t="shared" ref="L3849:L3912" si="272">K3849*F3849</f>
        <v>12000</v>
      </c>
      <c r="M3849" s="557">
        <f t="shared" ref="M3849:M3912" si="273">K3849/H3849</f>
        <v>4.633204633204633E-2</v>
      </c>
      <c r="N3849" s="15" t="s">
        <v>40</v>
      </c>
      <c r="O3849" s="15" t="s">
        <v>39</v>
      </c>
    </row>
    <row r="3850" spans="1:15">
      <c r="A3850" s="70">
        <v>2026</v>
      </c>
      <c r="B3850" s="16" t="s">
        <v>178</v>
      </c>
      <c r="C3850" s="70" t="s">
        <v>4899</v>
      </c>
      <c r="D3850" s="15" t="s">
        <v>329</v>
      </c>
      <c r="E3850" s="15" t="s">
        <v>4900</v>
      </c>
      <c r="F3850" s="95">
        <v>30</v>
      </c>
      <c r="G3850" s="16" t="s">
        <v>1368</v>
      </c>
      <c r="H3850" s="17">
        <v>150</v>
      </c>
      <c r="I3850" s="17">
        <f t="shared" si="258"/>
        <v>4500</v>
      </c>
      <c r="J3850" s="519">
        <v>140</v>
      </c>
      <c r="K3850" s="519">
        <f t="shared" si="271"/>
        <v>10</v>
      </c>
      <c r="L3850" s="519">
        <f t="shared" si="272"/>
        <v>300</v>
      </c>
      <c r="M3850" s="557">
        <f t="shared" si="273"/>
        <v>6.6666666666666666E-2</v>
      </c>
      <c r="N3850" s="15" t="s">
        <v>40</v>
      </c>
      <c r="O3850" s="15" t="s">
        <v>39</v>
      </c>
    </row>
    <row r="3851" spans="1:15">
      <c r="A3851" s="70">
        <v>2026</v>
      </c>
      <c r="B3851" s="16" t="s">
        <v>178</v>
      </c>
      <c r="C3851" s="70" t="s">
        <v>4899</v>
      </c>
      <c r="D3851" s="15" t="s">
        <v>329</v>
      </c>
      <c r="E3851" s="15" t="s">
        <v>4898</v>
      </c>
      <c r="F3851" s="95">
        <v>160</v>
      </c>
      <c r="G3851" s="16" t="s">
        <v>1368</v>
      </c>
      <c r="H3851" s="17">
        <v>1295</v>
      </c>
      <c r="I3851" s="17">
        <f t="shared" ref="I3851:I3914" si="274">H3851*F3851</f>
        <v>207200</v>
      </c>
      <c r="J3851" s="519">
        <v>1200</v>
      </c>
      <c r="K3851" s="519">
        <f t="shared" si="271"/>
        <v>95</v>
      </c>
      <c r="L3851" s="519">
        <f t="shared" si="272"/>
        <v>15200</v>
      </c>
      <c r="M3851" s="557">
        <f t="shared" si="273"/>
        <v>7.3359073359073365E-2</v>
      </c>
      <c r="N3851" s="15" t="s">
        <v>40</v>
      </c>
      <c r="O3851" s="15" t="s">
        <v>39</v>
      </c>
    </row>
    <row r="3852" spans="1:15">
      <c r="A3852" s="70">
        <v>2026</v>
      </c>
      <c r="B3852" s="16" t="s">
        <v>178</v>
      </c>
      <c r="C3852" s="70" t="s">
        <v>4899</v>
      </c>
      <c r="D3852" s="15" t="s">
        <v>329</v>
      </c>
      <c r="E3852" s="15" t="s">
        <v>4901</v>
      </c>
      <c r="F3852" s="95">
        <v>100</v>
      </c>
      <c r="G3852" s="16" t="s">
        <v>1368</v>
      </c>
      <c r="H3852" s="17">
        <v>931</v>
      </c>
      <c r="I3852" s="17">
        <f t="shared" si="274"/>
        <v>93100</v>
      </c>
      <c r="J3852" s="519">
        <v>695</v>
      </c>
      <c r="K3852" s="519">
        <f t="shared" si="271"/>
        <v>236</v>
      </c>
      <c r="L3852" s="519">
        <f t="shared" si="272"/>
        <v>23600</v>
      </c>
      <c r="M3852" s="557">
        <f t="shared" si="273"/>
        <v>0.25349087003222343</v>
      </c>
      <c r="N3852" s="15" t="s">
        <v>40</v>
      </c>
      <c r="O3852" s="15" t="s">
        <v>39</v>
      </c>
    </row>
    <row r="3853" spans="1:15">
      <c r="A3853" s="70">
        <v>2026</v>
      </c>
      <c r="B3853" s="16" t="s">
        <v>178</v>
      </c>
      <c r="C3853" s="70" t="s">
        <v>4899</v>
      </c>
      <c r="D3853" s="15" t="s">
        <v>329</v>
      </c>
      <c r="E3853" s="15" t="s">
        <v>4902</v>
      </c>
      <c r="F3853" s="95">
        <v>10</v>
      </c>
      <c r="G3853" s="16" t="s">
        <v>2541</v>
      </c>
      <c r="H3853" s="17">
        <v>11200</v>
      </c>
      <c r="I3853" s="17">
        <f t="shared" si="274"/>
        <v>112000</v>
      </c>
      <c r="J3853" s="519">
        <v>10900</v>
      </c>
      <c r="K3853" s="519">
        <f t="shared" si="271"/>
        <v>300</v>
      </c>
      <c r="L3853" s="519">
        <f t="shared" si="272"/>
        <v>3000</v>
      </c>
      <c r="M3853" s="557">
        <f t="shared" si="273"/>
        <v>2.6785714285714284E-2</v>
      </c>
      <c r="N3853" s="15" t="s">
        <v>40</v>
      </c>
      <c r="O3853" s="15" t="s">
        <v>39</v>
      </c>
    </row>
    <row r="3854" spans="1:15">
      <c r="A3854" s="70">
        <v>2026</v>
      </c>
      <c r="B3854" s="16" t="s">
        <v>178</v>
      </c>
      <c r="C3854" s="70" t="s">
        <v>4903</v>
      </c>
      <c r="D3854" s="15" t="s">
        <v>200</v>
      </c>
      <c r="E3854" s="15" t="s">
        <v>4904</v>
      </c>
      <c r="F3854" s="95">
        <v>1</v>
      </c>
      <c r="G3854" s="16" t="s">
        <v>302</v>
      </c>
      <c r="H3854" s="17">
        <v>16000</v>
      </c>
      <c r="I3854" s="17">
        <f t="shared" si="274"/>
        <v>16000</v>
      </c>
      <c r="J3854" s="519">
        <v>14000</v>
      </c>
      <c r="K3854" s="519">
        <f t="shared" si="271"/>
        <v>2000</v>
      </c>
      <c r="L3854" s="519">
        <f t="shared" si="272"/>
        <v>2000</v>
      </c>
      <c r="M3854" s="557">
        <f t="shared" si="273"/>
        <v>0.125</v>
      </c>
      <c r="N3854" s="15" t="s">
        <v>40</v>
      </c>
      <c r="O3854" s="15" t="s">
        <v>39</v>
      </c>
    </row>
    <row r="3855" spans="1:15">
      <c r="A3855" s="70">
        <v>2026</v>
      </c>
      <c r="B3855" s="16" t="s">
        <v>178</v>
      </c>
      <c r="C3855" s="70" t="s">
        <v>4905</v>
      </c>
      <c r="D3855" s="15" t="s">
        <v>590</v>
      </c>
      <c r="E3855" s="15" t="s">
        <v>4906</v>
      </c>
      <c r="F3855" s="95">
        <v>1</v>
      </c>
      <c r="G3855" s="16" t="s">
        <v>302</v>
      </c>
      <c r="H3855" s="17">
        <v>67500</v>
      </c>
      <c r="I3855" s="17">
        <f t="shared" si="274"/>
        <v>67500</v>
      </c>
      <c r="J3855" s="519">
        <v>61000</v>
      </c>
      <c r="K3855" s="519">
        <f t="shared" si="271"/>
        <v>6500</v>
      </c>
      <c r="L3855" s="519">
        <f t="shared" si="272"/>
        <v>6500</v>
      </c>
      <c r="M3855" s="557">
        <f t="shared" si="273"/>
        <v>9.6296296296296297E-2</v>
      </c>
      <c r="N3855" s="15" t="s">
        <v>22</v>
      </c>
      <c r="O3855" s="15" t="s">
        <v>39</v>
      </c>
    </row>
    <row r="3856" spans="1:15">
      <c r="A3856" s="70">
        <v>2026</v>
      </c>
      <c r="B3856" s="16" t="s">
        <v>178</v>
      </c>
      <c r="C3856" s="70" t="s">
        <v>4905</v>
      </c>
      <c r="D3856" s="15" t="s">
        <v>590</v>
      </c>
      <c r="E3856" s="15" t="s">
        <v>4782</v>
      </c>
      <c r="F3856" s="95">
        <v>3</v>
      </c>
      <c r="G3856" s="16" t="s">
        <v>302</v>
      </c>
      <c r="H3856" s="17">
        <v>48000</v>
      </c>
      <c r="I3856" s="17">
        <f t="shared" si="274"/>
        <v>144000</v>
      </c>
      <c r="J3856" s="519">
        <v>46600</v>
      </c>
      <c r="K3856" s="519">
        <f t="shared" si="271"/>
        <v>1400</v>
      </c>
      <c r="L3856" s="519">
        <f t="shared" si="272"/>
        <v>4200</v>
      </c>
      <c r="M3856" s="557">
        <f t="shared" si="273"/>
        <v>2.9166666666666667E-2</v>
      </c>
      <c r="N3856" s="15" t="s">
        <v>22</v>
      </c>
      <c r="O3856" s="15" t="s">
        <v>39</v>
      </c>
    </row>
    <row r="3857" spans="1:15">
      <c r="A3857" s="70">
        <v>2026</v>
      </c>
      <c r="B3857" s="16" t="s">
        <v>178</v>
      </c>
      <c r="C3857" s="70" t="s">
        <v>4905</v>
      </c>
      <c r="D3857" s="15" t="s">
        <v>590</v>
      </c>
      <c r="E3857" s="15" t="s">
        <v>4907</v>
      </c>
      <c r="F3857" s="95">
        <v>3</v>
      </c>
      <c r="G3857" s="16" t="s">
        <v>302</v>
      </c>
      <c r="H3857" s="17">
        <v>43000</v>
      </c>
      <c r="I3857" s="17">
        <f t="shared" si="274"/>
        <v>129000</v>
      </c>
      <c r="J3857" s="519">
        <v>41800</v>
      </c>
      <c r="K3857" s="519">
        <f t="shared" si="271"/>
        <v>1200</v>
      </c>
      <c r="L3857" s="519">
        <f t="shared" si="272"/>
        <v>3600</v>
      </c>
      <c r="M3857" s="557">
        <f t="shared" si="273"/>
        <v>2.7906976744186046E-2</v>
      </c>
      <c r="N3857" s="15" t="s">
        <v>22</v>
      </c>
      <c r="O3857" s="15" t="s">
        <v>39</v>
      </c>
    </row>
    <row r="3858" spans="1:15">
      <c r="A3858" s="70">
        <v>2026</v>
      </c>
      <c r="B3858" s="16" t="s">
        <v>178</v>
      </c>
      <c r="C3858" s="70" t="s">
        <v>4908</v>
      </c>
      <c r="D3858" s="15" t="s">
        <v>329</v>
      </c>
      <c r="E3858" s="15" t="s">
        <v>379</v>
      </c>
      <c r="F3858" s="95">
        <v>50</v>
      </c>
      <c r="G3858" s="16" t="s">
        <v>331</v>
      </c>
      <c r="H3858" s="17">
        <v>4250</v>
      </c>
      <c r="I3858" s="17">
        <f t="shared" si="274"/>
        <v>212500</v>
      </c>
      <c r="J3858" s="519">
        <v>4150</v>
      </c>
      <c r="K3858" s="519">
        <f t="shared" si="271"/>
        <v>100</v>
      </c>
      <c r="L3858" s="519">
        <f t="shared" si="272"/>
        <v>5000</v>
      </c>
      <c r="M3858" s="557">
        <f t="shared" si="273"/>
        <v>2.3529411764705882E-2</v>
      </c>
      <c r="N3858" s="15" t="s">
        <v>22</v>
      </c>
      <c r="O3858" s="15" t="s">
        <v>39</v>
      </c>
    </row>
    <row r="3859" spans="1:15">
      <c r="A3859" s="70">
        <v>2026</v>
      </c>
      <c r="B3859" s="16" t="s">
        <v>178</v>
      </c>
      <c r="C3859" s="70" t="s">
        <v>4909</v>
      </c>
      <c r="D3859" s="15" t="s">
        <v>270</v>
      </c>
      <c r="E3859" s="15" t="s">
        <v>755</v>
      </c>
      <c r="F3859" s="95">
        <v>1961.8</v>
      </c>
      <c r="G3859" s="16" t="s">
        <v>37</v>
      </c>
      <c r="H3859" s="17">
        <v>480</v>
      </c>
      <c r="I3859" s="17">
        <f t="shared" si="274"/>
        <v>941664</v>
      </c>
      <c r="J3859" s="519">
        <v>474</v>
      </c>
      <c r="K3859" s="519">
        <f t="shared" si="271"/>
        <v>6</v>
      </c>
      <c r="L3859" s="519">
        <f t="shared" si="272"/>
        <v>11770.8</v>
      </c>
      <c r="M3859" s="557">
        <f t="shared" si="273"/>
        <v>1.2500000000000001E-2</v>
      </c>
      <c r="N3859" s="15" t="s">
        <v>22</v>
      </c>
      <c r="O3859" s="15" t="s">
        <v>105</v>
      </c>
    </row>
    <row r="3860" spans="1:15">
      <c r="A3860" s="70">
        <v>2026</v>
      </c>
      <c r="B3860" s="16" t="s">
        <v>178</v>
      </c>
      <c r="C3860" s="70" t="s">
        <v>4910</v>
      </c>
      <c r="D3860" s="15" t="s">
        <v>270</v>
      </c>
      <c r="E3860" s="15" t="s">
        <v>4247</v>
      </c>
      <c r="F3860" s="95">
        <v>1</v>
      </c>
      <c r="G3860" s="16" t="s">
        <v>302</v>
      </c>
      <c r="H3860" s="17">
        <v>125856</v>
      </c>
      <c r="I3860" s="17">
        <f t="shared" si="274"/>
        <v>125856</v>
      </c>
      <c r="J3860" s="519">
        <v>123344</v>
      </c>
      <c r="K3860" s="519">
        <f t="shared" si="271"/>
        <v>2512</v>
      </c>
      <c r="L3860" s="519">
        <f t="shared" si="272"/>
        <v>2512</v>
      </c>
      <c r="M3860" s="557">
        <f t="shared" si="273"/>
        <v>1.9959318586320874E-2</v>
      </c>
      <c r="N3860" s="15" t="s">
        <v>40</v>
      </c>
      <c r="O3860" s="15" t="s">
        <v>105</v>
      </c>
    </row>
    <row r="3861" spans="1:15">
      <c r="A3861" s="70">
        <v>2026</v>
      </c>
      <c r="B3861" s="16" t="s">
        <v>178</v>
      </c>
      <c r="C3861" s="70" t="s">
        <v>4911</v>
      </c>
      <c r="D3861" s="15" t="s">
        <v>4398</v>
      </c>
      <c r="E3861" s="15" t="s">
        <v>4912</v>
      </c>
      <c r="F3861" s="95">
        <v>7</v>
      </c>
      <c r="G3861" s="16" t="s">
        <v>302</v>
      </c>
      <c r="H3861" s="17">
        <v>17000</v>
      </c>
      <c r="I3861" s="17">
        <f t="shared" si="274"/>
        <v>119000</v>
      </c>
      <c r="J3861" s="519">
        <v>16500</v>
      </c>
      <c r="K3861" s="519">
        <f t="shared" si="271"/>
        <v>500</v>
      </c>
      <c r="L3861" s="519">
        <f t="shared" si="272"/>
        <v>3500</v>
      </c>
      <c r="M3861" s="557">
        <f t="shared" si="273"/>
        <v>2.9411764705882353E-2</v>
      </c>
      <c r="N3861" s="15" t="s">
        <v>40</v>
      </c>
      <c r="O3861" s="15" t="s">
        <v>105</v>
      </c>
    </row>
    <row r="3862" spans="1:15">
      <c r="A3862" s="70">
        <v>2026</v>
      </c>
      <c r="B3862" s="16" t="s">
        <v>178</v>
      </c>
      <c r="C3862" s="70" t="s">
        <v>4913</v>
      </c>
      <c r="D3862" s="15" t="s">
        <v>1042</v>
      </c>
      <c r="E3862" s="15" t="s">
        <v>711</v>
      </c>
      <c r="F3862" s="95">
        <v>740.86</v>
      </c>
      <c r="G3862" s="16" t="s">
        <v>37</v>
      </c>
      <c r="H3862" s="17">
        <v>459</v>
      </c>
      <c r="I3862" s="17">
        <f t="shared" si="274"/>
        <v>340054.74</v>
      </c>
      <c r="J3862" s="519">
        <v>439.5</v>
      </c>
      <c r="K3862" s="519">
        <f t="shared" si="271"/>
        <v>19.5</v>
      </c>
      <c r="L3862" s="519">
        <f t="shared" si="272"/>
        <v>14446.77</v>
      </c>
      <c r="M3862" s="557">
        <f t="shared" si="273"/>
        <v>4.2483660130718956E-2</v>
      </c>
      <c r="N3862" s="15" t="s">
        <v>22</v>
      </c>
      <c r="O3862" s="15" t="s">
        <v>105</v>
      </c>
    </row>
    <row r="3863" spans="1:15">
      <c r="A3863" s="70">
        <v>2026</v>
      </c>
      <c r="B3863" s="16" t="s">
        <v>178</v>
      </c>
      <c r="C3863" s="70" t="s">
        <v>4914</v>
      </c>
      <c r="D3863" s="15" t="s">
        <v>192</v>
      </c>
      <c r="E3863" s="15" t="s">
        <v>2502</v>
      </c>
      <c r="F3863" s="95">
        <v>2000</v>
      </c>
      <c r="G3863" s="16" t="s">
        <v>4915</v>
      </c>
      <c r="H3863" s="17">
        <v>184.26</v>
      </c>
      <c r="I3863" s="17">
        <f t="shared" si="274"/>
        <v>368520</v>
      </c>
      <c r="J3863" s="519">
        <v>147.5</v>
      </c>
      <c r="K3863" s="519">
        <f t="shared" si="271"/>
        <v>36.759999999999991</v>
      </c>
      <c r="L3863" s="519">
        <f t="shared" si="272"/>
        <v>73519.999999999985</v>
      </c>
      <c r="M3863" s="557">
        <f t="shared" si="273"/>
        <v>0.19950070552480187</v>
      </c>
      <c r="N3863" s="15" t="s">
        <v>22</v>
      </c>
      <c r="O3863" s="15" t="s">
        <v>105</v>
      </c>
    </row>
    <row r="3864" spans="1:15">
      <c r="A3864" s="70">
        <v>2026</v>
      </c>
      <c r="B3864" s="16" t="s">
        <v>178</v>
      </c>
      <c r="C3864" s="70" t="s">
        <v>4916</v>
      </c>
      <c r="D3864" s="15" t="s">
        <v>44</v>
      </c>
      <c r="E3864" s="15" t="s">
        <v>210</v>
      </c>
      <c r="F3864" s="95">
        <v>440.32</v>
      </c>
      <c r="G3864" s="16" t="s">
        <v>37</v>
      </c>
      <c r="H3864" s="17">
        <v>471.99</v>
      </c>
      <c r="I3864" s="17">
        <f t="shared" si="274"/>
        <v>207826.63680000001</v>
      </c>
      <c r="J3864" s="519">
        <v>465.5</v>
      </c>
      <c r="K3864" s="519">
        <f t="shared" si="271"/>
        <v>6.4900000000000091</v>
      </c>
      <c r="L3864" s="519">
        <f t="shared" si="272"/>
        <v>2857.6768000000038</v>
      </c>
      <c r="M3864" s="557">
        <f t="shared" si="273"/>
        <v>1.3750291319731369E-2</v>
      </c>
      <c r="N3864" s="15" t="s">
        <v>22</v>
      </c>
      <c r="O3864" s="15" t="s">
        <v>105</v>
      </c>
    </row>
    <row r="3865" spans="1:15">
      <c r="A3865" s="70">
        <v>2026</v>
      </c>
      <c r="B3865" s="16" t="s">
        <v>178</v>
      </c>
      <c r="C3865" s="70" t="s">
        <v>4917</v>
      </c>
      <c r="D3865" s="15" t="s">
        <v>270</v>
      </c>
      <c r="E3865" s="15" t="s">
        <v>962</v>
      </c>
      <c r="F3865" s="95">
        <v>404.3</v>
      </c>
      <c r="G3865" s="16" t="s">
        <v>37</v>
      </c>
      <c r="H3865" s="17">
        <v>480</v>
      </c>
      <c r="I3865" s="17">
        <f t="shared" si="274"/>
        <v>194064</v>
      </c>
      <c r="J3865" s="519">
        <v>474</v>
      </c>
      <c r="K3865" s="519">
        <f t="shared" si="271"/>
        <v>6</v>
      </c>
      <c r="L3865" s="519">
        <f t="shared" si="272"/>
        <v>2425.8000000000002</v>
      </c>
      <c r="M3865" s="557">
        <f t="shared" si="273"/>
        <v>1.2500000000000001E-2</v>
      </c>
      <c r="N3865" s="15" t="s">
        <v>22</v>
      </c>
      <c r="O3865" s="15" t="s">
        <v>105</v>
      </c>
    </row>
    <row r="3866" spans="1:15">
      <c r="A3866" s="70">
        <v>2026</v>
      </c>
      <c r="B3866" s="16" t="s">
        <v>178</v>
      </c>
      <c r="C3866" s="70" t="s">
        <v>4918</v>
      </c>
      <c r="D3866" s="15" t="s">
        <v>4398</v>
      </c>
      <c r="E3866" s="15" t="s">
        <v>4919</v>
      </c>
      <c r="F3866" s="95">
        <v>1</v>
      </c>
      <c r="G3866" s="16" t="s">
        <v>285</v>
      </c>
      <c r="H3866" s="17">
        <v>37200</v>
      </c>
      <c r="I3866" s="17">
        <f t="shared" si="274"/>
        <v>37200</v>
      </c>
      <c r="J3866" s="519">
        <v>131.75</v>
      </c>
      <c r="K3866" s="519">
        <f t="shared" si="271"/>
        <v>37068.25</v>
      </c>
      <c r="L3866" s="519">
        <f t="shared" si="272"/>
        <v>37068.25</v>
      </c>
      <c r="M3866" s="557">
        <f t="shared" si="273"/>
        <v>0.99645833333333333</v>
      </c>
      <c r="N3866" s="15" t="s">
        <v>30</v>
      </c>
      <c r="O3866" s="15" t="s">
        <v>105</v>
      </c>
    </row>
    <row r="3867" spans="1:15">
      <c r="A3867" s="70">
        <v>2026</v>
      </c>
      <c r="B3867" s="16" t="s">
        <v>178</v>
      </c>
      <c r="C3867" s="70" t="s">
        <v>4920</v>
      </c>
      <c r="D3867" s="15" t="s">
        <v>229</v>
      </c>
      <c r="E3867" s="15" t="s">
        <v>233</v>
      </c>
      <c r="F3867" s="95">
        <v>9000</v>
      </c>
      <c r="G3867" s="16" t="s">
        <v>37</v>
      </c>
      <c r="H3867" s="17">
        <v>23.5</v>
      </c>
      <c r="I3867" s="17">
        <f t="shared" si="274"/>
        <v>211500</v>
      </c>
      <c r="J3867" s="519">
        <v>23.2</v>
      </c>
      <c r="K3867" s="519">
        <f t="shared" si="271"/>
        <v>0.30000000000000071</v>
      </c>
      <c r="L3867" s="519">
        <f t="shared" si="272"/>
        <v>2700.0000000000064</v>
      </c>
      <c r="M3867" s="557">
        <f t="shared" si="273"/>
        <v>1.2765957446808541E-2</v>
      </c>
      <c r="N3867" s="15" t="s">
        <v>22</v>
      </c>
      <c r="O3867" s="15" t="s">
        <v>39</v>
      </c>
    </row>
    <row r="3868" spans="1:15">
      <c r="A3868" s="70">
        <v>2026</v>
      </c>
      <c r="B3868" s="16" t="s">
        <v>178</v>
      </c>
      <c r="C3868" s="70" t="s">
        <v>4921</v>
      </c>
      <c r="D3868" s="15" t="s">
        <v>590</v>
      </c>
      <c r="E3868" s="15" t="s">
        <v>4922</v>
      </c>
      <c r="F3868" s="95">
        <v>6</v>
      </c>
      <c r="G3868" s="16" t="s">
        <v>302</v>
      </c>
      <c r="H3868" s="17">
        <v>27000</v>
      </c>
      <c r="I3868" s="17">
        <f t="shared" si="274"/>
        <v>162000</v>
      </c>
      <c r="J3868" s="519">
        <v>25700</v>
      </c>
      <c r="K3868" s="519">
        <f t="shared" si="271"/>
        <v>1300</v>
      </c>
      <c r="L3868" s="519">
        <f t="shared" si="272"/>
        <v>7800</v>
      </c>
      <c r="M3868" s="557">
        <f t="shared" si="273"/>
        <v>4.8148148148148148E-2</v>
      </c>
      <c r="N3868" s="15" t="s">
        <v>22</v>
      </c>
      <c r="O3868" s="15" t="s">
        <v>39</v>
      </c>
    </row>
    <row r="3869" spans="1:15">
      <c r="A3869" s="70">
        <v>2026</v>
      </c>
      <c r="B3869" s="16" t="s">
        <v>178</v>
      </c>
      <c r="C3869" s="70" t="s">
        <v>4921</v>
      </c>
      <c r="D3869" s="15" t="s">
        <v>590</v>
      </c>
      <c r="E3869" s="15" t="s">
        <v>4923</v>
      </c>
      <c r="F3869" s="95">
        <v>1</v>
      </c>
      <c r="G3869" s="16" t="s">
        <v>302</v>
      </c>
      <c r="H3869" s="17">
        <v>34000</v>
      </c>
      <c r="I3869" s="17">
        <f t="shared" si="274"/>
        <v>34000</v>
      </c>
      <c r="J3869" s="519">
        <v>32300</v>
      </c>
      <c r="K3869" s="519">
        <f t="shared" si="271"/>
        <v>1700</v>
      </c>
      <c r="L3869" s="519">
        <f t="shared" si="272"/>
        <v>1700</v>
      </c>
      <c r="M3869" s="557">
        <f t="shared" si="273"/>
        <v>0.05</v>
      </c>
      <c r="N3869" s="15" t="s">
        <v>22</v>
      </c>
      <c r="O3869" s="15" t="s">
        <v>39</v>
      </c>
    </row>
    <row r="3870" spans="1:15">
      <c r="A3870" s="70">
        <v>2026</v>
      </c>
      <c r="B3870" s="16" t="s">
        <v>178</v>
      </c>
      <c r="C3870" s="70" t="s">
        <v>4924</v>
      </c>
      <c r="D3870" s="15" t="s">
        <v>1948</v>
      </c>
      <c r="E3870" s="15" t="s">
        <v>1420</v>
      </c>
      <c r="F3870" s="95">
        <v>20000</v>
      </c>
      <c r="G3870" s="16" t="s">
        <v>19</v>
      </c>
      <c r="H3870" s="17">
        <v>1.31</v>
      </c>
      <c r="I3870" s="17">
        <f t="shared" si="274"/>
        <v>26200</v>
      </c>
      <c r="J3870" s="519">
        <v>1.19</v>
      </c>
      <c r="K3870" s="519">
        <f t="shared" si="271"/>
        <v>0.12000000000000011</v>
      </c>
      <c r="L3870" s="519">
        <f t="shared" si="272"/>
        <v>2400.0000000000023</v>
      </c>
      <c r="M3870" s="557">
        <f t="shared" si="273"/>
        <v>9.1603053435114587E-2</v>
      </c>
      <c r="N3870" s="15" t="s">
        <v>40</v>
      </c>
      <c r="O3870" s="15" t="s">
        <v>4066</v>
      </c>
    </row>
    <row r="3871" spans="1:15">
      <c r="A3871" s="70">
        <v>2026</v>
      </c>
      <c r="B3871" s="16" t="s">
        <v>178</v>
      </c>
      <c r="C3871" s="70" t="s">
        <v>4925</v>
      </c>
      <c r="D3871" s="15" t="s">
        <v>673</v>
      </c>
      <c r="E3871" s="15" t="s">
        <v>1414</v>
      </c>
      <c r="F3871" s="95">
        <v>80</v>
      </c>
      <c r="G3871" s="16" t="s">
        <v>1415</v>
      </c>
      <c r="H3871" s="17">
        <v>1350</v>
      </c>
      <c r="I3871" s="17">
        <f t="shared" si="274"/>
        <v>108000</v>
      </c>
      <c r="J3871" s="519">
        <v>1220</v>
      </c>
      <c r="K3871" s="519">
        <f t="shared" si="271"/>
        <v>130</v>
      </c>
      <c r="L3871" s="519">
        <f t="shared" si="272"/>
        <v>10400</v>
      </c>
      <c r="M3871" s="557">
        <f t="shared" si="273"/>
        <v>9.6296296296296297E-2</v>
      </c>
      <c r="N3871" s="15" t="s">
        <v>40</v>
      </c>
      <c r="O3871" s="15" t="s">
        <v>4066</v>
      </c>
    </row>
    <row r="3872" spans="1:15">
      <c r="A3872" s="70">
        <v>2026</v>
      </c>
      <c r="B3872" s="16" t="s">
        <v>178</v>
      </c>
      <c r="C3872" s="70" t="s">
        <v>4926</v>
      </c>
      <c r="D3872" s="15" t="s">
        <v>4179</v>
      </c>
      <c r="E3872" s="15" t="s">
        <v>4927</v>
      </c>
      <c r="F3872" s="95">
        <v>1</v>
      </c>
      <c r="G3872" s="16" t="s">
        <v>285</v>
      </c>
      <c r="H3872" s="17">
        <v>848724.8</v>
      </c>
      <c r="I3872" s="17">
        <f t="shared" si="274"/>
        <v>848724.8</v>
      </c>
      <c r="J3872" s="519">
        <v>840000</v>
      </c>
      <c r="K3872" s="519">
        <f t="shared" si="271"/>
        <v>8724.8000000000466</v>
      </c>
      <c r="L3872" s="519">
        <f t="shared" si="272"/>
        <v>8724.8000000000466</v>
      </c>
      <c r="M3872" s="557">
        <f t="shared" si="273"/>
        <v>1.027989284630312E-2</v>
      </c>
      <c r="N3872" s="15" t="s">
        <v>40</v>
      </c>
      <c r="O3872" s="15" t="s">
        <v>4066</v>
      </c>
    </row>
    <row r="3873" spans="1:15">
      <c r="A3873" s="70">
        <v>2026</v>
      </c>
      <c r="B3873" s="16" t="s">
        <v>178</v>
      </c>
      <c r="C3873" s="70" t="s">
        <v>4928</v>
      </c>
      <c r="D3873" s="15" t="s">
        <v>673</v>
      </c>
      <c r="E3873" s="15" t="s">
        <v>1414</v>
      </c>
      <c r="F3873" s="95">
        <v>100</v>
      </c>
      <c r="G3873" s="16" t="s">
        <v>1415</v>
      </c>
      <c r="H3873" s="17">
        <v>1350</v>
      </c>
      <c r="I3873" s="17">
        <f t="shared" si="274"/>
        <v>135000</v>
      </c>
      <c r="J3873" s="519">
        <v>1220</v>
      </c>
      <c r="K3873" s="519">
        <f t="shared" si="271"/>
        <v>130</v>
      </c>
      <c r="L3873" s="519">
        <f t="shared" si="272"/>
        <v>13000</v>
      </c>
      <c r="M3873" s="557">
        <f t="shared" si="273"/>
        <v>9.6296296296296297E-2</v>
      </c>
      <c r="N3873" s="15" t="s">
        <v>40</v>
      </c>
      <c r="O3873" s="15" t="s">
        <v>4066</v>
      </c>
    </row>
    <row r="3874" spans="1:15">
      <c r="A3874" s="70">
        <v>2026</v>
      </c>
      <c r="B3874" s="16" t="s">
        <v>178</v>
      </c>
      <c r="C3874" s="70" t="s">
        <v>4929</v>
      </c>
      <c r="D3874" s="15" t="s">
        <v>2294</v>
      </c>
      <c r="E3874" s="15" t="s">
        <v>4930</v>
      </c>
      <c r="F3874" s="95">
        <v>1</v>
      </c>
      <c r="G3874" s="16" t="s">
        <v>285</v>
      </c>
      <c r="H3874" s="17">
        <v>217888</v>
      </c>
      <c r="I3874" s="17">
        <f t="shared" si="274"/>
        <v>217888</v>
      </c>
      <c r="J3874" s="519">
        <v>207000</v>
      </c>
      <c r="K3874" s="519">
        <f t="shared" si="271"/>
        <v>10888</v>
      </c>
      <c r="L3874" s="519">
        <f t="shared" si="272"/>
        <v>10888</v>
      </c>
      <c r="M3874" s="557">
        <f t="shared" si="273"/>
        <v>4.9970627111176384E-2</v>
      </c>
      <c r="N3874" s="15" t="s">
        <v>40</v>
      </c>
      <c r="O3874" s="15" t="s">
        <v>4066</v>
      </c>
    </row>
    <row r="3875" spans="1:15">
      <c r="A3875" s="70">
        <v>2026</v>
      </c>
      <c r="B3875" s="16" t="s">
        <v>178</v>
      </c>
      <c r="C3875" s="70" t="s">
        <v>4931</v>
      </c>
      <c r="D3875" s="15" t="s">
        <v>4932</v>
      </c>
      <c r="E3875" s="15" t="s">
        <v>4933</v>
      </c>
      <c r="F3875" s="95">
        <v>8</v>
      </c>
      <c r="G3875" s="16" t="s">
        <v>19</v>
      </c>
      <c r="H3875" s="17">
        <v>1700</v>
      </c>
      <c r="I3875" s="17">
        <f t="shared" si="274"/>
        <v>13600</v>
      </c>
      <c r="J3875" s="519">
        <v>1445</v>
      </c>
      <c r="K3875" s="519">
        <f t="shared" si="271"/>
        <v>255</v>
      </c>
      <c r="L3875" s="519">
        <f t="shared" si="272"/>
        <v>2040</v>
      </c>
      <c r="M3875" s="557">
        <f t="shared" si="273"/>
        <v>0.15</v>
      </c>
      <c r="N3875" s="15" t="s">
        <v>22</v>
      </c>
      <c r="O3875" s="15" t="s">
        <v>4066</v>
      </c>
    </row>
    <row r="3876" spans="1:15">
      <c r="A3876" s="70">
        <v>2026</v>
      </c>
      <c r="B3876" s="16" t="s">
        <v>178</v>
      </c>
      <c r="C3876" s="70" t="s">
        <v>4931</v>
      </c>
      <c r="D3876" s="15" t="s">
        <v>4932</v>
      </c>
      <c r="E3876" s="565" t="s">
        <v>4934</v>
      </c>
      <c r="F3876" s="95">
        <v>5</v>
      </c>
      <c r="G3876" s="16" t="s">
        <v>19</v>
      </c>
      <c r="H3876" s="17">
        <v>6800</v>
      </c>
      <c r="I3876" s="17">
        <f t="shared" si="274"/>
        <v>34000</v>
      </c>
      <c r="J3876" s="519">
        <v>5780</v>
      </c>
      <c r="K3876" s="519">
        <f t="shared" si="271"/>
        <v>1020</v>
      </c>
      <c r="L3876" s="519">
        <f t="shared" si="272"/>
        <v>5100</v>
      </c>
      <c r="M3876" s="557">
        <f t="shared" si="273"/>
        <v>0.15</v>
      </c>
      <c r="N3876" s="15" t="s">
        <v>22</v>
      </c>
      <c r="O3876" s="15" t="s">
        <v>4066</v>
      </c>
    </row>
    <row r="3877" spans="1:15">
      <c r="A3877" s="70">
        <v>2026</v>
      </c>
      <c r="B3877" s="16" t="s">
        <v>178</v>
      </c>
      <c r="C3877" s="70" t="s">
        <v>4931</v>
      </c>
      <c r="D3877" s="15" t="s">
        <v>4932</v>
      </c>
      <c r="E3877" s="15" t="s">
        <v>4935</v>
      </c>
      <c r="F3877" s="95">
        <v>3</v>
      </c>
      <c r="G3877" s="16" t="s">
        <v>19</v>
      </c>
      <c r="H3877" s="17">
        <v>5300</v>
      </c>
      <c r="I3877" s="17">
        <f t="shared" si="274"/>
        <v>15900</v>
      </c>
      <c r="J3877" s="519">
        <v>4505</v>
      </c>
      <c r="K3877" s="519">
        <f t="shared" si="271"/>
        <v>795</v>
      </c>
      <c r="L3877" s="519">
        <f t="shared" si="272"/>
        <v>2385</v>
      </c>
      <c r="M3877" s="557">
        <f t="shared" si="273"/>
        <v>0.15</v>
      </c>
      <c r="N3877" s="15" t="s">
        <v>22</v>
      </c>
      <c r="O3877" s="15" t="s">
        <v>4066</v>
      </c>
    </row>
    <row r="3878" spans="1:15">
      <c r="A3878" s="70">
        <v>2026</v>
      </c>
      <c r="B3878" s="16" t="s">
        <v>178</v>
      </c>
      <c r="C3878" s="70" t="s">
        <v>4936</v>
      </c>
      <c r="D3878" s="15" t="s">
        <v>1094</v>
      </c>
      <c r="E3878" s="15" t="s">
        <v>4937</v>
      </c>
      <c r="F3878" s="95">
        <v>2</v>
      </c>
      <c r="G3878" s="16" t="s">
        <v>19</v>
      </c>
      <c r="H3878" s="17">
        <v>1350</v>
      </c>
      <c r="I3878" s="17">
        <f t="shared" si="274"/>
        <v>2700</v>
      </c>
      <c r="J3878" s="519">
        <v>1300</v>
      </c>
      <c r="K3878" s="519">
        <f t="shared" si="271"/>
        <v>50</v>
      </c>
      <c r="L3878" s="519">
        <f t="shared" si="272"/>
        <v>100</v>
      </c>
      <c r="M3878" s="557">
        <f t="shared" si="273"/>
        <v>3.7037037037037035E-2</v>
      </c>
      <c r="N3878" s="15" t="s">
        <v>40</v>
      </c>
      <c r="O3878" s="15" t="s">
        <v>4066</v>
      </c>
    </row>
    <row r="3879" spans="1:15">
      <c r="A3879" s="70">
        <v>2026</v>
      </c>
      <c r="B3879" s="16" t="s">
        <v>178</v>
      </c>
      <c r="C3879" s="70" t="s">
        <v>4938</v>
      </c>
      <c r="D3879" s="15" t="s">
        <v>2934</v>
      </c>
      <c r="E3879" s="15" t="s">
        <v>4939</v>
      </c>
      <c r="F3879" s="95">
        <v>1</v>
      </c>
      <c r="G3879" s="16" t="s">
        <v>285</v>
      </c>
      <c r="H3879" s="17">
        <v>253528</v>
      </c>
      <c r="I3879" s="17">
        <f t="shared" si="274"/>
        <v>253528</v>
      </c>
      <c r="J3879" s="519">
        <v>250000</v>
      </c>
      <c r="K3879" s="519">
        <f t="shared" si="271"/>
        <v>3528</v>
      </c>
      <c r="L3879" s="519">
        <f t="shared" si="272"/>
        <v>3528</v>
      </c>
      <c r="M3879" s="557">
        <f t="shared" si="273"/>
        <v>1.3915622732005932E-2</v>
      </c>
      <c r="N3879" s="15" t="s">
        <v>40</v>
      </c>
      <c r="O3879" s="15" t="s">
        <v>4066</v>
      </c>
    </row>
    <row r="3880" spans="1:15">
      <c r="A3880" s="70">
        <v>2026</v>
      </c>
      <c r="B3880" s="16" t="s">
        <v>178</v>
      </c>
      <c r="C3880" s="70" t="s">
        <v>4940</v>
      </c>
      <c r="D3880" s="15" t="s">
        <v>4231</v>
      </c>
      <c r="E3880" s="15" t="s">
        <v>4941</v>
      </c>
      <c r="F3880" s="95">
        <v>1</v>
      </c>
      <c r="G3880" s="16" t="s">
        <v>285</v>
      </c>
      <c r="H3880" s="17">
        <v>439520</v>
      </c>
      <c r="I3880" s="17">
        <f t="shared" si="274"/>
        <v>439520</v>
      </c>
      <c r="J3880" s="519">
        <v>436000</v>
      </c>
      <c r="K3880" s="519">
        <f t="shared" si="271"/>
        <v>3520</v>
      </c>
      <c r="L3880" s="519">
        <f t="shared" si="272"/>
        <v>3520</v>
      </c>
      <c r="M3880" s="557">
        <f t="shared" si="273"/>
        <v>8.0087368037859482E-3</v>
      </c>
      <c r="N3880" s="15" t="s">
        <v>40</v>
      </c>
      <c r="O3880" s="15" t="s">
        <v>4066</v>
      </c>
    </row>
    <row r="3881" spans="1:15">
      <c r="A3881" s="70">
        <v>2026</v>
      </c>
      <c r="B3881" s="16" t="s">
        <v>178</v>
      </c>
      <c r="C3881" s="70" t="s">
        <v>4942</v>
      </c>
      <c r="D3881" s="15" t="s">
        <v>3931</v>
      </c>
      <c r="E3881" s="15" t="s">
        <v>4943</v>
      </c>
      <c r="F3881" s="95">
        <v>1</v>
      </c>
      <c r="G3881" s="16" t="s">
        <v>285</v>
      </c>
      <c r="H3881" s="17">
        <v>22500</v>
      </c>
      <c r="I3881" s="17">
        <f t="shared" si="274"/>
        <v>22500</v>
      </c>
      <c r="J3881" s="519">
        <v>20250</v>
      </c>
      <c r="K3881" s="519">
        <f t="shared" si="271"/>
        <v>2250</v>
      </c>
      <c r="L3881" s="519">
        <f t="shared" si="272"/>
        <v>2250</v>
      </c>
      <c r="M3881" s="557">
        <f t="shared" si="273"/>
        <v>0.1</v>
      </c>
      <c r="N3881" s="15" t="s">
        <v>40</v>
      </c>
      <c r="O3881" s="15" t="s">
        <v>4066</v>
      </c>
    </row>
    <row r="3882" spans="1:15">
      <c r="A3882" s="70">
        <v>2026</v>
      </c>
      <c r="B3882" s="16" t="s">
        <v>178</v>
      </c>
      <c r="C3882" s="70" t="s">
        <v>4944</v>
      </c>
      <c r="D3882" s="15" t="s">
        <v>2305</v>
      </c>
      <c r="E3882" s="15" t="s">
        <v>4945</v>
      </c>
      <c r="F3882" s="95">
        <v>1</v>
      </c>
      <c r="G3882" s="16" t="s">
        <v>285</v>
      </c>
      <c r="H3882" s="17">
        <v>2313360</v>
      </c>
      <c r="I3882" s="17">
        <f t="shared" si="274"/>
        <v>2313360</v>
      </c>
      <c r="J3882" s="519">
        <v>2000326.4</v>
      </c>
      <c r="K3882" s="519">
        <f t="shared" si="271"/>
        <v>313033.60000000009</v>
      </c>
      <c r="L3882" s="519">
        <f t="shared" si="272"/>
        <v>313033.60000000009</v>
      </c>
      <c r="M3882" s="557">
        <f t="shared" si="273"/>
        <v>0.1353155583220943</v>
      </c>
      <c r="N3882" s="15" t="s">
        <v>40</v>
      </c>
      <c r="O3882" s="15" t="s">
        <v>4066</v>
      </c>
    </row>
    <row r="3883" spans="1:15">
      <c r="A3883" s="70">
        <v>2026</v>
      </c>
      <c r="B3883" s="16" t="s">
        <v>178</v>
      </c>
      <c r="C3883" s="70" t="s">
        <v>4946</v>
      </c>
      <c r="D3883" s="15" t="s">
        <v>4947</v>
      </c>
      <c r="E3883" s="15" t="s">
        <v>4948</v>
      </c>
      <c r="F3883" s="95">
        <v>315</v>
      </c>
      <c r="G3883" s="16" t="s">
        <v>19</v>
      </c>
      <c r="H3883" s="17">
        <v>304</v>
      </c>
      <c r="I3883" s="17">
        <f t="shared" si="274"/>
        <v>95760</v>
      </c>
      <c r="J3883" s="519">
        <v>279.68</v>
      </c>
      <c r="K3883" s="519">
        <f t="shared" si="271"/>
        <v>24.319999999999993</v>
      </c>
      <c r="L3883" s="519">
        <f t="shared" si="272"/>
        <v>7660.7999999999975</v>
      </c>
      <c r="M3883" s="557">
        <f t="shared" si="273"/>
        <v>7.9999999999999974E-2</v>
      </c>
      <c r="N3883" s="15" t="s">
        <v>40</v>
      </c>
      <c r="O3883" s="15" t="s">
        <v>4066</v>
      </c>
    </row>
    <row r="3884" spans="1:15">
      <c r="A3884" s="70">
        <v>2026</v>
      </c>
      <c r="B3884" s="16" t="s">
        <v>178</v>
      </c>
      <c r="C3884" s="70" t="s">
        <v>4949</v>
      </c>
      <c r="D3884" s="15" t="s">
        <v>4179</v>
      </c>
      <c r="E3884" s="15" t="s">
        <v>4950</v>
      </c>
      <c r="F3884" s="95">
        <v>1</v>
      </c>
      <c r="G3884" s="16" t="s">
        <v>285</v>
      </c>
      <c r="H3884" s="17">
        <v>190216.32000000001</v>
      </c>
      <c r="I3884" s="17">
        <f t="shared" si="274"/>
        <v>190216.32000000001</v>
      </c>
      <c r="J3884" s="519">
        <v>190000</v>
      </c>
      <c r="K3884" s="519">
        <f t="shared" si="271"/>
        <v>216.32000000000698</v>
      </c>
      <c r="L3884" s="519">
        <f t="shared" si="272"/>
        <v>216.32000000000698</v>
      </c>
      <c r="M3884" s="557">
        <f t="shared" si="273"/>
        <v>1.1372315477452565E-3</v>
      </c>
      <c r="N3884" s="15" t="s">
        <v>40</v>
      </c>
      <c r="O3884" s="15" t="s">
        <v>4066</v>
      </c>
    </row>
    <row r="3885" spans="1:15">
      <c r="A3885" s="70">
        <v>2026</v>
      </c>
      <c r="B3885" s="16" t="s">
        <v>178</v>
      </c>
      <c r="C3885" s="70" t="s">
        <v>4949</v>
      </c>
      <c r="D3885" s="15" t="s">
        <v>4179</v>
      </c>
      <c r="E3885" s="15" t="s">
        <v>4951</v>
      </c>
      <c r="F3885" s="95">
        <v>1</v>
      </c>
      <c r="G3885" s="16" t="s">
        <v>285</v>
      </c>
      <c r="H3885" s="17">
        <v>19208</v>
      </c>
      <c r="I3885" s="17">
        <f t="shared" si="274"/>
        <v>19208</v>
      </c>
      <c r="J3885" s="519">
        <v>19000</v>
      </c>
      <c r="K3885" s="519">
        <f t="shared" si="271"/>
        <v>208</v>
      </c>
      <c r="L3885" s="519">
        <f t="shared" si="272"/>
        <v>208</v>
      </c>
      <c r="M3885" s="557">
        <f t="shared" si="273"/>
        <v>1.0828821324448146E-2</v>
      </c>
      <c r="N3885" s="15" t="s">
        <v>40</v>
      </c>
      <c r="O3885" s="15" t="s">
        <v>4066</v>
      </c>
    </row>
    <row r="3886" spans="1:15">
      <c r="A3886" s="70">
        <v>2026</v>
      </c>
      <c r="B3886" s="16" t="s">
        <v>178</v>
      </c>
      <c r="C3886" s="70" t="s">
        <v>4952</v>
      </c>
      <c r="D3886" s="15" t="s">
        <v>1948</v>
      </c>
      <c r="E3886" s="15" t="s">
        <v>4953</v>
      </c>
      <c r="F3886" s="95">
        <v>2</v>
      </c>
      <c r="G3886" s="16" t="s">
        <v>19</v>
      </c>
      <c r="H3886" s="17">
        <v>2326</v>
      </c>
      <c r="I3886" s="17">
        <f t="shared" si="274"/>
        <v>4652</v>
      </c>
      <c r="J3886" s="519">
        <v>2139.92</v>
      </c>
      <c r="K3886" s="519">
        <f t="shared" si="271"/>
        <v>186.07999999999993</v>
      </c>
      <c r="L3886" s="519">
        <f t="shared" si="272"/>
        <v>372.15999999999985</v>
      </c>
      <c r="M3886" s="557">
        <f t="shared" si="273"/>
        <v>7.9999999999999974E-2</v>
      </c>
      <c r="N3886" s="15" t="s">
        <v>22</v>
      </c>
      <c r="O3886" s="15" t="s">
        <v>4066</v>
      </c>
    </row>
    <row r="3887" spans="1:15">
      <c r="A3887" s="70">
        <v>2026</v>
      </c>
      <c r="B3887" s="16" t="s">
        <v>178</v>
      </c>
      <c r="C3887" s="70" t="s">
        <v>4954</v>
      </c>
      <c r="D3887" s="15" t="s">
        <v>118</v>
      </c>
      <c r="E3887" s="15" t="s">
        <v>4955</v>
      </c>
      <c r="F3887" s="95">
        <v>10</v>
      </c>
      <c r="G3887" s="16" t="s">
        <v>2482</v>
      </c>
      <c r="H3887" s="17">
        <v>188</v>
      </c>
      <c r="I3887" s="17">
        <f t="shared" si="274"/>
        <v>1880</v>
      </c>
      <c r="J3887" s="519">
        <v>180</v>
      </c>
      <c r="K3887" s="519">
        <f t="shared" si="271"/>
        <v>8</v>
      </c>
      <c r="L3887" s="519">
        <f t="shared" si="272"/>
        <v>80</v>
      </c>
      <c r="M3887" s="557">
        <f t="shared" si="273"/>
        <v>4.2553191489361701E-2</v>
      </c>
      <c r="N3887" s="15" t="s">
        <v>22</v>
      </c>
      <c r="O3887" s="15" t="s">
        <v>4066</v>
      </c>
    </row>
    <row r="3888" spans="1:15">
      <c r="A3888" s="70">
        <v>2026</v>
      </c>
      <c r="B3888" s="16" t="s">
        <v>178</v>
      </c>
      <c r="C3888" s="70" t="s">
        <v>4956</v>
      </c>
      <c r="D3888" s="15" t="s">
        <v>4957</v>
      </c>
      <c r="E3888" s="15" t="s">
        <v>4958</v>
      </c>
      <c r="F3888" s="95">
        <v>3</v>
      </c>
      <c r="G3888" s="16" t="s">
        <v>302</v>
      </c>
      <c r="H3888" s="17">
        <v>30000</v>
      </c>
      <c r="I3888" s="17">
        <f t="shared" si="274"/>
        <v>90000</v>
      </c>
      <c r="J3888" s="519">
        <v>29000</v>
      </c>
      <c r="K3888" s="519">
        <f t="shared" si="271"/>
        <v>1000</v>
      </c>
      <c r="L3888" s="519">
        <f t="shared" si="272"/>
        <v>3000</v>
      </c>
      <c r="M3888" s="557">
        <f t="shared" si="273"/>
        <v>3.3333333333333333E-2</v>
      </c>
      <c r="N3888" s="15" t="s">
        <v>40</v>
      </c>
      <c r="O3888" s="15" t="s">
        <v>4066</v>
      </c>
    </row>
    <row r="3889" spans="1:15">
      <c r="A3889" s="70">
        <v>2026</v>
      </c>
      <c r="B3889" s="16" t="s">
        <v>178</v>
      </c>
      <c r="C3889" s="70" t="s">
        <v>4956</v>
      </c>
      <c r="D3889" s="15" t="s">
        <v>4957</v>
      </c>
      <c r="E3889" s="15" t="s">
        <v>4959</v>
      </c>
      <c r="F3889" s="95">
        <v>6</v>
      </c>
      <c r="G3889" s="16" t="s">
        <v>302</v>
      </c>
      <c r="H3889" s="17">
        <v>4000</v>
      </c>
      <c r="I3889" s="17">
        <f t="shared" si="274"/>
        <v>24000</v>
      </c>
      <c r="J3889" s="519">
        <v>3700</v>
      </c>
      <c r="K3889" s="519">
        <f t="shared" si="271"/>
        <v>300</v>
      </c>
      <c r="L3889" s="519">
        <f t="shared" si="272"/>
        <v>1800</v>
      </c>
      <c r="M3889" s="557">
        <f t="shared" si="273"/>
        <v>7.4999999999999997E-2</v>
      </c>
      <c r="N3889" s="15" t="s">
        <v>40</v>
      </c>
      <c r="O3889" s="15" t="s">
        <v>4066</v>
      </c>
    </row>
    <row r="3890" spans="1:15">
      <c r="A3890" s="70">
        <v>2026</v>
      </c>
      <c r="B3890" s="16" t="s">
        <v>178</v>
      </c>
      <c r="C3890" s="70" t="s">
        <v>4960</v>
      </c>
      <c r="D3890" s="15" t="s">
        <v>926</v>
      </c>
      <c r="E3890" s="15" t="s">
        <v>4961</v>
      </c>
      <c r="F3890" s="95">
        <v>40</v>
      </c>
      <c r="G3890" s="16" t="s">
        <v>19</v>
      </c>
      <c r="H3890" s="17">
        <v>890</v>
      </c>
      <c r="I3890" s="17">
        <f t="shared" si="274"/>
        <v>35600</v>
      </c>
      <c r="J3890" s="519">
        <v>684</v>
      </c>
      <c r="K3890" s="519">
        <f t="shared" si="271"/>
        <v>206</v>
      </c>
      <c r="L3890" s="519">
        <f t="shared" si="272"/>
        <v>8240</v>
      </c>
      <c r="M3890" s="557">
        <f t="shared" si="273"/>
        <v>0.23146067415730337</v>
      </c>
      <c r="N3890" s="15" t="s">
        <v>22</v>
      </c>
      <c r="O3890" s="15" t="s">
        <v>4066</v>
      </c>
    </row>
    <row r="3891" spans="1:15">
      <c r="A3891" s="70">
        <v>2026</v>
      </c>
      <c r="B3891" s="16" t="s">
        <v>178</v>
      </c>
      <c r="C3891" s="70" t="s">
        <v>4962</v>
      </c>
      <c r="D3891" s="15" t="s">
        <v>118</v>
      </c>
      <c r="E3891" s="15" t="s">
        <v>4963</v>
      </c>
      <c r="F3891" s="95">
        <v>2</v>
      </c>
      <c r="G3891" s="16" t="s">
        <v>19</v>
      </c>
      <c r="H3891" s="17">
        <v>1130</v>
      </c>
      <c r="I3891" s="17">
        <f t="shared" si="274"/>
        <v>2260</v>
      </c>
      <c r="J3891" s="519">
        <v>1110</v>
      </c>
      <c r="K3891" s="519">
        <f t="shared" si="271"/>
        <v>20</v>
      </c>
      <c r="L3891" s="519">
        <f t="shared" si="272"/>
        <v>40</v>
      </c>
      <c r="M3891" s="557">
        <f t="shared" si="273"/>
        <v>1.7699115044247787E-2</v>
      </c>
      <c r="N3891" s="15" t="s">
        <v>22</v>
      </c>
      <c r="O3891" s="15" t="s">
        <v>4066</v>
      </c>
    </row>
    <row r="3892" spans="1:15">
      <c r="A3892" s="70">
        <v>2026</v>
      </c>
      <c r="B3892" s="16" t="s">
        <v>178</v>
      </c>
      <c r="C3892" s="70" t="s">
        <v>4962</v>
      </c>
      <c r="D3892" s="15" t="s">
        <v>118</v>
      </c>
      <c r="E3892" s="15" t="s">
        <v>4964</v>
      </c>
      <c r="F3892" s="95">
        <v>4</v>
      </c>
      <c r="G3892" s="16" t="s">
        <v>19</v>
      </c>
      <c r="H3892" s="17">
        <v>3537</v>
      </c>
      <c r="I3892" s="17">
        <f t="shared" si="274"/>
        <v>14148</v>
      </c>
      <c r="J3892" s="519">
        <v>3325</v>
      </c>
      <c r="K3892" s="519">
        <f t="shared" si="271"/>
        <v>212</v>
      </c>
      <c r="L3892" s="519">
        <f t="shared" si="272"/>
        <v>848</v>
      </c>
      <c r="M3892" s="557">
        <f t="shared" si="273"/>
        <v>5.9937800395815664E-2</v>
      </c>
      <c r="N3892" s="15" t="s">
        <v>22</v>
      </c>
      <c r="O3892" s="15" t="s">
        <v>4066</v>
      </c>
    </row>
    <row r="3893" spans="1:15">
      <c r="A3893" s="70">
        <v>2026</v>
      </c>
      <c r="B3893" s="16" t="s">
        <v>178</v>
      </c>
      <c r="C3893" s="70" t="s">
        <v>4965</v>
      </c>
      <c r="D3893" s="15" t="s">
        <v>4231</v>
      </c>
      <c r="E3893" s="15" t="s">
        <v>4966</v>
      </c>
      <c r="F3893" s="95">
        <v>1</v>
      </c>
      <c r="G3893" s="16" t="s">
        <v>285</v>
      </c>
      <c r="H3893" s="17">
        <v>135000</v>
      </c>
      <c r="I3893" s="17">
        <f t="shared" si="274"/>
        <v>135000</v>
      </c>
      <c r="J3893" s="519">
        <v>120000</v>
      </c>
      <c r="K3893" s="519">
        <f t="shared" si="271"/>
        <v>15000</v>
      </c>
      <c r="L3893" s="519">
        <f t="shared" si="272"/>
        <v>15000</v>
      </c>
      <c r="M3893" s="557">
        <f t="shared" si="273"/>
        <v>0.1111111111111111</v>
      </c>
      <c r="N3893" s="15" t="s">
        <v>40</v>
      </c>
      <c r="O3893" s="15" t="s">
        <v>4066</v>
      </c>
    </row>
    <row r="3894" spans="1:15">
      <c r="A3894" s="70">
        <v>2026</v>
      </c>
      <c r="B3894" s="16" t="s">
        <v>178</v>
      </c>
      <c r="C3894" s="70" t="s">
        <v>4967</v>
      </c>
      <c r="D3894" s="15" t="s">
        <v>345</v>
      </c>
      <c r="E3894" s="15" t="s">
        <v>4968</v>
      </c>
      <c r="F3894" s="95">
        <v>1</v>
      </c>
      <c r="G3894" s="16" t="s">
        <v>285</v>
      </c>
      <c r="H3894" s="17">
        <v>640000</v>
      </c>
      <c r="I3894" s="17">
        <f t="shared" si="274"/>
        <v>640000</v>
      </c>
      <c r="J3894" s="519">
        <v>620000</v>
      </c>
      <c r="K3894" s="519">
        <f t="shared" si="271"/>
        <v>20000</v>
      </c>
      <c r="L3894" s="519">
        <f t="shared" si="272"/>
        <v>20000</v>
      </c>
      <c r="M3894" s="557">
        <f t="shared" si="273"/>
        <v>3.125E-2</v>
      </c>
      <c r="N3894" s="15" t="s">
        <v>40</v>
      </c>
      <c r="O3894" s="15" t="s">
        <v>4066</v>
      </c>
    </row>
    <row r="3895" spans="1:15">
      <c r="A3895" s="70">
        <v>2026</v>
      </c>
      <c r="B3895" s="16" t="s">
        <v>178</v>
      </c>
      <c r="C3895" s="70" t="s">
        <v>4969</v>
      </c>
      <c r="D3895" s="15" t="s">
        <v>96</v>
      </c>
      <c r="E3895" s="15" t="s">
        <v>99</v>
      </c>
      <c r="F3895" s="95">
        <v>50</v>
      </c>
      <c r="G3895" s="16" t="s">
        <v>19</v>
      </c>
      <c r="H3895" s="17">
        <v>432</v>
      </c>
      <c r="I3895" s="17">
        <f t="shared" si="274"/>
        <v>21600</v>
      </c>
      <c r="J3895" s="519">
        <v>405</v>
      </c>
      <c r="K3895" s="519">
        <f t="shared" si="271"/>
        <v>27</v>
      </c>
      <c r="L3895" s="519">
        <f t="shared" si="272"/>
        <v>1350</v>
      </c>
      <c r="M3895" s="557">
        <f t="shared" si="273"/>
        <v>6.25E-2</v>
      </c>
      <c r="N3895" s="15" t="s">
        <v>40</v>
      </c>
      <c r="O3895" s="15" t="s">
        <v>4066</v>
      </c>
    </row>
    <row r="3896" spans="1:15">
      <c r="A3896" s="70">
        <v>2026</v>
      </c>
      <c r="B3896" s="16" t="s">
        <v>178</v>
      </c>
      <c r="C3896" s="70" t="s">
        <v>4969</v>
      </c>
      <c r="D3896" s="15" t="s">
        <v>96</v>
      </c>
      <c r="E3896" s="15" t="s">
        <v>774</v>
      </c>
      <c r="F3896" s="95">
        <v>50</v>
      </c>
      <c r="G3896" s="16" t="s">
        <v>19</v>
      </c>
      <c r="H3896" s="17">
        <v>1050</v>
      </c>
      <c r="I3896" s="17">
        <f t="shared" si="274"/>
        <v>52500</v>
      </c>
      <c r="J3896" s="519">
        <v>980</v>
      </c>
      <c r="K3896" s="519">
        <f t="shared" si="271"/>
        <v>70</v>
      </c>
      <c r="L3896" s="519">
        <f t="shared" si="272"/>
        <v>3500</v>
      </c>
      <c r="M3896" s="557">
        <f t="shared" si="273"/>
        <v>6.6666666666666666E-2</v>
      </c>
      <c r="N3896" s="15" t="s">
        <v>40</v>
      </c>
      <c r="O3896" s="15" t="s">
        <v>4066</v>
      </c>
    </row>
    <row r="3897" spans="1:15">
      <c r="A3897" s="70">
        <v>2026</v>
      </c>
      <c r="B3897" s="16" t="s">
        <v>178</v>
      </c>
      <c r="C3897" s="70" t="s">
        <v>4970</v>
      </c>
      <c r="D3897" s="15" t="s">
        <v>673</v>
      </c>
      <c r="E3897" s="15" t="s">
        <v>4971</v>
      </c>
      <c r="F3897" s="95">
        <v>2000</v>
      </c>
      <c r="G3897" s="16" t="s">
        <v>37</v>
      </c>
      <c r="H3897" s="17">
        <v>84</v>
      </c>
      <c r="I3897" s="17">
        <f t="shared" si="274"/>
        <v>168000</v>
      </c>
      <c r="J3897" s="519">
        <v>81.48</v>
      </c>
      <c r="K3897" s="519">
        <f t="shared" si="271"/>
        <v>2.519999999999996</v>
      </c>
      <c r="L3897" s="519">
        <f t="shared" si="272"/>
        <v>5039.9999999999918</v>
      </c>
      <c r="M3897" s="557">
        <f t="shared" si="273"/>
        <v>2.9999999999999954E-2</v>
      </c>
      <c r="N3897" s="15" t="s">
        <v>40</v>
      </c>
      <c r="O3897" s="15" t="s">
        <v>4066</v>
      </c>
    </row>
    <row r="3898" spans="1:15">
      <c r="A3898" s="70">
        <v>2026</v>
      </c>
      <c r="B3898" s="16" t="s">
        <v>178</v>
      </c>
      <c r="C3898" s="70" t="s">
        <v>4972</v>
      </c>
      <c r="D3898" s="15" t="s">
        <v>17</v>
      </c>
      <c r="E3898" s="15" t="s">
        <v>4655</v>
      </c>
      <c r="F3898" s="95">
        <v>360</v>
      </c>
      <c r="G3898" s="16" t="s">
        <v>4860</v>
      </c>
      <c r="H3898" s="17">
        <v>60</v>
      </c>
      <c r="I3898" s="17">
        <f t="shared" si="274"/>
        <v>21600</v>
      </c>
      <c r="J3898" s="519">
        <v>58</v>
      </c>
      <c r="K3898" s="519">
        <f t="shared" si="271"/>
        <v>2</v>
      </c>
      <c r="L3898" s="519">
        <f t="shared" si="272"/>
        <v>720</v>
      </c>
      <c r="M3898" s="557">
        <f t="shared" si="273"/>
        <v>3.3333333333333333E-2</v>
      </c>
      <c r="N3898" s="15" t="s">
        <v>40</v>
      </c>
      <c r="O3898" s="15" t="s">
        <v>4066</v>
      </c>
    </row>
    <row r="3899" spans="1:15">
      <c r="A3899" s="70">
        <v>2026</v>
      </c>
      <c r="B3899" s="16" t="s">
        <v>178</v>
      </c>
      <c r="C3899" s="70" t="s">
        <v>4973</v>
      </c>
      <c r="D3899" s="15" t="s">
        <v>4974</v>
      </c>
      <c r="E3899" s="15" t="s">
        <v>4975</v>
      </c>
      <c r="F3899" s="95">
        <v>1</v>
      </c>
      <c r="G3899" s="16" t="s">
        <v>285</v>
      </c>
      <c r="H3899" s="17">
        <v>60000</v>
      </c>
      <c r="I3899" s="17">
        <f t="shared" si="274"/>
        <v>60000</v>
      </c>
      <c r="J3899" s="519">
        <v>48000</v>
      </c>
      <c r="K3899" s="519">
        <f t="shared" si="271"/>
        <v>12000</v>
      </c>
      <c r="L3899" s="519">
        <f t="shared" si="272"/>
        <v>12000</v>
      </c>
      <c r="M3899" s="557">
        <f t="shared" si="273"/>
        <v>0.2</v>
      </c>
      <c r="N3899" s="15" t="s">
        <v>40</v>
      </c>
      <c r="O3899" s="15" t="s">
        <v>4066</v>
      </c>
    </row>
    <row r="3900" spans="1:15">
      <c r="A3900" s="70">
        <v>2026</v>
      </c>
      <c r="B3900" s="16" t="s">
        <v>178</v>
      </c>
      <c r="C3900" s="70" t="s">
        <v>4976</v>
      </c>
      <c r="D3900" s="15" t="s">
        <v>4857</v>
      </c>
      <c r="E3900" s="15" t="s">
        <v>4977</v>
      </c>
      <c r="F3900" s="95">
        <v>1</v>
      </c>
      <c r="G3900" s="16" t="s">
        <v>285</v>
      </c>
      <c r="H3900" s="17">
        <v>35000</v>
      </c>
      <c r="I3900" s="17">
        <f t="shared" si="274"/>
        <v>35000</v>
      </c>
      <c r="J3900" s="519">
        <v>33500</v>
      </c>
      <c r="K3900" s="519">
        <f t="shared" si="271"/>
        <v>1500</v>
      </c>
      <c r="L3900" s="519">
        <f t="shared" si="272"/>
        <v>1500</v>
      </c>
      <c r="M3900" s="557">
        <f t="shared" si="273"/>
        <v>4.2857142857142858E-2</v>
      </c>
      <c r="N3900" s="15" t="s">
        <v>40</v>
      </c>
      <c r="O3900" s="15" t="s">
        <v>4066</v>
      </c>
    </row>
    <row r="3901" spans="1:15">
      <c r="A3901" s="70">
        <v>2026</v>
      </c>
      <c r="B3901" s="16" t="s">
        <v>178</v>
      </c>
      <c r="C3901" s="70" t="s">
        <v>4978</v>
      </c>
      <c r="D3901" s="15" t="s">
        <v>110</v>
      </c>
      <c r="E3901" s="15" t="s">
        <v>4979</v>
      </c>
      <c r="F3901" s="95">
        <v>1</v>
      </c>
      <c r="G3901" s="16" t="s">
        <v>19</v>
      </c>
      <c r="H3901" s="17">
        <v>18690</v>
      </c>
      <c r="I3901" s="17">
        <f t="shared" si="274"/>
        <v>18690</v>
      </c>
      <c r="J3901" s="519">
        <v>17900</v>
      </c>
      <c r="K3901" s="519">
        <f t="shared" si="271"/>
        <v>790</v>
      </c>
      <c r="L3901" s="519">
        <f t="shared" si="272"/>
        <v>790</v>
      </c>
      <c r="M3901" s="557">
        <f t="shared" si="273"/>
        <v>4.2268592830390583E-2</v>
      </c>
      <c r="N3901" s="15" t="s">
        <v>40</v>
      </c>
      <c r="O3901" s="15" t="s">
        <v>4066</v>
      </c>
    </row>
    <row r="3902" spans="1:15">
      <c r="A3902" s="70">
        <v>2026</v>
      </c>
      <c r="B3902" s="16" t="s">
        <v>178</v>
      </c>
      <c r="C3902" s="70" t="s">
        <v>4980</v>
      </c>
      <c r="D3902" s="15" t="s">
        <v>1945</v>
      </c>
      <c r="E3902" s="15" t="s">
        <v>4981</v>
      </c>
      <c r="F3902" s="95">
        <v>1</v>
      </c>
      <c r="G3902" s="16" t="s">
        <v>19</v>
      </c>
      <c r="H3902" s="17">
        <v>750000</v>
      </c>
      <c r="I3902" s="17">
        <f t="shared" si="274"/>
        <v>750000</v>
      </c>
      <c r="J3902" s="519">
        <v>720000</v>
      </c>
      <c r="K3902" s="519">
        <f t="shared" si="271"/>
        <v>30000</v>
      </c>
      <c r="L3902" s="519">
        <f t="shared" si="272"/>
        <v>30000</v>
      </c>
      <c r="M3902" s="557">
        <f t="shared" si="273"/>
        <v>0.04</v>
      </c>
      <c r="N3902" s="15" t="s">
        <v>40</v>
      </c>
      <c r="O3902" s="15" t="s">
        <v>4066</v>
      </c>
    </row>
    <row r="3903" spans="1:15">
      <c r="A3903" s="70">
        <v>2026</v>
      </c>
      <c r="B3903" s="16" t="s">
        <v>178</v>
      </c>
      <c r="C3903" s="70" t="s">
        <v>4982</v>
      </c>
      <c r="D3903" s="15" t="s">
        <v>4983</v>
      </c>
      <c r="E3903" s="15" t="s">
        <v>4984</v>
      </c>
      <c r="F3903" s="95">
        <v>1</v>
      </c>
      <c r="G3903" s="16" t="s">
        <v>19</v>
      </c>
      <c r="H3903" s="17">
        <v>3290000</v>
      </c>
      <c r="I3903" s="17">
        <f t="shared" si="274"/>
        <v>3290000</v>
      </c>
      <c r="J3903" s="519">
        <v>2850000</v>
      </c>
      <c r="K3903" s="519">
        <f t="shared" si="271"/>
        <v>440000</v>
      </c>
      <c r="L3903" s="519">
        <f t="shared" si="272"/>
        <v>440000</v>
      </c>
      <c r="M3903" s="557">
        <f t="shared" si="273"/>
        <v>0.1337386018237082</v>
      </c>
      <c r="N3903" s="15" t="s">
        <v>40</v>
      </c>
      <c r="O3903" s="15" t="s">
        <v>4066</v>
      </c>
    </row>
    <row r="3904" spans="1:15">
      <c r="A3904" s="70">
        <v>2026</v>
      </c>
      <c r="B3904" s="16" t="s">
        <v>178</v>
      </c>
      <c r="C3904" s="70" t="s">
        <v>4985</v>
      </c>
      <c r="D3904" s="15" t="s">
        <v>4179</v>
      </c>
      <c r="E3904" s="15" t="s">
        <v>4986</v>
      </c>
      <c r="F3904" s="95">
        <v>1</v>
      </c>
      <c r="G3904" s="16" t="s">
        <v>285</v>
      </c>
      <c r="H3904" s="17">
        <v>471826.15</v>
      </c>
      <c r="I3904" s="17">
        <f t="shared" si="274"/>
        <v>471826.15</v>
      </c>
      <c r="J3904" s="519">
        <v>450000</v>
      </c>
      <c r="K3904" s="519">
        <f t="shared" si="271"/>
        <v>21826.150000000023</v>
      </c>
      <c r="L3904" s="519">
        <f t="shared" si="272"/>
        <v>21826.150000000023</v>
      </c>
      <c r="M3904" s="557">
        <f t="shared" si="273"/>
        <v>4.6258881581701272E-2</v>
      </c>
      <c r="N3904" s="15" t="s">
        <v>40</v>
      </c>
      <c r="O3904" s="15" t="s">
        <v>4066</v>
      </c>
    </row>
    <row r="3905" spans="1:15">
      <c r="A3905" s="70">
        <v>2026</v>
      </c>
      <c r="B3905" s="16" t="s">
        <v>178</v>
      </c>
      <c r="C3905" s="70" t="s">
        <v>4987</v>
      </c>
      <c r="D3905" s="15" t="s">
        <v>17</v>
      </c>
      <c r="E3905" s="15" t="s">
        <v>4657</v>
      </c>
      <c r="F3905" s="95">
        <v>576</v>
      </c>
      <c r="G3905" s="16" t="s">
        <v>1259</v>
      </c>
      <c r="H3905" s="17">
        <v>18</v>
      </c>
      <c r="I3905" s="17">
        <f t="shared" si="274"/>
        <v>10368</v>
      </c>
      <c r="J3905" s="519">
        <v>17</v>
      </c>
      <c r="K3905" s="519">
        <f t="shared" si="271"/>
        <v>1</v>
      </c>
      <c r="L3905" s="519">
        <f t="shared" si="272"/>
        <v>576</v>
      </c>
      <c r="M3905" s="557">
        <f t="shared" si="273"/>
        <v>5.5555555555555552E-2</v>
      </c>
      <c r="N3905" s="15" t="s">
        <v>40</v>
      </c>
      <c r="O3905" s="15" t="s">
        <v>4066</v>
      </c>
    </row>
    <row r="3906" spans="1:15">
      <c r="A3906" s="70">
        <v>2026</v>
      </c>
      <c r="B3906" s="16" t="s">
        <v>178</v>
      </c>
      <c r="C3906" s="70" t="s">
        <v>4988</v>
      </c>
      <c r="D3906" s="15" t="s">
        <v>27</v>
      </c>
      <c r="E3906" s="15" t="s">
        <v>4989</v>
      </c>
      <c r="F3906" s="95">
        <v>1</v>
      </c>
      <c r="G3906" s="16" t="s">
        <v>302</v>
      </c>
      <c r="H3906" s="17">
        <v>20000</v>
      </c>
      <c r="I3906" s="17">
        <f t="shared" si="274"/>
        <v>20000</v>
      </c>
      <c r="J3906" s="519">
        <v>19470</v>
      </c>
      <c r="K3906" s="519">
        <f t="shared" si="271"/>
        <v>530</v>
      </c>
      <c r="L3906" s="519">
        <f t="shared" si="272"/>
        <v>530</v>
      </c>
      <c r="M3906" s="557">
        <f t="shared" si="273"/>
        <v>2.6499999999999999E-2</v>
      </c>
      <c r="N3906" s="15" t="s">
        <v>22</v>
      </c>
      <c r="O3906" s="15" t="s">
        <v>4066</v>
      </c>
    </row>
    <row r="3907" spans="1:15">
      <c r="A3907" s="70">
        <v>2026</v>
      </c>
      <c r="B3907" s="16" t="s">
        <v>178</v>
      </c>
      <c r="C3907" s="70" t="s">
        <v>4990</v>
      </c>
      <c r="D3907" s="15" t="s">
        <v>118</v>
      </c>
      <c r="E3907" s="15" t="s">
        <v>4991</v>
      </c>
      <c r="F3907" s="95">
        <v>2</v>
      </c>
      <c r="G3907" s="16" t="s">
        <v>19</v>
      </c>
      <c r="H3907" s="17">
        <v>998</v>
      </c>
      <c r="I3907" s="17">
        <f t="shared" si="274"/>
        <v>1996</v>
      </c>
      <c r="J3907" s="519">
        <v>982</v>
      </c>
      <c r="K3907" s="519">
        <f t="shared" si="271"/>
        <v>16</v>
      </c>
      <c r="L3907" s="519">
        <f t="shared" si="272"/>
        <v>32</v>
      </c>
      <c r="M3907" s="557">
        <f t="shared" si="273"/>
        <v>1.6032064128256512E-2</v>
      </c>
      <c r="N3907" s="15" t="s">
        <v>22</v>
      </c>
      <c r="O3907" s="15" t="s">
        <v>4066</v>
      </c>
    </row>
    <row r="3908" spans="1:15">
      <c r="A3908" s="70">
        <v>2026</v>
      </c>
      <c r="B3908" s="16" t="s">
        <v>178</v>
      </c>
      <c r="C3908" s="70" t="s">
        <v>4990</v>
      </c>
      <c r="D3908" s="15" t="s">
        <v>118</v>
      </c>
      <c r="E3908" s="15" t="s">
        <v>4992</v>
      </c>
      <c r="F3908" s="95">
        <v>1</v>
      </c>
      <c r="G3908" s="16" t="s">
        <v>302</v>
      </c>
      <c r="H3908" s="17">
        <v>10758</v>
      </c>
      <c r="I3908" s="17">
        <f t="shared" si="274"/>
        <v>10758</v>
      </c>
      <c r="J3908" s="519">
        <v>10500</v>
      </c>
      <c r="K3908" s="519">
        <f t="shared" si="271"/>
        <v>258</v>
      </c>
      <c r="L3908" s="519">
        <f t="shared" si="272"/>
        <v>258</v>
      </c>
      <c r="M3908" s="557">
        <f t="shared" si="273"/>
        <v>2.3982152816508645E-2</v>
      </c>
      <c r="N3908" s="15" t="s">
        <v>22</v>
      </c>
      <c r="O3908" s="15" t="s">
        <v>4066</v>
      </c>
    </row>
    <row r="3909" spans="1:15">
      <c r="A3909" s="70">
        <v>2026</v>
      </c>
      <c r="B3909" s="16" t="s">
        <v>178</v>
      </c>
      <c r="C3909" s="70" t="s">
        <v>4990</v>
      </c>
      <c r="D3909" s="15" t="s">
        <v>118</v>
      </c>
      <c r="E3909" s="15" t="s">
        <v>4993</v>
      </c>
      <c r="F3909" s="95">
        <v>1</v>
      </c>
      <c r="G3909" s="16" t="s">
        <v>302</v>
      </c>
      <c r="H3909" s="17">
        <v>17288</v>
      </c>
      <c r="I3909" s="17">
        <f t="shared" si="274"/>
        <v>17288</v>
      </c>
      <c r="J3909" s="519">
        <v>17200</v>
      </c>
      <c r="K3909" s="519">
        <f t="shared" si="271"/>
        <v>88</v>
      </c>
      <c r="L3909" s="519">
        <f t="shared" si="272"/>
        <v>88</v>
      </c>
      <c r="M3909" s="557">
        <f t="shared" si="273"/>
        <v>5.0902360018509948E-3</v>
      </c>
      <c r="N3909" s="15" t="s">
        <v>22</v>
      </c>
      <c r="O3909" s="15" t="s">
        <v>4066</v>
      </c>
    </row>
    <row r="3910" spans="1:15">
      <c r="A3910" s="70">
        <v>2026</v>
      </c>
      <c r="B3910" s="16" t="s">
        <v>178</v>
      </c>
      <c r="C3910" s="70" t="s">
        <v>4990</v>
      </c>
      <c r="D3910" s="15" t="s">
        <v>118</v>
      </c>
      <c r="E3910" s="15" t="s">
        <v>4994</v>
      </c>
      <c r="F3910" s="95">
        <v>1</v>
      </c>
      <c r="G3910" s="16" t="s">
        <v>302</v>
      </c>
      <c r="H3910" s="17">
        <v>5495</v>
      </c>
      <c r="I3910" s="17">
        <f t="shared" si="274"/>
        <v>5495</v>
      </c>
      <c r="J3910" s="519">
        <v>5480</v>
      </c>
      <c r="K3910" s="519">
        <f t="shared" si="271"/>
        <v>15</v>
      </c>
      <c r="L3910" s="519">
        <f t="shared" si="272"/>
        <v>15</v>
      </c>
      <c r="M3910" s="557">
        <f t="shared" si="273"/>
        <v>2.7297543221110102E-3</v>
      </c>
      <c r="N3910" s="15" t="s">
        <v>22</v>
      </c>
      <c r="O3910" s="15" t="s">
        <v>4066</v>
      </c>
    </row>
    <row r="3911" spans="1:15">
      <c r="A3911" s="70">
        <v>2026</v>
      </c>
      <c r="B3911" s="16" t="s">
        <v>178</v>
      </c>
      <c r="C3911" s="70" t="s">
        <v>4990</v>
      </c>
      <c r="D3911" s="15" t="s">
        <v>118</v>
      </c>
      <c r="E3911" s="15" t="s">
        <v>4995</v>
      </c>
      <c r="F3911" s="95">
        <v>2</v>
      </c>
      <c r="G3911" s="16" t="s">
        <v>19</v>
      </c>
      <c r="H3911" s="17">
        <v>380</v>
      </c>
      <c r="I3911" s="17">
        <f t="shared" si="274"/>
        <v>760</v>
      </c>
      <c r="J3911" s="519">
        <v>370</v>
      </c>
      <c r="K3911" s="519">
        <f t="shared" si="271"/>
        <v>10</v>
      </c>
      <c r="L3911" s="519">
        <f t="shared" si="272"/>
        <v>20</v>
      </c>
      <c r="M3911" s="557">
        <f t="shared" si="273"/>
        <v>2.6315789473684209E-2</v>
      </c>
      <c r="N3911" s="15" t="s">
        <v>22</v>
      </c>
      <c r="O3911" s="15" t="s">
        <v>4066</v>
      </c>
    </row>
    <row r="3912" spans="1:15">
      <c r="A3912" s="70">
        <v>2026</v>
      </c>
      <c r="B3912" s="16" t="s">
        <v>178</v>
      </c>
      <c r="C3912" s="70" t="s">
        <v>4990</v>
      </c>
      <c r="D3912" s="15" t="s">
        <v>118</v>
      </c>
      <c r="E3912" s="15" t="s">
        <v>4996</v>
      </c>
      <c r="F3912" s="95">
        <v>2</v>
      </c>
      <c r="G3912" s="16" t="s">
        <v>19</v>
      </c>
      <c r="H3912" s="17">
        <v>405</v>
      </c>
      <c r="I3912" s="17">
        <f t="shared" si="274"/>
        <v>810</v>
      </c>
      <c r="J3912" s="519">
        <v>394</v>
      </c>
      <c r="K3912" s="519">
        <f t="shared" si="271"/>
        <v>11</v>
      </c>
      <c r="L3912" s="519">
        <f t="shared" si="272"/>
        <v>22</v>
      </c>
      <c r="M3912" s="557">
        <f t="shared" si="273"/>
        <v>2.7160493827160494E-2</v>
      </c>
      <c r="N3912" s="15" t="s">
        <v>22</v>
      </c>
      <c r="O3912" s="15" t="s">
        <v>4066</v>
      </c>
    </row>
    <row r="3913" spans="1:15">
      <c r="A3913" s="70">
        <v>2026</v>
      </c>
      <c r="B3913" s="16" t="s">
        <v>178</v>
      </c>
      <c r="C3913" s="70" t="s">
        <v>4990</v>
      </c>
      <c r="D3913" s="15" t="s">
        <v>118</v>
      </c>
      <c r="E3913" s="15" t="s">
        <v>4997</v>
      </c>
      <c r="F3913" s="95">
        <v>2</v>
      </c>
      <c r="G3913" s="16" t="s">
        <v>19</v>
      </c>
      <c r="H3913" s="17">
        <v>435</v>
      </c>
      <c r="I3913" s="17">
        <f t="shared" si="274"/>
        <v>870</v>
      </c>
      <c r="J3913" s="519">
        <v>422</v>
      </c>
      <c r="K3913" s="519">
        <f t="shared" ref="K3913:K3926" si="275">H3913-J3913</f>
        <v>13</v>
      </c>
      <c r="L3913" s="519">
        <f t="shared" ref="L3913:L3926" si="276">K3913*F3913</f>
        <v>26</v>
      </c>
      <c r="M3913" s="557">
        <f t="shared" ref="M3913:M3926" si="277">K3913/H3913</f>
        <v>2.9885057471264367E-2</v>
      </c>
      <c r="N3913" s="15" t="s">
        <v>22</v>
      </c>
      <c r="O3913" s="15" t="s">
        <v>4066</v>
      </c>
    </row>
    <row r="3914" spans="1:15">
      <c r="A3914" s="70">
        <v>2026</v>
      </c>
      <c r="B3914" s="16" t="s">
        <v>178</v>
      </c>
      <c r="C3914" s="70" t="s">
        <v>4990</v>
      </c>
      <c r="D3914" s="15" t="s">
        <v>118</v>
      </c>
      <c r="E3914" s="15" t="s">
        <v>4998</v>
      </c>
      <c r="F3914" s="95">
        <v>2</v>
      </c>
      <c r="G3914" s="16" t="s">
        <v>19</v>
      </c>
      <c r="H3914" s="17">
        <v>447</v>
      </c>
      <c r="I3914" s="17">
        <f t="shared" si="274"/>
        <v>894</v>
      </c>
      <c r="J3914" s="519">
        <v>437</v>
      </c>
      <c r="K3914" s="519">
        <f t="shared" si="275"/>
        <v>10</v>
      </c>
      <c r="L3914" s="519">
        <f t="shared" si="276"/>
        <v>20</v>
      </c>
      <c r="M3914" s="557">
        <f t="shared" si="277"/>
        <v>2.2371364653243849E-2</v>
      </c>
      <c r="N3914" s="15" t="s">
        <v>22</v>
      </c>
      <c r="O3914" s="15" t="s">
        <v>4066</v>
      </c>
    </row>
    <row r="3915" spans="1:15">
      <c r="A3915" s="70">
        <v>2026</v>
      </c>
      <c r="B3915" s="16" t="s">
        <v>178</v>
      </c>
      <c r="C3915" s="70" t="s">
        <v>4990</v>
      </c>
      <c r="D3915" s="15" t="s">
        <v>118</v>
      </c>
      <c r="E3915" s="15" t="s">
        <v>4999</v>
      </c>
      <c r="F3915" s="95">
        <v>2</v>
      </c>
      <c r="G3915" s="16" t="s">
        <v>19</v>
      </c>
      <c r="H3915" s="17">
        <v>495</v>
      </c>
      <c r="I3915" s="17">
        <f t="shared" ref="I3915:I3926" si="278">H3915*F3915</f>
        <v>990</v>
      </c>
      <c r="J3915" s="519">
        <v>483</v>
      </c>
      <c r="K3915" s="519">
        <f t="shared" si="275"/>
        <v>12</v>
      </c>
      <c r="L3915" s="519">
        <f t="shared" si="276"/>
        <v>24</v>
      </c>
      <c r="M3915" s="557">
        <f t="shared" si="277"/>
        <v>2.4242424242424242E-2</v>
      </c>
      <c r="N3915" s="15" t="s">
        <v>22</v>
      </c>
      <c r="O3915" s="15" t="s">
        <v>4066</v>
      </c>
    </row>
    <row r="3916" spans="1:15">
      <c r="A3916" s="70">
        <v>2026</v>
      </c>
      <c r="B3916" s="16" t="s">
        <v>178</v>
      </c>
      <c r="C3916" s="70" t="s">
        <v>4990</v>
      </c>
      <c r="D3916" s="15" t="s">
        <v>118</v>
      </c>
      <c r="E3916" s="15" t="s">
        <v>5000</v>
      </c>
      <c r="F3916" s="95">
        <v>2</v>
      </c>
      <c r="G3916" s="16" t="s">
        <v>19</v>
      </c>
      <c r="H3916" s="17">
        <v>575</v>
      </c>
      <c r="I3916" s="17">
        <f t="shared" si="278"/>
        <v>1150</v>
      </c>
      <c r="J3916" s="519">
        <v>558</v>
      </c>
      <c r="K3916" s="519">
        <f t="shared" si="275"/>
        <v>17</v>
      </c>
      <c r="L3916" s="519">
        <f t="shared" si="276"/>
        <v>34</v>
      </c>
      <c r="M3916" s="557">
        <f t="shared" si="277"/>
        <v>2.9565217391304348E-2</v>
      </c>
      <c r="N3916" s="15" t="s">
        <v>22</v>
      </c>
      <c r="O3916" s="15" t="s">
        <v>4066</v>
      </c>
    </row>
    <row r="3917" spans="1:15">
      <c r="A3917" s="70">
        <v>2026</v>
      </c>
      <c r="B3917" s="16" t="s">
        <v>178</v>
      </c>
      <c r="C3917" s="70" t="s">
        <v>4990</v>
      </c>
      <c r="D3917" s="15" t="s">
        <v>118</v>
      </c>
      <c r="E3917" s="15" t="s">
        <v>5001</v>
      </c>
      <c r="F3917" s="95">
        <v>2</v>
      </c>
      <c r="G3917" s="16" t="s">
        <v>19</v>
      </c>
      <c r="H3917" s="17">
        <v>582</v>
      </c>
      <c r="I3917" s="17">
        <f t="shared" si="278"/>
        <v>1164</v>
      </c>
      <c r="J3917" s="519">
        <v>568</v>
      </c>
      <c r="K3917" s="519">
        <f t="shared" si="275"/>
        <v>14</v>
      </c>
      <c r="L3917" s="519">
        <f t="shared" si="276"/>
        <v>28</v>
      </c>
      <c r="M3917" s="557">
        <f t="shared" si="277"/>
        <v>2.4054982817869417E-2</v>
      </c>
      <c r="N3917" s="15" t="s">
        <v>22</v>
      </c>
      <c r="O3917" s="15" t="s">
        <v>4066</v>
      </c>
    </row>
    <row r="3918" spans="1:15">
      <c r="A3918" s="70">
        <v>2026</v>
      </c>
      <c r="B3918" s="16" t="s">
        <v>178</v>
      </c>
      <c r="C3918" s="70" t="s">
        <v>4990</v>
      </c>
      <c r="D3918" s="15" t="s">
        <v>118</v>
      </c>
      <c r="E3918" s="15" t="s">
        <v>5002</v>
      </c>
      <c r="F3918" s="95">
        <v>2</v>
      </c>
      <c r="G3918" s="16" t="s">
        <v>19</v>
      </c>
      <c r="H3918" s="17">
        <v>598</v>
      </c>
      <c r="I3918" s="17">
        <f t="shared" si="278"/>
        <v>1196</v>
      </c>
      <c r="J3918" s="519">
        <v>585</v>
      </c>
      <c r="K3918" s="519">
        <f t="shared" si="275"/>
        <v>13</v>
      </c>
      <c r="L3918" s="519">
        <f t="shared" si="276"/>
        <v>26</v>
      </c>
      <c r="M3918" s="557">
        <f t="shared" si="277"/>
        <v>2.1739130434782608E-2</v>
      </c>
      <c r="N3918" s="15" t="s">
        <v>22</v>
      </c>
      <c r="O3918" s="15" t="s">
        <v>4066</v>
      </c>
    </row>
    <row r="3919" spans="1:15">
      <c r="A3919" s="70">
        <v>2026</v>
      </c>
      <c r="B3919" s="16" t="s">
        <v>178</v>
      </c>
      <c r="C3919" s="70" t="s">
        <v>4990</v>
      </c>
      <c r="D3919" s="15" t="s">
        <v>118</v>
      </c>
      <c r="E3919" s="15" t="s">
        <v>5003</v>
      </c>
      <c r="F3919" s="95">
        <v>2</v>
      </c>
      <c r="G3919" s="16" t="s">
        <v>19</v>
      </c>
      <c r="H3919" s="17">
        <v>608</v>
      </c>
      <c r="I3919" s="17">
        <f t="shared" si="278"/>
        <v>1216</v>
      </c>
      <c r="J3919" s="519">
        <v>592</v>
      </c>
      <c r="K3919" s="519">
        <f t="shared" si="275"/>
        <v>16</v>
      </c>
      <c r="L3919" s="519">
        <f t="shared" si="276"/>
        <v>32</v>
      </c>
      <c r="M3919" s="557">
        <f t="shared" si="277"/>
        <v>2.6315789473684209E-2</v>
      </c>
      <c r="N3919" s="15" t="s">
        <v>22</v>
      </c>
      <c r="O3919" s="15" t="s">
        <v>4066</v>
      </c>
    </row>
    <row r="3920" spans="1:15">
      <c r="A3920" s="70">
        <v>2026</v>
      </c>
      <c r="B3920" s="16" t="s">
        <v>178</v>
      </c>
      <c r="C3920" s="70" t="s">
        <v>4990</v>
      </c>
      <c r="D3920" s="15" t="s">
        <v>118</v>
      </c>
      <c r="E3920" s="15" t="s">
        <v>5004</v>
      </c>
      <c r="F3920" s="95">
        <v>2</v>
      </c>
      <c r="G3920" s="16" t="s">
        <v>19</v>
      </c>
      <c r="H3920" s="17">
        <v>750</v>
      </c>
      <c r="I3920" s="17">
        <f t="shared" si="278"/>
        <v>1500</v>
      </c>
      <c r="J3920" s="519">
        <v>733</v>
      </c>
      <c r="K3920" s="519">
        <f t="shared" si="275"/>
        <v>17</v>
      </c>
      <c r="L3920" s="519">
        <f t="shared" si="276"/>
        <v>34</v>
      </c>
      <c r="M3920" s="557">
        <f t="shared" si="277"/>
        <v>2.2666666666666668E-2</v>
      </c>
      <c r="N3920" s="15" t="s">
        <v>22</v>
      </c>
      <c r="O3920" s="15" t="s">
        <v>4066</v>
      </c>
    </row>
    <row r="3921" spans="1:15">
      <c r="A3921" s="70">
        <v>2026</v>
      </c>
      <c r="B3921" s="16" t="s">
        <v>178</v>
      </c>
      <c r="C3921" s="70" t="s">
        <v>4990</v>
      </c>
      <c r="D3921" s="15" t="s">
        <v>118</v>
      </c>
      <c r="E3921" s="15" t="s">
        <v>5005</v>
      </c>
      <c r="F3921" s="95">
        <v>2</v>
      </c>
      <c r="G3921" s="16" t="s">
        <v>19</v>
      </c>
      <c r="H3921" s="17">
        <v>1230</v>
      </c>
      <c r="I3921" s="17">
        <f t="shared" si="278"/>
        <v>2460</v>
      </c>
      <c r="J3921" s="519">
        <v>1212</v>
      </c>
      <c r="K3921" s="519">
        <f t="shared" si="275"/>
        <v>18</v>
      </c>
      <c r="L3921" s="519">
        <f t="shared" si="276"/>
        <v>36</v>
      </c>
      <c r="M3921" s="557">
        <f t="shared" si="277"/>
        <v>1.4634146341463415E-2</v>
      </c>
      <c r="N3921" s="15" t="s">
        <v>22</v>
      </c>
      <c r="O3921" s="15" t="s">
        <v>4066</v>
      </c>
    </row>
    <row r="3922" spans="1:15">
      <c r="A3922" s="70">
        <v>2026</v>
      </c>
      <c r="B3922" s="16" t="s">
        <v>178</v>
      </c>
      <c r="C3922" s="70" t="s">
        <v>4990</v>
      </c>
      <c r="D3922" s="15" t="s">
        <v>118</v>
      </c>
      <c r="E3922" s="15" t="s">
        <v>5006</v>
      </c>
      <c r="F3922" s="95">
        <v>2</v>
      </c>
      <c r="G3922" s="16" t="s">
        <v>19</v>
      </c>
      <c r="H3922" s="17">
        <v>2598</v>
      </c>
      <c r="I3922" s="17">
        <f t="shared" si="278"/>
        <v>5196</v>
      </c>
      <c r="J3922" s="519">
        <v>2560</v>
      </c>
      <c r="K3922" s="519">
        <f t="shared" si="275"/>
        <v>38</v>
      </c>
      <c r="L3922" s="519">
        <f t="shared" si="276"/>
        <v>76</v>
      </c>
      <c r="M3922" s="557">
        <f t="shared" si="277"/>
        <v>1.4626635873749037E-2</v>
      </c>
      <c r="N3922" s="15" t="s">
        <v>22</v>
      </c>
      <c r="O3922" s="15" t="s">
        <v>4066</v>
      </c>
    </row>
    <row r="3923" spans="1:15">
      <c r="A3923" s="70">
        <v>2026</v>
      </c>
      <c r="B3923" s="16" t="s">
        <v>178</v>
      </c>
      <c r="C3923" s="70" t="s">
        <v>5007</v>
      </c>
      <c r="D3923" s="15" t="s">
        <v>1390</v>
      </c>
      <c r="E3923" s="15" t="s">
        <v>5008</v>
      </c>
      <c r="F3923" s="95">
        <v>1</v>
      </c>
      <c r="G3923" s="16" t="s">
        <v>19</v>
      </c>
      <c r="H3923" s="17">
        <v>107.48</v>
      </c>
      <c r="I3923" s="17">
        <f t="shared" si="278"/>
        <v>107.48</v>
      </c>
      <c r="J3923" s="519">
        <v>104.26</v>
      </c>
      <c r="K3923" s="519">
        <f t="shared" si="275"/>
        <v>3.2199999999999989</v>
      </c>
      <c r="L3923" s="519">
        <f t="shared" si="276"/>
        <v>3.2199999999999989</v>
      </c>
      <c r="M3923" s="557">
        <f t="shared" si="277"/>
        <v>2.9959062151097868E-2</v>
      </c>
      <c r="N3923" s="15" t="s">
        <v>40</v>
      </c>
      <c r="O3923" s="15" t="s">
        <v>4066</v>
      </c>
    </row>
    <row r="3924" spans="1:15">
      <c r="A3924" s="70">
        <v>2026</v>
      </c>
      <c r="B3924" s="16" t="s">
        <v>178</v>
      </c>
      <c r="C3924" s="70" t="s">
        <v>5009</v>
      </c>
      <c r="D3924" s="15" t="s">
        <v>673</v>
      </c>
      <c r="E3924" s="15" t="s">
        <v>5010</v>
      </c>
      <c r="F3924" s="95">
        <v>20</v>
      </c>
      <c r="G3924" s="16" t="s">
        <v>19</v>
      </c>
      <c r="H3924" s="17">
        <v>100</v>
      </c>
      <c r="I3924" s="17">
        <f t="shared" si="278"/>
        <v>2000</v>
      </c>
      <c r="J3924" s="519">
        <v>97</v>
      </c>
      <c r="K3924" s="519">
        <f t="shared" si="275"/>
        <v>3</v>
      </c>
      <c r="L3924" s="519">
        <f t="shared" si="276"/>
        <v>60</v>
      </c>
      <c r="M3924" s="557">
        <f t="shared" si="277"/>
        <v>0.03</v>
      </c>
      <c r="N3924" s="15" t="s">
        <v>40</v>
      </c>
      <c r="O3924" s="15" t="s">
        <v>4066</v>
      </c>
    </row>
    <row r="3925" spans="1:15">
      <c r="A3925" s="70">
        <v>2026</v>
      </c>
      <c r="B3925" s="16" t="s">
        <v>178</v>
      </c>
      <c r="C3925" s="70" t="s">
        <v>5011</v>
      </c>
      <c r="D3925" s="15" t="s">
        <v>1042</v>
      </c>
      <c r="E3925" s="15" t="s">
        <v>711</v>
      </c>
      <c r="F3925" s="95">
        <v>2082</v>
      </c>
      <c r="G3925" s="16" t="s">
        <v>37</v>
      </c>
      <c r="H3925" s="17">
        <v>459</v>
      </c>
      <c r="I3925" s="17">
        <f t="shared" si="278"/>
        <v>955638</v>
      </c>
      <c r="J3925" s="519">
        <v>439</v>
      </c>
      <c r="K3925" s="519">
        <f t="shared" si="275"/>
        <v>20</v>
      </c>
      <c r="L3925" s="519">
        <f t="shared" si="276"/>
        <v>41640</v>
      </c>
      <c r="M3925" s="557">
        <f t="shared" si="277"/>
        <v>4.357298474945534E-2</v>
      </c>
      <c r="N3925" s="15" t="s">
        <v>22</v>
      </c>
      <c r="O3925" s="15" t="s">
        <v>105</v>
      </c>
    </row>
    <row r="3926" spans="1:15">
      <c r="A3926" s="70">
        <v>2026</v>
      </c>
      <c r="B3926" s="16" t="s">
        <v>178</v>
      </c>
      <c r="C3926" s="70" t="s">
        <v>5012</v>
      </c>
      <c r="D3926" s="15" t="s">
        <v>192</v>
      </c>
      <c r="E3926" s="15" t="s">
        <v>5013</v>
      </c>
      <c r="F3926" s="95">
        <v>1</v>
      </c>
      <c r="G3926" s="16" t="s">
        <v>19</v>
      </c>
      <c r="H3926" s="17">
        <v>28910</v>
      </c>
      <c r="I3926" s="17">
        <f t="shared" si="278"/>
        <v>28910</v>
      </c>
      <c r="J3926" s="519">
        <v>27780</v>
      </c>
      <c r="K3926" s="519">
        <f t="shared" si="275"/>
        <v>1130</v>
      </c>
      <c r="L3926" s="519">
        <f t="shared" si="276"/>
        <v>1130</v>
      </c>
      <c r="M3926" s="557">
        <f t="shared" si="277"/>
        <v>3.9086821169145622E-2</v>
      </c>
      <c r="N3926" s="15" t="s">
        <v>40</v>
      </c>
      <c r="O3926" s="15" t="s">
        <v>105</v>
      </c>
    </row>
    <row r="3927" spans="1:15">
      <c r="A3927" s="70">
        <v>2026</v>
      </c>
      <c r="B3927" s="16" t="s">
        <v>178</v>
      </c>
      <c r="C3927" s="70" t="s">
        <v>5014</v>
      </c>
      <c r="D3927" s="15" t="s">
        <v>270</v>
      </c>
      <c r="E3927" s="15" t="s">
        <v>755</v>
      </c>
      <c r="F3927" s="95">
        <v>288.60000000000002</v>
      </c>
      <c r="G3927" s="16" t="s">
        <v>37</v>
      </c>
      <c r="H3927" s="17">
        <v>480</v>
      </c>
      <c r="I3927" s="17">
        <f t="shared" ref="I3927:I3972" si="279">H3927*F3927</f>
        <v>138528</v>
      </c>
      <c r="J3927" s="519">
        <v>474</v>
      </c>
      <c r="K3927" s="519">
        <f t="shared" ref="K3927:K3972" si="280">H3927-J3927</f>
        <v>6</v>
      </c>
      <c r="L3927" s="519">
        <f t="shared" ref="L3927:L3972" si="281">K3927*F3927</f>
        <v>1731.6000000000001</v>
      </c>
      <c r="M3927" s="557">
        <f t="shared" ref="M3927:M3972" si="282">K3927/H3927</f>
        <v>1.2500000000000001E-2</v>
      </c>
      <c r="N3927" s="15" t="s">
        <v>22</v>
      </c>
      <c r="O3927" s="15" t="s">
        <v>105</v>
      </c>
    </row>
    <row r="3928" spans="1:15">
      <c r="A3928" s="70">
        <v>2026</v>
      </c>
      <c r="B3928" s="16" t="s">
        <v>178</v>
      </c>
      <c r="C3928" s="70" t="s">
        <v>5015</v>
      </c>
      <c r="D3928" s="15" t="s">
        <v>4329</v>
      </c>
      <c r="E3928" s="15" t="s">
        <v>4330</v>
      </c>
      <c r="F3928" s="95">
        <v>1</v>
      </c>
      <c r="G3928" s="16" t="s">
        <v>285</v>
      </c>
      <c r="H3928" s="17">
        <v>138130.51999999999</v>
      </c>
      <c r="I3928" s="17">
        <f t="shared" si="279"/>
        <v>138130.51999999999</v>
      </c>
      <c r="J3928" s="519">
        <v>130229.63</v>
      </c>
      <c r="K3928" s="519">
        <f t="shared" si="280"/>
        <v>7900.8899999999849</v>
      </c>
      <c r="L3928" s="519">
        <f t="shared" si="281"/>
        <v>7900.8899999999849</v>
      </c>
      <c r="M3928" s="557">
        <f t="shared" si="282"/>
        <v>5.719872769609486E-2</v>
      </c>
      <c r="N3928" s="15" t="s">
        <v>22</v>
      </c>
      <c r="O3928" s="15" t="s">
        <v>105</v>
      </c>
    </row>
    <row r="3929" spans="1:15">
      <c r="A3929" s="70">
        <v>2026</v>
      </c>
      <c r="B3929" s="16" t="s">
        <v>178</v>
      </c>
      <c r="C3929" s="70" t="s">
        <v>5016</v>
      </c>
      <c r="D3929" s="15" t="s">
        <v>1935</v>
      </c>
      <c r="E3929" s="15" t="s">
        <v>5017</v>
      </c>
      <c r="F3929" s="95">
        <v>1380</v>
      </c>
      <c r="G3929" s="16" t="s">
        <v>5018</v>
      </c>
      <c r="H3929" s="17">
        <v>5</v>
      </c>
      <c r="I3929" s="17">
        <f t="shared" si="279"/>
        <v>6900</v>
      </c>
      <c r="J3929" s="519">
        <v>4.2</v>
      </c>
      <c r="K3929" s="519">
        <f t="shared" si="280"/>
        <v>0.79999999999999982</v>
      </c>
      <c r="L3929" s="519">
        <f t="shared" si="281"/>
        <v>1103.9999999999998</v>
      </c>
      <c r="M3929" s="557">
        <f t="shared" si="282"/>
        <v>0.15999999999999998</v>
      </c>
      <c r="N3929" s="15" t="s">
        <v>22</v>
      </c>
      <c r="O3929" s="15" t="s">
        <v>4066</v>
      </c>
    </row>
    <row r="3930" spans="1:15">
      <c r="A3930" s="70">
        <v>2026</v>
      </c>
      <c r="B3930" s="16" t="s">
        <v>178</v>
      </c>
      <c r="C3930" s="70" t="s">
        <v>5016</v>
      </c>
      <c r="D3930" s="15" t="s">
        <v>1935</v>
      </c>
      <c r="E3930" s="15" t="s">
        <v>5019</v>
      </c>
      <c r="F3930" s="95">
        <v>96</v>
      </c>
      <c r="G3930" s="16" t="s">
        <v>798</v>
      </c>
      <c r="H3930" s="17">
        <v>290</v>
      </c>
      <c r="I3930" s="17">
        <f t="shared" si="279"/>
        <v>27840</v>
      </c>
      <c r="J3930" s="519">
        <v>235</v>
      </c>
      <c r="K3930" s="519">
        <f t="shared" si="280"/>
        <v>55</v>
      </c>
      <c r="L3930" s="519">
        <f t="shared" si="281"/>
        <v>5280</v>
      </c>
      <c r="M3930" s="557">
        <f t="shared" si="282"/>
        <v>0.18965517241379309</v>
      </c>
      <c r="N3930" s="15" t="s">
        <v>22</v>
      </c>
      <c r="O3930" s="15" t="s">
        <v>4066</v>
      </c>
    </row>
    <row r="3931" spans="1:15">
      <c r="A3931" s="70">
        <v>2026</v>
      </c>
      <c r="B3931" s="16" t="s">
        <v>178</v>
      </c>
      <c r="C3931" s="70" t="s">
        <v>5016</v>
      </c>
      <c r="D3931" s="15" t="s">
        <v>1935</v>
      </c>
      <c r="E3931" s="15" t="s">
        <v>5020</v>
      </c>
      <c r="F3931" s="95">
        <v>3</v>
      </c>
      <c r="G3931" s="16" t="s">
        <v>19</v>
      </c>
      <c r="H3931" s="17">
        <v>460</v>
      </c>
      <c r="I3931" s="17">
        <f t="shared" si="279"/>
        <v>1380</v>
      </c>
      <c r="J3931" s="519">
        <v>425</v>
      </c>
      <c r="K3931" s="519">
        <f t="shared" si="280"/>
        <v>35</v>
      </c>
      <c r="L3931" s="519">
        <f t="shared" si="281"/>
        <v>105</v>
      </c>
      <c r="M3931" s="557">
        <f t="shared" si="282"/>
        <v>7.6086956521739135E-2</v>
      </c>
      <c r="N3931" s="15" t="s">
        <v>22</v>
      </c>
      <c r="O3931" s="15" t="s">
        <v>4066</v>
      </c>
    </row>
    <row r="3932" spans="1:15">
      <c r="A3932" s="70">
        <v>2026</v>
      </c>
      <c r="B3932" s="16" t="s">
        <v>178</v>
      </c>
      <c r="C3932" s="70" t="s">
        <v>5016</v>
      </c>
      <c r="D3932" s="15" t="s">
        <v>1935</v>
      </c>
      <c r="E3932" s="15" t="s">
        <v>5021</v>
      </c>
      <c r="F3932" s="95">
        <v>3</v>
      </c>
      <c r="G3932" s="16" t="s">
        <v>19</v>
      </c>
      <c r="H3932" s="17">
        <v>880</v>
      </c>
      <c r="I3932" s="17">
        <f t="shared" si="279"/>
        <v>2640</v>
      </c>
      <c r="J3932" s="519">
        <v>860</v>
      </c>
      <c r="K3932" s="519">
        <f t="shared" si="280"/>
        <v>20</v>
      </c>
      <c r="L3932" s="519">
        <f t="shared" si="281"/>
        <v>60</v>
      </c>
      <c r="M3932" s="557">
        <f t="shared" si="282"/>
        <v>2.2727272727272728E-2</v>
      </c>
      <c r="N3932" s="15" t="s">
        <v>22</v>
      </c>
      <c r="O3932" s="15" t="s">
        <v>4066</v>
      </c>
    </row>
    <row r="3933" spans="1:15">
      <c r="A3933" s="70">
        <v>2026</v>
      </c>
      <c r="B3933" s="16" t="s">
        <v>178</v>
      </c>
      <c r="C3933" s="70" t="s">
        <v>5016</v>
      </c>
      <c r="D3933" s="15" t="s">
        <v>1935</v>
      </c>
      <c r="E3933" s="15" t="s">
        <v>5022</v>
      </c>
      <c r="F3933" s="95">
        <v>85</v>
      </c>
      <c r="G3933" s="16" t="s">
        <v>19</v>
      </c>
      <c r="H3933" s="17">
        <v>165</v>
      </c>
      <c r="I3933" s="17">
        <f t="shared" si="279"/>
        <v>14025</v>
      </c>
      <c r="J3933" s="519">
        <v>140</v>
      </c>
      <c r="K3933" s="519">
        <f t="shared" si="280"/>
        <v>25</v>
      </c>
      <c r="L3933" s="519">
        <f t="shared" si="281"/>
        <v>2125</v>
      </c>
      <c r="M3933" s="557">
        <f t="shared" si="282"/>
        <v>0.15151515151515152</v>
      </c>
      <c r="N3933" s="15" t="s">
        <v>22</v>
      </c>
      <c r="O3933" s="15" t="s">
        <v>4066</v>
      </c>
    </row>
    <row r="3934" spans="1:15">
      <c r="A3934" s="70">
        <v>2026</v>
      </c>
      <c r="B3934" s="16" t="s">
        <v>178</v>
      </c>
      <c r="C3934" s="70" t="s">
        <v>5016</v>
      </c>
      <c r="D3934" s="15" t="s">
        <v>1935</v>
      </c>
      <c r="E3934" s="15" t="s">
        <v>5023</v>
      </c>
      <c r="F3934" s="95">
        <v>10</v>
      </c>
      <c r="G3934" s="16" t="s">
        <v>798</v>
      </c>
      <c r="H3934" s="17">
        <v>370</v>
      </c>
      <c r="I3934" s="17">
        <f t="shared" si="279"/>
        <v>3700</v>
      </c>
      <c r="J3934" s="519">
        <v>350</v>
      </c>
      <c r="K3934" s="519">
        <f t="shared" si="280"/>
        <v>20</v>
      </c>
      <c r="L3934" s="519">
        <f t="shared" si="281"/>
        <v>200</v>
      </c>
      <c r="M3934" s="557">
        <f t="shared" si="282"/>
        <v>5.4054054054054057E-2</v>
      </c>
      <c r="N3934" s="15" t="s">
        <v>22</v>
      </c>
      <c r="O3934" s="15" t="s">
        <v>4066</v>
      </c>
    </row>
    <row r="3935" spans="1:15">
      <c r="A3935" s="70">
        <v>2026</v>
      </c>
      <c r="B3935" s="16" t="s">
        <v>178</v>
      </c>
      <c r="C3935" s="70" t="s">
        <v>5016</v>
      </c>
      <c r="D3935" s="15" t="s">
        <v>1935</v>
      </c>
      <c r="E3935" s="15" t="s">
        <v>5024</v>
      </c>
      <c r="F3935" s="95">
        <v>540</v>
      </c>
      <c r="G3935" s="16" t="s">
        <v>19</v>
      </c>
      <c r="H3935" s="17">
        <v>52</v>
      </c>
      <c r="I3935" s="17">
        <f t="shared" si="279"/>
        <v>28080</v>
      </c>
      <c r="J3935" s="519">
        <v>50</v>
      </c>
      <c r="K3935" s="519">
        <f t="shared" si="280"/>
        <v>2</v>
      </c>
      <c r="L3935" s="519">
        <f t="shared" si="281"/>
        <v>1080</v>
      </c>
      <c r="M3935" s="557">
        <f t="shared" si="282"/>
        <v>3.8461538461538464E-2</v>
      </c>
      <c r="N3935" s="15" t="s">
        <v>22</v>
      </c>
      <c r="O3935" s="15" t="s">
        <v>4066</v>
      </c>
    </row>
    <row r="3936" spans="1:15">
      <c r="A3936" s="70">
        <v>2026</v>
      </c>
      <c r="B3936" s="16" t="s">
        <v>178</v>
      </c>
      <c r="C3936" s="70" t="s">
        <v>5025</v>
      </c>
      <c r="D3936" s="15" t="s">
        <v>113</v>
      </c>
      <c r="E3936" s="15" t="s">
        <v>5026</v>
      </c>
      <c r="F3936" s="95">
        <v>2</v>
      </c>
      <c r="G3936" s="16" t="s">
        <v>302</v>
      </c>
      <c r="H3936" s="17">
        <v>8125</v>
      </c>
      <c r="I3936" s="17">
        <f t="shared" si="279"/>
        <v>16250</v>
      </c>
      <c r="J3936" s="519">
        <v>6500</v>
      </c>
      <c r="K3936" s="519">
        <f t="shared" si="280"/>
        <v>1625</v>
      </c>
      <c r="L3936" s="519">
        <f t="shared" si="281"/>
        <v>3250</v>
      </c>
      <c r="M3936" s="557">
        <f t="shared" si="282"/>
        <v>0.2</v>
      </c>
      <c r="N3936" s="15" t="s">
        <v>40</v>
      </c>
      <c r="O3936" s="15" t="s">
        <v>4066</v>
      </c>
    </row>
    <row r="3937" spans="1:15">
      <c r="A3937" s="70">
        <v>2026</v>
      </c>
      <c r="B3937" s="16" t="s">
        <v>178</v>
      </c>
      <c r="C3937" s="70" t="s">
        <v>5027</v>
      </c>
      <c r="D3937" s="15" t="s">
        <v>118</v>
      </c>
      <c r="E3937" s="15" t="s">
        <v>5028</v>
      </c>
      <c r="F3937" s="95">
        <v>6</v>
      </c>
      <c r="G3937" s="16" t="s">
        <v>19</v>
      </c>
      <c r="H3937" s="17">
        <v>5907</v>
      </c>
      <c r="I3937" s="17">
        <f t="shared" si="279"/>
        <v>35442</v>
      </c>
      <c r="J3937" s="519">
        <v>5880</v>
      </c>
      <c r="K3937" s="519">
        <f t="shared" si="280"/>
        <v>27</v>
      </c>
      <c r="L3937" s="519">
        <f t="shared" si="281"/>
        <v>162</v>
      </c>
      <c r="M3937" s="557">
        <f t="shared" si="282"/>
        <v>4.5708481462671405E-3</v>
      </c>
      <c r="N3937" s="15" t="s">
        <v>22</v>
      </c>
      <c r="O3937" s="15" t="s">
        <v>4066</v>
      </c>
    </row>
    <row r="3938" spans="1:15">
      <c r="A3938" s="70">
        <v>2026</v>
      </c>
      <c r="B3938" s="16" t="s">
        <v>178</v>
      </c>
      <c r="C3938" s="70" t="s">
        <v>5027</v>
      </c>
      <c r="D3938" s="15" t="s">
        <v>118</v>
      </c>
      <c r="E3938" s="15" t="s">
        <v>5029</v>
      </c>
      <c r="F3938" s="95">
        <v>6</v>
      </c>
      <c r="G3938" s="16" t="s">
        <v>19</v>
      </c>
      <c r="H3938" s="17">
        <v>2034</v>
      </c>
      <c r="I3938" s="17">
        <f t="shared" si="279"/>
        <v>12204</v>
      </c>
      <c r="J3938" s="519">
        <v>2020</v>
      </c>
      <c r="K3938" s="519">
        <f t="shared" si="280"/>
        <v>14</v>
      </c>
      <c r="L3938" s="519">
        <f t="shared" si="281"/>
        <v>84</v>
      </c>
      <c r="M3938" s="557">
        <f t="shared" si="282"/>
        <v>6.8829891838741398E-3</v>
      </c>
      <c r="N3938" s="15" t="s">
        <v>22</v>
      </c>
      <c r="O3938" s="15" t="s">
        <v>4066</v>
      </c>
    </row>
    <row r="3939" spans="1:15">
      <c r="A3939" s="70">
        <v>2026</v>
      </c>
      <c r="B3939" s="16" t="s">
        <v>178</v>
      </c>
      <c r="C3939" s="70" t="s">
        <v>5027</v>
      </c>
      <c r="D3939" s="15" t="s">
        <v>118</v>
      </c>
      <c r="E3939" s="15" t="s">
        <v>5030</v>
      </c>
      <c r="F3939" s="95">
        <v>6</v>
      </c>
      <c r="G3939" s="16" t="s">
        <v>19</v>
      </c>
      <c r="H3939" s="17">
        <v>1049</v>
      </c>
      <c r="I3939" s="17">
        <f t="shared" si="279"/>
        <v>6294</v>
      </c>
      <c r="J3939" s="519">
        <v>1035</v>
      </c>
      <c r="K3939" s="519">
        <f t="shared" si="280"/>
        <v>14</v>
      </c>
      <c r="L3939" s="519">
        <f t="shared" si="281"/>
        <v>84</v>
      </c>
      <c r="M3939" s="557">
        <f t="shared" si="282"/>
        <v>1.334604385128694E-2</v>
      </c>
      <c r="N3939" s="15" t="s">
        <v>22</v>
      </c>
      <c r="O3939" s="15" t="s">
        <v>4066</v>
      </c>
    </row>
    <row r="3940" spans="1:15">
      <c r="A3940" s="70">
        <v>2026</v>
      </c>
      <c r="B3940" s="16" t="s">
        <v>178</v>
      </c>
      <c r="C3940" s="70" t="s">
        <v>5031</v>
      </c>
      <c r="D3940" s="15" t="s">
        <v>4857</v>
      </c>
      <c r="E3940" s="15" t="s">
        <v>5032</v>
      </c>
      <c r="F3940" s="95">
        <v>1</v>
      </c>
      <c r="G3940" s="16" t="s">
        <v>285</v>
      </c>
      <c r="H3940" s="17">
        <v>143540</v>
      </c>
      <c r="I3940" s="17">
        <f t="shared" si="279"/>
        <v>143540</v>
      </c>
      <c r="J3940" s="519">
        <v>141000</v>
      </c>
      <c r="K3940" s="519">
        <f t="shared" si="280"/>
        <v>2540</v>
      </c>
      <c r="L3940" s="519">
        <f t="shared" si="281"/>
        <v>2540</v>
      </c>
      <c r="M3940" s="557">
        <f t="shared" si="282"/>
        <v>1.7695415911940921E-2</v>
      </c>
      <c r="N3940" s="15" t="s">
        <v>40</v>
      </c>
      <c r="O3940" s="15" t="s">
        <v>4066</v>
      </c>
    </row>
    <row r="3941" spans="1:15">
      <c r="A3941" s="70">
        <v>2026</v>
      </c>
      <c r="B3941" s="16" t="s">
        <v>178</v>
      </c>
      <c r="C3941" s="70" t="s">
        <v>5031</v>
      </c>
      <c r="D3941" s="15" t="s">
        <v>4857</v>
      </c>
      <c r="E3941" s="15" t="s">
        <v>5033</v>
      </c>
      <c r="F3941" s="95">
        <v>1</v>
      </c>
      <c r="G3941" s="16" t="s">
        <v>285</v>
      </c>
      <c r="H3941" s="17">
        <v>126000</v>
      </c>
      <c r="I3941" s="17">
        <f t="shared" si="279"/>
        <v>126000</v>
      </c>
      <c r="J3941" s="519">
        <v>124000</v>
      </c>
      <c r="K3941" s="519">
        <f t="shared" si="280"/>
        <v>2000</v>
      </c>
      <c r="L3941" s="519">
        <f t="shared" si="281"/>
        <v>2000</v>
      </c>
      <c r="M3941" s="557">
        <f t="shared" si="282"/>
        <v>1.5873015873015872E-2</v>
      </c>
      <c r="N3941" s="15" t="s">
        <v>40</v>
      </c>
      <c r="O3941" s="15" t="s">
        <v>4066</v>
      </c>
    </row>
    <row r="3942" spans="1:15">
      <c r="A3942" s="70">
        <v>2026</v>
      </c>
      <c r="B3942" s="16" t="s">
        <v>178</v>
      </c>
      <c r="C3942" s="70" t="s">
        <v>5034</v>
      </c>
      <c r="D3942" s="15" t="s">
        <v>118</v>
      </c>
      <c r="E3942" s="565" t="s">
        <v>5035</v>
      </c>
      <c r="F3942" s="95">
        <v>8</v>
      </c>
      <c r="G3942" s="16" t="s">
        <v>19</v>
      </c>
      <c r="H3942" s="17">
        <v>5080</v>
      </c>
      <c r="I3942" s="17">
        <f t="shared" si="279"/>
        <v>40640</v>
      </c>
      <c r="J3942" s="519">
        <v>4995</v>
      </c>
      <c r="K3942" s="519">
        <f t="shared" si="280"/>
        <v>85</v>
      </c>
      <c r="L3942" s="519">
        <f t="shared" si="281"/>
        <v>680</v>
      </c>
      <c r="M3942" s="557">
        <f t="shared" si="282"/>
        <v>1.6732283464566931E-2</v>
      </c>
      <c r="N3942" s="15" t="s">
        <v>22</v>
      </c>
      <c r="O3942" s="15" t="s">
        <v>4066</v>
      </c>
    </row>
    <row r="3943" spans="1:15">
      <c r="A3943" s="70">
        <v>2026</v>
      </c>
      <c r="B3943" s="16" t="s">
        <v>178</v>
      </c>
      <c r="C3943" s="70" t="s">
        <v>5036</v>
      </c>
      <c r="D3943" s="15" t="s">
        <v>4857</v>
      </c>
      <c r="E3943" s="15" t="s">
        <v>5037</v>
      </c>
      <c r="F3943" s="95">
        <v>1</v>
      </c>
      <c r="G3943" s="16" t="s">
        <v>285</v>
      </c>
      <c r="H3943" s="17">
        <v>524500</v>
      </c>
      <c r="I3943" s="17">
        <f t="shared" si="279"/>
        <v>524500</v>
      </c>
      <c r="J3943" s="519">
        <v>520000</v>
      </c>
      <c r="K3943" s="519">
        <f t="shared" si="280"/>
        <v>4500</v>
      </c>
      <c r="L3943" s="519">
        <f t="shared" si="281"/>
        <v>4500</v>
      </c>
      <c r="M3943" s="557">
        <f t="shared" si="282"/>
        <v>8.5795996186844616E-3</v>
      </c>
      <c r="N3943" s="15" t="s">
        <v>40</v>
      </c>
      <c r="O3943" s="15" t="s">
        <v>4066</v>
      </c>
    </row>
    <row r="3944" spans="1:15">
      <c r="A3944" s="70">
        <v>2026</v>
      </c>
      <c r="B3944" s="16" t="s">
        <v>178</v>
      </c>
      <c r="C3944" s="70" t="s">
        <v>5038</v>
      </c>
      <c r="D3944" s="15" t="s">
        <v>118</v>
      </c>
      <c r="E3944" s="15" t="s">
        <v>5039</v>
      </c>
      <c r="F3944" s="95">
        <v>10</v>
      </c>
      <c r="G3944" s="16" t="s">
        <v>19</v>
      </c>
      <c r="H3944" s="17">
        <v>350</v>
      </c>
      <c r="I3944" s="17">
        <f t="shared" si="279"/>
        <v>3500</v>
      </c>
      <c r="J3944" s="519">
        <v>340</v>
      </c>
      <c r="K3944" s="519">
        <f t="shared" si="280"/>
        <v>10</v>
      </c>
      <c r="L3944" s="519">
        <f t="shared" si="281"/>
        <v>100</v>
      </c>
      <c r="M3944" s="557">
        <f t="shared" si="282"/>
        <v>2.8571428571428571E-2</v>
      </c>
      <c r="N3944" s="15" t="s">
        <v>22</v>
      </c>
      <c r="O3944" s="15" t="s">
        <v>4066</v>
      </c>
    </row>
    <row r="3945" spans="1:15">
      <c r="A3945" s="70">
        <v>2026</v>
      </c>
      <c r="B3945" s="16" t="s">
        <v>178</v>
      </c>
      <c r="C3945" s="70" t="s">
        <v>5038</v>
      </c>
      <c r="D3945" s="15" t="s">
        <v>118</v>
      </c>
      <c r="E3945" s="15" t="s">
        <v>5040</v>
      </c>
      <c r="F3945" s="95">
        <v>4</v>
      </c>
      <c r="G3945" s="16" t="s">
        <v>19</v>
      </c>
      <c r="H3945" s="17">
        <v>270</v>
      </c>
      <c r="I3945" s="17">
        <f t="shared" si="279"/>
        <v>1080</v>
      </c>
      <c r="J3945" s="519">
        <v>260</v>
      </c>
      <c r="K3945" s="519">
        <f t="shared" si="280"/>
        <v>10</v>
      </c>
      <c r="L3945" s="519">
        <f t="shared" si="281"/>
        <v>40</v>
      </c>
      <c r="M3945" s="557">
        <f t="shared" si="282"/>
        <v>3.7037037037037035E-2</v>
      </c>
      <c r="N3945" s="15" t="s">
        <v>22</v>
      </c>
      <c r="O3945" s="15" t="s">
        <v>4066</v>
      </c>
    </row>
    <row r="3946" spans="1:15">
      <c r="A3946" s="70">
        <v>2026</v>
      </c>
      <c r="B3946" s="16" t="s">
        <v>178</v>
      </c>
      <c r="C3946" s="70" t="s">
        <v>5038</v>
      </c>
      <c r="D3946" s="15" t="s">
        <v>118</v>
      </c>
      <c r="E3946" s="15" t="s">
        <v>5041</v>
      </c>
      <c r="F3946" s="95">
        <v>10</v>
      </c>
      <c r="G3946" s="16" t="s">
        <v>19</v>
      </c>
      <c r="H3946" s="17">
        <v>2067.4499999999998</v>
      </c>
      <c r="I3946" s="17">
        <f t="shared" si="279"/>
        <v>20674.5</v>
      </c>
      <c r="J3946" s="519">
        <v>1550.59</v>
      </c>
      <c r="K3946" s="519">
        <f t="shared" si="280"/>
        <v>516.8599999999999</v>
      </c>
      <c r="L3946" s="519">
        <f t="shared" si="281"/>
        <v>5168.5999999999985</v>
      </c>
      <c r="M3946" s="557">
        <f t="shared" si="282"/>
        <v>0.24999879078091367</v>
      </c>
      <c r="N3946" s="15" t="s">
        <v>22</v>
      </c>
      <c r="O3946" s="15" t="s">
        <v>4066</v>
      </c>
    </row>
    <row r="3947" spans="1:15">
      <c r="A3947" s="70">
        <v>2026</v>
      </c>
      <c r="B3947" s="16" t="s">
        <v>178</v>
      </c>
      <c r="C3947" s="70" t="s">
        <v>5038</v>
      </c>
      <c r="D3947" s="15" t="s">
        <v>118</v>
      </c>
      <c r="E3947" s="15" t="s">
        <v>5042</v>
      </c>
      <c r="F3947" s="95">
        <v>2</v>
      </c>
      <c r="G3947" s="16" t="s">
        <v>19</v>
      </c>
      <c r="H3947" s="17">
        <v>750</v>
      </c>
      <c r="I3947" s="17">
        <f t="shared" si="279"/>
        <v>1500</v>
      </c>
      <c r="J3947" s="519">
        <v>695</v>
      </c>
      <c r="K3947" s="519">
        <f t="shared" si="280"/>
        <v>55</v>
      </c>
      <c r="L3947" s="519">
        <f t="shared" si="281"/>
        <v>110</v>
      </c>
      <c r="M3947" s="557">
        <f t="shared" si="282"/>
        <v>7.3333333333333334E-2</v>
      </c>
      <c r="N3947" s="15" t="s">
        <v>22</v>
      </c>
      <c r="O3947" s="15" t="s">
        <v>4066</v>
      </c>
    </row>
    <row r="3948" spans="1:15">
      <c r="A3948" s="70">
        <v>2026</v>
      </c>
      <c r="B3948" s="16" t="s">
        <v>178</v>
      </c>
      <c r="C3948" s="70" t="s">
        <v>5038</v>
      </c>
      <c r="D3948" s="15" t="s">
        <v>118</v>
      </c>
      <c r="E3948" s="15" t="s">
        <v>5043</v>
      </c>
      <c r="F3948" s="95">
        <v>2</v>
      </c>
      <c r="G3948" s="16" t="s">
        <v>19</v>
      </c>
      <c r="H3948" s="17">
        <v>813</v>
      </c>
      <c r="I3948" s="17">
        <f t="shared" si="279"/>
        <v>1626</v>
      </c>
      <c r="J3948" s="519">
        <v>609.75</v>
      </c>
      <c r="K3948" s="519">
        <f t="shared" si="280"/>
        <v>203.25</v>
      </c>
      <c r="L3948" s="519">
        <f t="shared" si="281"/>
        <v>406.5</v>
      </c>
      <c r="M3948" s="557">
        <f t="shared" si="282"/>
        <v>0.25</v>
      </c>
      <c r="N3948" s="15" t="s">
        <v>22</v>
      </c>
      <c r="O3948" s="15" t="s">
        <v>4066</v>
      </c>
    </row>
    <row r="3949" spans="1:15">
      <c r="A3949" s="70">
        <v>2026</v>
      </c>
      <c r="B3949" s="16" t="s">
        <v>178</v>
      </c>
      <c r="C3949" s="70" t="s">
        <v>5038</v>
      </c>
      <c r="D3949" s="15" t="s">
        <v>118</v>
      </c>
      <c r="E3949" s="15" t="s">
        <v>5044</v>
      </c>
      <c r="F3949" s="95">
        <v>2</v>
      </c>
      <c r="G3949" s="16" t="s">
        <v>19</v>
      </c>
      <c r="H3949" s="17">
        <v>769.6</v>
      </c>
      <c r="I3949" s="17">
        <f t="shared" si="279"/>
        <v>1539.2</v>
      </c>
      <c r="J3949" s="519">
        <v>577.20000000000005</v>
      </c>
      <c r="K3949" s="519">
        <f t="shared" si="280"/>
        <v>192.39999999999998</v>
      </c>
      <c r="L3949" s="519">
        <f t="shared" si="281"/>
        <v>384.79999999999995</v>
      </c>
      <c r="M3949" s="557">
        <f t="shared" si="282"/>
        <v>0.24999999999999997</v>
      </c>
      <c r="N3949" s="15" t="s">
        <v>22</v>
      </c>
      <c r="O3949" s="15" t="s">
        <v>4066</v>
      </c>
    </row>
    <row r="3950" spans="1:15">
      <c r="A3950" s="70">
        <v>2026</v>
      </c>
      <c r="B3950" s="16" t="s">
        <v>178</v>
      </c>
      <c r="C3950" s="70" t="s">
        <v>5038</v>
      </c>
      <c r="D3950" s="15" t="s">
        <v>118</v>
      </c>
      <c r="E3950" s="15" t="s">
        <v>5045</v>
      </c>
      <c r="F3950" s="95">
        <v>2</v>
      </c>
      <c r="G3950" s="16" t="s">
        <v>19</v>
      </c>
      <c r="H3950" s="17">
        <v>6028</v>
      </c>
      <c r="I3950" s="17">
        <f t="shared" si="279"/>
        <v>12056</v>
      </c>
      <c r="J3950" s="519">
        <v>5950</v>
      </c>
      <c r="K3950" s="519">
        <f t="shared" si="280"/>
        <v>78</v>
      </c>
      <c r="L3950" s="519">
        <f t="shared" si="281"/>
        <v>156</v>
      </c>
      <c r="M3950" s="557">
        <f t="shared" si="282"/>
        <v>1.2939615129396152E-2</v>
      </c>
      <c r="N3950" s="15" t="s">
        <v>22</v>
      </c>
      <c r="O3950" s="15" t="s">
        <v>4066</v>
      </c>
    </row>
    <row r="3951" spans="1:15">
      <c r="A3951" s="70">
        <v>2026</v>
      </c>
      <c r="B3951" s="16" t="s">
        <v>178</v>
      </c>
      <c r="C3951" s="70" t="s">
        <v>5046</v>
      </c>
      <c r="D3951" s="15" t="s">
        <v>2291</v>
      </c>
      <c r="E3951" s="15" t="s">
        <v>5047</v>
      </c>
      <c r="F3951" s="95">
        <v>1</v>
      </c>
      <c r="G3951" s="16" t="s">
        <v>285</v>
      </c>
      <c r="H3951" s="17">
        <v>99700</v>
      </c>
      <c r="I3951" s="17">
        <f t="shared" si="279"/>
        <v>99700</v>
      </c>
      <c r="J3951" s="519">
        <v>88914</v>
      </c>
      <c r="K3951" s="519">
        <f t="shared" si="280"/>
        <v>10786</v>
      </c>
      <c r="L3951" s="519">
        <f t="shared" si="281"/>
        <v>10786</v>
      </c>
      <c r="M3951" s="557">
        <f t="shared" si="282"/>
        <v>0.10818455366098295</v>
      </c>
      <c r="N3951" s="15" t="s">
        <v>40</v>
      </c>
      <c r="O3951" s="15" t="s">
        <v>4066</v>
      </c>
    </row>
    <row r="3952" spans="1:15">
      <c r="A3952" s="70">
        <v>2026</v>
      </c>
      <c r="B3952" s="16" t="s">
        <v>178</v>
      </c>
      <c r="C3952" s="70" t="s">
        <v>5048</v>
      </c>
      <c r="D3952" s="15" t="s">
        <v>2291</v>
      </c>
      <c r="E3952" s="15" t="s">
        <v>5049</v>
      </c>
      <c r="F3952" s="95">
        <v>1</v>
      </c>
      <c r="G3952" s="16" t="s">
        <v>285</v>
      </c>
      <c r="H3952" s="17">
        <v>67500</v>
      </c>
      <c r="I3952" s="17">
        <f t="shared" si="279"/>
        <v>67500</v>
      </c>
      <c r="J3952" s="519">
        <v>65000</v>
      </c>
      <c r="K3952" s="519">
        <f t="shared" si="280"/>
        <v>2500</v>
      </c>
      <c r="L3952" s="519">
        <f t="shared" si="281"/>
        <v>2500</v>
      </c>
      <c r="M3952" s="557">
        <f t="shared" si="282"/>
        <v>3.7037037037037035E-2</v>
      </c>
      <c r="N3952" s="15" t="s">
        <v>40</v>
      </c>
      <c r="O3952" s="15" t="s">
        <v>4066</v>
      </c>
    </row>
    <row r="3953" spans="1:16">
      <c r="A3953" s="70">
        <v>2026</v>
      </c>
      <c r="B3953" s="16" t="s">
        <v>178</v>
      </c>
      <c r="C3953" s="70" t="s">
        <v>5050</v>
      </c>
      <c r="D3953" s="15" t="s">
        <v>118</v>
      </c>
      <c r="E3953" s="15" t="s">
        <v>5051</v>
      </c>
      <c r="F3953" s="95">
        <v>1</v>
      </c>
      <c r="G3953" s="16" t="s">
        <v>19</v>
      </c>
      <c r="H3953" s="17">
        <v>193.2</v>
      </c>
      <c r="I3953" s="17">
        <f t="shared" si="279"/>
        <v>193.2</v>
      </c>
      <c r="J3953" s="519">
        <v>144.9</v>
      </c>
      <c r="K3953" s="519">
        <f t="shared" si="280"/>
        <v>48.299999999999983</v>
      </c>
      <c r="L3953" s="519">
        <f t="shared" si="281"/>
        <v>48.299999999999983</v>
      </c>
      <c r="M3953" s="557">
        <f t="shared" si="282"/>
        <v>0.24999999999999992</v>
      </c>
      <c r="N3953" s="15" t="s">
        <v>40</v>
      </c>
      <c r="O3953" s="15" t="s">
        <v>4066</v>
      </c>
    </row>
    <row r="3954" spans="1:16">
      <c r="A3954" s="70">
        <v>2026</v>
      </c>
      <c r="B3954" s="16" t="s">
        <v>178</v>
      </c>
      <c r="C3954" s="70" t="s">
        <v>5050</v>
      </c>
      <c r="D3954" s="15" t="s">
        <v>118</v>
      </c>
      <c r="E3954" s="15" t="s">
        <v>5052</v>
      </c>
      <c r="F3954" s="95">
        <v>1</v>
      </c>
      <c r="G3954" s="16" t="s">
        <v>19</v>
      </c>
      <c r="H3954" s="17">
        <v>511</v>
      </c>
      <c r="I3954" s="17">
        <f t="shared" si="279"/>
        <v>511</v>
      </c>
      <c r="J3954" s="519">
        <v>383.25</v>
      </c>
      <c r="K3954" s="519">
        <f t="shared" si="280"/>
        <v>127.75</v>
      </c>
      <c r="L3954" s="519">
        <f t="shared" si="281"/>
        <v>127.75</v>
      </c>
      <c r="M3954" s="557">
        <f t="shared" si="282"/>
        <v>0.25</v>
      </c>
      <c r="N3954" s="15" t="s">
        <v>40</v>
      </c>
      <c r="O3954" s="15" t="s">
        <v>4066</v>
      </c>
    </row>
    <row r="3955" spans="1:16">
      <c r="A3955" s="70">
        <v>2026</v>
      </c>
      <c r="B3955" s="16" t="s">
        <v>178</v>
      </c>
      <c r="C3955" s="70" t="s">
        <v>5053</v>
      </c>
      <c r="D3955" s="15" t="s">
        <v>345</v>
      </c>
      <c r="E3955" s="15" t="s">
        <v>5054</v>
      </c>
      <c r="F3955" s="95">
        <v>1</v>
      </c>
      <c r="G3955" s="16" t="s">
        <v>285</v>
      </c>
      <c r="H3955" s="17">
        <v>108000</v>
      </c>
      <c r="I3955" s="17">
        <f t="shared" si="279"/>
        <v>108000</v>
      </c>
      <c r="J3955" s="519">
        <v>104000</v>
      </c>
      <c r="K3955" s="519">
        <f t="shared" si="280"/>
        <v>4000</v>
      </c>
      <c r="L3955" s="519">
        <f t="shared" si="281"/>
        <v>4000</v>
      </c>
      <c r="M3955" s="557">
        <f t="shared" si="282"/>
        <v>3.7037037037037035E-2</v>
      </c>
      <c r="N3955" s="15" t="s">
        <v>40</v>
      </c>
      <c r="O3955" s="15" t="s">
        <v>4066</v>
      </c>
    </row>
    <row r="3956" spans="1:16">
      <c r="A3956" s="70">
        <v>2026</v>
      </c>
      <c r="B3956" s="16" t="s">
        <v>178</v>
      </c>
      <c r="C3956" s="70" t="s">
        <v>5055</v>
      </c>
      <c r="D3956" s="15" t="s">
        <v>1566</v>
      </c>
      <c r="E3956" s="15" t="s">
        <v>5056</v>
      </c>
      <c r="F3956" s="95">
        <v>1</v>
      </c>
      <c r="G3956" s="16" t="s">
        <v>19</v>
      </c>
      <c r="H3956" s="17">
        <v>72000</v>
      </c>
      <c r="I3956" s="17">
        <f t="shared" si="279"/>
        <v>72000</v>
      </c>
      <c r="J3956" s="519">
        <v>64800</v>
      </c>
      <c r="K3956" s="519">
        <f t="shared" si="280"/>
        <v>7200</v>
      </c>
      <c r="L3956" s="519">
        <f t="shared" si="281"/>
        <v>7200</v>
      </c>
      <c r="M3956" s="557">
        <f t="shared" si="282"/>
        <v>0.1</v>
      </c>
      <c r="N3956" s="15" t="s">
        <v>40</v>
      </c>
      <c r="O3956" s="15" t="s">
        <v>4066</v>
      </c>
    </row>
    <row r="3957" spans="1:16">
      <c r="A3957" s="70">
        <v>2026</v>
      </c>
      <c r="B3957" s="16" t="s">
        <v>178</v>
      </c>
      <c r="C3957" s="70" t="s">
        <v>5057</v>
      </c>
      <c r="D3957" s="15" t="s">
        <v>946</v>
      </c>
      <c r="E3957" s="15" t="s">
        <v>1700</v>
      </c>
      <c r="F3957" s="95">
        <v>4000</v>
      </c>
      <c r="G3957" s="16" t="s">
        <v>615</v>
      </c>
      <c r="H3957" s="17">
        <v>22.5</v>
      </c>
      <c r="I3957" s="17">
        <f t="shared" si="279"/>
        <v>90000</v>
      </c>
      <c r="J3957" s="519">
        <v>20.93</v>
      </c>
      <c r="K3957" s="519">
        <f t="shared" si="280"/>
        <v>1.5700000000000003</v>
      </c>
      <c r="L3957" s="519">
        <f t="shared" si="281"/>
        <v>6280.0000000000009</v>
      </c>
      <c r="M3957" s="557">
        <f t="shared" si="282"/>
        <v>6.9777777777777786E-2</v>
      </c>
      <c r="N3957" s="15" t="s">
        <v>40</v>
      </c>
      <c r="O3957" s="15" t="s">
        <v>4066</v>
      </c>
    </row>
    <row r="3958" spans="1:16">
      <c r="A3958" s="70">
        <v>2026</v>
      </c>
      <c r="B3958" s="16" t="s">
        <v>178</v>
      </c>
      <c r="C3958" s="70" t="s">
        <v>5058</v>
      </c>
      <c r="D3958" s="15" t="s">
        <v>2934</v>
      </c>
      <c r="E3958" s="15" t="s">
        <v>5059</v>
      </c>
      <c r="F3958" s="95">
        <v>1</v>
      </c>
      <c r="G3958" s="16" t="s">
        <v>19</v>
      </c>
      <c r="H3958" s="17">
        <v>20500</v>
      </c>
      <c r="I3958" s="17">
        <f t="shared" si="279"/>
        <v>20500</v>
      </c>
      <c r="J3958" s="519">
        <v>18050</v>
      </c>
      <c r="K3958" s="519">
        <f t="shared" si="280"/>
        <v>2450</v>
      </c>
      <c r="L3958" s="519">
        <f t="shared" si="281"/>
        <v>2450</v>
      </c>
      <c r="M3958" s="557">
        <f t="shared" si="282"/>
        <v>0.11951219512195121</v>
      </c>
      <c r="N3958" s="15" t="s">
        <v>40</v>
      </c>
      <c r="O3958" s="15" t="s">
        <v>4066</v>
      </c>
    </row>
    <row r="3959" spans="1:16">
      <c r="A3959" s="70">
        <v>2026</v>
      </c>
      <c r="B3959" s="16" t="s">
        <v>178</v>
      </c>
      <c r="C3959" s="70" t="s">
        <v>5060</v>
      </c>
      <c r="D3959" s="15" t="s">
        <v>1566</v>
      </c>
      <c r="E3959" s="15" t="s">
        <v>5061</v>
      </c>
      <c r="F3959" s="95">
        <v>1</v>
      </c>
      <c r="G3959" s="16" t="s">
        <v>19</v>
      </c>
      <c r="H3959" s="17">
        <v>72000</v>
      </c>
      <c r="I3959" s="17">
        <f t="shared" si="279"/>
        <v>72000</v>
      </c>
      <c r="J3959" s="519">
        <v>64800</v>
      </c>
      <c r="K3959" s="519">
        <f t="shared" si="280"/>
        <v>7200</v>
      </c>
      <c r="L3959" s="519">
        <f t="shared" si="281"/>
        <v>7200</v>
      </c>
      <c r="M3959" s="557">
        <f t="shared" si="282"/>
        <v>0.1</v>
      </c>
      <c r="N3959" s="15" t="s">
        <v>40</v>
      </c>
      <c r="O3959" s="15" t="s">
        <v>4066</v>
      </c>
    </row>
    <row r="3960" spans="1:16">
      <c r="A3960" s="70">
        <v>2026</v>
      </c>
      <c r="B3960" s="16" t="s">
        <v>178</v>
      </c>
      <c r="C3960" s="70" t="s">
        <v>5062</v>
      </c>
      <c r="D3960" s="15" t="s">
        <v>1566</v>
      </c>
      <c r="E3960" s="15" t="s">
        <v>5063</v>
      </c>
      <c r="F3960" s="95">
        <v>1</v>
      </c>
      <c r="G3960" s="16" t="s">
        <v>19</v>
      </c>
      <c r="H3960" s="17">
        <v>82000</v>
      </c>
      <c r="I3960" s="17">
        <f t="shared" si="279"/>
        <v>82000</v>
      </c>
      <c r="J3960" s="519">
        <v>73800</v>
      </c>
      <c r="K3960" s="519">
        <f t="shared" si="280"/>
        <v>8200</v>
      </c>
      <c r="L3960" s="519">
        <f t="shared" si="281"/>
        <v>8200</v>
      </c>
      <c r="M3960" s="557">
        <f t="shared" si="282"/>
        <v>0.1</v>
      </c>
      <c r="N3960" s="15" t="s">
        <v>40</v>
      </c>
      <c r="O3960" s="15" t="s">
        <v>4066</v>
      </c>
    </row>
    <row r="3961" spans="1:16">
      <c r="A3961" s="70">
        <v>2026</v>
      </c>
      <c r="B3961" s="16" t="s">
        <v>178</v>
      </c>
      <c r="C3961" s="70" t="s">
        <v>5064</v>
      </c>
      <c r="D3961" s="15" t="s">
        <v>5065</v>
      </c>
      <c r="E3961" s="15" t="s">
        <v>5066</v>
      </c>
      <c r="F3961" s="95">
        <v>4</v>
      </c>
      <c r="G3961" s="16" t="s">
        <v>19</v>
      </c>
      <c r="H3961" s="17">
        <v>777570.09</v>
      </c>
      <c r="I3961" s="17">
        <f t="shared" si="279"/>
        <v>3110280.36</v>
      </c>
      <c r="J3961" s="519">
        <v>733644.86</v>
      </c>
      <c r="K3961" s="519">
        <f t="shared" si="280"/>
        <v>43925.229999999981</v>
      </c>
      <c r="L3961" s="519">
        <f t="shared" si="281"/>
        <v>175700.91999999993</v>
      </c>
      <c r="M3961" s="557">
        <f t="shared" si="282"/>
        <v>5.6490380179103836E-2</v>
      </c>
      <c r="N3961" s="15" t="s">
        <v>40</v>
      </c>
      <c r="O3961" s="15" t="s">
        <v>4066</v>
      </c>
    </row>
    <row r="3962" spans="1:16">
      <c r="A3962" s="70">
        <v>2026</v>
      </c>
      <c r="B3962" s="16" t="s">
        <v>178</v>
      </c>
      <c r="C3962" s="70" t="s">
        <v>5067</v>
      </c>
      <c r="D3962" s="15" t="s">
        <v>578</v>
      </c>
      <c r="E3962" s="15" t="s">
        <v>5068</v>
      </c>
      <c r="F3962" s="95">
        <v>4</v>
      </c>
      <c r="G3962" s="16" t="s">
        <v>19</v>
      </c>
      <c r="H3962" s="17">
        <v>155000</v>
      </c>
      <c r="I3962" s="17">
        <f t="shared" si="279"/>
        <v>620000</v>
      </c>
      <c r="J3962" s="519">
        <v>148500</v>
      </c>
      <c r="K3962" s="519">
        <f t="shared" si="280"/>
        <v>6500</v>
      </c>
      <c r="L3962" s="519">
        <f t="shared" si="281"/>
        <v>26000</v>
      </c>
      <c r="M3962" s="557">
        <f t="shared" si="282"/>
        <v>4.1935483870967745E-2</v>
      </c>
      <c r="N3962" s="15" t="s">
        <v>40</v>
      </c>
      <c r="O3962" s="15" t="s">
        <v>4066</v>
      </c>
    </row>
    <row r="3963" spans="1:16">
      <c r="A3963" s="70">
        <v>2026</v>
      </c>
      <c r="B3963" s="16" t="s">
        <v>178</v>
      </c>
      <c r="C3963" s="70" t="s">
        <v>5069</v>
      </c>
      <c r="D3963" s="15" t="s">
        <v>578</v>
      </c>
      <c r="E3963" s="15" t="s">
        <v>5070</v>
      </c>
      <c r="F3963" s="95">
        <v>6</v>
      </c>
      <c r="G3963" s="16" t="s">
        <v>19</v>
      </c>
      <c r="H3963" s="17">
        <v>20000</v>
      </c>
      <c r="I3963" s="17">
        <f t="shared" si="279"/>
        <v>120000</v>
      </c>
      <c r="J3963" s="519">
        <v>18000</v>
      </c>
      <c r="K3963" s="519">
        <f t="shared" si="280"/>
        <v>2000</v>
      </c>
      <c r="L3963" s="519">
        <f t="shared" si="281"/>
        <v>12000</v>
      </c>
      <c r="M3963" s="557">
        <f t="shared" si="282"/>
        <v>0.1</v>
      </c>
      <c r="N3963" s="15" t="s">
        <v>40</v>
      </c>
      <c r="O3963" s="15" t="s">
        <v>4066</v>
      </c>
    </row>
    <row r="3964" spans="1:16">
      <c r="A3964" s="70">
        <v>2026</v>
      </c>
      <c r="B3964" s="16" t="s">
        <v>178</v>
      </c>
      <c r="C3964" s="70" t="s">
        <v>5071</v>
      </c>
      <c r="D3964" s="15" t="s">
        <v>118</v>
      </c>
      <c r="E3964" s="15" t="s">
        <v>5072</v>
      </c>
      <c r="F3964" s="95">
        <v>1</v>
      </c>
      <c r="G3964" s="16" t="s">
        <v>19</v>
      </c>
      <c r="H3964" s="17">
        <v>9317</v>
      </c>
      <c r="I3964" s="17">
        <f t="shared" si="279"/>
        <v>9317</v>
      </c>
      <c r="J3964" s="519">
        <v>9197</v>
      </c>
      <c r="K3964" s="519">
        <f t="shared" si="280"/>
        <v>120</v>
      </c>
      <c r="L3964" s="519">
        <f t="shared" si="281"/>
        <v>120</v>
      </c>
      <c r="M3964" s="557">
        <f t="shared" si="282"/>
        <v>1.2879682301169905E-2</v>
      </c>
      <c r="N3964" s="15" t="s">
        <v>22</v>
      </c>
      <c r="O3964" s="15" t="s">
        <v>4066</v>
      </c>
    </row>
    <row r="3965" spans="1:16">
      <c r="A3965" s="70">
        <v>2026</v>
      </c>
      <c r="B3965" s="16" t="s">
        <v>178</v>
      </c>
      <c r="C3965" s="70" t="s">
        <v>5073</v>
      </c>
      <c r="D3965" s="15" t="s">
        <v>335</v>
      </c>
      <c r="E3965" s="15" t="s">
        <v>336</v>
      </c>
      <c r="F3965" s="95">
        <v>329000</v>
      </c>
      <c r="G3965" s="16" t="s">
        <v>337</v>
      </c>
      <c r="H3965" s="17">
        <v>30.25</v>
      </c>
      <c r="I3965" s="17">
        <f t="shared" si="279"/>
        <v>9952250</v>
      </c>
      <c r="J3965" s="519">
        <v>29.5</v>
      </c>
      <c r="K3965" s="519">
        <f t="shared" si="280"/>
        <v>0.75</v>
      </c>
      <c r="L3965" s="519">
        <f t="shared" si="281"/>
        <v>246750</v>
      </c>
      <c r="M3965" s="557">
        <f t="shared" si="282"/>
        <v>2.4793388429752067E-2</v>
      </c>
      <c r="N3965" s="15" t="s">
        <v>22</v>
      </c>
      <c r="O3965" s="15" t="s">
        <v>39</v>
      </c>
    </row>
    <row r="3966" spans="1:16">
      <c r="A3966" s="70">
        <v>2026</v>
      </c>
      <c r="B3966" s="16" t="s">
        <v>327</v>
      </c>
      <c r="C3966" s="70" t="s">
        <v>5074</v>
      </c>
      <c r="D3966" s="15" t="s">
        <v>1119</v>
      </c>
      <c r="E3966" s="15" t="s">
        <v>4384</v>
      </c>
      <c r="F3966" s="95">
        <v>550</v>
      </c>
      <c r="G3966" s="16" t="s">
        <v>19</v>
      </c>
      <c r="H3966" s="17">
        <v>45</v>
      </c>
      <c r="I3966" s="17">
        <f t="shared" si="279"/>
        <v>24750</v>
      </c>
      <c r="J3966" s="519">
        <v>40</v>
      </c>
      <c r="K3966" s="519">
        <f t="shared" si="280"/>
        <v>5</v>
      </c>
      <c r="L3966" s="519">
        <f t="shared" si="281"/>
        <v>2750</v>
      </c>
      <c r="M3966" s="557">
        <f t="shared" si="282"/>
        <v>0.1111111111111111</v>
      </c>
      <c r="N3966" s="15" t="s">
        <v>22</v>
      </c>
      <c r="O3966" s="15" t="s">
        <v>39</v>
      </c>
      <c r="P3966" s="519"/>
    </row>
    <row r="3967" spans="1:16">
      <c r="A3967" s="70">
        <v>2026</v>
      </c>
      <c r="B3967" s="16" t="s">
        <v>327</v>
      </c>
      <c r="C3967" s="70" t="s">
        <v>5075</v>
      </c>
      <c r="D3967" s="15" t="s">
        <v>329</v>
      </c>
      <c r="E3967" s="15" t="s">
        <v>3882</v>
      </c>
      <c r="F3967" s="95">
        <v>10</v>
      </c>
      <c r="G3967" s="16" t="s">
        <v>1368</v>
      </c>
      <c r="H3967" s="17">
        <v>5275</v>
      </c>
      <c r="I3967" s="17">
        <f t="shared" si="279"/>
        <v>52750</v>
      </c>
      <c r="J3967" s="519">
        <v>5195</v>
      </c>
      <c r="K3967" s="519">
        <f t="shared" si="280"/>
        <v>80</v>
      </c>
      <c r="L3967" s="519">
        <f t="shared" si="281"/>
        <v>800</v>
      </c>
      <c r="M3967" s="557">
        <f t="shared" si="282"/>
        <v>1.5165876777251185E-2</v>
      </c>
      <c r="N3967" s="15" t="s">
        <v>40</v>
      </c>
      <c r="O3967" s="15" t="s">
        <v>39</v>
      </c>
      <c r="P3967" s="519"/>
    </row>
    <row r="3968" spans="1:16">
      <c r="A3968" s="70">
        <v>2026</v>
      </c>
      <c r="B3968" s="16" t="s">
        <v>327</v>
      </c>
      <c r="C3968" s="70" t="s">
        <v>5076</v>
      </c>
      <c r="D3968" s="15" t="s">
        <v>1119</v>
      </c>
      <c r="E3968" s="15" t="s">
        <v>5077</v>
      </c>
      <c r="F3968" s="95">
        <v>17</v>
      </c>
      <c r="G3968" s="16" t="s">
        <v>19</v>
      </c>
      <c r="H3968" s="17">
        <v>40</v>
      </c>
      <c r="I3968" s="17">
        <f t="shared" si="279"/>
        <v>680</v>
      </c>
      <c r="J3968" s="519">
        <v>38</v>
      </c>
      <c r="K3968" s="519">
        <f t="shared" si="280"/>
        <v>2</v>
      </c>
      <c r="L3968" s="519">
        <f t="shared" si="281"/>
        <v>34</v>
      </c>
      <c r="M3968" s="557">
        <f t="shared" si="282"/>
        <v>0.05</v>
      </c>
      <c r="N3968" s="15" t="s">
        <v>40</v>
      </c>
      <c r="O3968" s="15" t="s">
        <v>39</v>
      </c>
    </row>
    <row r="3969" spans="1:15">
      <c r="A3969" s="70">
        <v>2026</v>
      </c>
      <c r="B3969" s="16" t="s">
        <v>327</v>
      </c>
      <c r="C3969" s="70" t="s">
        <v>5078</v>
      </c>
      <c r="D3969" s="15" t="s">
        <v>229</v>
      </c>
      <c r="E3969" s="15" t="s">
        <v>230</v>
      </c>
      <c r="F3969" s="95">
        <v>6000</v>
      </c>
      <c r="G3969" s="16" t="s">
        <v>37</v>
      </c>
      <c r="H3969" s="17">
        <v>23.5</v>
      </c>
      <c r="I3969" s="17">
        <f t="shared" si="279"/>
        <v>141000</v>
      </c>
      <c r="J3969" s="519">
        <v>23.2</v>
      </c>
      <c r="K3969" s="519">
        <f t="shared" si="280"/>
        <v>0.30000000000000071</v>
      </c>
      <c r="L3969" s="519">
        <f t="shared" si="281"/>
        <v>1800.0000000000043</v>
      </c>
      <c r="M3969" s="557">
        <f t="shared" si="282"/>
        <v>1.2765957446808541E-2</v>
      </c>
      <c r="N3969" s="15" t="s">
        <v>22</v>
      </c>
      <c r="O3969" s="15" t="s">
        <v>39</v>
      </c>
    </row>
    <row r="3970" spans="1:15">
      <c r="A3970" s="70">
        <v>2026</v>
      </c>
      <c r="B3970" s="16" t="s">
        <v>327</v>
      </c>
      <c r="C3970" s="70" t="s">
        <v>5079</v>
      </c>
      <c r="D3970" s="15" t="s">
        <v>1119</v>
      </c>
      <c r="E3970" s="15" t="s">
        <v>4383</v>
      </c>
      <c r="F3970" s="95">
        <v>80</v>
      </c>
      <c r="G3970" s="16" t="s">
        <v>19</v>
      </c>
      <c r="H3970" s="17">
        <v>250</v>
      </c>
      <c r="I3970" s="17">
        <f t="shared" si="279"/>
        <v>20000</v>
      </c>
      <c r="J3970" s="519">
        <v>230</v>
      </c>
      <c r="K3970" s="519">
        <f t="shared" si="280"/>
        <v>20</v>
      </c>
      <c r="L3970" s="519">
        <f t="shared" si="281"/>
        <v>1600</v>
      </c>
      <c r="M3970" s="557">
        <f t="shared" si="282"/>
        <v>0.08</v>
      </c>
      <c r="N3970" s="15" t="s">
        <v>40</v>
      </c>
      <c r="O3970" s="15" t="s">
        <v>39</v>
      </c>
    </row>
    <row r="3971" spans="1:15">
      <c r="A3971" s="70">
        <v>2026</v>
      </c>
      <c r="B3971" s="16" t="s">
        <v>327</v>
      </c>
      <c r="C3971" s="70" t="s">
        <v>5079</v>
      </c>
      <c r="D3971" s="15" t="s">
        <v>1119</v>
      </c>
      <c r="E3971" s="15" t="s">
        <v>4486</v>
      </c>
      <c r="F3971" s="95">
        <v>10</v>
      </c>
      <c r="G3971" s="16" t="s">
        <v>19</v>
      </c>
      <c r="H3971" s="17">
        <v>600</v>
      </c>
      <c r="I3971" s="17">
        <f t="shared" si="279"/>
        <v>6000</v>
      </c>
      <c r="J3971" s="519">
        <v>580</v>
      </c>
      <c r="K3971" s="519">
        <f t="shared" si="280"/>
        <v>20</v>
      </c>
      <c r="L3971" s="519">
        <f t="shared" si="281"/>
        <v>200</v>
      </c>
      <c r="M3971" s="557">
        <f t="shared" si="282"/>
        <v>3.3333333333333333E-2</v>
      </c>
      <c r="N3971" s="15" t="s">
        <v>40</v>
      </c>
      <c r="O3971" s="15" t="s">
        <v>39</v>
      </c>
    </row>
    <row r="3972" spans="1:15">
      <c r="A3972" s="70">
        <v>2026</v>
      </c>
      <c r="B3972" s="16" t="s">
        <v>327</v>
      </c>
      <c r="C3972" s="70" t="s">
        <v>5079</v>
      </c>
      <c r="D3972" s="15" t="s">
        <v>1119</v>
      </c>
      <c r="E3972" s="15" t="s">
        <v>4490</v>
      </c>
      <c r="F3972" s="95">
        <v>10</v>
      </c>
      <c r="G3972" s="16" t="s">
        <v>19</v>
      </c>
      <c r="H3972" s="17">
        <v>100</v>
      </c>
      <c r="I3972" s="17">
        <f t="shared" si="279"/>
        <v>1000</v>
      </c>
      <c r="J3972" s="519">
        <v>80</v>
      </c>
      <c r="K3972" s="519">
        <f t="shared" si="280"/>
        <v>20</v>
      </c>
      <c r="L3972" s="519">
        <f t="shared" si="281"/>
        <v>200</v>
      </c>
      <c r="M3972" s="557">
        <f t="shared" si="282"/>
        <v>0.2</v>
      </c>
      <c r="N3972" s="15" t="s">
        <v>40</v>
      </c>
      <c r="O3972" s="15" t="s">
        <v>39</v>
      </c>
    </row>
    <row r="3973" spans="1:15">
      <c r="A3973" s="70">
        <v>2026</v>
      </c>
      <c r="B3973" s="16" t="s">
        <v>327</v>
      </c>
      <c r="C3973" s="70" t="s">
        <v>5080</v>
      </c>
      <c r="D3973" s="15" t="s">
        <v>192</v>
      </c>
      <c r="E3973" s="15" t="s">
        <v>976</v>
      </c>
      <c r="F3973" s="95">
        <v>4200</v>
      </c>
      <c r="G3973" s="16" t="s">
        <v>337</v>
      </c>
      <c r="H3973" s="17">
        <v>68.5</v>
      </c>
      <c r="I3973" s="17">
        <f t="shared" ref="I3973:I3996" si="283">H3973*F3973</f>
        <v>287700</v>
      </c>
      <c r="J3973" s="519">
        <v>55.5</v>
      </c>
      <c r="K3973" s="519">
        <f t="shared" ref="K3973:K3996" si="284">H3973-J3973</f>
        <v>13</v>
      </c>
      <c r="L3973" s="519">
        <f t="shared" ref="L3973:L3996" si="285">K3973*F3973</f>
        <v>54600</v>
      </c>
      <c r="M3973" s="557">
        <f t="shared" ref="M3973:M4036" si="286">K3973/H3973</f>
        <v>0.18978102189781021</v>
      </c>
      <c r="N3973" s="15" t="s">
        <v>20</v>
      </c>
      <c r="O3973" s="15" t="s">
        <v>39</v>
      </c>
    </row>
    <row r="3974" spans="1:15">
      <c r="A3974" s="70">
        <v>2026</v>
      </c>
      <c r="B3974" s="16" t="s">
        <v>327</v>
      </c>
      <c r="C3974" s="70" t="s">
        <v>5081</v>
      </c>
      <c r="D3974" s="15" t="s">
        <v>166</v>
      </c>
      <c r="E3974" s="15" t="s">
        <v>5082</v>
      </c>
      <c r="F3974" s="95">
        <v>100</v>
      </c>
      <c r="G3974" s="16" t="s">
        <v>37</v>
      </c>
      <c r="H3974" s="17">
        <v>466.29</v>
      </c>
      <c r="I3974" s="17">
        <f t="shared" si="283"/>
        <v>46629</v>
      </c>
      <c r="J3974" s="519">
        <v>461.5</v>
      </c>
      <c r="K3974" s="519">
        <f t="shared" si="284"/>
        <v>4.7900000000000205</v>
      </c>
      <c r="L3974" s="519">
        <v>461.5</v>
      </c>
      <c r="M3974" s="557">
        <f t="shared" si="286"/>
        <v>1.0272577151558087E-2</v>
      </c>
      <c r="N3974" s="15" t="s">
        <v>22</v>
      </c>
      <c r="O3974" s="15" t="s">
        <v>105</v>
      </c>
    </row>
    <row r="3975" spans="1:15">
      <c r="A3975" s="70">
        <v>2026</v>
      </c>
      <c r="B3975" s="16" t="s">
        <v>327</v>
      </c>
      <c r="C3975" s="70" t="s">
        <v>5083</v>
      </c>
      <c r="D3975" s="15" t="s">
        <v>166</v>
      </c>
      <c r="E3975" s="15" t="s">
        <v>5084</v>
      </c>
      <c r="F3975" s="95">
        <v>19460</v>
      </c>
      <c r="G3975" s="16" t="s">
        <v>37</v>
      </c>
      <c r="H3975" s="17">
        <v>466.29</v>
      </c>
      <c r="I3975" s="17">
        <f t="shared" si="283"/>
        <v>9074003.4000000004</v>
      </c>
      <c r="J3975" s="519">
        <v>461.5</v>
      </c>
      <c r="K3975" s="519">
        <f t="shared" si="284"/>
        <v>4.7900000000000205</v>
      </c>
      <c r="L3975" s="519">
        <f t="shared" si="285"/>
        <v>93213.400000000402</v>
      </c>
      <c r="M3975" s="557">
        <f t="shared" si="286"/>
        <v>1.0272577151558087E-2</v>
      </c>
      <c r="N3975" s="15" t="s">
        <v>22</v>
      </c>
      <c r="O3975" s="15" t="s">
        <v>105</v>
      </c>
    </row>
    <row r="3976" spans="1:15">
      <c r="A3976" s="70">
        <v>2026</v>
      </c>
      <c r="B3976" s="16" t="s">
        <v>327</v>
      </c>
      <c r="C3976" s="70" t="s">
        <v>5085</v>
      </c>
      <c r="D3976" s="15" t="s">
        <v>1042</v>
      </c>
      <c r="E3976" s="15" t="s">
        <v>711</v>
      </c>
      <c r="F3976" s="95">
        <v>4062</v>
      </c>
      <c r="G3976" s="16" t="s">
        <v>37</v>
      </c>
      <c r="H3976" s="17">
        <v>456</v>
      </c>
      <c r="I3976" s="17">
        <f t="shared" si="283"/>
        <v>1852272</v>
      </c>
      <c r="J3976" s="519">
        <v>439.5</v>
      </c>
      <c r="K3976" s="519">
        <f t="shared" si="284"/>
        <v>16.5</v>
      </c>
      <c r="L3976" s="519">
        <f t="shared" si="285"/>
        <v>67023</v>
      </c>
      <c r="M3976" s="557">
        <f t="shared" si="286"/>
        <v>3.6184210526315791E-2</v>
      </c>
      <c r="N3976" s="15" t="s">
        <v>22</v>
      </c>
      <c r="O3976" s="15" t="s">
        <v>105</v>
      </c>
    </row>
    <row r="3977" spans="1:15">
      <c r="A3977" s="70">
        <v>2026</v>
      </c>
      <c r="B3977" s="16" t="s">
        <v>327</v>
      </c>
      <c r="C3977" s="70" t="s">
        <v>5086</v>
      </c>
      <c r="D3977" s="15" t="s">
        <v>44</v>
      </c>
      <c r="E3977" s="15" t="s">
        <v>293</v>
      </c>
      <c r="F3977" s="95">
        <v>500</v>
      </c>
      <c r="G3977" s="16" t="s">
        <v>37</v>
      </c>
      <c r="H3977" s="17">
        <v>467.47</v>
      </c>
      <c r="I3977" s="17">
        <f t="shared" si="283"/>
        <v>233735</v>
      </c>
      <c r="J3977" s="519">
        <v>461.5</v>
      </c>
      <c r="K3977" s="519">
        <f t="shared" si="284"/>
        <v>5.9700000000000273</v>
      </c>
      <c r="L3977" s="519">
        <f t="shared" si="285"/>
        <v>2985.0000000000136</v>
      </c>
      <c r="M3977" s="557">
        <f t="shared" si="286"/>
        <v>1.2770872997197738E-2</v>
      </c>
      <c r="N3977" s="15" t="s">
        <v>22</v>
      </c>
      <c r="O3977" s="15" t="s">
        <v>105</v>
      </c>
    </row>
    <row r="3978" spans="1:15">
      <c r="A3978" s="70">
        <v>2026</v>
      </c>
      <c r="B3978" s="16" t="s">
        <v>327</v>
      </c>
      <c r="C3978" s="70" t="s">
        <v>5087</v>
      </c>
      <c r="D3978" s="15" t="s">
        <v>1042</v>
      </c>
      <c r="E3978" s="15" t="s">
        <v>711</v>
      </c>
      <c r="F3978" s="95">
        <v>2040</v>
      </c>
      <c r="G3978" s="16" t="s">
        <v>37</v>
      </c>
      <c r="H3978" s="17">
        <v>456</v>
      </c>
      <c r="I3978" s="17">
        <f t="shared" si="283"/>
        <v>930240</v>
      </c>
      <c r="J3978" s="519">
        <v>439.5</v>
      </c>
      <c r="K3978" s="519">
        <f t="shared" si="284"/>
        <v>16.5</v>
      </c>
      <c r="L3978" s="519">
        <f t="shared" si="285"/>
        <v>33660</v>
      </c>
      <c r="M3978" s="557">
        <f t="shared" si="286"/>
        <v>3.6184210526315791E-2</v>
      </c>
      <c r="N3978" s="15" t="s">
        <v>22</v>
      </c>
      <c r="O3978" s="15" t="s">
        <v>105</v>
      </c>
    </row>
    <row r="3979" spans="1:15">
      <c r="A3979" s="70">
        <v>2026</v>
      </c>
      <c r="B3979" s="16" t="s">
        <v>327</v>
      </c>
      <c r="C3979" s="70" t="s">
        <v>5088</v>
      </c>
      <c r="D3979" s="15" t="s">
        <v>708</v>
      </c>
      <c r="E3979" s="15" t="s">
        <v>5089</v>
      </c>
      <c r="F3979" s="95">
        <v>1200</v>
      </c>
      <c r="G3979" s="16" t="s">
        <v>37</v>
      </c>
      <c r="H3979" s="17">
        <v>468</v>
      </c>
      <c r="I3979" s="17">
        <f t="shared" si="283"/>
        <v>561600</v>
      </c>
      <c r="J3979" s="519">
        <v>465</v>
      </c>
      <c r="K3979" s="519">
        <f t="shared" si="284"/>
        <v>3</v>
      </c>
      <c r="L3979" s="519">
        <f t="shared" si="285"/>
        <v>3600</v>
      </c>
      <c r="M3979" s="557">
        <f t="shared" si="286"/>
        <v>6.41025641025641E-3</v>
      </c>
      <c r="N3979" s="15" t="s">
        <v>40</v>
      </c>
      <c r="O3979" s="15" t="s">
        <v>105</v>
      </c>
    </row>
    <row r="3980" spans="1:15">
      <c r="A3980" s="70">
        <v>2026</v>
      </c>
      <c r="B3980" s="16" t="s">
        <v>327</v>
      </c>
      <c r="C3980" s="70" t="s">
        <v>5088</v>
      </c>
      <c r="D3980" s="15" t="s">
        <v>708</v>
      </c>
      <c r="E3980" s="15" t="s">
        <v>210</v>
      </c>
      <c r="F3980" s="95">
        <v>1000</v>
      </c>
      <c r="G3980" s="16" t="s">
        <v>37</v>
      </c>
      <c r="H3980" s="17">
        <v>468.19</v>
      </c>
      <c r="I3980" s="17">
        <f t="shared" si="283"/>
        <v>468190</v>
      </c>
      <c r="J3980" s="519">
        <v>465.19</v>
      </c>
      <c r="K3980" s="519">
        <f t="shared" si="284"/>
        <v>3</v>
      </c>
      <c r="L3980" s="519">
        <f t="shared" si="285"/>
        <v>3000</v>
      </c>
      <c r="M3980" s="557">
        <f t="shared" si="286"/>
        <v>6.4076550118541617E-3</v>
      </c>
      <c r="N3980" s="15" t="s">
        <v>40</v>
      </c>
      <c r="O3980" s="15" t="s">
        <v>105</v>
      </c>
    </row>
    <row r="3981" spans="1:15">
      <c r="A3981" s="70">
        <v>2026</v>
      </c>
      <c r="B3981" s="16" t="s">
        <v>327</v>
      </c>
      <c r="C3981" s="70" t="s">
        <v>5088</v>
      </c>
      <c r="D3981" s="15" t="s">
        <v>708</v>
      </c>
      <c r="E3981" s="15" t="s">
        <v>210</v>
      </c>
      <c r="F3981" s="95">
        <v>1000</v>
      </c>
      <c r="G3981" s="16" t="s">
        <v>37</v>
      </c>
      <c r="H3981" s="17">
        <v>468.19</v>
      </c>
      <c r="I3981" s="17">
        <f t="shared" si="283"/>
        <v>468190</v>
      </c>
      <c r="J3981" s="519">
        <v>465.19</v>
      </c>
      <c r="K3981" s="519">
        <f t="shared" si="284"/>
        <v>3</v>
      </c>
      <c r="L3981" s="519">
        <f t="shared" si="285"/>
        <v>3000</v>
      </c>
      <c r="M3981" s="557">
        <f t="shared" si="286"/>
        <v>6.4076550118541617E-3</v>
      </c>
      <c r="N3981" s="15" t="s">
        <v>40</v>
      </c>
      <c r="O3981" s="15" t="s">
        <v>105</v>
      </c>
    </row>
    <row r="3982" spans="1:15">
      <c r="A3982" s="70">
        <v>2026</v>
      </c>
      <c r="B3982" s="16" t="s">
        <v>327</v>
      </c>
      <c r="C3982" s="70" t="s">
        <v>5090</v>
      </c>
      <c r="D3982" s="15" t="s">
        <v>2164</v>
      </c>
      <c r="E3982" s="15" t="s">
        <v>3092</v>
      </c>
      <c r="F3982" s="95">
        <v>1521</v>
      </c>
      <c r="G3982" s="16" t="s">
        <v>37</v>
      </c>
      <c r="H3982" s="17">
        <v>473</v>
      </c>
      <c r="I3982" s="17">
        <f t="shared" si="283"/>
        <v>719433</v>
      </c>
      <c r="J3982" s="519">
        <v>471</v>
      </c>
      <c r="K3982" s="519">
        <f t="shared" si="284"/>
        <v>2</v>
      </c>
      <c r="L3982" s="519">
        <f t="shared" si="285"/>
        <v>3042</v>
      </c>
      <c r="M3982" s="557">
        <f t="shared" si="286"/>
        <v>4.2283298097251587E-3</v>
      </c>
      <c r="N3982" s="15" t="s">
        <v>40</v>
      </c>
      <c r="O3982" s="15" t="s">
        <v>105</v>
      </c>
    </row>
    <row r="3983" spans="1:15">
      <c r="A3983" s="70">
        <v>2026</v>
      </c>
      <c r="B3983" s="16" t="s">
        <v>327</v>
      </c>
      <c r="C3983" s="70" t="s">
        <v>5091</v>
      </c>
      <c r="D3983" s="15" t="s">
        <v>1042</v>
      </c>
      <c r="E3983" s="15" t="s">
        <v>483</v>
      </c>
      <c r="F3983" s="95">
        <v>1430</v>
      </c>
      <c r="G3983" s="16" t="s">
        <v>37</v>
      </c>
      <c r="H3983" s="17">
        <v>456</v>
      </c>
      <c r="I3983" s="17">
        <f t="shared" si="283"/>
        <v>652080</v>
      </c>
      <c r="J3983" s="519">
        <v>439.5</v>
      </c>
      <c r="K3983" s="519">
        <f t="shared" si="284"/>
        <v>16.5</v>
      </c>
      <c r="L3983" s="519">
        <f t="shared" si="285"/>
        <v>23595</v>
      </c>
      <c r="M3983" s="557">
        <f t="shared" si="286"/>
        <v>3.6184210526315791E-2</v>
      </c>
      <c r="N3983" s="15" t="s">
        <v>22</v>
      </c>
      <c r="O3983" s="15" t="s">
        <v>105</v>
      </c>
    </row>
    <row r="3984" spans="1:15">
      <c r="A3984" s="70">
        <v>2026</v>
      </c>
      <c r="B3984" s="16" t="s">
        <v>327</v>
      </c>
      <c r="C3984" s="70" t="s">
        <v>5092</v>
      </c>
      <c r="D3984" s="15" t="s">
        <v>192</v>
      </c>
      <c r="E3984" s="15" t="s">
        <v>5093</v>
      </c>
      <c r="F3984" s="95">
        <v>1</v>
      </c>
      <c r="G3984" s="16" t="s">
        <v>19</v>
      </c>
      <c r="H3984" s="17">
        <v>30960</v>
      </c>
      <c r="I3984" s="17">
        <f t="shared" si="283"/>
        <v>30960</v>
      </c>
      <c r="J3984" s="519">
        <v>30350</v>
      </c>
      <c r="K3984" s="519">
        <f t="shared" si="284"/>
        <v>610</v>
      </c>
      <c r="L3984" s="519">
        <f t="shared" si="285"/>
        <v>610</v>
      </c>
      <c r="M3984" s="557">
        <f t="shared" si="286"/>
        <v>1.9702842377260981E-2</v>
      </c>
      <c r="N3984" s="15" t="s">
        <v>40</v>
      </c>
      <c r="O3984" s="15" t="s">
        <v>105</v>
      </c>
    </row>
    <row r="3985" spans="1:15">
      <c r="A3985" s="70">
        <v>2026</v>
      </c>
      <c r="B3985" s="16" t="s">
        <v>327</v>
      </c>
      <c r="C3985" s="70" t="s">
        <v>5094</v>
      </c>
      <c r="D3985" s="15" t="s">
        <v>283</v>
      </c>
      <c r="E3985" s="15" t="s">
        <v>5095</v>
      </c>
      <c r="F3985" s="95">
        <v>1</v>
      </c>
      <c r="G3985" s="16" t="s">
        <v>285</v>
      </c>
      <c r="H3985" s="17">
        <v>45500</v>
      </c>
      <c r="I3985" s="17">
        <f t="shared" si="283"/>
        <v>45500</v>
      </c>
      <c r="J3985" s="519">
        <v>44500</v>
      </c>
      <c r="K3985" s="519">
        <f t="shared" si="284"/>
        <v>1000</v>
      </c>
      <c r="L3985" s="519">
        <f t="shared" si="285"/>
        <v>1000</v>
      </c>
      <c r="M3985" s="557">
        <f t="shared" si="286"/>
        <v>2.197802197802198E-2</v>
      </c>
      <c r="N3985" s="15" t="s">
        <v>40</v>
      </c>
      <c r="O3985" s="15" t="s">
        <v>105</v>
      </c>
    </row>
    <row r="3986" spans="1:15">
      <c r="A3986" s="70">
        <v>2026</v>
      </c>
      <c r="B3986" s="16" t="s">
        <v>327</v>
      </c>
      <c r="C3986" s="70" t="s">
        <v>5096</v>
      </c>
      <c r="D3986" s="15" t="s">
        <v>1042</v>
      </c>
      <c r="E3986" s="15" t="s">
        <v>711</v>
      </c>
      <c r="F3986" s="95">
        <v>312</v>
      </c>
      <c r="G3986" s="16" t="s">
        <v>37</v>
      </c>
      <c r="H3986" s="17">
        <v>456</v>
      </c>
      <c r="I3986" s="17">
        <f t="shared" si="283"/>
        <v>142272</v>
      </c>
      <c r="J3986" s="519">
        <v>439.5</v>
      </c>
      <c r="K3986" s="519">
        <f t="shared" si="284"/>
        <v>16.5</v>
      </c>
      <c r="L3986" s="519">
        <f t="shared" si="285"/>
        <v>5148</v>
      </c>
      <c r="M3986" s="557">
        <f t="shared" si="286"/>
        <v>3.6184210526315791E-2</v>
      </c>
      <c r="N3986" s="15" t="s">
        <v>22</v>
      </c>
      <c r="O3986" s="15" t="s">
        <v>105</v>
      </c>
    </row>
    <row r="3987" spans="1:15">
      <c r="A3987" s="70">
        <v>2026</v>
      </c>
      <c r="B3987" s="16" t="s">
        <v>327</v>
      </c>
      <c r="C3987" s="70" t="s">
        <v>5097</v>
      </c>
      <c r="D3987" s="15" t="s">
        <v>270</v>
      </c>
      <c r="E3987" s="15" t="s">
        <v>5098</v>
      </c>
      <c r="F3987" s="95">
        <v>86.7</v>
      </c>
      <c r="G3987" s="16" t="s">
        <v>37</v>
      </c>
      <c r="H3987" s="17">
        <v>482.5</v>
      </c>
      <c r="I3987" s="17">
        <f t="shared" si="283"/>
        <v>41832.75</v>
      </c>
      <c r="J3987" s="519">
        <v>474</v>
      </c>
      <c r="K3987" s="519">
        <f t="shared" si="284"/>
        <v>8.5</v>
      </c>
      <c r="L3987" s="519">
        <f t="shared" si="285"/>
        <v>736.95</v>
      </c>
      <c r="M3987" s="557">
        <f t="shared" si="286"/>
        <v>1.7616580310880828E-2</v>
      </c>
      <c r="N3987" s="15" t="s">
        <v>22</v>
      </c>
      <c r="O3987" s="15" t="s">
        <v>105</v>
      </c>
    </row>
    <row r="3988" spans="1:15">
      <c r="A3988" s="70">
        <v>2026</v>
      </c>
      <c r="B3988" s="16" t="s">
        <v>327</v>
      </c>
      <c r="C3988" s="70" t="s">
        <v>5099</v>
      </c>
      <c r="D3988" s="15" t="s">
        <v>166</v>
      </c>
      <c r="E3988" s="15" t="s">
        <v>5100</v>
      </c>
      <c r="F3988" s="95">
        <v>20590</v>
      </c>
      <c r="G3988" s="16" t="s">
        <v>37</v>
      </c>
      <c r="H3988" s="17">
        <v>426.36</v>
      </c>
      <c r="I3988" s="17">
        <f t="shared" si="283"/>
        <v>8778752.4000000004</v>
      </c>
      <c r="J3988" s="519">
        <v>409.72</v>
      </c>
      <c r="K3988" s="519">
        <f t="shared" si="284"/>
        <v>16.639999999999986</v>
      </c>
      <c r="L3988" s="519">
        <f t="shared" si="285"/>
        <v>342617.59999999974</v>
      </c>
      <c r="M3988" s="557">
        <f t="shared" si="286"/>
        <v>3.9028051411952307E-2</v>
      </c>
      <c r="N3988" s="15" t="s">
        <v>22</v>
      </c>
      <c r="O3988" s="15" t="s">
        <v>105</v>
      </c>
    </row>
    <row r="3989" spans="1:15">
      <c r="A3989" s="70">
        <v>2026</v>
      </c>
      <c r="B3989" s="16" t="s">
        <v>327</v>
      </c>
      <c r="C3989" s="70" t="s">
        <v>5101</v>
      </c>
      <c r="D3989" s="15" t="s">
        <v>166</v>
      </c>
      <c r="E3989" s="15" t="s">
        <v>5100</v>
      </c>
      <c r="F3989" s="95">
        <v>20590</v>
      </c>
      <c r="G3989" s="16" t="s">
        <v>37</v>
      </c>
      <c r="H3989" s="17">
        <v>426.36</v>
      </c>
      <c r="I3989" s="17">
        <f t="shared" si="283"/>
        <v>8778752.4000000004</v>
      </c>
      <c r="J3989" s="519">
        <v>409.72</v>
      </c>
      <c r="K3989" s="519">
        <f t="shared" si="284"/>
        <v>16.639999999999986</v>
      </c>
      <c r="L3989" s="519">
        <f t="shared" si="285"/>
        <v>342617.59999999974</v>
      </c>
      <c r="M3989" s="557">
        <f t="shared" si="286"/>
        <v>3.9028051411952307E-2</v>
      </c>
      <c r="N3989" s="15" t="s">
        <v>22</v>
      </c>
      <c r="O3989" s="15" t="s">
        <v>105</v>
      </c>
    </row>
    <row r="3990" spans="1:15">
      <c r="A3990" s="70">
        <v>2026</v>
      </c>
      <c r="B3990" s="16" t="s">
        <v>327</v>
      </c>
      <c r="C3990" s="70" t="s">
        <v>5102</v>
      </c>
      <c r="D3990" s="15" t="s">
        <v>166</v>
      </c>
      <c r="E3990" s="15" t="s">
        <v>5100</v>
      </c>
      <c r="F3990" s="95">
        <v>20590</v>
      </c>
      <c r="G3990" s="16" t="s">
        <v>37</v>
      </c>
      <c r="H3990" s="17">
        <v>426.36</v>
      </c>
      <c r="I3990" s="17">
        <f t="shared" si="283"/>
        <v>8778752.4000000004</v>
      </c>
      <c r="J3990" s="519">
        <v>409.72</v>
      </c>
      <c r="K3990" s="519">
        <f t="shared" si="284"/>
        <v>16.639999999999986</v>
      </c>
      <c r="L3990" s="519">
        <f t="shared" si="285"/>
        <v>342617.59999999974</v>
      </c>
      <c r="M3990" s="557">
        <f t="shared" si="286"/>
        <v>3.9028051411952307E-2</v>
      </c>
      <c r="N3990" s="15" t="s">
        <v>22</v>
      </c>
      <c r="O3990" s="15" t="s">
        <v>105</v>
      </c>
    </row>
    <row r="3991" spans="1:15">
      <c r="A3991" s="70">
        <v>2026</v>
      </c>
      <c r="B3991" s="16" t="s">
        <v>327</v>
      </c>
      <c r="C3991" s="70" t="s">
        <v>5103</v>
      </c>
      <c r="D3991" s="15" t="s">
        <v>166</v>
      </c>
      <c r="E3991" s="15" t="s">
        <v>5100</v>
      </c>
      <c r="F3991" s="95">
        <v>20590</v>
      </c>
      <c r="G3991" s="16" t="s">
        <v>37</v>
      </c>
      <c r="H3991" s="17">
        <v>426.36</v>
      </c>
      <c r="I3991" s="17">
        <f t="shared" si="283"/>
        <v>8778752.4000000004</v>
      </c>
      <c r="J3991" s="519">
        <v>409.72</v>
      </c>
      <c r="K3991" s="519">
        <f t="shared" si="284"/>
        <v>16.639999999999986</v>
      </c>
      <c r="L3991" s="519">
        <f t="shared" si="285"/>
        <v>342617.59999999974</v>
      </c>
      <c r="M3991" s="557">
        <f t="shared" si="286"/>
        <v>3.9028051411952307E-2</v>
      </c>
      <c r="N3991" s="15" t="s">
        <v>22</v>
      </c>
      <c r="O3991" s="15" t="s">
        <v>105</v>
      </c>
    </row>
    <row r="3992" spans="1:15">
      <c r="A3992" s="70">
        <v>2026</v>
      </c>
      <c r="B3992" s="16" t="s">
        <v>327</v>
      </c>
      <c r="C3992" s="70" t="s">
        <v>5104</v>
      </c>
      <c r="D3992" s="15" t="s">
        <v>166</v>
      </c>
      <c r="E3992" s="15" t="s">
        <v>5100</v>
      </c>
      <c r="F3992" s="95">
        <v>9940</v>
      </c>
      <c r="G3992" s="16" t="s">
        <v>37</v>
      </c>
      <c r="H3992" s="17">
        <v>426.36</v>
      </c>
      <c r="I3992" s="17">
        <f t="shared" si="283"/>
        <v>4238018.4000000004</v>
      </c>
      <c r="J3992" s="519">
        <v>409.72</v>
      </c>
      <c r="K3992" s="519">
        <f t="shared" si="284"/>
        <v>16.639999999999986</v>
      </c>
      <c r="L3992" s="519">
        <f t="shared" si="285"/>
        <v>165401.59999999986</v>
      </c>
      <c r="M3992" s="557">
        <f t="shared" si="286"/>
        <v>3.9028051411952307E-2</v>
      </c>
      <c r="N3992" s="15" t="s">
        <v>22</v>
      </c>
      <c r="O3992" s="15" t="s">
        <v>105</v>
      </c>
    </row>
    <row r="3993" spans="1:15">
      <c r="A3993" s="70">
        <v>2026</v>
      </c>
      <c r="B3993" s="16" t="s">
        <v>327</v>
      </c>
      <c r="C3993" s="70" t="s">
        <v>5105</v>
      </c>
      <c r="D3993" s="15" t="s">
        <v>166</v>
      </c>
      <c r="E3993" s="15" t="s">
        <v>5100</v>
      </c>
      <c r="F3993" s="95">
        <v>20590</v>
      </c>
      <c r="G3993" s="16" t="s">
        <v>37</v>
      </c>
      <c r="H3993" s="17">
        <v>426.36</v>
      </c>
      <c r="I3993" s="17">
        <f t="shared" si="283"/>
        <v>8778752.4000000004</v>
      </c>
      <c r="J3993" s="519">
        <v>409.72</v>
      </c>
      <c r="K3993" s="519">
        <f t="shared" si="284"/>
        <v>16.639999999999986</v>
      </c>
      <c r="L3993" s="519">
        <f t="shared" si="285"/>
        <v>342617.59999999974</v>
      </c>
      <c r="M3993" s="557">
        <f t="shared" si="286"/>
        <v>3.9028051411952307E-2</v>
      </c>
      <c r="N3993" s="15" t="s">
        <v>22</v>
      </c>
      <c r="O3993" s="15" t="s">
        <v>105</v>
      </c>
    </row>
    <row r="3994" spans="1:15">
      <c r="A3994" s="70">
        <v>2026</v>
      </c>
      <c r="B3994" s="16" t="s">
        <v>327</v>
      </c>
      <c r="C3994" s="70" t="s">
        <v>5106</v>
      </c>
      <c r="D3994" s="15" t="s">
        <v>1042</v>
      </c>
      <c r="E3994" s="15" t="s">
        <v>711</v>
      </c>
      <c r="F3994" s="95">
        <v>1786</v>
      </c>
      <c r="G3994" s="16" t="s">
        <v>37</v>
      </c>
      <c r="H3994" s="17">
        <v>456</v>
      </c>
      <c r="I3994" s="17">
        <f t="shared" si="283"/>
        <v>814416</v>
      </c>
      <c r="J3994" s="519">
        <v>439.5</v>
      </c>
      <c r="K3994" s="519">
        <f t="shared" si="284"/>
        <v>16.5</v>
      </c>
      <c r="L3994" s="519">
        <f t="shared" si="285"/>
        <v>29469</v>
      </c>
      <c r="M3994" s="557">
        <f t="shared" si="286"/>
        <v>3.6184210526315791E-2</v>
      </c>
      <c r="N3994" s="15" t="s">
        <v>22</v>
      </c>
      <c r="O3994" s="15" t="s">
        <v>105</v>
      </c>
    </row>
    <row r="3995" spans="1:15">
      <c r="A3995" s="70">
        <v>2026</v>
      </c>
      <c r="B3995" s="16" t="s">
        <v>327</v>
      </c>
      <c r="C3995" s="70" t="s">
        <v>5107</v>
      </c>
      <c r="D3995" s="15" t="s">
        <v>107</v>
      </c>
      <c r="E3995" s="15" t="s">
        <v>5108</v>
      </c>
      <c r="F3995" s="95">
        <v>18</v>
      </c>
      <c r="G3995" s="16" t="s">
        <v>19</v>
      </c>
      <c r="H3995" s="17">
        <v>1500</v>
      </c>
      <c r="I3995" s="17">
        <f t="shared" si="283"/>
        <v>27000</v>
      </c>
      <c r="J3995" s="519">
        <v>1470</v>
      </c>
      <c r="K3995" s="519">
        <f t="shared" si="284"/>
        <v>30</v>
      </c>
      <c r="L3995" s="519">
        <f t="shared" si="285"/>
        <v>540</v>
      </c>
      <c r="M3995" s="557">
        <f t="shared" si="286"/>
        <v>0.02</v>
      </c>
      <c r="N3995" s="15" t="s">
        <v>22</v>
      </c>
      <c r="O3995" s="15" t="s">
        <v>105</v>
      </c>
    </row>
    <row r="3996" spans="1:15">
      <c r="A3996" s="70">
        <v>2026</v>
      </c>
      <c r="B3996" s="16" t="s">
        <v>327</v>
      </c>
      <c r="C3996" s="70" t="s">
        <v>5109</v>
      </c>
      <c r="D3996" s="15" t="s">
        <v>192</v>
      </c>
      <c r="E3996" s="15" t="s">
        <v>5110</v>
      </c>
      <c r="F3996" s="95">
        <v>6300</v>
      </c>
      <c r="G3996" s="16" t="s">
        <v>337</v>
      </c>
      <c r="H3996" s="17">
        <v>68.5</v>
      </c>
      <c r="I3996" s="17">
        <f t="shared" si="283"/>
        <v>431550</v>
      </c>
      <c r="J3996" s="519">
        <v>68</v>
      </c>
      <c r="K3996" s="519">
        <f t="shared" si="284"/>
        <v>0.5</v>
      </c>
      <c r="L3996" s="519">
        <f t="shared" si="285"/>
        <v>3150</v>
      </c>
      <c r="M3996" s="557">
        <f t="shared" si="286"/>
        <v>7.2992700729927005E-3</v>
      </c>
      <c r="N3996" s="15" t="s">
        <v>40</v>
      </c>
      <c r="O3996" s="15" t="s">
        <v>39</v>
      </c>
    </row>
    <row r="3997" spans="1:15">
      <c r="A3997" s="70">
        <v>2026</v>
      </c>
      <c r="B3997" s="16" t="s">
        <v>327</v>
      </c>
      <c r="C3997" s="70" t="s">
        <v>5111</v>
      </c>
      <c r="D3997" s="15" t="s">
        <v>858</v>
      </c>
      <c r="E3997" s="15" t="s">
        <v>859</v>
      </c>
      <c r="F3997" s="95">
        <v>600</v>
      </c>
      <c r="G3997" s="16" t="s">
        <v>337</v>
      </c>
      <c r="H3997" s="17">
        <v>109</v>
      </c>
      <c r="I3997" s="17">
        <f t="shared" ref="I3997:I4060" si="287">H3997*F3997</f>
        <v>65400</v>
      </c>
      <c r="J3997" s="519">
        <v>108</v>
      </c>
      <c r="K3997" s="519">
        <f t="shared" ref="K3997:K4047" si="288">H3997-J3997</f>
        <v>1</v>
      </c>
      <c r="L3997" s="519">
        <f t="shared" ref="L3997:L4047" si="289">K3997*F3997</f>
        <v>600</v>
      </c>
      <c r="M3997" s="557">
        <f t="shared" si="286"/>
        <v>9.1743119266055051E-3</v>
      </c>
      <c r="N3997" s="15" t="s">
        <v>22</v>
      </c>
      <c r="O3997" s="15" t="s">
        <v>39</v>
      </c>
    </row>
    <row r="3998" spans="1:15">
      <c r="A3998" s="70">
        <v>2026</v>
      </c>
      <c r="B3998" s="16" t="s">
        <v>327</v>
      </c>
      <c r="C3998" s="70" t="s">
        <v>5112</v>
      </c>
      <c r="D3998" s="15" t="s">
        <v>5113</v>
      </c>
      <c r="E3998" s="15" t="s">
        <v>5114</v>
      </c>
      <c r="F3998" s="95">
        <v>1</v>
      </c>
      <c r="G3998" s="16" t="s">
        <v>302</v>
      </c>
      <c r="H3998" s="95">
        <v>153562</v>
      </c>
      <c r="I3998" s="17">
        <f t="shared" si="287"/>
        <v>153562</v>
      </c>
      <c r="J3998" s="519">
        <v>152000</v>
      </c>
      <c r="K3998" s="519">
        <f t="shared" si="288"/>
        <v>1562</v>
      </c>
      <c r="L3998" s="519">
        <f t="shared" si="289"/>
        <v>1562</v>
      </c>
      <c r="M3998" s="557">
        <f t="shared" si="286"/>
        <v>1.0171787291126711E-2</v>
      </c>
      <c r="N3998" s="15" t="s">
        <v>40</v>
      </c>
      <c r="O3998" s="15" t="s">
        <v>39</v>
      </c>
    </row>
    <row r="3999" spans="1:15">
      <c r="A3999" s="70">
        <v>2026</v>
      </c>
      <c r="B3999" s="16" t="s">
        <v>327</v>
      </c>
      <c r="C3999" s="70" t="s">
        <v>5115</v>
      </c>
      <c r="D3999" s="15" t="s">
        <v>5116</v>
      </c>
      <c r="E3999" s="15" t="s">
        <v>5117</v>
      </c>
      <c r="F3999" s="95">
        <v>500</v>
      </c>
      <c r="G3999" s="16" t="s">
        <v>19</v>
      </c>
      <c r="H3999" s="17">
        <v>90</v>
      </c>
      <c r="I3999" s="17">
        <f t="shared" si="287"/>
        <v>45000</v>
      </c>
      <c r="J3999" s="519">
        <v>75</v>
      </c>
      <c r="K3999" s="519">
        <f t="shared" si="288"/>
        <v>15</v>
      </c>
      <c r="L3999" s="519">
        <f t="shared" si="289"/>
        <v>7500</v>
      </c>
      <c r="M3999" s="557">
        <f t="shared" si="286"/>
        <v>0.16666666666666666</v>
      </c>
      <c r="N3999" s="15" t="s">
        <v>40</v>
      </c>
      <c r="O3999" s="15" t="s">
        <v>39</v>
      </c>
    </row>
    <row r="4000" spans="1:15">
      <c r="A4000" s="70">
        <v>2026</v>
      </c>
      <c r="B4000" s="16" t="s">
        <v>327</v>
      </c>
      <c r="C4000" s="70" t="s">
        <v>5118</v>
      </c>
      <c r="D4000" s="15" t="s">
        <v>118</v>
      </c>
      <c r="E4000" s="15" t="s">
        <v>5119</v>
      </c>
      <c r="F4000" s="95">
        <v>1</v>
      </c>
      <c r="G4000" s="16" t="s">
        <v>19</v>
      </c>
      <c r="H4000" s="17">
        <v>646.79999999999995</v>
      </c>
      <c r="I4000" s="17">
        <f t="shared" si="287"/>
        <v>646.79999999999995</v>
      </c>
      <c r="J4000" s="519">
        <v>485.1</v>
      </c>
      <c r="K4000" s="519">
        <f t="shared" si="288"/>
        <v>161.69999999999993</v>
      </c>
      <c r="L4000" s="519">
        <f t="shared" si="289"/>
        <v>161.69999999999993</v>
      </c>
      <c r="M4000" s="557">
        <f t="shared" si="286"/>
        <v>0.24999999999999992</v>
      </c>
      <c r="N4000" s="15" t="s">
        <v>40</v>
      </c>
      <c r="O4000" s="15" t="s">
        <v>4066</v>
      </c>
    </row>
    <row r="4001" spans="1:15">
      <c r="A4001" s="70">
        <v>2026</v>
      </c>
      <c r="B4001" s="16" t="s">
        <v>327</v>
      </c>
      <c r="C4001" s="70" t="s">
        <v>5120</v>
      </c>
      <c r="D4001" s="15" t="s">
        <v>4857</v>
      </c>
      <c r="E4001" s="15" t="s">
        <v>5121</v>
      </c>
      <c r="F4001" s="95">
        <v>1</v>
      </c>
      <c r="G4001" s="16" t="s">
        <v>285</v>
      </c>
      <c r="H4001" s="17">
        <v>332340</v>
      </c>
      <c r="I4001" s="17">
        <f t="shared" si="287"/>
        <v>332340</v>
      </c>
      <c r="J4001" s="519">
        <v>320000</v>
      </c>
      <c r="K4001" s="519">
        <f t="shared" si="288"/>
        <v>12340</v>
      </c>
      <c r="L4001" s="519">
        <f t="shared" si="289"/>
        <v>12340</v>
      </c>
      <c r="M4001" s="557">
        <f t="shared" si="286"/>
        <v>3.7130649335018355E-2</v>
      </c>
      <c r="N4001" s="15" t="s">
        <v>40</v>
      </c>
      <c r="O4001" s="15" t="s">
        <v>4066</v>
      </c>
    </row>
    <row r="4002" spans="1:15">
      <c r="A4002" s="70">
        <v>2026</v>
      </c>
      <c r="B4002" s="16" t="s">
        <v>327</v>
      </c>
      <c r="C4002" s="70" t="s">
        <v>5122</v>
      </c>
      <c r="D4002" s="15" t="s">
        <v>345</v>
      </c>
      <c r="E4002" s="15" t="s">
        <v>5123</v>
      </c>
      <c r="F4002" s="95">
        <v>1</v>
      </c>
      <c r="G4002" s="16" t="s">
        <v>285</v>
      </c>
      <c r="H4002" s="17">
        <v>199500</v>
      </c>
      <c r="I4002" s="17">
        <f t="shared" si="287"/>
        <v>199500</v>
      </c>
      <c r="J4002" s="519">
        <v>190000</v>
      </c>
      <c r="K4002" s="519">
        <f t="shared" si="288"/>
        <v>9500</v>
      </c>
      <c r="L4002" s="519">
        <f t="shared" si="289"/>
        <v>9500</v>
      </c>
      <c r="M4002" s="557">
        <f t="shared" si="286"/>
        <v>4.7619047619047616E-2</v>
      </c>
      <c r="N4002" s="15" t="s">
        <v>40</v>
      </c>
      <c r="O4002" s="15" t="s">
        <v>4066</v>
      </c>
    </row>
    <row r="4003" spans="1:15">
      <c r="A4003" s="70">
        <v>2026</v>
      </c>
      <c r="B4003" s="16" t="s">
        <v>327</v>
      </c>
      <c r="C4003" s="70" t="s">
        <v>5124</v>
      </c>
      <c r="D4003" s="15" t="s">
        <v>4857</v>
      </c>
      <c r="E4003" s="15" t="s">
        <v>5125</v>
      </c>
      <c r="F4003" s="95">
        <v>1</v>
      </c>
      <c r="G4003" s="16" t="s">
        <v>285</v>
      </c>
      <c r="H4003" s="17">
        <v>246000</v>
      </c>
      <c r="I4003" s="17">
        <f t="shared" si="287"/>
        <v>246000</v>
      </c>
      <c r="J4003" s="519">
        <v>240000</v>
      </c>
      <c r="K4003" s="519">
        <f t="shared" si="288"/>
        <v>6000</v>
      </c>
      <c r="L4003" s="519">
        <f t="shared" si="289"/>
        <v>6000</v>
      </c>
      <c r="M4003" s="557">
        <f t="shared" si="286"/>
        <v>2.4390243902439025E-2</v>
      </c>
      <c r="N4003" s="15" t="s">
        <v>40</v>
      </c>
      <c r="O4003" s="15" t="s">
        <v>4066</v>
      </c>
    </row>
    <row r="4004" spans="1:15">
      <c r="A4004" s="70">
        <v>2026</v>
      </c>
      <c r="B4004" s="16" t="s">
        <v>327</v>
      </c>
      <c r="C4004" s="70" t="s">
        <v>5126</v>
      </c>
      <c r="D4004" s="15" t="s">
        <v>4857</v>
      </c>
      <c r="E4004" s="15" t="s">
        <v>5127</v>
      </c>
      <c r="F4004" s="95">
        <v>1</v>
      </c>
      <c r="G4004" s="16" t="s">
        <v>285</v>
      </c>
      <c r="H4004" s="17">
        <v>339600</v>
      </c>
      <c r="I4004" s="17">
        <f t="shared" si="287"/>
        <v>339600</v>
      </c>
      <c r="J4004" s="519">
        <v>335000</v>
      </c>
      <c r="K4004" s="519">
        <f t="shared" si="288"/>
        <v>4600</v>
      </c>
      <c r="L4004" s="519">
        <f t="shared" si="289"/>
        <v>4600</v>
      </c>
      <c r="M4004" s="557">
        <f t="shared" si="286"/>
        <v>1.3545347467608953E-2</v>
      </c>
      <c r="N4004" s="15" t="s">
        <v>40</v>
      </c>
      <c r="O4004" s="15" t="s">
        <v>4066</v>
      </c>
    </row>
    <row r="4005" spans="1:15">
      <c r="A4005" s="70">
        <v>2026</v>
      </c>
      <c r="B4005" s="16" t="s">
        <v>327</v>
      </c>
      <c r="C4005" s="70" t="s">
        <v>5128</v>
      </c>
      <c r="D4005" s="15" t="s">
        <v>376</v>
      </c>
      <c r="E4005" s="15" t="s">
        <v>5129</v>
      </c>
      <c r="F4005" s="95">
        <v>1</v>
      </c>
      <c r="G4005" s="16" t="s">
        <v>19</v>
      </c>
      <c r="H4005" s="17">
        <v>1681000</v>
      </c>
      <c r="I4005" s="17">
        <f t="shared" si="287"/>
        <v>1681000</v>
      </c>
      <c r="J4005" s="519">
        <v>1550000</v>
      </c>
      <c r="K4005" s="519">
        <f t="shared" si="288"/>
        <v>131000</v>
      </c>
      <c r="L4005" s="519">
        <f t="shared" si="289"/>
        <v>131000</v>
      </c>
      <c r="M4005" s="557">
        <f t="shared" si="286"/>
        <v>7.7929803688280785E-2</v>
      </c>
      <c r="N4005" s="15" t="s">
        <v>40</v>
      </c>
      <c r="O4005" s="15" t="s">
        <v>4066</v>
      </c>
    </row>
    <row r="4006" spans="1:15">
      <c r="A4006" s="70">
        <v>2026</v>
      </c>
      <c r="B4006" s="16" t="s">
        <v>327</v>
      </c>
      <c r="C4006" s="70" t="s">
        <v>5130</v>
      </c>
      <c r="D4006" s="15" t="s">
        <v>345</v>
      </c>
      <c r="E4006" s="15" t="s">
        <v>5131</v>
      </c>
      <c r="F4006" s="95">
        <v>1</v>
      </c>
      <c r="G4006" s="16" t="s">
        <v>285</v>
      </c>
      <c r="H4006" s="17">
        <v>141000</v>
      </c>
      <c r="I4006" s="17">
        <f t="shared" si="287"/>
        <v>141000</v>
      </c>
      <c r="J4006" s="519">
        <v>135400</v>
      </c>
      <c r="K4006" s="519">
        <f t="shared" si="288"/>
        <v>5600</v>
      </c>
      <c r="L4006" s="519">
        <f t="shared" si="289"/>
        <v>5600</v>
      </c>
      <c r="M4006" s="557">
        <f t="shared" si="286"/>
        <v>3.971631205673759E-2</v>
      </c>
      <c r="N4006" s="15" t="s">
        <v>40</v>
      </c>
      <c r="O4006" s="15" t="s">
        <v>4066</v>
      </c>
    </row>
    <row r="4007" spans="1:15">
      <c r="A4007" s="70">
        <v>2026</v>
      </c>
      <c r="B4007" s="16" t="s">
        <v>327</v>
      </c>
      <c r="C4007" s="70" t="s">
        <v>5132</v>
      </c>
      <c r="D4007" s="15" t="s">
        <v>345</v>
      </c>
      <c r="E4007" s="15" t="s">
        <v>5133</v>
      </c>
      <c r="F4007" s="95">
        <v>1</v>
      </c>
      <c r="G4007" s="16" t="s">
        <v>285</v>
      </c>
      <c r="H4007" s="17">
        <v>77000</v>
      </c>
      <c r="I4007" s="17">
        <f t="shared" si="287"/>
        <v>77000</v>
      </c>
      <c r="J4007" s="519">
        <v>74800</v>
      </c>
      <c r="K4007" s="519">
        <f t="shared" si="288"/>
        <v>2200</v>
      </c>
      <c r="L4007" s="519">
        <f t="shared" si="289"/>
        <v>2200</v>
      </c>
      <c r="M4007" s="557">
        <f t="shared" si="286"/>
        <v>2.8571428571428571E-2</v>
      </c>
      <c r="N4007" s="15" t="s">
        <v>40</v>
      </c>
      <c r="O4007" s="15" t="s">
        <v>4066</v>
      </c>
    </row>
    <row r="4008" spans="1:15">
      <c r="A4008" s="70">
        <v>2026</v>
      </c>
      <c r="B4008" s="16" t="s">
        <v>327</v>
      </c>
      <c r="C4008" s="70" t="s">
        <v>5134</v>
      </c>
      <c r="D4008" s="15" t="s">
        <v>339</v>
      </c>
      <c r="E4008" s="15" t="s">
        <v>5135</v>
      </c>
      <c r="F4008" s="95">
        <v>1</v>
      </c>
      <c r="G4008" s="16" t="s">
        <v>19</v>
      </c>
      <c r="H4008" s="17">
        <v>58500</v>
      </c>
      <c r="I4008" s="17">
        <f t="shared" si="287"/>
        <v>58500</v>
      </c>
      <c r="J4008" s="519">
        <v>56745</v>
      </c>
      <c r="K4008" s="519">
        <f t="shared" si="288"/>
        <v>1755</v>
      </c>
      <c r="L4008" s="519">
        <f t="shared" si="289"/>
        <v>1755</v>
      </c>
      <c r="M4008" s="557">
        <f t="shared" si="286"/>
        <v>0.03</v>
      </c>
      <c r="N4008" s="15" t="s">
        <v>22</v>
      </c>
      <c r="O4008" s="15" t="s">
        <v>4066</v>
      </c>
    </row>
    <row r="4009" spans="1:15">
      <c r="A4009" s="70">
        <v>2026</v>
      </c>
      <c r="B4009" s="16" t="s">
        <v>327</v>
      </c>
      <c r="C4009" s="70" t="s">
        <v>5136</v>
      </c>
      <c r="D4009" s="15" t="s">
        <v>2291</v>
      </c>
      <c r="E4009" s="15" t="s">
        <v>5137</v>
      </c>
      <c r="F4009" s="95">
        <v>1</v>
      </c>
      <c r="G4009" s="16" t="s">
        <v>285</v>
      </c>
      <c r="H4009" s="17">
        <v>95100</v>
      </c>
      <c r="I4009" s="17">
        <f t="shared" si="287"/>
        <v>95100</v>
      </c>
      <c r="J4009" s="519">
        <v>85590</v>
      </c>
      <c r="K4009" s="519">
        <f t="shared" si="288"/>
        <v>9510</v>
      </c>
      <c r="L4009" s="519">
        <f t="shared" si="289"/>
        <v>9510</v>
      </c>
      <c r="M4009" s="557">
        <f t="shared" si="286"/>
        <v>0.1</v>
      </c>
      <c r="N4009" s="15" t="s">
        <v>40</v>
      </c>
      <c r="O4009" s="15" t="s">
        <v>4066</v>
      </c>
    </row>
    <row r="4010" spans="1:15">
      <c r="A4010" s="70">
        <v>2026</v>
      </c>
      <c r="B4010" s="16" t="s">
        <v>327</v>
      </c>
      <c r="C4010" s="70" t="s">
        <v>5138</v>
      </c>
      <c r="D4010" s="15" t="s">
        <v>2934</v>
      </c>
      <c r="E4010" s="15" t="s">
        <v>5139</v>
      </c>
      <c r="F4010" s="95">
        <v>1</v>
      </c>
      <c r="G4010" s="16" t="s">
        <v>285</v>
      </c>
      <c r="H4010" s="17">
        <v>67900</v>
      </c>
      <c r="I4010" s="17">
        <f t="shared" si="287"/>
        <v>67900</v>
      </c>
      <c r="J4010" s="519">
        <v>65863</v>
      </c>
      <c r="K4010" s="519">
        <f t="shared" si="288"/>
        <v>2037</v>
      </c>
      <c r="L4010" s="519">
        <f t="shared" si="289"/>
        <v>2037</v>
      </c>
      <c r="M4010" s="557">
        <f t="shared" si="286"/>
        <v>0.03</v>
      </c>
      <c r="N4010" s="15" t="s">
        <v>40</v>
      </c>
      <c r="O4010" s="15" t="s">
        <v>4066</v>
      </c>
    </row>
    <row r="4011" spans="1:15">
      <c r="A4011" s="70">
        <v>2026</v>
      </c>
      <c r="B4011" s="16" t="s">
        <v>327</v>
      </c>
      <c r="C4011" s="70" t="s">
        <v>5140</v>
      </c>
      <c r="D4011" s="15" t="s">
        <v>3049</v>
      </c>
      <c r="E4011" s="15" t="s">
        <v>5141</v>
      </c>
      <c r="F4011" s="95">
        <v>1</v>
      </c>
      <c r="G4011" s="16" t="s">
        <v>302</v>
      </c>
      <c r="H4011" s="17">
        <v>11380</v>
      </c>
      <c r="I4011" s="17">
        <f t="shared" si="287"/>
        <v>11380</v>
      </c>
      <c r="J4011" s="519">
        <v>11038.6</v>
      </c>
      <c r="K4011" s="519">
        <f t="shared" si="288"/>
        <v>341.39999999999964</v>
      </c>
      <c r="L4011" s="519">
        <f t="shared" si="289"/>
        <v>341.39999999999964</v>
      </c>
      <c r="M4011" s="557">
        <f t="shared" si="286"/>
        <v>2.9999999999999968E-2</v>
      </c>
      <c r="N4011" s="15" t="s">
        <v>40</v>
      </c>
      <c r="O4011" s="15" t="s">
        <v>4066</v>
      </c>
    </row>
    <row r="4012" spans="1:15">
      <c r="A4012" s="70">
        <v>2026</v>
      </c>
      <c r="B4012" s="16" t="s">
        <v>327</v>
      </c>
      <c r="C4012" s="70" t="s">
        <v>5142</v>
      </c>
      <c r="D4012" s="15" t="s">
        <v>1101</v>
      </c>
      <c r="E4012" s="15" t="s">
        <v>5143</v>
      </c>
      <c r="F4012" s="95">
        <v>3</v>
      </c>
      <c r="G4012" s="16" t="s">
        <v>5018</v>
      </c>
      <c r="H4012" s="17">
        <v>10160</v>
      </c>
      <c r="I4012" s="17">
        <f t="shared" si="287"/>
        <v>30480</v>
      </c>
      <c r="J4012" s="519">
        <v>9779</v>
      </c>
      <c r="K4012" s="519">
        <f t="shared" si="288"/>
        <v>381</v>
      </c>
      <c r="L4012" s="519">
        <f t="shared" si="289"/>
        <v>1143</v>
      </c>
      <c r="M4012" s="557">
        <f t="shared" si="286"/>
        <v>3.7499999999999999E-2</v>
      </c>
      <c r="N4012" s="15" t="s">
        <v>22</v>
      </c>
      <c r="O4012" s="15" t="s">
        <v>4066</v>
      </c>
    </row>
    <row r="4013" spans="1:15">
      <c r="A4013" s="70">
        <v>2026</v>
      </c>
      <c r="B4013" s="16" t="s">
        <v>327</v>
      </c>
      <c r="C4013" s="70" t="s">
        <v>5144</v>
      </c>
      <c r="D4013" s="15" t="s">
        <v>522</v>
      </c>
      <c r="E4013" s="15" t="s">
        <v>5145</v>
      </c>
      <c r="F4013" s="95">
        <v>1</v>
      </c>
      <c r="G4013" s="16" t="s">
        <v>285</v>
      </c>
      <c r="H4013" s="17">
        <v>4253724.2</v>
      </c>
      <c r="I4013" s="17">
        <f t="shared" si="287"/>
        <v>4253724.2</v>
      </c>
      <c r="J4013" s="519">
        <v>4040000</v>
      </c>
      <c r="K4013" s="519">
        <f t="shared" si="288"/>
        <v>213724.20000000019</v>
      </c>
      <c r="L4013" s="519">
        <f t="shared" si="289"/>
        <v>213724.20000000019</v>
      </c>
      <c r="M4013" s="557">
        <f t="shared" si="286"/>
        <v>5.0244019111535296E-2</v>
      </c>
      <c r="N4013" s="15" t="s">
        <v>40</v>
      </c>
      <c r="O4013" s="15" t="s">
        <v>4066</v>
      </c>
    </row>
    <row r="4014" spans="1:15">
      <c r="A4014" s="70">
        <v>2026</v>
      </c>
      <c r="B4014" s="16" t="s">
        <v>327</v>
      </c>
      <c r="C4014" s="70" t="s">
        <v>5146</v>
      </c>
      <c r="D4014" s="15" t="s">
        <v>1566</v>
      </c>
      <c r="E4014" s="15" t="s">
        <v>5147</v>
      </c>
      <c r="F4014" s="95">
        <v>1</v>
      </c>
      <c r="G4014" s="16" t="s">
        <v>285</v>
      </c>
      <c r="H4014" s="17">
        <v>74500</v>
      </c>
      <c r="I4014" s="17">
        <f t="shared" si="287"/>
        <v>74500</v>
      </c>
      <c r="J4014" s="519">
        <v>67050</v>
      </c>
      <c r="K4014" s="519">
        <f t="shared" si="288"/>
        <v>7450</v>
      </c>
      <c r="L4014" s="519">
        <f t="shared" si="289"/>
        <v>7450</v>
      </c>
      <c r="M4014" s="557">
        <f t="shared" si="286"/>
        <v>0.1</v>
      </c>
      <c r="N4014" s="15" t="s">
        <v>40</v>
      </c>
      <c r="O4014" s="15" t="s">
        <v>4066</v>
      </c>
    </row>
    <row r="4015" spans="1:15">
      <c r="A4015" s="70">
        <v>2026</v>
      </c>
      <c r="B4015" s="16" t="s">
        <v>327</v>
      </c>
      <c r="C4015" s="70" t="s">
        <v>5148</v>
      </c>
      <c r="D4015" s="15" t="s">
        <v>1566</v>
      </c>
      <c r="E4015" s="15" t="s">
        <v>5149</v>
      </c>
      <c r="F4015" s="95">
        <v>1</v>
      </c>
      <c r="G4015" s="16" t="s">
        <v>285</v>
      </c>
      <c r="H4015" s="17">
        <v>84500</v>
      </c>
      <c r="I4015" s="17">
        <f t="shared" si="287"/>
        <v>84500</v>
      </c>
      <c r="J4015" s="519">
        <v>76050</v>
      </c>
      <c r="K4015" s="519">
        <f t="shared" si="288"/>
        <v>8450</v>
      </c>
      <c r="L4015" s="519">
        <f t="shared" si="289"/>
        <v>8450</v>
      </c>
      <c r="M4015" s="557">
        <f t="shared" si="286"/>
        <v>0.1</v>
      </c>
      <c r="N4015" s="15" t="s">
        <v>40</v>
      </c>
      <c r="O4015" s="15" t="s">
        <v>4066</v>
      </c>
    </row>
    <row r="4016" spans="1:15">
      <c r="A4016" s="70">
        <v>2026</v>
      </c>
      <c r="B4016" s="16" t="s">
        <v>327</v>
      </c>
      <c r="C4016" s="70" t="s">
        <v>5150</v>
      </c>
      <c r="D4016" s="15" t="s">
        <v>1566</v>
      </c>
      <c r="E4016" s="15" t="s">
        <v>5151</v>
      </c>
      <c r="F4016" s="95">
        <v>1</v>
      </c>
      <c r="G4016" s="16" t="s">
        <v>285</v>
      </c>
      <c r="H4016" s="17">
        <v>74500</v>
      </c>
      <c r="I4016" s="17">
        <f t="shared" si="287"/>
        <v>74500</v>
      </c>
      <c r="J4016" s="519">
        <v>67050</v>
      </c>
      <c r="K4016" s="519">
        <f t="shared" si="288"/>
        <v>7450</v>
      </c>
      <c r="L4016" s="519">
        <f t="shared" si="289"/>
        <v>7450</v>
      </c>
      <c r="M4016" s="557">
        <f t="shared" si="286"/>
        <v>0.1</v>
      </c>
      <c r="N4016" s="15" t="s">
        <v>40</v>
      </c>
      <c r="O4016" s="15" t="s">
        <v>4066</v>
      </c>
    </row>
    <row r="4017" spans="1:15">
      <c r="A4017" s="70">
        <v>2026</v>
      </c>
      <c r="B4017" s="16" t="s">
        <v>327</v>
      </c>
      <c r="C4017" s="70" t="s">
        <v>5152</v>
      </c>
      <c r="D4017" s="15" t="s">
        <v>2934</v>
      </c>
      <c r="E4017" s="15" t="s">
        <v>5153</v>
      </c>
      <c r="F4017" s="95">
        <v>1</v>
      </c>
      <c r="G4017" s="16" t="s">
        <v>285</v>
      </c>
      <c r="H4017" s="17">
        <v>91500</v>
      </c>
      <c r="I4017" s="17">
        <f t="shared" si="287"/>
        <v>91500</v>
      </c>
      <c r="J4017" s="519">
        <v>88755</v>
      </c>
      <c r="K4017" s="519">
        <f t="shared" si="288"/>
        <v>2745</v>
      </c>
      <c r="L4017" s="519">
        <f t="shared" si="289"/>
        <v>2745</v>
      </c>
      <c r="M4017" s="557">
        <f t="shared" si="286"/>
        <v>0.03</v>
      </c>
      <c r="N4017" s="15" t="s">
        <v>40</v>
      </c>
      <c r="O4017" s="15" t="s">
        <v>4066</v>
      </c>
    </row>
    <row r="4018" spans="1:15">
      <c r="A4018" s="70">
        <v>2026</v>
      </c>
      <c r="B4018" s="16" t="s">
        <v>327</v>
      </c>
      <c r="C4018" s="70" t="s">
        <v>5154</v>
      </c>
      <c r="D4018" s="15" t="s">
        <v>4179</v>
      </c>
      <c r="E4018" s="15" t="s">
        <v>5155</v>
      </c>
      <c r="F4018" s="95">
        <v>1</v>
      </c>
      <c r="G4018" s="16" t="s">
        <v>285</v>
      </c>
      <c r="H4018" s="17">
        <v>32990302.640000001</v>
      </c>
      <c r="I4018" s="17">
        <f t="shared" si="287"/>
        <v>32990302.640000001</v>
      </c>
      <c r="J4018" s="519">
        <v>32000000</v>
      </c>
      <c r="K4018" s="519">
        <f t="shared" si="288"/>
        <v>990302.6400000006</v>
      </c>
      <c r="L4018" s="519">
        <f t="shared" si="289"/>
        <v>990302.6400000006</v>
      </c>
      <c r="M4018" s="557">
        <f t="shared" si="286"/>
        <v>3.0017991978020866E-2</v>
      </c>
      <c r="N4018" s="15" t="s">
        <v>22</v>
      </c>
      <c r="O4018" s="15" t="s">
        <v>4066</v>
      </c>
    </row>
    <row r="4019" spans="1:15">
      <c r="A4019" s="70">
        <v>2026</v>
      </c>
      <c r="B4019" s="16" t="s">
        <v>327</v>
      </c>
      <c r="C4019" s="70" t="s">
        <v>5156</v>
      </c>
      <c r="D4019" s="15" t="s">
        <v>673</v>
      </c>
      <c r="E4019" s="15" t="s">
        <v>4862</v>
      </c>
      <c r="F4019" s="95">
        <v>6000</v>
      </c>
      <c r="G4019" s="16" t="s">
        <v>19</v>
      </c>
      <c r="H4019" s="17">
        <v>0.55000000000000004</v>
      </c>
      <c r="I4019" s="17">
        <f t="shared" si="287"/>
        <v>3300.0000000000005</v>
      </c>
      <c r="J4019" s="519">
        <v>0.52</v>
      </c>
      <c r="K4019" s="519">
        <f t="shared" si="288"/>
        <v>3.0000000000000027E-2</v>
      </c>
      <c r="L4019" s="519">
        <f t="shared" si="289"/>
        <v>180.00000000000017</v>
      </c>
      <c r="M4019" s="557">
        <f t="shared" si="286"/>
        <v>5.4545454545454591E-2</v>
      </c>
      <c r="N4019" s="15" t="s">
        <v>40</v>
      </c>
      <c r="O4019" s="15" t="s">
        <v>4066</v>
      </c>
    </row>
    <row r="4020" spans="1:15">
      <c r="A4020" s="70">
        <v>2026</v>
      </c>
      <c r="B4020" s="16" t="s">
        <v>327</v>
      </c>
      <c r="C4020" s="70" t="s">
        <v>5157</v>
      </c>
      <c r="D4020" s="15" t="s">
        <v>96</v>
      </c>
      <c r="E4020" s="15" t="s">
        <v>99</v>
      </c>
      <c r="F4020" s="95">
        <v>100</v>
      </c>
      <c r="G4020" s="16" t="s">
        <v>19</v>
      </c>
      <c r="H4020" s="17">
        <v>432</v>
      </c>
      <c r="I4020" s="17">
        <f t="shared" si="287"/>
        <v>43200</v>
      </c>
      <c r="J4020" s="519">
        <v>405</v>
      </c>
      <c r="K4020" s="519">
        <f t="shared" si="288"/>
        <v>27</v>
      </c>
      <c r="L4020" s="519">
        <f t="shared" si="289"/>
        <v>2700</v>
      </c>
      <c r="M4020" s="557">
        <f t="shared" si="286"/>
        <v>6.25E-2</v>
      </c>
      <c r="N4020" s="15" t="s">
        <v>40</v>
      </c>
      <c r="O4020" s="15" t="s">
        <v>4066</v>
      </c>
    </row>
    <row r="4021" spans="1:15">
      <c r="A4021" s="70">
        <v>2026</v>
      </c>
      <c r="B4021" s="16" t="s">
        <v>327</v>
      </c>
      <c r="C4021" s="70" t="s">
        <v>5158</v>
      </c>
      <c r="D4021" s="15" t="s">
        <v>2934</v>
      </c>
      <c r="E4021" s="15" t="s">
        <v>5159</v>
      </c>
      <c r="F4021" s="95">
        <v>1</v>
      </c>
      <c r="G4021" s="16" t="s">
        <v>285</v>
      </c>
      <c r="H4021" s="17">
        <v>757795.75</v>
      </c>
      <c r="I4021" s="17">
        <f t="shared" si="287"/>
        <v>757795.75</v>
      </c>
      <c r="J4021" s="519">
        <v>752000</v>
      </c>
      <c r="K4021" s="519">
        <f t="shared" si="288"/>
        <v>5795.75</v>
      </c>
      <c r="L4021" s="519">
        <f t="shared" si="289"/>
        <v>5795.75</v>
      </c>
      <c r="M4021" s="557">
        <f t="shared" si="286"/>
        <v>7.6481690481900958E-3</v>
      </c>
      <c r="N4021" s="15" t="s">
        <v>40</v>
      </c>
      <c r="O4021" s="15" t="s">
        <v>4066</v>
      </c>
    </row>
    <row r="4022" spans="1:15">
      <c r="A4022" s="70">
        <v>2026</v>
      </c>
      <c r="B4022" s="16" t="s">
        <v>327</v>
      </c>
      <c r="C4022" s="70" t="s">
        <v>5160</v>
      </c>
      <c r="D4022" s="15" t="s">
        <v>118</v>
      </c>
      <c r="E4022" s="15" t="s">
        <v>5161</v>
      </c>
      <c r="F4022" s="95">
        <v>3</v>
      </c>
      <c r="G4022" s="16" t="s">
        <v>19</v>
      </c>
      <c r="H4022" s="17">
        <v>8700</v>
      </c>
      <c r="I4022" s="17">
        <f t="shared" si="287"/>
        <v>26100</v>
      </c>
      <c r="J4022" s="519">
        <v>6525</v>
      </c>
      <c r="K4022" s="519">
        <f t="shared" si="288"/>
        <v>2175</v>
      </c>
      <c r="L4022" s="519">
        <f t="shared" si="289"/>
        <v>6525</v>
      </c>
      <c r="M4022" s="557">
        <f t="shared" si="286"/>
        <v>0.25</v>
      </c>
      <c r="N4022" s="15" t="s">
        <v>22</v>
      </c>
      <c r="O4022" s="15" t="s">
        <v>4066</v>
      </c>
    </row>
    <row r="4023" spans="1:15">
      <c r="A4023" s="70">
        <v>2026</v>
      </c>
      <c r="B4023" s="16" t="s">
        <v>327</v>
      </c>
      <c r="C4023" s="70" t="s">
        <v>5162</v>
      </c>
      <c r="D4023" s="15" t="s">
        <v>118</v>
      </c>
      <c r="E4023" s="15" t="s">
        <v>5163</v>
      </c>
      <c r="F4023" s="95">
        <v>1</v>
      </c>
      <c r="G4023" s="16" t="s">
        <v>19</v>
      </c>
      <c r="H4023" s="17">
        <v>2720</v>
      </c>
      <c r="I4023" s="17">
        <f t="shared" si="287"/>
        <v>2720</v>
      </c>
      <c r="J4023" s="519">
        <v>1632</v>
      </c>
      <c r="K4023" s="519">
        <f t="shared" si="288"/>
        <v>1088</v>
      </c>
      <c r="L4023" s="519">
        <f t="shared" si="289"/>
        <v>1088</v>
      </c>
      <c r="M4023" s="557">
        <f t="shared" si="286"/>
        <v>0.4</v>
      </c>
      <c r="N4023" s="15" t="s">
        <v>22</v>
      </c>
      <c r="O4023" s="15" t="s">
        <v>4066</v>
      </c>
    </row>
    <row r="4024" spans="1:15">
      <c r="A4024" s="70">
        <v>2026</v>
      </c>
      <c r="B4024" s="16" t="s">
        <v>327</v>
      </c>
      <c r="C4024" s="70" t="s">
        <v>5162</v>
      </c>
      <c r="D4024" s="15" t="s">
        <v>118</v>
      </c>
      <c r="E4024" s="15" t="s">
        <v>5164</v>
      </c>
      <c r="F4024" s="95">
        <v>2</v>
      </c>
      <c r="G4024" s="16" t="s">
        <v>19</v>
      </c>
      <c r="H4024" s="17">
        <v>9790</v>
      </c>
      <c r="I4024" s="17">
        <f t="shared" si="287"/>
        <v>19580</v>
      </c>
      <c r="J4024" s="519">
        <v>5874</v>
      </c>
      <c r="K4024" s="519">
        <f t="shared" si="288"/>
        <v>3916</v>
      </c>
      <c r="L4024" s="519">
        <f t="shared" si="289"/>
        <v>7832</v>
      </c>
      <c r="M4024" s="557">
        <f t="shared" si="286"/>
        <v>0.4</v>
      </c>
      <c r="N4024" s="15" t="s">
        <v>22</v>
      </c>
      <c r="O4024" s="15" t="s">
        <v>4066</v>
      </c>
    </row>
    <row r="4025" spans="1:15">
      <c r="A4025" s="70">
        <v>2026</v>
      </c>
      <c r="B4025" s="16" t="s">
        <v>327</v>
      </c>
      <c r="C4025" s="70" t="s">
        <v>5165</v>
      </c>
      <c r="D4025" s="15" t="s">
        <v>182</v>
      </c>
      <c r="E4025" s="15" t="s">
        <v>5166</v>
      </c>
      <c r="F4025" s="95">
        <v>1</v>
      </c>
      <c r="G4025" s="16" t="s">
        <v>19</v>
      </c>
      <c r="H4025" s="17">
        <v>700</v>
      </c>
      <c r="I4025" s="17">
        <f t="shared" si="287"/>
        <v>700</v>
      </c>
      <c r="J4025" s="519">
        <v>560</v>
      </c>
      <c r="K4025" s="519">
        <f t="shared" si="288"/>
        <v>140</v>
      </c>
      <c r="L4025" s="519">
        <f t="shared" si="289"/>
        <v>140</v>
      </c>
      <c r="M4025" s="557">
        <f t="shared" si="286"/>
        <v>0.2</v>
      </c>
      <c r="N4025" s="15" t="s">
        <v>40</v>
      </c>
      <c r="O4025" s="15" t="s">
        <v>4066</v>
      </c>
    </row>
    <row r="4026" spans="1:15">
      <c r="A4026" s="70">
        <v>2026</v>
      </c>
      <c r="B4026" s="16" t="s">
        <v>327</v>
      </c>
      <c r="C4026" s="70" t="s">
        <v>5167</v>
      </c>
      <c r="D4026" s="15" t="s">
        <v>5168</v>
      </c>
      <c r="E4026" s="15" t="s">
        <v>5169</v>
      </c>
      <c r="F4026" s="95">
        <v>1</v>
      </c>
      <c r="G4026" s="16" t="s">
        <v>285</v>
      </c>
      <c r="H4026" s="17">
        <v>15000</v>
      </c>
      <c r="I4026" s="17">
        <f t="shared" si="287"/>
        <v>15000</v>
      </c>
      <c r="J4026" s="519">
        <v>12000</v>
      </c>
      <c r="K4026" s="519">
        <f t="shared" si="288"/>
        <v>3000</v>
      </c>
      <c r="L4026" s="519">
        <f t="shared" si="289"/>
        <v>3000</v>
      </c>
      <c r="M4026" s="557">
        <f t="shared" si="286"/>
        <v>0.2</v>
      </c>
      <c r="N4026" s="15" t="s">
        <v>40</v>
      </c>
      <c r="O4026" s="15" t="s">
        <v>4066</v>
      </c>
    </row>
    <row r="4027" spans="1:15">
      <c r="A4027" s="70">
        <v>2026</v>
      </c>
      <c r="B4027" s="16" t="s">
        <v>327</v>
      </c>
      <c r="C4027" s="70" t="s">
        <v>5170</v>
      </c>
      <c r="D4027" s="15" t="s">
        <v>2294</v>
      </c>
      <c r="E4027" s="15" t="s">
        <v>5171</v>
      </c>
      <c r="F4027" s="95">
        <v>1</v>
      </c>
      <c r="G4027" s="16" t="s">
        <v>285</v>
      </c>
      <c r="H4027" s="17">
        <v>24420</v>
      </c>
      <c r="I4027" s="17">
        <f t="shared" si="287"/>
        <v>24420</v>
      </c>
      <c r="J4027" s="519">
        <v>13532</v>
      </c>
      <c r="K4027" s="519">
        <f t="shared" si="288"/>
        <v>10888</v>
      </c>
      <c r="L4027" s="519">
        <f t="shared" si="289"/>
        <v>10888</v>
      </c>
      <c r="M4027" s="557">
        <f t="shared" si="286"/>
        <v>0.44586404586404588</v>
      </c>
      <c r="N4027" s="15" t="s">
        <v>40</v>
      </c>
      <c r="O4027" s="15" t="s">
        <v>4066</v>
      </c>
    </row>
    <row r="4028" spans="1:15">
      <c r="A4028" s="70">
        <v>2026</v>
      </c>
      <c r="B4028" s="16" t="s">
        <v>327</v>
      </c>
      <c r="C4028" s="70" t="s">
        <v>5172</v>
      </c>
      <c r="D4028" s="15" t="s">
        <v>1948</v>
      </c>
      <c r="E4028" s="15" t="s">
        <v>5173</v>
      </c>
      <c r="F4028" s="95">
        <v>20</v>
      </c>
      <c r="G4028" s="16" t="s">
        <v>19</v>
      </c>
      <c r="H4028" s="17">
        <v>302</v>
      </c>
      <c r="I4028" s="17">
        <f t="shared" si="287"/>
        <v>6040</v>
      </c>
      <c r="J4028" s="519">
        <v>271.8</v>
      </c>
      <c r="K4028" s="519">
        <f t="shared" si="288"/>
        <v>30.199999999999989</v>
      </c>
      <c r="L4028" s="519">
        <f t="shared" si="289"/>
        <v>603.99999999999977</v>
      </c>
      <c r="M4028" s="557">
        <f t="shared" si="286"/>
        <v>9.9999999999999964E-2</v>
      </c>
      <c r="N4028" s="15" t="s">
        <v>22</v>
      </c>
      <c r="O4028" s="15" t="s">
        <v>4066</v>
      </c>
    </row>
    <row r="4029" spans="1:15">
      <c r="A4029" s="70">
        <v>2026</v>
      </c>
      <c r="B4029" s="16" t="s">
        <v>327</v>
      </c>
      <c r="C4029" s="70" t="s">
        <v>5172</v>
      </c>
      <c r="D4029" s="15" t="s">
        <v>1948</v>
      </c>
      <c r="E4029" s="15" t="s">
        <v>5174</v>
      </c>
      <c r="F4029" s="95">
        <v>20</v>
      </c>
      <c r="G4029" s="16" t="s">
        <v>19</v>
      </c>
      <c r="H4029" s="17">
        <v>151</v>
      </c>
      <c r="I4029" s="17">
        <f t="shared" si="287"/>
        <v>3020</v>
      </c>
      <c r="J4029" s="519">
        <v>135.9</v>
      </c>
      <c r="K4029" s="519">
        <f t="shared" si="288"/>
        <v>15.099999999999994</v>
      </c>
      <c r="L4029" s="519">
        <f t="shared" si="289"/>
        <v>301.99999999999989</v>
      </c>
      <c r="M4029" s="557">
        <f t="shared" si="286"/>
        <v>9.9999999999999964E-2</v>
      </c>
      <c r="N4029" s="15" t="s">
        <v>22</v>
      </c>
      <c r="O4029" s="15" t="s">
        <v>4066</v>
      </c>
    </row>
    <row r="4030" spans="1:15">
      <c r="A4030" s="70">
        <v>2026</v>
      </c>
      <c r="B4030" s="16" t="s">
        <v>327</v>
      </c>
      <c r="C4030" s="70" t="s">
        <v>5175</v>
      </c>
      <c r="D4030" s="15" t="s">
        <v>4659</v>
      </c>
      <c r="E4030" s="15" t="s">
        <v>5176</v>
      </c>
      <c r="F4030" s="95">
        <v>1</v>
      </c>
      <c r="G4030" s="16" t="s">
        <v>285</v>
      </c>
      <c r="H4030" s="17">
        <v>13000</v>
      </c>
      <c r="I4030" s="17">
        <f t="shared" si="287"/>
        <v>13000</v>
      </c>
      <c r="J4030" s="519">
        <v>11700</v>
      </c>
      <c r="K4030" s="519">
        <f t="shared" si="288"/>
        <v>1300</v>
      </c>
      <c r="L4030" s="519">
        <f t="shared" si="289"/>
        <v>1300</v>
      </c>
      <c r="M4030" s="557">
        <f t="shared" si="286"/>
        <v>0.1</v>
      </c>
      <c r="N4030" s="15" t="s">
        <v>40</v>
      </c>
      <c r="O4030" s="15" t="s">
        <v>4066</v>
      </c>
    </row>
    <row r="4031" spans="1:15">
      <c r="A4031" s="70">
        <v>2026</v>
      </c>
      <c r="B4031" s="16" t="s">
        <v>327</v>
      </c>
      <c r="C4031" s="70" t="s">
        <v>5177</v>
      </c>
      <c r="D4031" s="15" t="s">
        <v>2294</v>
      </c>
      <c r="E4031" s="15" t="s">
        <v>5178</v>
      </c>
      <c r="F4031" s="95">
        <v>1</v>
      </c>
      <c r="G4031" s="16" t="s">
        <v>285</v>
      </c>
      <c r="H4031" s="17">
        <v>19030</v>
      </c>
      <c r="I4031" s="17">
        <f t="shared" si="287"/>
        <v>19030</v>
      </c>
      <c r="J4031" s="519">
        <v>18000</v>
      </c>
      <c r="K4031" s="519">
        <f t="shared" si="288"/>
        <v>1030</v>
      </c>
      <c r="L4031" s="519">
        <f t="shared" si="289"/>
        <v>1030</v>
      </c>
      <c r="M4031" s="557">
        <f t="shared" si="286"/>
        <v>5.4125065685759324E-2</v>
      </c>
      <c r="N4031" s="15" t="s">
        <v>40</v>
      </c>
      <c r="O4031" s="15" t="s">
        <v>4066</v>
      </c>
    </row>
    <row r="4032" spans="1:15">
      <c r="A4032" s="70">
        <v>2026</v>
      </c>
      <c r="B4032" s="16" t="s">
        <v>327</v>
      </c>
      <c r="C4032" s="70" t="s">
        <v>5179</v>
      </c>
      <c r="D4032" s="15" t="s">
        <v>345</v>
      </c>
      <c r="E4032" s="15" t="s">
        <v>5180</v>
      </c>
      <c r="F4032" s="95">
        <v>1</v>
      </c>
      <c r="G4032" s="16" t="s">
        <v>285</v>
      </c>
      <c r="H4032" s="17">
        <v>173500</v>
      </c>
      <c r="I4032" s="17">
        <f t="shared" si="287"/>
        <v>173500</v>
      </c>
      <c r="J4032" s="519">
        <v>168000</v>
      </c>
      <c r="K4032" s="519">
        <f t="shared" si="288"/>
        <v>5500</v>
      </c>
      <c r="L4032" s="519">
        <f t="shared" si="289"/>
        <v>5500</v>
      </c>
      <c r="M4032" s="557">
        <f t="shared" si="286"/>
        <v>3.1700288184438041E-2</v>
      </c>
      <c r="N4032" s="15" t="s">
        <v>40</v>
      </c>
      <c r="O4032" s="15" t="s">
        <v>4066</v>
      </c>
    </row>
    <row r="4033" spans="1:17">
      <c r="A4033" s="70">
        <v>2026</v>
      </c>
      <c r="B4033" s="16" t="s">
        <v>327</v>
      </c>
      <c r="C4033" s="70" t="s">
        <v>5181</v>
      </c>
      <c r="D4033" s="15" t="s">
        <v>4857</v>
      </c>
      <c r="E4033" s="15" t="s">
        <v>5182</v>
      </c>
      <c r="F4033" s="95">
        <v>1</v>
      </c>
      <c r="G4033" s="16" t="s">
        <v>285</v>
      </c>
      <c r="H4033" s="17">
        <v>401570</v>
      </c>
      <c r="I4033" s="17">
        <f t="shared" si="287"/>
        <v>401570</v>
      </c>
      <c r="J4033" s="519">
        <v>370890</v>
      </c>
      <c r="K4033" s="519">
        <f t="shared" si="288"/>
        <v>30680</v>
      </c>
      <c r="L4033" s="519">
        <f t="shared" si="289"/>
        <v>30680</v>
      </c>
      <c r="M4033" s="557">
        <f t="shared" si="286"/>
        <v>7.6400129491744906E-2</v>
      </c>
      <c r="N4033" s="15" t="s">
        <v>40</v>
      </c>
      <c r="O4033" s="15" t="s">
        <v>4066</v>
      </c>
    </row>
    <row r="4034" spans="1:17">
      <c r="A4034" s="70">
        <v>2026</v>
      </c>
      <c r="B4034" s="16" t="s">
        <v>327</v>
      </c>
      <c r="C4034" s="70" t="s">
        <v>5183</v>
      </c>
      <c r="D4034" s="15" t="s">
        <v>2934</v>
      </c>
      <c r="E4034" s="15" t="s">
        <v>5184</v>
      </c>
      <c r="F4034" s="95">
        <v>1</v>
      </c>
      <c r="G4034" s="16" t="s">
        <v>285</v>
      </c>
      <c r="H4034" s="17">
        <v>1053715</v>
      </c>
      <c r="I4034" s="17">
        <f t="shared" si="287"/>
        <v>1053715</v>
      </c>
      <c r="J4034" s="519">
        <v>1030000</v>
      </c>
      <c r="K4034" s="519">
        <f t="shared" si="288"/>
        <v>23715</v>
      </c>
      <c r="L4034" s="519">
        <f t="shared" si="289"/>
        <v>23715</v>
      </c>
      <c r="M4034" s="557">
        <f t="shared" si="286"/>
        <v>2.2506085611384483E-2</v>
      </c>
      <c r="N4034" s="15" t="s">
        <v>40</v>
      </c>
      <c r="O4034" s="15" t="s">
        <v>4066</v>
      </c>
    </row>
    <row r="4035" spans="1:17">
      <c r="A4035" s="70">
        <v>2026</v>
      </c>
      <c r="B4035" s="16" t="s">
        <v>327</v>
      </c>
      <c r="C4035" s="70" t="s">
        <v>5185</v>
      </c>
      <c r="D4035" s="15" t="s">
        <v>5186</v>
      </c>
      <c r="E4035" s="565" t="s">
        <v>5187</v>
      </c>
      <c r="F4035" s="95">
        <v>1</v>
      </c>
      <c r="G4035" s="16" t="s">
        <v>285</v>
      </c>
      <c r="H4035" s="17">
        <v>15000</v>
      </c>
      <c r="I4035" s="17">
        <f t="shared" si="287"/>
        <v>15000</v>
      </c>
      <c r="J4035" s="519">
        <v>12000</v>
      </c>
      <c r="K4035" s="519">
        <f t="shared" si="288"/>
        <v>3000</v>
      </c>
      <c r="L4035" s="519">
        <f t="shared" si="289"/>
        <v>3000</v>
      </c>
      <c r="M4035" s="557">
        <f t="shared" si="286"/>
        <v>0.2</v>
      </c>
      <c r="N4035" s="15" t="s">
        <v>40</v>
      </c>
      <c r="O4035" s="15" t="s">
        <v>4066</v>
      </c>
    </row>
    <row r="4036" spans="1:17">
      <c r="A4036" s="70">
        <v>2026</v>
      </c>
      <c r="B4036" s="16" t="s">
        <v>327</v>
      </c>
      <c r="C4036" s="70" t="s">
        <v>5188</v>
      </c>
      <c r="D4036" s="15" t="s">
        <v>4179</v>
      </c>
      <c r="E4036" s="15" t="s">
        <v>5189</v>
      </c>
      <c r="F4036" s="95">
        <v>1</v>
      </c>
      <c r="G4036" s="16" t="s">
        <v>285</v>
      </c>
      <c r="H4036" s="17">
        <v>25872</v>
      </c>
      <c r="I4036" s="17">
        <f t="shared" si="287"/>
        <v>25872</v>
      </c>
      <c r="J4036" s="519">
        <v>25000</v>
      </c>
      <c r="K4036" s="519">
        <f t="shared" si="288"/>
        <v>872</v>
      </c>
      <c r="L4036" s="519">
        <f t="shared" si="289"/>
        <v>872</v>
      </c>
      <c r="M4036" s="557">
        <f t="shared" si="286"/>
        <v>3.3704390847247988E-2</v>
      </c>
      <c r="N4036" s="15" t="s">
        <v>40</v>
      </c>
      <c r="O4036" s="15" t="s">
        <v>4066</v>
      </c>
    </row>
    <row r="4037" spans="1:17">
      <c r="A4037" s="70">
        <v>2026</v>
      </c>
      <c r="B4037" s="16" t="s">
        <v>327</v>
      </c>
      <c r="C4037" s="70" t="s">
        <v>5190</v>
      </c>
      <c r="D4037" s="15" t="s">
        <v>5191</v>
      </c>
      <c r="E4037" s="15" t="s">
        <v>5192</v>
      </c>
      <c r="F4037" s="95">
        <v>5</v>
      </c>
      <c r="G4037" s="16" t="s">
        <v>19</v>
      </c>
      <c r="H4037" s="17">
        <v>33177.57</v>
      </c>
      <c r="I4037" s="17">
        <f t="shared" si="287"/>
        <v>165887.85</v>
      </c>
      <c r="J4037" s="519">
        <v>18691.59</v>
      </c>
      <c r="K4037" s="519">
        <f t="shared" si="288"/>
        <v>14485.98</v>
      </c>
      <c r="L4037" s="519">
        <f t="shared" si="289"/>
        <v>72429.899999999994</v>
      </c>
      <c r="M4037" s="557">
        <f t="shared" ref="M4037:M4047" si="290">K4037/H4037</f>
        <v>0.436619680103154</v>
      </c>
      <c r="N4037" s="15" t="s">
        <v>40</v>
      </c>
      <c r="O4037" s="15" t="s">
        <v>4066</v>
      </c>
    </row>
    <row r="4038" spans="1:17">
      <c r="A4038" s="70">
        <v>2026</v>
      </c>
      <c r="B4038" s="16" t="s">
        <v>327</v>
      </c>
      <c r="C4038" s="70" t="s">
        <v>5193</v>
      </c>
      <c r="D4038" s="15" t="s">
        <v>1935</v>
      </c>
      <c r="E4038" s="15" t="s">
        <v>5020</v>
      </c>
      <c r="F4038" s="95">
        <v>2</v>
      </c>
      <c r="G4038" s="16" t="s">
        <v>19</v>
      </c>
      <c r="H4038" s="17">
        <v>460</v>
      </c>
      <c r="I4038" s="17">
        <f t="shared" si="287"/>
        <v>920</v>
      </c>
      <c r="J4038" s="519">
        <v>425</v>
      </c>
      <c r="K4038" s="519">
        <f t="shared" si="288"/>
        <v>35</v>
      </c>
      <c r="L4038" s="519">
        <f t="shared" si="289"/>
        <v>70</v>
      </c>
      <c r="M4038" s="557">
        <f t="shared" si="290"/>
        <v>7.6086956521739135E-2</v>
      </c>
      <c r="N4038" s="15" t="s">
        <v>22</v>
      </c>
      <c r="O4038" s="15" t="s">
        <v>4066</v>
      </c>
    </row>
    <row r="4039" spans="1:17">
      <c r="A4039" s="70">
        <v>2026</v>
      </c>
      <c r="B4039" s="16" t="s">
        <v>327</v>
      </c>
      <c r="C4039" s="70" t="s">
        <v>5193</v>
      </c>
      <c r="D4039" s="15" t="s">
        <v>1935</v>
      </c>
      <c r="E4039" s="15" t="s">
        <v>5021</v>
      </c>
      <c r="F4039" s="95">
        <v>2</v>
      </c>
      <c r="G4039" s="16" t="s">
        <v>302</v>
      </c>
      <c r="H4039" s="17">
        <v>880</v>
      </c>
      <c r="I4039" s="17">
        <f t="shared" si="287"/>
        <v>1760</v>
      </c>
      <c r="J4039" s="519">
        <v>860</v>
      </c>
      <c r="K4039" s="519">
        <f t="shared" si="288"/>
        <v>20</v>
      </c>
      <c r="L4039" s="519">
        <f t="shared" si="289"/>
        <v>40</v>
      </c>
      <c r="M4039" s="557">
        <f t="shared" si="290"/>
        <v>2.2727272727272728E-2</v>
      </c>
      <c r="N4039" s="15" t="s">
        <v>22</v>
      </c>
      <c r="O4039" s="15" t="s">
        <v>4066</v>
      </c>
    </row>
    <row r="4040" spans="1:17">
      <c r="A4040" s="70">
        <v>2026</v>
      </c>
      <c r="B4040" s="16" t="s">
        <v>327</v>
      </c>
      <c r="C4040" s="70" t="s">
        <v>5194</v>
      </c>
      <c r="D4040" s="15" t="s">
        <v>270</v>
      </c>
      <c r="E4040" s="15" t="s">
        <v>73</v>
      </c>
      <c r="F4040" s="95">
        <v>649.5</v>
      </c>
      <c r="G4040" s="16" t="s">
        <v>37</v>
      </c>
      <c r="H4040" s="17">
        <v>480</v>
      </c>
      <c r="I4040" s="17">
        <f t="shared" si="287"/>
        <v>311760</v>
      </c>
      <c r="J4040" s="519">
        <v>474</v>
      </c>
      <c r="K4040" s="519">
        <f t="shared" si="288"/>
        <v>6</v>
      </c>
      <c r="L4040" s="519">
        <f t="shared" si="289"/>
        <v>3897</v>
      </c>
      <c r="M4040" s="557">
        <f t="shared" si="290"/>
        <v>1.2500000000000001E-2</v>
      </c>
      <c r="N4040" s="15" t="s">
        <v>22</v>
      </c>
      <c r="O4040" s="15" t="s">
        <v>105</v>
      </c>
    </row>
    <row r="4041" spans="1:17">
      <c r="A4041" s="70">
        <v>2026</v>
      </c>
      <c r="B4041" s="16" t="s">
        <v>327</v>
      </c>
      <c r="C4041" s="70" t="s">
        <v>5195</v>
      </c>
      <c r="D4041" s="15" t="s">
        <v>1042</v>
      </c>
      <c r="E4041" s="15" t="s">
        <v>5196</v>
      </c>
      <c r="F4041" s="95">
        <v>2129</v>
      </c>
      <c r="G4041" s="16" t="s">
        <v>37</v>
      </c>
      <c r="H4041" s="17">
        <v>456</v>
      </c>
      <c r="I4041" s="17">
        <f t="shared" si="287"/>
        <v>970824</v>
      </c>
      <c r="J4041" s="519">
        <v>439.5</v>
      </c>
      <c r="K4041" s="519">
        <f t="shared" si="288"/>
        <v>16.5</v>
      </c>
      <c r="L4041" s="519">
        <f t="shared" si="289"/>
        <v>35128.5</v>
      </c>
      <c r="M4041" s="557">
        <f t="shared" si="290"/>
        <v>3.6184210526315791E-2</v>
      </c>
      <c r="N4041" s="15" t="s">
        <v>22</v>
      </c>
      <c r="O4041" s="15" t="s">
        <v>105</v>
      </c>
    </row>
    <row r="4042" spans="1:17">
      <c r="A4042" s="70">
        <v>2026</v>
      </c>
      <c r="B4042" s="16" t="s">
        <v>464</v>
      </c>
      <c r="C4042" s="70" t="s">
        <v>5197</v>
      </c>
      <c r="D4042" s="15" t="s">
        <v>329</v>
      </c>
      <c r="E4042" s="15" t="s">
        <v>379</v>
      </c>
      <c r="F4042" s="95">
        <v>15</v>
      </c>
      <c r="G4042" s="16" t="s">
        <v>701</v>
      </c>
      <c r="H4042" s="17">
        <v>5595</v>
      </c>
      <c r="I4042" s="17">
        <f t="shared" si="287"/>
        <v>83925</v>
      </c>
      <c r="J4042" s="519">
        <v>5450</v>
      </c>
      <c r="K4042" s="519">
        <f t="shared" si="288"/>
        <v>145</v>
      </c>
      <c r="L4042" s="519">
        <f t="shared" si="289"/>
        <v>2175</v>
      </c>
      <c r="M4042" s="557">
        <f t="shared" si="290"/>
        <v>2.5915996425379804E-2</v>
      </c>
      <c r="N4042" s="15" t="s">
        <v>22</v>
      </c>
      <c r="O4042" s="15" t="s">
        <v>39</v>
      </c>
      <c r="P4042" s="17"/>
      <c r="Q4042" s="519"/>
    </row>
    <row r="4043" spans="1:17">
      <c r="A4043" s="70">
        <v>2026</v>
      </c>
      <c r="B4043" s="16" t="s">
        <v>464</v>
      </c>
      <c r="C4043" s="70" t="s">
        <v>5198</v>
      </c>
      <c r="D4043" s="15" t="s">
        <v>229</v>
      </c>
      <c r="E4043" s="15" t="s">
        <v>233</v>
      </c>
      <c r="F4043" s="95">
        <v>12000</v>
      </c>
      <c r="G4043" s="16" t="s">
        <v>37</v>
      </c>
      <c r="H4043" s="17">
        <v>24.2</v>
      </c>
      <c r="I4043" s="17">
        <f t="shared" si="287"/>
        <v>290400</v>
      </c>
      <c r="J4043" s="519">
        <v>23.7</v>
      </c>
      <c r="K4043" s="519">
        <f t="shared" si="288"/>
        <v>0.5</v>
      </c>
      <c r="L4043" s="519">
        <f t="shared" si="289"/>
        <v>6000</v>
      </c>
      <c r="M4043" s="557">
        <f t="shared" si="290"/>
        <v>2.0661157024793389E-2</v>
      </c>
      <c r="N4043" s="15" t="s">
        <v>22</v>
      </c>
      <c r="O4043" s="15" t="s">
        <v>39</v>
      </c>
    </row>
    <row r="4044" spans="1:17">
      <c r="A4044" s="70">
        <v>2026</v>
      </c>
      <c r="B4044" s="16" t="s">
        <v>464</v>
      </c>
      <c r="C4044" s="70" t="s">
        <v>5199</v>
      </c>
      <c r="D4044" s="15" t="s">
        <v>229</v>
      </c>
      <c r="E4044" s="15" t="s">
        <v>996</v>
      </c>
      <c r="F4044" s="95">
        <v>9000</v>
      </c>
      <c r="G4044" s="16" t="s">
        <v>37</v>
      </c>
      <c r="H4044" s="17">
        <v>24.2</v>
      </c>
      <c r="I4044" s="17">
        <f t="shared" si="287"/>
        <v>217800</v>
      </c>
      <c r="J4044" s="519">
        <v>23.7</v>
      </c>
      <c r="K4044" s="519">
        <f t="shared" si="288"/>
        <v>0.5</v>
      </c>
      <c r="L4044" s="519">
        <f t="shared" si="289"/>
        <v>4500</v>
      </c>
      <c r="M4044" s="557">
        <f t="shared" si="290"/>
        <v>2.0661157024793389E-2</v>
      </c>
      <c r="N4044" s="15" t="s">
        <v>22</v>
      </c>
      <c r="O4044" s="15" t="s">
        <v>39</v>
      </c>
    </row>
    <row r="4045" spans="1:17">
      <c r="A4045" s="70">
        <v>2026</v>
      </c>
      <c r="B4045" s="16" t="s">
        <v>464</v>
      </c>
      <c r="C4045" s="70" t="s">
        <v>5199</v>
      </c>
      <c r="D4045" s="15" t="s">
        <v>229</v>
      </c>
      <c r="E4045" s="15" t="s">
        <v>5200</v>
      </c>
      <c r="F4045" s="95">
        <v>6000</v>
      </c>
      <c r="G4045" s="16" t="s">
        <v>37</v>
      </c>
      <c r="H4045" s="17">
        <v>24.2</v>
      </c>
      <c r="I4045" s="17">
        <f t="shared" si="287"/>
        <v>145200</v>
      </c>
      <c r="J4045" s="519">
        <v>23.7</v>
      </c>
      <c r="K4045" s="519">
        <f t="shared" si="288"/>
        <v>0.5</v>
      </c>
      <c r="L4045" s="519">
        <f t="shared" si="289"/>
        <v>3000</v>
      </c>
      <c r="M4045" s="557">
        <f t="shared" si="290"/>
        <v>2.0661157024793389E-2</v>
      </c>
      <c r="N4045" s="15" t="s">
        <v>22</v>
      </c>
      <c r="O4045" s="15" t="s">
        <v>39</v>
      </c>
    </row>
    <row r="4046" spans="1:17">
      <c r="A4046" s="70">
        <v>2026</v>
      </c>
      <c r="B4046" s="16" t="s">
        <v>464</v>
      </c>
      <c r="C4046" s="70" t="s">
        <v>5199</v>
      </c>
      <c r="D4046" s="15" t="s">
        <v>229</v>
      </c>
      <c r="E4046" s="15" t="s">
        <v>275</v>
      </c>
      <c r="F4046" s="95">
        <v>6000</v>
      </c>
      <c r="G4046" s="16" t="s">
        <v>37</v>
      </c>
      <c r="H4046" s="17">
        <v>24.2</v>
      </c>
      <c r="I4046" s="17">
        <f t="shared" si="287"/>
        <v>145200</v>
      </c>
      <c r="J4046" s="519">
        <v>23.7</v>
      </c>
      <c r="K4046" s="519">
        <f t="shared" si="288"/>
        <v>0.5</v>
      </c>
      <c r="L4046" s="519">
        <f t="shared" si="289"/>
        <v>3000</v>
      </c>
      <c r="M4046" s="557">
        <f t="shared" si="290"/>
        <v>2.0661157024793389E-2</v>
      </c>
      <c r="N4046" s="15" t="s">
        <v>22</v>
      </c>
      <c r="O4046" s="15" t="s">
        <v>39</v>
      </c>
    </row>
    <row r="4047" spans="1:17">
      <c r="A4047" s="70">
        <v>2026</v>
      </c>
      <c r="B4047" s="16" t="s">
        <v>464</v>
      </c>
      <c r="C4047" s="70" t="s">
        <v>5201</v>
      </c>
      <c r="D4047" s="15" t="s">
        <v>2086</v>
      </c>
      <c r="E4047" s="15" t="s">
        <v>5202</v>
      </c>
      <c r="F4047" s="95">
        <v>1</v>
      </c>
      <c r="G4047" s="16" t="s">
        <v>302</v>
      </c>
      <c r="H4047" s="17">
        <v>158562</v>
      </c>
      <c r="I4047" s="17">
        <f t="shared" si="287"/>
        <v>158562</v>
      </c>
      <c r="J4047" s="519">
        <v>155000</v>
      </c>
      <c r="K4047" s="519">
        <f t="shared" si="288"/>
        <v>3562</v>
      </c>
      <c r="L4047" s="519">
        <f t="shared" si="289"/>
        <v>3562</v>
      </c>
      <c r="M4047" s="557">
        <f t="shared" si="290"/>
        <v>2.2464398784071846E-2</v>
      </c>
      <c r="N4047" s="15" t="s">
        <v>40</v>
      </c>
      <c r="O4047" s="15" t="s">
        <v>39</v>
      </c>
    </row>
    <row r="4048" spans="1:17">
      <c r="A4048" s="70">
        <v>2026</v>
      </c>
      <c r="B4048" s="16" t="s">
        <v>464</v>
      </c>
      <c r="C4048" s="70" t="s">
        <v>5203</v>
      </c>
      <c r="D4048" s="15" t="s">
        <v>229</v>
      </c>
      <c r="E4048" s="15" t="s">
        <v>379</v>
      </c>
      <c r="F4048" s="95">
        <v>95</v>
      </c>
      <c r="G4048" s="16" t="s">
        <v>331</v>
      </c>
      <c r="H4048" s="17">
        <v>4935</v>
      </c>
      <c r="I4048" s="17">
        <f t="shared" si="287"/>
        <v>468825</v>
      </c>
      <c r="J4048" s="519">
        <v>4893</v>
      </c>
      <c r="K4048" s="519">
        <f t="shared" ref="K4048:K4055" si="291">H4048-J4048</f>
        <v>42</v>
      </c>
      <c r="L4048" s="519">
        <f t="shared" ref="L4048:L4055" si="292">K4048*F4048</f>
        <v>3990</v>
      </c>
      <c r="M4048" s="557">
        <f t="shared" ref="M4048:M4055" si="293">K4048/H4048</f>
        <v>8.5106382978723406E-3</v>
      </c>
      <c r="N4048" s="15" t="s">
        <v>22</v>
      </c>
      <c r="O4048" s="15" t="s">
        <v>39</v>
      </c>
    </row>
    <row r="4049" spans="1:15">
      <c r="A4049" s="70">
        <v>2026</v>
      </c>
      <c r="B4049" s="16" t="s">
        <v>464</v>
      </c>
      <c r="C4049" s="70" t="s">
        <v>5204</v>
      </c>
      <c r="D4049" s="15" t="s">
        <v>3629</v>
      </c>
      <c r="E4049" s="15" t="s">
        <v>3267</v>
      </c>
      <c r="F4049" s="95">
        <v>1</v>
      </c>
      <c r="G4049" s="16" t="s">
        <v>19</v>
      </c>
      <c r="H4049" s="17">
        <v>3830</v>
      </c>
      <c r="I4049" s="17">
        <f t="shared" si="287"/>
        <v>3830</v>
      </c>
      <c r="J4049" s="519">
        <v>3700</v>
      </c>
      <c r="K4049" s="519">
        <f t="shared" si="291"/>
        <v>130</v>
      </c>
      <c r="L4049" s="519">
        <f t="shared" si="292"/>
        <v>130</v>
      </c>
      <c r="M4049" s="557">
        <f t="shared" si="293"/>
        <v>3.3942558746736295E-2</v>
      </c>
      <c r="N4049" s="15" t="s">
        <v>22</v>
      </c>
      <c r="O4049" s="15" t="s">
        <v>39</v>
      </c>
    </row>
    <row r="4050" spans="1:15">
      <c r="A4050" s="70">
        <v>2026</v>
      </c>
      <c r="B4050" s="16" t="s">
        <v>464</v>
      </c>
      <c r="C4050" s="70" t="s">
        <v>5204</v>
      </c>
      <c r="D4050" s="15" t="s">
        <v>3629</v>
      </c>
      <c r="E4050" s="15" t="s">
        <v>5205</v>
      </c>
      <c r="F4050" s="95">
        <v>1</v>
      </c>
      <c r="G4050" s="16" t="s">
        <v>302</v>
      </c>
      <c r="H4050" s="17">
        <v>75500</v>
      </c>
      <c r="I4050" s="17">
        <f t="shared" si="287"/>
        <v>75500</v>
      </c>
      <c r="J4050" s="519">
        <v>73500</v>
      </c>
      <c r="K4050" s="519">
        <f t="shared" si="291"/>
        <v>2000</v>
      </c>
      <c r="L4050" s="519">
        <f t="shared" si="292"/>
        <v>2000</v>
      </c>
      <c r="M4050" s="557">
        <f t="shared" si="293"/>
        <v>2.6490066225165563E-2</v>
      </c>
      <c r="N4050" s="15" t="s">
        <v>22</v>
      </c>
      <c r="O4050" s="15" t="s">
        <v>39</v>
      </c>
    </row>
    <row r="4051" spans="1:15">
      <c r="A4051" s="70">
        <v>2026</v>
      </c>
      <c r="B4051" s="16" t="s">
        <v>464</v>
      </c>
      <c r="C4051" s="70" t="s">
        <v>5206</v>
      </c>
      <c r="D4051" s="15" t="s">
        <v>4179</v>
      </c>
      <c r="E4051" s="15" t="s">
        <v>5207</v>
      </c>
      <c r="F4051" s="95">
        <v>1</v>
      </c>
      <c r="G4051" s="16" t="s">
        <v>285</v>
      </c>
      <c r="H4051" s="17">
        <v>93000</v>
      </c>
      <c r="I4051" s="17">
        <f t="shared" si="287"/>
        <v>93000</v>
      </c>
      <c r="J4051" s="519">
        <v>90000</v>
      </c>
      <c r="K4051" s="519">
        <f t="shared" si="291"/>
        <v>3000</v>
      </c>
      <c r="L4051" s="519">
        <f t="shared" si="292"/>
        <v>3000</v>
      </c>
      <c r="M4051" s="557">
        <f t="shared" si="293"/>
        <v>3.2258064516129031E-2</v>
      </c>
      <c r="N4051" s="15" t="s">
        <v>40</v>
      </c>
      <c r="O4051" s="15" t="s">
        <v>4066</v>
      </c>
    </row>
    <row r="4052" spans="1:15">
      <c r="A4052" s="70">
        <v>2026</v>
      </c>
      <c r="B4052" s="16" t="s">
        <v>464</v>
      </c>
      <c r="C4052" s="70" t="s">
        <v>5208</v>
      </c>
      <c r="D4052" s="15" t="s">
        <v>4231</v>
      </c>
      <c r="E4052" s="15" t="s">
        <v>5209</v>
      </c>
      <c r="F4052" s="95">
        <v>1</v>
      </c>
      <c r="G4052" s="16" t="s">
        <v>285</v>
      </c>
      <c r="H4052" s="17">
        <v>65842.5</v>
      </c>
      <c r="I4052" s="17">
        <f t="shared" si="287"/>
        <v>65842.5</v>
      </c>
      <c r="J4052" s="519">
        <v>63000</v>
      </c>
      <c r="K4052" s="519">
        <f t="shared" si="291"/>
        <v>2842.5</v>
      </c>
      <c r="L4052" s="519">
        <f t="shared" si="292"/>
        <v>2842.5</v>
      </c>
      <c r="M4052" s="557">
        <f t="shared" si="293"/>
        <v>4.3171204009568288E-2</v>
      </c>
      <c r="N4052" s="15" t="s">
        <v>40</v>
      </c>
      <c r="O4052" s="15" t="s">
        <v>4066</v>
      </c>
    </row>
    <row r="4053" spans="1:15">
      <c r="A4053" s="70">
        <v>2026</v>
      </c>
      <c r="B4053" s="16" t="s">
        <v>464</v>
      </c>
      <c r="C4053" s="70" t="s">
        <v>5210</v>
      </c>
      <c r="D4053" s="15" t="s">
        <v>345</v>
      </c>
      <c r="E4053" s="15" t="s">
        <v>5211</v>
      </c>
      <c r="F4053" s="95">
        <v>1</v>
      </c>
      <c r="G4053" s="16" t="s">
        <v>285</v>
      </c>
      <c r="H4053" s="17">
        <v>4050000</v>
      </c>
      <c r="I4053" s="17">
        <f t="shared" si="287"/>
        <v>4050000</v>
      </c>
      <c r="J4053" s="519">
        <v>4000000</v>
      </c>
      <c r="K4053" s="519">
        <f t="shared" si="291"/>
        <v>50000</v>
      </c>
      <c r="L4053" s="519">
        <f t="shared" si="292"/>
        <v>50000</v>
      </c>
      <c r="M4053" s="557">
        <f t="shared" si="293"/>
        <v>1.2345679012345678E-2</v>
      </c>
      <c r="N4053" s="15" t="s">
        <v>40</v>
      </c>
      <c r="O4053" s="15" t="s">
        <v>4066</v>
      </c>
    </row>
    <row r="4054" spans="1:15">
      <c r="A4054" s="70">
        <v>2026</v>
      </c>
      <c r="B4054" s="16" t="s">
        <v>464</v>
      </c>
      <c r="C4054" s="70" t="s">
        <v>5212</v>
      </c>
      <c r="D4054" s="15" t="s">
        <v>4857</v>
      </c>
      <c r="E4054" s="15" t="s">
        <v>5213</v>
      </c>
      <c r="F4054" s="95">
        <v>1</v>
      </c>
      <c r="G4054" s="16" t="s">
        <v>285</v>
      </c>
      <c r="H4054" s="17">
        <v>122050</v>
      </c>
      <c r="I4054" s="17">
        <f t="shared" si="287"/>
        <v>122050</v>
      </c>
      <c r="J4054" s="519">
        <v>121050</v>
      </c>
      <c r="K4054" s="519">
        <f t="shared" si="291"/>
        <v>1000</v>
      </c>
      <c r="L4054" s="519">
        <f t="shared" si="292"/>
        <v>1000</v>
      </c>
      <c r="M4054" s="557">
        <f t="shared" si="293"/>
        <v>8.1933633756657107E-3</v>
      </c>
      <c r="N4054" s="15" t="s">
        <v>40</v>
      </c>
      <c r="O4054" s="15" t="s">
        <v>4066</v>
      </c>
    </row>
    <row r="4055" spans="1:15">
      <c r="A4055" s="70">
        <v>2026</v>
      </c>
      <c r="B4055" s="16" t="s">
        <v>464</v>
      </c>
      <c r="C4055" s="70" t="s">
        <v>5214</v>
      </c>
      <c r="D4055" s="15" t="s">
        <v>118</v>
      </c>
      <c r="E4055" s="15" t="s">
        <v>5215</v>
      </c>
      <c r="F4055" s="95">
        <v>10</v>
      </c>
      <c r="G4055" s="16" t="s">
        <v>19</v>
      </c>
      <c r="H4055" s="17">
        <v>1990</v>
      </c>
      <c r="I4055" s="17">
        <f t="shared" si="287"/>
        <v>19900</v>
      </c>
      <c r="J4055" s="519">
        <v>1970</v>
      </c>
      <c r="K4055" s="519">
        <f t="shared" si="291"/>
        <v>20</v>
      </c>
      <c r="L4055" s="519">
        <f t="shared" si="292"/>
        <v>200</v>
      </c>
      <c r="M4055" s="557">
        <f t="shared" si="293"/>
        <v>1.0050251256281407E-2</v>
      </c>
      <c r="N4055" s="15" t="s">
        <v>22</v>
      </c>
      <c r="O4055" s="15" t="s">
        <v>4066</v>
      </c>
    </row>
    <row r="4056" spans="1:15">
      <c r="A4056" s="70">
        <v>2026</v>
      </c>
      <c r="B4056" s="16" t="s">
        <v>464</v>
      </c>
      <c r="C4056" s="70" t="s">
        <v>5214</v>
      </c>
      <c r="D4056" s="15" t="s">
        <v>118</v>
      </c>
      <c r="E4056" s="15" t="s">
        <v>5216</v>
      </c>
      <c r="F4056" s="95">
        <v>10</v>
      </c>
      <c r="G4056" s="16" t="s">
        <v>19</v>
      </c>
      <c r="H4056" s="17">
        <v>4290</v>
      </c>
      <c r="I4056" s="17">
        <f t="shared" si="287"/>
        <v>42900</v>
      </c>
      <c r="J4056" s="519">
        <v>4255</v>
      </c>
      <c r="K4056" s="519">
        <f t="shared" ref="K4056:K4068" si="294">H4056-J4056</f>
        <v>35</v>
      </c>
      <c r="L4056" s="519">
        <f t="shared" ref="L4056:L4068" si="295">K4056*F4056</f>
        <v>350</v>
      </c>
      <c r="M4056" s="557">
        <f t="shared" ref="M4056:M4068" si="296">K4056/H4056</f>
        <v>8.1585081585081581E-3</v>
      </c>
      <c r="N4056" s="15" t="s">
        <v>22</v>
      </c>
      <c r="O4056" s="15" t="s">
        <v>4066</v>
      </c>
    </row>
    <row r="4057" spans="1:15">
      <c r="A4057" s="70">
        <v>2026</v>
      </c>
      <c r="B4057" s="16" t="s">
        <v>464</v>
      </c>
      <c r="C4057" s="70" t="s">
        <v>5214</v>
      </c>
      <c r="D4057" s="15" t="s">
        <v>118</v>
      </c>
      <c r="E4057" s="15" t="s">
        <v>5217</v>
      </c>
      <c r="F4057" s="95">
        <v>1</v>
      </c>
      <c r="G4057" s="16" t="s">
        <v>19</v>
      </c>
      <c r="H4057" s="17">
        <v>780</v>
      </c>
      <c r="I4057" s="17">
        <f t="shared" si="287"/>
        <v>780</v>
      </c>
      <c r="J4057" s="519">
        <v>755</v>
      </c>
      <c r="K4057" s="519">
        <f t="shared" si="294"/>
        <v>25</v>
      </c>
      <c r="L4057" s="519">
        <f t="shared" si="295"/>
        <v>25</v>
      </c>
      <c r="M4057" s="557">
        <f t="shared" si="296"/>
        <v>3.2051282051282048E-2</v>
      </c>
      <c r="N4057" s="15" t="s">
        <v>22</v>
      </c>
      <c r="O4057" s="15" t="s">
        <v>4066</v>
      </c>
    </row>
    <row r="4058" spans="1:15">
      <c r="A4058" s="70">
        <v>2026</v>
      </c>
      <c r="B4058" s="16" t="s">
        <v>464</v>
      </c>
      <c r="C4058" s="70" t="s">
        <v>5214</v>
      </c>
      <c r="D4058" s="15" t="s">
        <v>118</v>
      </c>
      <c r="E4058" s="15" t="s">
        <v>5218</v>
      </c>
      <c r="F4058" s="95">
        <v>2</v>
      </c>
      <c r="G4058" s="16" t="s">
        <v>2482</v>
      </c>
      <c r="H4058" s="17">
        <v>2125</v>
      </c>
      <c r="I4058" s="17">
        <f t="shared" si="287"/>
        <v>4250</v>
      </c>
      <c r="J4058" s="519">
        <v>2060</v>
      </c>
      <c r="K4058" s="519">
        <f t="shared" si="294"/>
        <v>65</v>
      </c>
      <c r="L4058" s="519">
        <f t="shared" si="295"/>
        <v>130</v>
      </c>
      <c r="M4058" s="557">
        <f t="shared" si="296"/>
        <v>3.0588235294117649E-2</v>
      </c>
      <c r="N4058" s="15" t="s">
        <v>22</v>
      </c>
      <c r="O4058" s="15" t="s">
        <v>4066</v>
      </c>
    </row>
    <row r="4059" spans="1:15">
      <c r="A4059" s="70">
        <v>2026</v>
      </c>
      <c r="B4059" s="16" t="s">
        <v>464</v>
      </c>
      <c r="C4059" s="70" t="s">
        <v>5219</v>
      </c>
      <c r="D4059" s="15" t="s">
        <v>2776</v>
      </c>
      <c r="E4059" s="15" t="s">
        <v>5220</v>
      </c>
      <c r="F4059" s="95">
        <v>20</v>
      </c>
      <c r="G4059" s="16" t="s">
        <v>19</v>
      </c>
      <c r="H4059" s="17">
        <v>790</v>
      </c>
      <c r="I4059" s="17">
        <f t="shared" si="287"/>
        <v>15800</v>
      </c>
      <c r="J4059" s="519">
        <v>765</v>
      </c>
      <c r="K4059" s="519">
        <f t="shared" si="294"/>
        <v>25</v>
      </c>
      <c r="L4059" s="519">
        <f t="shared" si="295"/>
        <v>500</v>
      </c>
      <c r="M4059" s="557">
        <f t="shared" si="296"/>
        <v>3.1645569620253167E-2</v>
      </c>
      <c r="N4059" s="15" t="s">
        <v>40</v>
      </c>
      <c r="O4059" s="15" t="s">
        <v>4066</v>
      </c>
    </row>
    <row r="4060" spans="1:15">
      <c r="A4060" s="70">
        <v>2026</v>
      </c>
      <c r="B4060" s="16" t="s">
        <v>464</v>
      </c>
      <c r="C4060" s="70" t="s">
        <v>5219</v>
      </c>
      <c r="D4060" s="15" t="s">
        <v>2776</v>
      </c>
      <c r="E4060" s="15" t="s">
        <v>5221</v>
      </c>
      <c r="F4060" s="95">
        <v>20</v>
      </c>
      <c r="G4060" s="16" t="s">
        <v>19</v>
      </c>
      <c r="H4060" s="17">
        <v>4500</v>
      </c>
      <c r="I4060" s="17">
        <f t="shared" si="287"/>
        <v>90000</v>
      </c>
      <c r="J4060" s="519">
        <v>4475</v>
      </c>
      <c r="K4060" s="519">
        <f t="shared" si="294"/>
        <v>25</v>
      </c>
      <c r="L4060" s="519">
        <f t="shared" si="295"/>
        <v>500</v>
      </c>
      <c r="M4060" s="557">
        <f t="shared" si="296"/>
        <v>5.5555555555555558E-3</v>
      </c>
      <c r="N4060" s="15" t="s">
        <v>40</v>
      </c>
      <c r="O4060" s="15" t="s">
        <v>4066</v>
      </c>
    </row>
    <row r="4061" spans="1:15">
      <c r="A4061" s="70">
        <v>2026</v>
      </c>
      <c r="B4061" s="16" t="s">
        <v>464</v>
      </c>
      <c r="C4061" s="70" t="s">
        <v>5219</v>
      </c>
      <c r="D4061" s="15" t="s">
        <v>2776</v>
      </c>
      <c r="E4061" s="15" t="s">
        <v>5222</v>
      </c>
      <c r="F4061" s="95">
        <v>20</v>
      </c>
      <c r="G4061" s="16" t="s">
        <v>19</v>
      </c>
      <c r="H4061" s="17">
        <v>1100</v>
      </c>
      <c r="I4061" s="17">
        <f t="shared" ref="I4061:I4123" si="297">H4061*F4061</f>
        <v>22000</v>
      </c>
      <c r="J4061" s="519">
        <v>1075</v>
      </c>
      <c r="K4061" s="519">
        <f t="shared" si="294"/>
        <v>25</v>
      </c>
      <c r="L4061" s="519">
        <f t="shared" si="295"/>
        <v>500</v>
      </c>
      <c r="M4061" s="557">
        <f t="shared" si="296"/>
        <v>2.2727272727272728E-2</v>
      </c>
      <c r="N4061" s="15" t="s">
        <v>40</v>
      </c>
      <c r="O4061" s="15" t="s">
        <v>4066</v>
      </c>
    </row>
    <row r="4062" spans="1:15">
      <c r="A4062" s="70">
        <v>2026</v>
      </c>
      <c r="B4062" s="16" t="s">
        <v>464</v>
      </c>
      <c r="C4062" s="70" t="s">
        <v>5223</v>
      </c>
      <c r="D4062" s="15" t="s">
        <v>118</v>
      </c>
      <c r="E4062" s="15" t="s">
        <v>5224</v>
      </c>
      <c r="F4062" s="95">
        <v>2</v>
      </c>
      <c r="G4062" s="16" t="s">
        <v>19</v>
      </c>
      <c r="H4062" s="17">
        <v>469</v>
      </c>
      <c r="I4062" s="17">
        <f t="shared" si="297"/>
        <v>938</v>
      </c>
      <c r="J4062" s="519">
        <v>351.75</v>
      </c>
      <c r="K4062" s="519">
        <f t="shared" si="294"/>
        <v>117.25</v>
      </c>
      <c r="L4062" s="519">
        <f t="shared" si="295"/>
        <v>234.5</v>
      </c>
      <c r="M4062" s="557">
        <f t="shared" si="296"/>
        <v>0.25</v>
      </c>
      <c r="N4062" s="15" t="s">
        <v>40</v>
      </c>
      <c r="O4062" s="15" t="s">
        <v>4066</v>
      </c>
    </row>
    <row r="4063" spans="1:15">
      <c r="A4063" s="70">
        <v>2026</v>
      </c>
      <c r="B4063" s="16" t="s">
        <v>464</v>
      </c>
      <c r="C4063" s="70" t="s">
        <v>5223</v>
      </c>
      <c r="D4063" s="15" t="s">
        <v>118</v>
      </c>
      <c r="E4063" s="15" t="s">
        <v>5225</v>
      </c>
      <c r="F4063" s="95">
        <v>2</v>
      </c>
      <c r="G4063" s="16" t="s">
        <v>19</v>
      </c>
      <c r="H4063" s="17">
        <v>1614</v>
      </c>
      <c r="I4063" s="17">
        <f t="shared" si="297"/>
        <v>3228</v>
      </c>
      <c r="J4063" s="519">
        <v>1210.5</v>
      </c>
      <c r="K4063" s="519">
        <f t="shared" si="294"/>
        <v>403.5</v>
      </c>
      <c r="L4063" s="519">
        <f t="shared" si="295"/>
        <v>807</v>
      </c>
      <c r="M4063" s="557">
        <f t="shared" si="296"/>
        <v>0.25</v>
      </c>
      <c r="N4063" s="15" t="s">
        <v>40</v>
      </c>
      <c r="O4063" s="15" t="s">
        <v>4066</v>
      </c>
    </row>
    <row r="4064" spans="1:15">
      <c r="A4064" s="70">
        <v>2026</v>
      </c>
      <c r="B4064" s="16" t="s">
        <v>464</v>
      </c>
      <c r="C4064" s="70" t="s">
        <v>5226</v>
      </c>
      <c r="D4064" s="15" t="s">
        <v>398</v>
      </c>
      <c r="E4064" s="15" t="s">
        <v>5227</v>
      </c>
      <c r="F4064" s="95">
        <v>1</v>
      </c>
      <c r="G4064" s="16" t="s">
        <v>285</v>
      </c>
      <c r="H4064" s="17">
        <v>18000</v>
      </c>
      <c r="I4064" s="17">
        <f t="shared" si="297"/>
        <v>18000</v>
      </c>
      <c r="J4064" s="519">
        <v>15000</v>
      </c>
      <c r="K4064" s="519">
        <f t="shared" si="294"/>
        <v>3000</v>
      </c>
      <c r="L4064" s="519">
        <f t="shared" si="295"/>
        <v>3000</v>
      </c>
      <c r="M4064" s="557">
        <f t="shared" si="296"/>
        <v>0.16666666666666666</v>
      </c>
      <c r="N4064" s="15" t="s">
        <v>40</v>
      </c>
      <c r="O4064" s="15" t="s">
        <v>4066</v>
      </c>
    </row>
    <row r="4065" spans="1:15">
      <c r="A4065" s="70">
        <v>2026</v>
      </c>
      <c r="B4065" s="16" t="s">
        <v>464</v>
      </c>
      <c r="C4065" s="70" t="s">
        <v>5226</v>
      </c>
      <c r="D4065" s="15" t="s">
        <v>398</v>
      </c>
      <c r="E4065" s="15" t="s">
        <v>5228</v>
      </c>
      <c r="F4065" s="95">
        <v>1</v>
      </c>
      <c r="G4065" s="16" t="s">
        <v>285</v>
      </c>
      <c r="H4065" s="17">
        <v>18000</v>
      </c>
      <c r="I4065" s="17">
        <f t="shared" si="297"/>
        <v>18000</v>
      </c>
      <c r="J4065" s="519">
        <v>15000</v>
      </c>
      <c r="K4065" s="519">
        <f t="shared" si="294"/>
        <v>3000</v>
      </c>
      <c r="L4065" s="519">
        <f t="shared" si="295"/>
        <v>3000</v>
      </c>
      <c r="M4065" s="557">
        <f t="shared" si="296"/>
        <v>0.16666666666666666</v>
      </c>
      <c r="N4065" s="15" t="s">
        <v>40</v>
      </c>
      <c r="O4065" s="15" t="s">
        <v>4066</v>
      </c>
    </row>
    <row r="4066" spans="1:15">
      <c r="A4066" s="70">
        <v>2026</v>
      </c>
      <c r="B4066" s="16" t="s">
        <v>464</v>
      </c>
      <c r="C4066" s="70" t="s">
        <v>5229</v>
      </c>
      <c r="D4066" s="15" t="s">
        <v>4857</v>
      </c>
      <c r="E4066" s="15" t="s">
        <v>5230</v>
      </c>
      <c r="F4066" s="95">
        <v>1</v>
      </c>
      <c r="G4066" s="16" t="s">
        <v>285</v>
      </c>
      <c r="H4066" s="17">
        <v>47870</v>
      </c>
      <c r="I4066" s="17">
        <f t="shared" si="297"/>
        <v>47870</v>
      </c>
      <c r="J4066" s="519">
        <v>46870</v>
      </c>
      <c r="K4066" s="519">
        <f t="shared" si="294"/>
        <v>1000</v>
      </c>
      <c r="L4066" s="519">
        <f t="shared" si="295"/>
        <v>1000</v>
      </c>
      <c r="M4066" s="557">
        <f t="shared" si="296"/>
        <v>2.0889910173386254E-2</v>
      </c>
      <c r="N4066" s="15" t="s">
        <v>40</v>
      </c>
      <c r="O4066" s="15" t="s">
        <v>4066</v>
      </c>
    </row>
    <row r="4067" spans="1:15">
      <c r="A4067" s="70">
        <v>2026</v>
      </c>
      <c r="B4067" s="16" t="s">
        <v>464</v>
      </c>
      <c r="C4067" s="70" t="s">
        <v>5231</v>
      </c>
      <c r="D4067" s="15" t="s">
        <v>2453</v>
      </c>
      <c r="E4067" s="15" t="s">
        <v>5232</v>
      </c>
      <c r="F4067" s="95">
        <v>1</v>
      </c>
      <c r="G4067" s="16" t="s">
        <v>302</v>
      </c>
      <c r="H4067" s="17">
        <v>95000</v>
      </c>
      <c r="I4067" s="17">
        <f t="shared" si="297"/>
        <v>95000</v>
      </c>
      <c r="J4067" s="519">
        <v>85500</v>
      </c>
      <c r="K4067" s="519">
        <f t="shared" si="294"/>
        <v>9500</v>
      </c>
      <c r="L4067" s="519">
        <f t="shared" si="295"/>
        <v>9500</v>
      </c>
      <c r="M4067" s="557">
        <f t="shared" si="296"/>
        <v>0.1</v>
      </c>
      <c r="N4067" s="15" t="s">
        <v>40</v>
      </c>
      <c r="O4067" s="15" t="s">
        <v>4066</v>
      </c>
    </row>
    <row r="4068" spans="1:15">
      <c r="A4068" s="70">
        <v>2026</v>
      </c>
      <c r="B4068" s="16" t="s">
        <v>464</v>
      </c>
      <c r="C4068" s="70" t="s">
        <v>5231</v>
      </c>
      <c r="D4068" s="15" t="s">
        <v>2453</v>
      </c>
      <c r="E4068" s="15" t="s">
        <v>5233</v>
      </c>
      <c r="F4068" s="95">
        <v>1</v>
      </c>
      <c r="G4068" s="16" t="s">
        <v>302</v>
      </c>
      <c r="H4068" s="17">
        <v>14500</v>
      </c>
      <c r="I4068" s="17">
        <f t="shared" si="297"/>
        <v>14500</v>
      </c>
      <c r="J4068" s="519">
        <v>13050</v>
      </c>
      <c r="K4068" s="519">
        <f t="shared" si="294"/>
        <v>1450</v>
      </c>
      <c r="L4068" s="519">
        <f t="shared" si="295"/>
        <v>1450</v>
      </c>
      <c r="M4068" s="557">
        <f t="shared" si="296"/>
        <v>0.1</v>
      </c>
      <c r="N4068" s="15" t="s">
        <v>40</v>
      </c>
      <c r="O4068" s="15" t="s">
        <v>4066</v>
      </c>
    </row>
    <row r="4069" spans="1:15">
      <c r="A4069" s="70">
        <v>2026</v>
      </c>
      <c r="B4069" s="16" t="s">
        <v>464</v>
      </c>
      <c r="C4069" s="70" t="s">
        <v>5234</v>
      </c>
      <c r="D4069" s="15" t="s">
        <v>522</v>
      </c>
      <c r="E4069" s="15" t="s">
        <v>5235</v>
      </c>
      <c r="F4069" s="95">
        <v>1</v>
      </c>
      <c r="G4069" s="16" t="s">
        <v>285</v>
      </c>
      <c r="H4069" s="17">
        <v>1993073.5</v>
      </c>
      <c r="I4069" s="17">
        <f t="shared" si="297"/>
        <v>1993073.5</v>
      </c>
      <c r="J4069" s="519">
        <v>1900000</v>
      </c>
      <c r="K4069" s="519">
        <f t="shared" ref="K4069:K4079" si="298">H4069-J4069</f>
        <v>93073.5</v>
      </c>
      <c r="L4069" s="519">
        <f t="shared" ref="L4069:L4079" si="299">K4069*F4069</f>
        <v>93073.5</v>
      </c>
      <c r="M4069" s="557">
        <f t="shared" ref="M4069:M4079" si="300">K4069/H4069</f>
        <v>4.6698478505684815E-2</v>
      </c>
      <c r="N4069" s="15" t="s">
        <v>40</v>
      </c>
      <c r="O4069" s="15" t="s">
        <v>4066</v>
      </c>
    </row>
    <row r="4070" spans="1:15">
      <c r="A4070" s="70">
        <v>2026</v>
      </c>
      <c r="B4070" s="16" t="s">
        <v>464</v>
      </c>
      <c r="C4070" s="70" t="s">
        <v>5236</v>
      </c>
      <c r="D4070" s="15" t="s">
        <v>113</v>
      </c>
      <c r="E4070" s="15" t="s">
        <v>5237</v>
      </c>
      <c r="F4070" s="95">
        <v>1</v>
      </c>
      <c r="G4070" s="16" t="s">
        <v>302</v>
      </c>
      <c r="H4070" s="17">
        <v>8125</v>
      </c>
      <c r="I4070" s="17">
        <f t="shared" si="297"/>
        <v>8125</v>
      </c>
      <c r="J4070" s="519">
        <v>6500</v>
      </c>
      <c r="K4070" s="519">
        <f t="shared" si="298"/>
        <v>1625</v>
      </c>
      <c r="L4070" s="519">
        <f t="shared" si="299"/>
        <v>1625</v>
      </c>
      <c r="M4070" s="557">
        <f t="shared" si="300"/>
        <v>0.2</v>
      </c>
      <c r="N4070" s="15" t="s">
        <v>40</v>
      </c>
      <c r="O4070" s="15" t="s">
        <v>4066</v>
      </c>
    </row>
    <row r="4071" spans="1:15">
      <c r="A4071" s="70">
        <v>2026</v>
      </c>
      <c r="B4071" s="16" t="s">
        <v>464</v>
      </c>
      <c r="C4071" s="70" t="s">
        <v>5238</v>
      </c>
      <c r="D4071" s="15" t="s">
        <v>2286</v>
      </c>
      <c r="E4071" s="15" t="s">
        <v>5239</v>
      </c>
      <c r="F4071" s="95">
        <v>1</v>
      </c>
      <c r="G4071" s="16" t="s">
        <v>285</v>
      </c>
      <c r="H4071" s="17">
        <v>18800</v>
      </c>
      <c r="I4071" s="17">
        <f t="shared" si="297"/>
        <v>18800</v>
      </c>
      <c r="J4071" s="519">
        <v>16920</v>
      </c>
      <c r="K4071" s="519">
        <f t="shared" si="298"/>
        <v>1880</v>
      </c>
      <c r="L4071" s="519">
        <f t="shared" si="299"/>
        <v>1880</v>
      </c>
      <c r="M4071" s="557">
        <f t="shared" si="300"/>
        <v>0.1</v>
      </c>
      <c r="N4071" s="15" t="s">
        <v>40</v>
      </c>
      <c r="O4071" s="15" t="s">
        <v>4066</v>
      </c>
    </row>
    <row r="4072" spans="1:15">
      <c r="A4072" s="70">
        <v>2026</v>
      </c>
      <c r="B4072" s="16" t="s">
        <v>464</v>
      </c>
      <c r="C4072" s="70" t="s">
        <v>5240</v>
      </c>
      <c r="D4072" s="15" t="s">
        <v>118</v>
      </c>
      <c r="E4072" s="15" t="s">
        <v>5241</v>
      </c>
      <c r="F4072" s="95">
        <v>5</v>
      </c>
      <c r="G4072" s="16" t="s">
        <v>302</v>
      </c>
      <c r="H4072" s="17">
        <v>932</v>
      </c>
      <c r="I4072" s="17">
        <f t="shared" si="297"/>
        <v>4660</v>
      </c>
      <c r="J4072" s="519">
        <v>699</v>
      </c>
      <c r="K4072" s="519">
        <f t="shared" si="298"/>
        <v>233</v>
      </c>
      <c r="L4072" s="519">
        <f t="shared" si="299"/>
        <v>1165</v>
      </c>
      <c r="M4072" s="557">
        <f t="shared" si="300"/>
        <v>0.25</v>
      </c>
      <c r="N4072" s="15" t="s">
        <v>40</v>
      </c>
      <c r="O4072" s="15" t="s">
        <v>4066</v>
      </c>
    </row>
    <row r="4073" spans="1:15">
      <c r="A4073" s="70">
        <v>2026</v>
      </c>
      <c r="B4073" s="16" t="s">
        <v>464</v>
      </c>
      <c r="C4073" s="70" t="s">
        <v>5242</v>
      </c>
      <c r="D4073" s="15" t="s">
        <v>5168</v>
      </c>
      <c r="E4073" s="15" t="s">
        <v>5243</v>
      </c>
      <c r="F4073" s="95">
        <v>1</v>
      </c>
      <c r="G4073" s="16" t="s">
        <v>19</v>
      </c>
      <c r="H4073" s="17">
        <v>11400</v>
      </c>
      <c r="I4073" s="17">
        <f t="shared" si="297"/>
        <v>11400</v>
      </c>
      <c r="J4073" s="519">
        <v>9120</v>
      </c>
      <c r="K4073" s="519">
        <f t="shared" si="298"/>
        <v>2280</v>
      </c>
      <c r="L4073" s="519">
        <f t="shared" si="299"/>
        <v>2280</v>
      </c>
      <c r="M4073" s="557">
        <f t="shared" si="300"/>
        <v>0.2</v>
      </c>
      <c r="N4073" s="15" t="s">
        <v>40</v>
      </c>
      <c r="O4073" s="15" t="s">
        <v>4066</v>
      </c>
    </row>
    <row r="4074" spans="1:15">
      <c r="A4074" s="70">
        <v>2026</v>
      </c>
      <c r="B4074" s="16" t="s">
        <v>464</v>
      </c>
      <c r="C4074" s="70" t="s">
        <v>5244</v>
      </c>
      <c r="D4074" s="15" t="s">
        <v>1390</v>
      </c>
      <c r="E4074" s="15" t="s">
        <v>5245</v>
      </c>
      <c r="F4074" s="95">
        <v>4</v>
      </c>
      <c r="G4074" s="16" t="s">
        <v>19</v>
      </c>
      <c r="H4074" s="17">
        <v>500</v>
      </c>
      <c r="I4074" s="17">
        <f t="shared" si="297"/>
        <v>2000</v>
      </c>
      <c r="J4074" s="519">
        <v>485</v>
      </c>
      <c r="K4074" s="519">
        <f t="shared" si="298"/>
        <v>15</v>
      </c>
      <c r="L4074" s="519">
        <f t="shared" si="299"/>
        <v>60</v>
      </c>
      <c r="M4074" s="557">
        <f t="shared" si="300"/>
        <v>0.03</v>
      </c>
      <c r="N4074" s="15" t="s">
        <v>40</v>
      </c>
      <c r="O4074" s="15" t="s">
        <v>4066</v>
      </c>
    </row>
    <row r="4075" spans="1:15">
      <c r="A4075" s="70">
        <v>2026</v>
      </c>
      <c r="B4075" s="16" t="s">
        <v>464</v>
      </c>
      <c r="C4075" s="70" t="s">
        <v>5246</v>
      </c>
      <c r="D4075" s="15" t="s">
        <v>4179</v>
      </c>
      <c r="E4075" s="15" t="s">
        <v>5247</v>
      </c>
      <c r="F4075" s="95">
        <v>1</v>
      </c>
      <c r="G4075" s="16" t="s">
        <v>285</v>
      </c>
      <c r="H4075" s="17">
        <v>66640</v>
      </c>
      <c r="I4075" s="17">
        <f t="shared" si="297"/>
        <v>66640</v>
      </c>
      <c r="J4075" s="519">
        <v>66000</v>
      </c>
      <c r="K4075" s="519">
        <f t="shared" si="298"/>
        <v>640</v>
      </c>
      <c r="L4075" s="519">
        <f t="shared" si="299"/>
        <v>640</v>
      </c>
      <c r="M4075" s="557">
        <f t="shared" si="300"/>
        <v>9.6038415366146452E-3</v>
      </c>
      <c r="N4075" s="15" t="s">
        <v>40</v>
      </c>
      <c r="O4075" s="15" t="s">
        <v>4066</v>
      </c>
    </row>
    <row r="4076" spans="1:15">
      <c r="A4076" s="70">
        <v>2026</v>
      </c>
      <c r="B4076" s="16" t="s">
        <v>464</v>
      </c>
      <c r="C4076" s="70" t="s">
        <v>5248</v>
      </c>
      <c r="D4076" s="15" t="s">
        <v>4179</v>
      </c>
      <c r="E4076" s="15" t="s">
        <v>5249</v>
      </c>
      <c r="F4076" s="95">
        <v>1</v>
      </c>
      <c r="G4076" s="16" t="s">
        <v>285</v>
      </c>
      <c r="H4076" s="17">
        <v>436018.15</v>
      </c>
      <c r="I4076" s="17">
        <f t="shared" si="297"/>
        <v>436018.15</v>
      </c>
      <c r="J4076" s="519">
        <v>430000</v>
      </c>
      <c r="K4076" s="519">
        <f t="shared" si="298"/>
        <v>6018.1500000000233</v>
      </c>
      <c r="L4076" s="519">
        <f t="shared" si="299"/>
        <v>6018.1500000000233</v>
      </c>
      <c r="M4076" s="557">
        <f t="shared" si="300"/>
        <v>1.3802521752821581E-2</v>
      </c>
      <c r="N4076" s="15" t="s">
        <v>40</v>
      </c>
      <c r="O4076" s="15" t="s">
        <v>4066</v>
      </c>
    </row>
    <row r="4077" spans="1:15">
      <c r="A4077" s="70">
        <v>2026</v>
      </c>
      <c r="B4077" s="16" t="s">
        <v>464</v>
      </c>
      <c r="C4077" s="70" t="s">
        <v>5250</v>
      </c>
      <c r="D4077" s="15" t="s">
        <v>4857</v>
      </c>
      <c r="E4077" s="15" t="s">
        <v>5251</v>
      </c>
      <c r="F4077" s="95">
        <v>1</v>
      </c>
      <c r="G4077" s="16" t="s">
        <v>285</v>
      </c>
      <c r="H4077" s="17">
        <v>682520</v>
      </c>
      <c r="I4077" s="17">
        <f t="shared" si="297"/>
        <v>682520</v>
      </c>
      <c r="J4077" s="519">
        <v>677520</v>
      </c>
      <c r="K4077" s="519">
        <f t="shared" si="298"/>
        <v>5000</v>
      </c>
      <c r="L4077" s="519">
        <f t="shared" si="299"/>
        <v>5000</v>
      </c>
      <c r="M4077" s="557">
        <f t="shared" si="300"/>
        <v>7.3257926507648129E-3</v>
      </c>
      <c r="N4077" s="15" t="s">
        <v>22</v>
      </c>
      <c r="O4077" s="15" t="s">
        <v>4066</v>
      </c>
    </row>
    <row r="4078" spans="1:15">
      <c r="A4078" s="70">
        <v>2026</v>
      </c>
      <c r="B4078" s="16" t="s">
        <v>464</v>
      </c>
      <c r="C4078" s="70" t="s">
        <v>5252</v>
      </c>
      <c r="D4078" s="15" t="s">
        <v>3150</v>
      </c>
      <c r="E4078" s="15" t="s">
        <v>5253</v>
      </c>
      <c r="F4078" s="95">
        <v>3</v>
      </c>
      <c r="G4078" s="16" t="s">
        <v>19</v>
      </c>
      <c r="H4078" s="17">
        <v>98865</v>
      </c>
      <c r="I4078" s="17">
        <f t="shared" si="297"/>
        <v>296595</v>
      </c>
      <c r="J4078" s="519">
        <v>95000</v>
      </c>
      <c r="K4078" s="519">
        <f t="shared" si="298"/>
        <v>3865</v>
      </c>
      <c r="L4078" s="519">
        <f t="shared" si="299"/>
        <v>11595</v>
      </c>
      <c r="M4078" s="557">
        <f t="shared" si="300"/>
        <v>3.909371364992667E-2</v>
      </c>
      <c r="N4078" s="15" t="s">
        <v>40</v>
      </c>
      <c r="O4078" s="15" t="s">
        <v>4066</v>
      </c>
    </row>
    <row r="4079" spans="1:15">
      <c r="A4079" s="70">
        <v>2026</v>
      </c>
      <c r="B4079" s="16" t="s">
        <v>464</v>
      </c>
      <c r="C4079" s="70" t="s">
        <v>5254</v>
      </c>
      <c r="D4079" s="15" t="s">
        <v>118</v>
      </c>
      <c r="E4079" s="15" t="s">
        <v>5255</v>
      </c>
      <c r="F4079" s="95">
        <v>1</v>
      </c>
      <c r="G4079" s="16" t="s">
        <v>19</v>
      </c>
      <c r="H4079" s="17">
        <v>3889</v>
      </c>
      <c r="I4079" s="17">
        <f t="shared" si="297"/>
        <v>3889</v>
      </c>
      <c r="J4079" s="519">
        <v>2916.75</v>
      </c>
      <c r="K4079" s="519">
        <f t="shared" si="298"/>
        <v>972.25</v>
      </c>
      <c r="L4079" s="519">
        <f t="shared" si="299"/>
        <v>972.25</v>
      </c>
      <c r="M4079" s="557">
        <f t="shared" si="300"/>
        <v>0.25</v>
      </c>
      <c r="N4079" s="15" t="s">
        <v>22</v>
      </c>
      <c r="O4079" s="15" t="s">
        <v>4066</v>
      </c>
    </row>
    <row r="4080" spans="1:15">
      <c r="A4080" s="70">
        <v>2026</v>
      </c>
      <c r="B4080" s="16" t="s">
        <v>464</v>
      </c>
      <c r="C4080" s="70" t="s">
        <v>5256</v>
      </c>
      <c r="D4080" s="15" t="s">
        <v>118</v>
      </c>
      <c r="E4080" s="15" t="s">
        <v>5257</v>
      </c>
      <c r="F4080" s="95">
        <v>8</v>
      </c>
      <c r="G4080" s="16" t="s">
        <v>19</v>
      </c>
      <c r="H4080" s="17">
        <v>3860</v>
      </c>
      <c r="I4080" s="17">
        <f t="shared" si="297"/>
        <v>30880</v>
      </c>
      <c r="J4080" s="519">
        <v>2895</v>
      </c>
      <c r="K4080" s="519">
        <f t="shared" ref="K4080:K4127" si="301">H4080-J4080</f>
        <v>965</v>
      </c>
      <c r="L4080" s="519">
        <f t="shared" ref="L4080:L4127" si="302">K4080*F4080</f>
        <v>7720</v>
      </c>
      <c r="M4080" s="557">
        <f t="shared" ref="M4080:M4127" si="303">K4080/H4080</f>
        <v>0.25</v>
      </c>
      <c r="N4080" s="15" t="s">
        <v>40</v>
      </c>
      <c r="O4080" s="15" t="s">
        <v>4066</v>
      </c>
    </row>
    <row r="4081" spans="1:15">
      <c r="A4081" s="70">
        <v>2026</v>
      </c>
      <c r="B4081" s="16" t="s">
        <v>464</v>
      </c>
      <c r="C4081" s="70" t="s">
        <v>5258</v>
      </c>
      <c r="D4081" s="15" t="s">
        <v>2291</v>
      </c>
      <c r="E4081" s="15" t="s">
        <v>5259</v>
      </c>
      <c r="F4081" s="95">
        <v>1</v>
      </c>
      <c r="G4081" s="16" t="s">
        <v>285</v>
      </c>
      <c r="H4081" s="17">
        <v>15000</v>
      </c>
      <c r="I4081" s="17">
        <f t="shared" si="297"/>
        <v>15000</v>
      </c>
      <c r="J4081" s="519">
        <v>13500</v>
      </c>
      <c r="K4081" s="519">
        <f t="shared" si="301"/>
        <v>1500</v>
      </c>
      <c r="L4081" s="519">
        <f t="shared" si="302"/>
        <v>1500</v>
      </c>
      <c r="M4081" s="557">
        <f t="shared" si="303"/>
        <v>0.1</v>
      </c>
      <c r="N4081" s="15" t="s">
        <v>40</v>
      </c>
      <c r="O4081" s="15" t="s">
        <v>4066</v>
      </c>
    </row>
    <row r="4082" spans="1:15">
      <c r="A4082" s="70">
        <v>2026</v>
      </c>
      <c r="B4082" s="16" t="s">
        <v>464</v>
      </c>
      <c r="C4082" s="70" t="s">
        <v>5260</v>
      </c>
      <c r="D4082" s="15" t="s">
        <v>4659</v>
      </c>
      <c r="E4082" s="15" t="s">
        <v>5261</v>
      </c>
      <c r="F4082" s="95">
        <v>1</v>
      </c>
      <c r="G4082" s="16" t="s">
        <v>19</v>
      </c>
      <c r="H4082" s="17">
        <v>6500</v>
      </c>
      <c r="I4082" s="17">
        <f t="shared" si="297"/>
        <v>6500</v>
      </c>
      <c r="J4082" s="519">
        <v>5850</v>
      </c>
      <c r="K4082" s="519">
        <f t="shared" si="301"/>
        <v>650</v>
      </c>
      <c r="L4082" s="519">
        <f t="shared" si="302"/>
        <v>650</v>
      </c>
      <c r="M4082" s="557">
        <f t="shared" si="303"/>
        <v>0.1</v>
      </c>
      <c r="N4082" s="15" t="s">
        <v>40</v>
      </c>
      <c r="O4082" s="15" t="s">
        <v>4066</v>
      </c>
    </row>
    <row r="4083" spans="1:15">
      <c r="A4083" s="70">
        <v>2026</v>
      </c>
      <c r="B4083" s="16" t="s">
        <v>464</v>
      </c>
      <c r="C4083" s="70" t="s">
        <v>5260</v>
      </c>
      <c r="D4083" s="15" t="s">
        <v>4659</v>
      </c>
      <c r="E4083" s="15" t="s">
        <v>5262</v>
      </c>
      <c r="F4083" s="95">
        <v>1</v>
      </c>
      <c r="G4083" s="16" t="s">
        <v>19</v>
      </c>
      <c r="H4083" s="17">
        <v>6500</v>
      </c>
      <c r="I4083" s="17">
        <f t="shared" si="297"/>
        <v>6500</v>
      </c>
      <c r="J4083" s="519">
        <v>5850</v>
      </c>
      <c r="K4083" s="519">
        <f t="shared" si="301"/>
        <v>650</v>
      </c>
      <c r="L4083" s="519">
        <f t="shared" si="302"/>
        <v>650</v>
      </c>
      <c r="M4083" s="557">
        <f t="shared" si="303"/>
        <v>0.1</v>
      </c>
      <c r="N4083" s="15" t="s">
        <v>40</v>
      </c>
      <c r="O4083" s="15" t="s">
        <v>4066</v>
      </c>
    </row>
    <row r="4084" spans="1:15">
      <c r="A4084" s="70">
        <v>2026</v>
      </c>
      <c r="B4084" s="16" t="s">
        <v>464</v>
      </c>
      <c r="C4084" s="70" t="s">
        <v>5260</v>
      </c>
      <c r="D4084" s="15" t="s">
        <v>4659</v>
      </c>
      <c r="E4084" s="15" t="s">
        <v>5263</v>
      </c>
      <c r="F4084" s="95">
        <v>1</v>
      </c>
      <c r="G4084" s="16" t="s">
        <v>19</v>
      </c>
      <c r="H4084" s="17">
        <v>5000</v>
      </c>
      <c r="I4084" s="17">
        <f t="shared" si="297"/>
        <v>5000</v>
      </c>
      <c r="J4084" s="519">
        <v>4500</v>
      </c>
      <c r="K4084" s="519">
        <f t="shared" si="301"/>
        <v>500</v>
      </c>
      <c r="L4084" s="519">
        <f t="shared" si="302"/>
        <v>500</v>
      </c>
      <c r="M4084" s="557">
        <f t="shared" si="303"/>
        <v>0.1</v>
      </c>
      <c r="N4084" s="15" t="s">
        <v>40</v>
      </c>
      <c r="O4084" s="15" t="s">
        <v>4066</v>
      </c>
    </row>
    <row r="4085" spans="1:15">
      <c r="A4085" s="70">
        <v>2026</v>
      </c>
      <c r="B4085" s="16" t="s">
        <v>464</v>
      </c>
      <c r="C4085" s="70" t="s">
        <v>5264</v>
      </c>
      <c r="D4085" s="15" t="s">
        <v>27</v>
      </c>
      <c r="E4085" s="15" t="s">
        <v>4602</v>
      </c>
      <c r="F4085" s="95">
        <v>550</v>
      </c>
      <c r="G4085" s="16" t="s">
        <v>1146</v>
      </c>
      <c r="H4085" s="17">
        <v>1322</v>
      </c>
      <c r="I4085" s="17">
        <f t="shared" si="297"/>
        <v>727100</v>
      </c>
      <c r="J4085" s="519">
        <v>1320</v>
      </c>
      <c r="K4085" s="519">
        <f t="shared" si="301"/>
        <v>2</v>
      </c>
      <c r="L4085" s="519">
        <f t="shared" si="302"/>
        <v>1100</v>
      </c>
      <c r="M4085" s="557">
        <f t="shared" si="303"/>
        <v>1.5128593040847202E-3</v>
      </c>
      <c r="N4085" s="15" t="s">
        <v>22</v>
      </c>
      <c r="O4085" s="15" t="s">
        <v>4066</v>
      </c>
    </row>
    <row r="4086" spans="1:15">
      <c r="A4086" s="70">
        <v>2026</v>
      </c>
      <c r="B4086" s="16" t="s">
        <v>464</v>
      </c>
      <c r="C4086" s="70" t="s">
        <v>5264</v>
      </c>
      <c r="D4086" s="15" t="s">
        <v>27</v>
      </c>
      <c r="E4086" s="15" t="s">
        <v>5265</v>
      </c>
      <c r="F4086" s="95">
        <v>500</v>
      </c>
      <c r="G4086" s="16" t="s">
        <v>1146</v>
      </c>
      <c r="H4086" s="17">
        <v>492</v>
      </c>
      <c r="I4086" s="17">
        <f t="shared" si="297"/>
        <v>246000</v>
      </c>
      <c r="J4086" s="519">
        <v>490</v>
      </c>
      <c r="K4086" s="519">
        <f t="shared" si="301"/>
        <v>2</v>
      </c>
      <c r="L4086" s="519">
        <f t="shared" si="302"/>
        <v>1000</v>
      </c>
      <c r="M4086" s="557">
        <f t="shared" si="303"/>
        <v>4.0650406504065045E-3</v>
      </c>
      <c r="N4086" s="15" t="s">
        <v>22</v>
      </c>
      <c r="O4086" s="15" t="s">
        <v>4066</v>
      </c>
    </row>
    <row r="4087" spans="1:15">
      <c r="A4087" s="70">
        <v>2026</v>
      </c>
      <c r="B4087" s="16" t="s">
        <v>464</v>
      </c>
      <c r="C4087" s="70" t="s">
        <v>5264</v>
      </c>
      <c r="D4087" s="15" t="s">
        <v>27</v>
      </c>
      <c r="E4087" s="15" t="s">
        <v>5266</v>
      </c>
      <c r="F4087" s="95">
        <v>60</v>
      </c>
      <c r="G4087" s="16" t="s">
        <v>1146</v>
      </c>
      <c r="H4087" s="17">
        <v>487</v>
      </c>
      <c r="I4087" s="17">
        <f t="shared" si="297"/>
        <v>29220</v>
      </c>
      <c r="J4087" s="519">
        <v>485</v>
      </c>
      <c r="K4087" s="519">
        <f t="shared" si="301"/>
        <v>2</v>
      </c>
      <c r="L4087" s="519">
        <f t="shared" si="302"/>
        <v>120</v>
      </c>
      <c r="M4087" s="557">
        <f t="shared" si="303"/>
        <v>4.1067761806981521E-3</v>
      </c>
      <c r="N4087" s="15" t="s">
        <v>22</v>
      </c>
      <c r="O4087" s="15" t="s">
        <v>4066</v>
      </c>
    </row>
    <row r="4088" spans="1:15">
      <c r="A4088" s="70">
        <v>2026</v>
      </c>
      <c r="B4088" s="16" t="s">
        <v>464</v>
      </c>
      <c r="C4088" s="70" t="s">
        <v>5264</v>
      </c>
      <c r="D4088" s="15" t="s">
        <v>27</v>
      </c>
      <c r="E4088" s="15" t="s">
        <v>5267</v>
      </c>
      <c r="F4088" s="95">
        <v>130</v>
      </c>
      <c r="G4088" s="16" t="s">
        <v>1146</v>
      </c>
      <c r="H4088" s="17">
        <v>130</v>
      </c>
      <c r="I4088" s="17">
        <f t="shared" si="297"/>
        <v>16900</v>
      </c>
      <c r="J4088" s="519">
        <v>129</v>
      </c>
      <c r="K4088" s="519">
        <f t="shared" si="301"/>
        <v>1</v>
      </c>
      <c r="L4088" s="519">
        <f t="shared" si="302"/>
        <v>130</v>
      </c>
      <c r="M4088" s="557">
        <f t="shared" si="303"/>
        <v>7.6923076923076927E-3</v>
      </c>
      <c r="N4088" s="15" t="s">
        <v>22</v>
      </c>
      <c r="O4088" s="15" t="s">
        <v>4066</v>
      </c>
    </row>
    <row r="4089" spans="1:15">
      <c r="A4089" s="70">
        <v>2026</v>
      </c>
      <c r="B4089" s="16" t="s">
        <v>464</v>
      </c>
      <c r="C4089" s="70" t="s">
        <v>5268</v>
      </c>
      <c r="D4089" s="15" t="s">
        <v>5269</v>
      </c>
      <c r="E4089" s="15" t="s">
        <v>5270</v>
      </c>
      <c r="F4089" s="95">
        <v>1</v>
      </c>
      <c r="G4089" s="16" t="s">
        <v>285</v>
      </c>
      <c r="H4089" s="17">
        <v>18000</v>
      </c>
      <c r="I4089" s="17">
        <f t="shared" si="297"/>
        <v>18000</v>
      </c>
      <c r="J4089" s="519">
        <v>16000</v>
      </c>
      <c r="K4089" s="519">
        <f t="shared" si="301"/>
        <v>2000</v>
      </c>
      <c r="L4089" s="519">
        <f t="shared" si="302"/>
        <v>2000</v>
      </c>
      <c r="M4089" s="557">
        <f t="shared" si="303"/>
        <v>0.1111111111111111</v>
      </c>
      <c r="N4089" s="15" t="s">
        <v>40</v>
      </c>
      <c r="O4089" s="15" t="s">
        <v>4066</v>
      </c>
    </row>
    <row r="4090" spans="1:15">
      <c r="A4090" s="70">
        <v>2026</v>
      </c>
      <c r="B4090" s="16" t="s">
        <v>464</v>
      </c>
      <c r="C4090" s="15" t="s">
        <v>5271</v>
      </c>
      <c r="D4090" s="15" t="s">
        <v>398</v>
      </c>
      <c r="E4090" s="15" t="s">
        <v>5272</v>
      </c>
      <c r="F4090" s="95">
        <v>4</v>
      </c>
      <c r="G4090" s="16" t="s">
        <v>302</v>
      </c>
      <c r="H4090" s="17">
        <v>32000</v>
      </c>
      <c r="I4090" s="17">
        <f t="shared" si="297"/>
        <v>128000</v>
      </c>
      <c r="J4090" s="519">
        <v>30000</v>
      </c>
      <c r="K4090" s="519">
        <f t="shared" si="301"/>
        <v>2000</v>
      </c>
      <c r="L4090" s="519">
        <f t="shared" si="302"/>
        <v>8000</v>
      </c>
      <c r="M4090" s="557">
        <f t="shared" si="303"/>
        <v>6.25E-2</v>
      </c>
      <c r="N4090" s="15" t="s">
        <v>40</v>
      </c>
      <c r="O4090" s="15" t="s">
        <v>4066</v>
      </c>
    </row>
    <row r="4091" spans="1:15">
      <c r="A4091" s="70">
        <v>2026</v>
      </c>
      <c r="B4091" s="16" t="s">
        <v>464</v>
      </c>
      <c r="C4091" s="70" t="s">
        <v>5273</v>
      </c>
      <c r="D4091" s="15" t="s">
        <v>1948</v>
      </c>
      <c r="E4091" s="15" t="s">
        <v>5274</v>
      </c>
      <c r="F4091" s="95">
        <v>10</v>
      </c>
      <c r="G4091" s="16" t="s">
        <v>19</v>
      </c>
      <c r="H4091" s="17">
        <v>150</v>
      </c>
      <c r="I4091" s="17">
        <f t="shared" si="297"/>
        <v>1500</v>
      </c>
      <c r="J4091" s="519">
        <v>135</v>
      </c>
      <c r="K4091" s="519">
        <f t="shared" si="301"/>
        <v>15</v>
      </c>
      <c r="L4091" s="519">
        <f t="shared" si="302"/>
        <v>150</v>
      </c>
      <c r="M4091" s="557">
        <f t="shared" si="303"/>
        <v>0.1</v>
      </c>
      <c r="N4091" s="15" t="s">
        <v>22</v>
      </c>
      <c r="O4091" s="15" t="s">
        <v>4066</v>
      </c>
    </row>
    <row r="4092" spans="1:15">
      <c r="A4092" s="70">
        <v>2026</v>
      </c>
      <c r="B4092" s="16" t="s">
        <v>464</v>
      </c>
      <c r="C4092" s="70" t="s">
        <v>5275</v>
      </c>
      <c r="D4092" s="15" t="s">
        <v>1042</v>
      </c>
      <c r="E4092" s="15" t="s">
        <v>711</v>
      </c>
      <c r="F4092" s="95">
        <v>10390</v>
      </c>
      <c r="G4092" s="16" t="s">
        <v>37</v>
      </c>
      <c r="H4092" s="17">
        <v>454</v>
      </c>
      <c r="I4092" s="17">
        <f t="shared" si="297"/>
        <v>4717060</v>
      </c>
      <c r="J4092" s="519">
        <v>439.5</v>
      </c>
      <c r="K4092" s="519">
        <f t="shared" si="301"/>
        <v>14.5</v>
      </c>
      <c r="L4092" s="519">
        <f t="shared" si="302"/>
        <v>150655</v>
      </c>
      <c r="M4092" s="557">
        <f t="shared" si="303"/>
        <v>3.1938325991189426E-2</v>
      </c>
      <c r="N4092" s="15" t="s">
        <v>22</v>
      </c>
      <c r="O4092" s="15" t="s">
        <v>105</v>
      </c>
    </row>
    <row r="4093" spans="1:15">
      <c r="A4093" s="70">
        <v>2026</v>
      </c>
      <c r="B4093" s="16" t="s">
        <v>464</v>
      </c>
      <c r="C4093" s="70" t="s">
        <v>5276</v>
      </c>
      <c r="D4093" s="15" t="s">
        <v>1042</v>
      </c>
      <c r="E4093" s="15" t="s">
        <v>711</v>
      </c>
      <c r="F4093" s="95">
        <v>176.95</v>
      </c>
      <c r="G4093" s="16" t="s">
        <v>37</v>
      </c>
      <c r="H4093" s="17">
        <v>454</v>
      </c>
      <c r="I4093" s="17">
        <f t="shared" si="297"/>
        <v>80335.299999999988</v>
      </c>
      <c r="J4093" s="519">
        <v>439.5</v>
      </c>
      <c r="K4093" s="519">
        <f t="shared" si="301"/>
        <v>14.5</v>
      </c>
      <c r="L4093" s="519">
        <f t="shared" si="302"/>
        <v>2565.7749999999996</v>
      </c>
      <c r="M4093" s="557">
        <f t="shared" si="303"/>
        <v>3.1938325991189426E-2</v>
      </c>
      <c r="N4093" s="15" t="s">
        <v>22</v>
      </c>
      <c r="O4093" s="15" t="s">
        <v>105</v>
      </c>
    </row>
    <row r="4094" spans="1:15">
      <c r="A4094" s="70">
        <v>2026</v>
      </c>
      <c r="B4094" s="16" t="s">
        <v>464</v>
      </c>
      <c r="C4094" s="70" t="s">
        <v>5277</v>
      </c>
      <c r="D4094" s="15" t="s">
        <v>270</v>
      </c>
      <c r="E4094" s="15" t="s">
        <v>4247</v>
      </c>
      <c r="F4094" s="95">
        <v>1</v>
      </c>
      <c r="G4094" s="16" t="s">
        <v>302</v>
      </c>
      <c r="H4094" s="17">
        <v>128448</v>
      </c>
      <c r="I4094" s="17">
        <f t="shared" si="297"/>
        <v>128448</v>
      </c>
      <c r="J4094" s="519">
        <v>127172</v>
      </c>
      <c r="K4094" s="519">
        <f t="shared" si="301"/>
        <v>1276</v>
      </c>
      <c r="L4094" s="519">
        <f t="shared" si="302"/>
        <v>1276</v>
      </c>
      <c r="M4094" s="557">
        <f t="shared" si="303"/>
        <v>9.9339810662680619E-3</v>
      </c>
      <c r="N4094" s="15" t="s">
        <v>40</v>
      </c>
      <c r="O4094" s="15" t="s">
        <v>105</v>
      </c>
    </row>
    <row r="4095" spans="1:15">
      <c r="A4095" s="70">
        <v>2026</v>
      </c>
      <c r="B4095" s="16" t="s">
        <v>464</v>
      </c>
      <c r="C4095" s="70" t="s">
        <v>5278</v>
      </c>
      <c r="D4095" s="15" t="s">
        <v>166</v>
      </c>
      <c r="E4095" s="15" t="s">
        <v>5279</v>
      </c>
      <c r="F4095" s="95">
        <v>530</v>
      </c>
      <c r="G4095" s="16" t="s">
        <v>37</v>
      </c>
      <c r="H4095" s="17">
        <v>464.64</v>
      </c>
      <c r="I4095" s="17">
        <f t="shared" si="297"/>
        <v>246259.19999999998</v>
      </c>
      <c r="J4095" s="519">
        <v>461.5</v>
      </c>
      <c r="K4095" s="519">
        <f t="shared" si="301"/>
        <v>3.1399999999999864</v>
      </c>
      <c r="L4095" s="519">
        <f t="shared" si="302"/>
        <v>1664.1999999999928</v>
      </c>
      <c r="M4095" s="557">
        <f t="shared" si="303"/>
        <v>6.7579201101928086E-3</v>
      </c>
      <c r="N4095" s="15" t="s">
        <v>22</v>
      </c>
      <c r="O4095" s="15" t="s">
        <v>105</v>
      </c>
    </row>
    <row r="4096" spans="1:15">
      <c r="A4096" s="70">
        <v>2026</v>
      </c>
      <c r="B4096" s="16" t="s">
        <v>464</v>
      </c>
      <c r="C4096" s="70" t="s">
        <v>5278</v>
      </c>
      <c r="D4096" s="15" t="s">
        <v>166</v>
      </c>
      <c r="E4096" s="15" t="s">
        <v>5280</v>
      </c>
      <c r="F4096" s="95">
        <v>970</v>
      </c>
      <c r="G4096" s="16" t="s">
        <v>37</v>
      </c>
      <c r="H4096" s="17">
        <v>464.64</v>
      </c>
      <c r="I4096" s="17">
        <f t="shared" si="297"/>
        <v>450700.79999999999</v>
      </c>
      <c r="J4096" s="519">
        <v>461.5</v>
      </c>
      <c r="K4096" s="519">
        <f t="shared" si="301"/>
        <v>3.1399999999999864</v>
      </c>
      <c r="L4096" s="519">
        <f t="shared" si="302"/>
        <v>3045.7999999999865</v>
      </c>
      <c r="M4096" s="557">
        <f t="shared" si="303"/>
        <v>6.7579201101928086E-3</v>
      </c>
      <c r="N4096" s="15" t="s">
        <v>22</v>
      </c>
      <c r="O4096" s="15" t="s">
        <v>105</v>
      </c>
    </row>
    <row r="4097" spans="1:15">
      <c r="A4097" s="70">
        <v>2026</v>
      </c>
      <c r="B4097" s="16" t="s">
        <v>464</v>
      </c>
      <c r="C4097" s="70" t="s">
        <v>5278</v>
      </c>
      <c r="D4097" s="15" t="s">
        <v>166</v>
      </c>
      <c r="E4097" s="15" t="s">
        <v>5281</v>
      </c>
      <c r="F4097" s="95">
        <v>500</v>
      </c>
      <c r="G4097" s="16" t="s">
        <v>37</v>
      </c>
      <c r="H4097" s="17">
        <v>464.64</v>
      </c>
      <c r="I4097" s="17">
        <f t="shared" si="297"/>
        <v>232320</v>
      </c>
      <c r="J4097" s="519">
        <v>461.5</v>
      </c>
      <c r="K4097" s="519">
        <f t="shared" si="301"/>
        <v>3.1399999999999864</v>
      </c>
      <c r="L4097" s="519">
        <f t="shared" si="302"/>
        <v>1569.9999999999932</v>
      </c>
      <c r="M4097" s="557">
        <f t="shared" si="303"/>
        <v>6.7579201101928086E-3</v>
      </c>
      <c r="N4097" s="15" t="s">
        <v>22</v>
      </c>
      <c r="O4097" s="15" t="s">
        <v>105</v>
      </c>
    </row>
    <row r="4098" spans="1:15">
      <c r="A4098" s="70">
        <v>2026</v>
      </c>
      <c r="B4098" s="16" t="s">
        <v>464</v>
      </c>
      <c r="C4098" s="70" t="s">
        <v>5278</v>
      </c>
      <c r="D4098" s="15" t="s">
        <v>166</v>
      </c>
      <c r="E4098" s="15" t="s">
        <v>5282</v>
      </c>
      <c r="F4098" s="95">
        <v>3140</v>
      </c>
      <c r="G4098" s="16" t="s">
        <v>37</v>
      </c>
      <c r="H4098" s="17">
        <v>464.64</v>
      </c>
      <c r="I4098" s="17">
        <f t="shared" si="297"/>
        <v>1458969.5999999999</v>
      </c>
      <c r="J4098" s="519">
        <v>461.5</v>
      </c>
      <c r="K4098" s="519">
        <f t="shared" si="301"/>
        <v>3.1399999999999864</v>
      </c>
      <c r="L4098" s="519">
        <f t="shared" si="302"/>
        <v>9859.5999999999567</v>
      </c>
      <c r="M4098" s="557">
        <f t="shared" si="303"/>
        <v>6.7579201101928086E-3</v>
      </c>
      <c r="N4098" s="15" t="s">
        <v>22</v>
      </c>
      <c r="O4098" s="15" t="s">
        <v>105</v>
      </c>
    </row>
    <row r="4099" spans="1:15">
      <c r="A4099" s="70">
        <v>2026</v>
      </c>
      <c r="B4099" s="16" t="s">
        <v>464</v>
      </c>
      <c r="C4099" s="70" t="s">
        <v>5278</v>
      </c>
      <c r="D4099" s="15" t="s">
        <v>166</v>
      </c>
      <c r="E4099" s="15" t="s">
        <v>5283</v>
      </c>
      <c r="F4099" s="95">
        <v>1730</v>
      </c>
      <c r="G4099" s="16" t="s">
        <v>37</v>
      </c>
      <c r="H4099" s="17">
        <v>464.64</v>
      </c>
      <c r="I4099" s="17">
        <f t="shared" si="297"/>
        <v>803827.19999999995</v>
      </c>
      <c r="J4099" s="519">
        <v>461.5</v>
      </c>
      <c r="K4099" s="519">
        <f t="shared" si="301"/>
        <v>3.1399999999999864</v>
      </c>
      <c r="L4099" s="519">
        <f t="shared" si="302"/>
        <v>5432.1999999999762</v>
      </c>
      <c r="M4099" s="557">
        <f t="shared" si="303"/>
        <v>6.7579201101928086E-3</v>
      </c>
      <c r="N4099" s="15" t="s">
        <v>22</v>
      </c>
      <c r="O4099" s="15" t="s">
        <v>105</v>
      </c>
    </row>
    <row r="4100" spans="1:15">
      <c r="A4100" s="70">
        <v>2026</v>
      </c>
      <c r="B4100" s="16" t="s">
        <v>464</v>
      </c>
      <c r="C4100" s="70" t="s">
        <v>5278</v>
      </c>
      <c r="D4100" s="15" t="s">
        <v>166</v>
      </c>
      <c r="E4100" s="15" t="s">
        <v>5284</v>
      </c>
      <c r="F4100" s="95">
        <v>2640</v>
      </c>
      <c r="G4100" s="16" t="s">
        <v>37</v>
      </c>
      <c r="H4100" s="17">
        <v>464.64</v>
      </c>
      <c r="I4100" s="17">
        <f t="shared" si="297"/>
        <v>1226649.5999999999</v>
      </c>
      <c r="J4100" s="519">
        <v>409.72</v>
      </c>
      <c r="K4100" s="519">
        <f t="shared" si="301"/>
        <v>54.919999999999959</v>
      </c>
      <c r="L4100" s="519">
        <f t="shared" si="302"/>
        <v>144988.7999999999</v>
      </c>
      <c r="M4100" s="557">
        <f t="shared" si="303"/>
        <v>0.11819903581267209</v>
      </c>
      <c r="N4100" s="15" t="s">
        <v>22</v>
      </c>
      <c r="O4100" s="15" t="s">
        <v>105</v>
      </c>
    </row>
    <row r="4101" spans="1:15">
      <c r="A4101" s="70">
        <v>2026</v>
      </c>
      <c r="B4101" s="16" t="s">
        <v>464</v>
      </c>
      <c r="C4101" s="70" t="s">
        <v>5278</v>
      </c>
      <c r="D4101" s="15" t="s">
        <v>166</v>
      </c>
      <c r="E4101" s="15" t="s">
        <v>5285</v>
      </c>
      <c r="F4101" s="95">
        <v>2040</v>
      </c>
      <c r="G4101" s="16" t="s">
        <v>37</v>
      </c>
      <c r="H4101" s="17">
        <v>464.64</v>
      </c>
      <c r="I4101" s="17">
        <f t="shared" si="297"/>
        <v>947865.59999999998</v>
      </c>
      <c r="J4101" s="519">
        <v>461.5</v>
      </c>
      <c r="K4101" s="519">
        <f t="shared" si="301"/>
        <v>3.1399999999999864</v>
      </c>
      <c r="L4101" s="519">
        <f t="shared" si="302"/>
        <v>6405.5999999999722</v>
      </c>
      <c r="M4101" s="557">
        <f t="shared" si="303"/>
        <v>6.7579201101928086E-3</v>
      </c>
      <c r="N4101" s="15" t="s">
        <v>22</v>
      </c>
      <c r="O4101" s="15" t="s">
        <v>105</v>
      </c>
    </row>
    <row r="4102" spans="1:15">
      <c r="A4102" s="70">
        <v>2026</v>
      </c>
      <c r="B4102" s="16" t="s">
        <v>464</v>
      </c>
      <c r="C4102" s="70" t="s">
        <v>5278</v>
      </c>
      <c r="D4102" s="15" t="s">
        <v>166</v>
      </c>
      <c r="E4102" s="15" t="s">
        <v>5286</v>
      </c>
      <c r="F4102" s="95">
        <v>1460</v>
      </c>
      <c r="G4102" s="16" t="s">
        <v>37</v>
      </c>
      <c r="H4102" s="17">
        <v>464.64</v>
      </c>
      <c r="I4102" s="17">
        <f t="shared" si="297"/>
        <v>678374.40000000002</v>
      </c>
      <c r="J4102" s="519">
        <v>461.5</v>
      </c>
      <c r="K4102" s="519">
        <f t="shared" si="301"/>
        <v>3.1399999999999864</v>
      </c>
      <c r="L4102" s="519">
        <f t="shared" si="302"/>
        <v>4584.3999999999796</v>
      </c>
      <c r="M4102" s="557">
        <f t="shared" si="303"/>
        <v>6.7579201101928086E-3</v>
      </c>
      <c r="N4102" s="15" t="s">
        <v>22</v>
      </c>
      <c r="O4102" s="15" t="s">
        <v>105</v>
      </c>
    </row>
    <row r="4103" spans="1:15">
      <c r="A4103" s="70">
        <v>2026</v>
      </c>
      <c r="B4103" s="16" t="s">
        <v>464</v>
      </c>
      <c r="C4103" s="70" t="s">
        <v>5278</v>
      </c>
      <c r="D4103" s="15" t="s">
        <v>166</v>
      </c>
      <c r="E4103" s="15" t="s">
        <v>5287</v>
      </c>
      <c r="F4103" s="95">
        <v>760</v>
      </c>
      <c r="G4103" s="16" t="s">
        <v>37</v>
      </c>
      <c r="H4103" s="17">
        <v>464.64</v>
      </c>
      <c r="I4103" s="17">
        <f t="shared" si="297"/>
        <v>353126.39999999997</v>
      </c>
      <c r="J4103" s="519">
        <v>461.5</v>
      </c>
      <c r="K4103" s="519">
        <f t="shared" si="301"/>
        <v>3.1399999999999864</v>
      </c>
      <c r="L4103" s="519">
        <f t="shared" si="302"/>
        <v>2386.3999999999896</v>
      </c>
      <c r="M4103" s="557">
        <f t="shared" si="303"/>
        <v>6.7579201101928086E-3</v>
      </c>
      <c r="N4103" s="15" t="s">
        <v>22</v>
      </c>
      <c r="O4103" s="15" t="s">
        <v>105</v>
      </c>
    </row>
    <row r="4104" spans="1:15">
      <c r="A4104" s="70">
        <v>2026</v>
      </c>
      <c r="B4104" s="16" t="s">
        <v>464</v>
      </c>
      <c r="C4104" s="70" t="s">
        <v>5278</v>
      </c>
      <c r="D4104" s="15" t="s">
        <v>166</v>
      </c>
      <c r="E4104" s="15" t="s">
        <v>5288</v>
      </c>
      <c r="F4104" s="95">
        <v>3220</v>
      </c>
      <c r="G4104" s="16" t="s">
        <v>37</v>
      </c>
      <c r="H4104" s="17">
        <v>464.64</v>
      </c>
      <c r="I4104" s="17">
        <f t="shared" si="297"/>
        <v>1496140.8</v>
      </c>
      <c r="J4104" s="519">
        <v>461.5</v>
      </c>
      <c r="K4104" s="519">
        <f t="shared" si="301"/>
        <v>3.1399999999999864</v>
      </c>
      <c r="L4104" s="519">
        <f t="shared" si="302"/>
        <v>10110.799999999956</v>
      </c>
      <c r="M4104" s="557">
        <f t="shared" si="303"/>
        <v>6.7579201101928086E-3</v>
      </c>
      <c r="N4104" s="15" t="s">
        <v>22</v>
      </c>
      <c r="O4104" s="15" t="s">
        <v>105</v>
      </c>
    </row>
    <row r="4105" spans="1:15">
      <c r="A4105" s="70">
        <v>2026</v>
      </c>
      <c r="B4105" s="16" t="s">
        <v>464</v>
      </c>
      <c r="C4105" s="70" t="s">
        <v>5278</v>
      </c>
      <c r="D4105" s="15" t="s">
        <v>166</v>
      </c>
      <c r="E4105" s="15" t="s">
        <v>4135</v>
      </c>
      <c r="F4105" s="95">
        <v>950</v>
      </c>
      <c r="G4105" s="16" t="s">
        <v>37</v>
      </c>
      <c r="H4105" s="17">
        <v>464.64</v>
      </c>
      <c r="I4105" s="17">
        <f t="shared" si="297"/>
        <v>441408</v>
      </c>
      <c r="J4105" s="519">
        <v>461.5</v>
      </c>
      <c r="K4105" s="519">
        <f t="shared" si="301"/>
        <v>3.1399999999999864</v>
      </c>
      <c r="L4105" s="519">
        <f t="shared" si="302"/>
        <v>2982.9999999999873</v>
      </c>
      <c r="M4105" s="557">
        <f t="shared" si="303"/>
        <v>6.7579201101928086E-3</v>
      </c>
      <c r="N4105" s="15" t="s">
        <v>22</v>
      </c>
      <c r="O4105" s="15" t="s">
        <v>105</v>
      </c>
    </row>
    <row r="4106" spans="1:15">
      <c r="A4106" s="70">
        <v>2026</v>
      </c>
      <c r="B4106" s="16" t="s">
        <v>464</v>
      </c>
      <c r="C4106" s="70" t="s">
        <v>5278</v>
      </c>
      <c r="D4106" s="15" t="s">
        <v>166</v>
      </c>
      <c r="E4106" s="15" t="s">
        <v>5289</v>
      </c>
      <c r="F4106" s="95">
        <v>2550</v>
      </c>
      <c r="G4106" s="16" t="s">
        <v>37</v>
      </c>
      <c r="H4106" s="17">
        <v>464.64</v>
      </c>
      <c r="I4106" s="17">
        <f t="shared" si="297"/>
        <v>1184832</v>
      </c>
      <c r="J4106" s="519">
        <v>461.5</v>
      </c>
      <c r="K4106" s="519">
        <f t="shared" si="301"/>
        <v>3.1399999999999864</v>
      </c>
      <c r="L4106" s="519">
        <f t="shared" si="302"/>
        <v>8006.9999999999654</v>
      </c>
      <c r="M4106" s="557">
        <f t="shared" si="303"/>
        <v>6.7579201101928086E-3</v>
      </c>
      <c r="N4106" s="15" t="s">
        <v>22</v>
      </c>
      <c r="O4106" s="15" t="s">
        <v>105</v>
      </c>
    </row>
    <row r="4107" spans="1:15">
      <c r="A4107" s="70">
        <v>2026</v>
      </c>
      <c r="B4107" s="16" t="s">
        <v>464</v>
      </c>
      <c r="C4107" s="70" t="s">
        <v>5290</v>
      </c>
      <c r="D4107" s="15" t="s">
        <v>283</v>
      </c>
      <c r="E4107" s="15" t="s">
        <v>5291</v>
      </c>
      <c r="F4107" s="95">
        <v>1</v>
      </c>
      <c r="G4107" s="16" t="s">
        <v>285</v>
      </c>
      <c r="H4107" s="17">
        <v>45500</v>
      </c>
      <c r="I4107" s="17">
        <f t="shared" si="297"/>
        <v>45500</v>
      </c>
      <c r="J4107" s="519">
        <v>44500</v>
      </c>
      <c r="K4107" s="519">
        <f t="shared" si="301"/>
        <v>1000</v>
      </c>
      <c r="L4107" s="519">
        <f t="shared" si="302"/>
        <v>1000</v>
      </c>
      <c r="M4107" s="557">
        <f t="shared" si="303"/>
        <v>2.197802197802198E-2</v>
      </c>
      <c r="N4107" s="15" t="s">
        <v>40</v>
      </c>
      <c r="O4107" s="15" t="s">
        <v>105</v>
      </c>
    </row>
    <row r="4108" spans="1:15">
      <c r="A4108" s="70">
        <v>2026</v>
      </c>
      <c r="B4108" s="16" t="s">
        <v>464</v>
      </c>
      <c r="C4108" s="70" t="s">
        <v>5292</v>
      </c>
      <c r="D4108" s="15" t="s">
        <v>270</v>
      </c>
      <c r="E4108" s="15" t="s">
        <v>4254</v>
      </c>
      <c r="F4108" s="95">
        <v>346.2</v>
      </c>
      <c r="G4108" s="16" t="s">
        <v>37</v>
      </c>
      <c r="H4108" s="17">
        <v>480</v>
      </c>
      <c r="I4108" s="17">
        <f t="shared" si="297"/>
        <v>166176</v>
      </c>
      <c r="J4108" s="519">
        <v>474</v>
      </c>
      <c r="K4108" s="519">
        <f t="shared" ref="K4108:K4115" si="304">H4108-J4108</f>
        <v>6</v>
      </c>
      <c r="L4108" s="519">
        <f t="shared" ref="L4108:L4115" si="305">K4108*F4108</f>
        <v>2077.1999999999998</v>
      </c>
      <c r="M4108" s="557">
        <f t="shared" ref="M4108:M4115" si="306">K4108/H4108</f>
        <v>1.2500000000000001E-2</v>
      </c>
      <c r="N4108" s="15" t="s">
        <v>22</v>
      </c>
      <c r="O4108" s="15" t="s">
        <v>105</v>
      </c>
    </row>
    <row r="4109" spans="1:15">
      <c r="A4109" s="70">
        <v>2026</v>
      </c>
      <c r="B4109" s="16" t="s">
        <v>464</v>
      </c>
      <c r="C4109" s="70" t="s">
        <v>5293</v>
      </c>
      <c r="D4109" s="15" t="s">
        <v>270</v>
      </c>
      <c r="E4109" s="15" t="s">
        <v>4254</v>
      </c>
      <c r="F4109" s="95">
        <v>403.9</v>
      </c>
      <c r="G4109" s="16" t="s">
        <v>37</v>
      </c>
      <c r="H4109" s="17">
        <v>480</v>
      </c>
      <c r="I4109" s="17">
        <f t="shared" si="297"/>
        <v>193872</v>
      </c>
      <c r="J4109" s="519">
        <v>474</v>
      </c>
      <c r="K4109" s="519">
        <f t="shared" si="304"/>
        <v>6</v>
      </c>
      <c r="L4109" s="519">
        <f t="shared" si="305"/>
        <v>2423.3999999999996</v>
      </c>
      <c r="M4109" s="557">
        <f t="shared" si="306"/>
        <v>1.2500000000000001E-2</v>
      </c>
      <c r="N4109" s="15" t="s">
        <v>22</v>
      </c>
      <c r="O4109" s="15" t="s">
        <v>105</v>
      </c>
    </row>
    <row r="4110" spans="1:15">
      <c r="A4110" s="70">
        <v>2026</v>
      </c>
      <c r="B4110" s="16" t="s">
        <v>464</v>
      </c>
      <c r="C4110" s="70" t="s">
        <v>5294</v>
      </c>
      <c r="D4110" s="15" t="s">
        <v>1658</v>
      </c>
      <c r="E4110" s="15" t="s">
        <v>1800</v>
      </c>
      <c r="F4110" s="95">
        <v>250</v>
      </c>
      <c r="G4110" s="16" t="s">
        <v>302</v>
      </c>
      <c r="H4110" s="17">
        <v>1251.25</v>
      </c>
      <c r="I4110" s="17">
        <f t="shared" si="297"/>
        <v>312812.5</v>
      </c>
      <c r="J4110" s="519">
        <v>1201.2</v>
      </c>
      <c r="K4110" s="519">
        <f t="shared" si="304"/>
        <v>50.049999999999955</v>
      </c>
      <c r="L4110" s="519">
        <f t="shared" si="305"/>
        <v>12512.499999999989</v>
      </c>
      <c r="M4110" s="557">
        <f t="shared" si="306"/>
        <v>3.9999999999999966E-2</v>
      </c>
      <c r="N4110" s="15" t="s">
        <v>40</v>
      </c>
      <c r="O4110" s="15" t="s">
        <v>105</v>
      </c>
    </row>
    <row r="4111" spans="1:15">
      <c r="A4111" s="70">
        <v>2026</v>
      </c>
      <c r="B4111" s="16" t="s">
        <v>464</v>
      </c>
      <c r="C4111" s="70" t="s">
        <v>5295</v>
      </c>
      <c r="D4111" s="15" t="s">
        <v>1042</v>
      </c>
      <c r="E4111" s="15" t="s">
        <v>711</v>
      </c>
      <c r="F4111" s="95">
        <v>3473</v>
      </c>
      <c r="G4111" s="16" t="s">
        <v>37</v>
      </c>
      <c r="H4111" s="17">
        <v>454</v>
      </c>
      <c r="I4111" s="17">
        <f t="shared" si="297"/>
        <v>1576742</v>
      </c>
      <c r="J4111" s="519">
        <v>439.5</v>
      </c>
      <c r="K4111" s="519">
        <f t="shared" si="304"/>
        <v>14.5</v>
      </c>
      <c r="L4111" s="519">
        <f t="shared" si="305"/>
        <v>50358.5</v>
      </c>
      <c r="M4111" s="557">
        <f t="shared" si="306"/>
        <v>3.1938325991189426E-2</v>
      </c>
      <c r="N4111" s="15" t="s">
        <v>22</v>
      </c>
      <c r="O4111" s="15" t="s">
        <v>105</v>
      </c>
    </row>
    <row r="4112" spans="1:15">
      <c r="A4112" s="70">
        <v>2026</v>
      </c>
      <c r="B4112" s="16" t="s">
        <v>464</v>
      </c>
      <c r="C4112" s="70" t="s">
        <v>5296</v>
      </c>
      <c r="D4112" s="15" t="s">
        <v>1042</v>
      </c>
      <c r="E4112" s="15" t="s">
        <v>711</v>
      </c>
      <c r="F4112" s="95">
        <v>14</v>
      </c>
      <c r="G4112" s="16" t="s">
        <v>37</v>
      </c>
      <c r="H4112" s="17">
        <v>454</v>
      </c>
      <c r="I4112" s="17">
        <f t="shared" si="297"/>
        <v>6356</v>
      </c>
      <c r="J4112" s="519">
        <v>439.5</v>
      </c>
      <c r="K4112" s="519">
        <f t="shared" si="304"/>
        <v>14.5</v>
      </c>
      <c r="L4112" s="519">
        <f t="shared" si="305"/>
        <v>203</v>
      </c>
      <c r="M4112" s="557">
        <f t="shared" si="306"/>
        <v>3.1938325991189426E-2</v>
      </c>
      <c r="N4112" s="15" t="s">
        <v>22</v>
      </c>
      <c r="O4112" s="15" t="s">
        <v>105</v>
      </c>
    </row>
    <row r="4113" spans="1:15">
      <c r="A4113" s="70">
        <v>2026</v>
      </c>
      <c r="B4113" s="16" t="s">
        <v>464</v>
      </c>
      <c r="C4113" s="70" t="s">
        <v>5297</v>
      </c>
      <c r="D4113" s="15" t="s">
        <v>304</v>
      </c>
      <c r="E4113" s="15" t="s">
        <v>5298</v>
      </c>
      <c r="F4113" s="95">
        <v>1</v>
      </c>
      <c r="G4113" s="16" t="s">
        <v>19</v>
      </c>
      <c r="H4113" s="17">
        <v>58000</v>
      </c>
      <c r="I4113" s="17">
        <f t="shared" si="297"/>
        <v>58000</v>
      </c>
      <c r="J4113" s="519">
        <v>57000</v>
      </c>
      <c r="K4113" s="519">
        <f t="shared" si="304"/>
        <v>1000</v>
      </c>
      <c r="L4113" s="519">
        <f t="shared" si="305"/>
        <v>1000</v>
      </c>
      <c r="M4113" s="557">
        <f t="shared" si="306"/>
        <v>1.7241379310344827E-2</v>
      </c>
      <c r="N4113" s="15" t="s">
        <v>22</v>
      </c>
      <c r="O4113" s="15" t="s">
        <v>105</v>
      </c>
    </row>
    <row r="4114" spans="1:15">
      <c r="A4114" s="70">
        <v>2026</v>
      </c>
      <c r="B4114" s="16" t="s">
        <v>464</v>
      </c>
      <c r="C4114" s="70" t="s">
        <v>5299</v>
      </c>
      <c r="D4114" s="15" t="s">
        <v>166</v>
      </c>
      <c r="E4114" s="15" t="s">
        <v>4894</v>
      </c>
      <c r="F4114" s="95">
        <v>1</v>
      </c>
      <c r="G4114" s="16" t="s">
        <v>285</v>
      </c>
      <c r="H4114" s="17">
        <v>127560.4</v>
      </c>
      <c r="I4114" s="17">
        <f t="shared" si="297"/>
        <v>127560.4</v>
      </c>
      <c r="J4114" s="519">
        <v>100408.66</v>
      </c>
      <c r="K4114" s="519">
        <f t="shared" si="304"/>
        <v>27151.739999999991</v>
      </c>
      <c r="L4114" s="519">
        <f t="shared" si="305"/>
        <v>27151.739999999991</v>
      </c>
      <c r="M4114" s="557">
        <f t="shared" si="306"/>
        <v>0.2128539891690524</v>
      </c>
      <c r="N4114" s="15" t="s">
        <v>22</v>
      </c>
      <c r="O4114" s="15" t="s">
        <v>105</v>
      </c>
    </row>
    <row r="4115" spans="1:15">
      <c r="A4115" s="70">
        <v>2026</v>
      </c>
      <c r="B4115" s="16" t="s">
        <v>464</v>
      </c>
      <c r="C4115" s="70" t="s">
        <v>5300</v>
      </c>
      <c r="D4115" s="15" t="s">
        <v>1804</v>
      </c>
      <c r="E4115" s="15" t="s">
        <v>4895</v>
      </c>
      <c r="F4115" s="95">
        <v>1</v>
      </c>
      <c r="G4115" s="16" t="s">
        <v>285</v>
      </c>
      <c r="H4115" s="17">
        <v>4000</v>
      </c>
      <c r="I4115" s="17">
        <f t="shared" si="297"/>
        <v>4000</v>
      </c>
      <c r="J4115" s="519">
        <v>0</v>
      </c>
      <c r="K4115" s="519">
        <f t="shared" si="304"/>
        <v>4000</v>
      </c>
      <c r="L4115" s="519">
        <f t="shared" si="305"/>
        <v>4000</v>
      </c>
      <c r="M4115" s="557">
        <f t="shared" si="306"/>
        <v>1</v>
      </c>
      <c r="N4115" s="15" t="s">
        <v>40</v>
      </c>
      <c r="O4115" s="15" t="s">
        <v>105</v>
      </c>
    </row>
    <row r="4116" spans="1:15">
      <c r="A4116" s="70">
        <v>2026</v>
      </c>
      <c r="B4116" s="16" t="s">
        <v>464</v>
      </c>
      <c r="C4116" s="70" t="s">
        <v>5301</v>
      </c>
      <c r="D4116" s="15" t="s">
        <v>5302</v>
      </c>
      <c r="E4116" s="15" t="s">
        <v>4894</v>
      </c>
      <c r="F4116" s="95">
        <v>1</v>
      </c>
      <c r="G4116" s="16" t="s">
        <v>285</v>
      </c>
      <c r="H4116" s="17">
        <v>32224.47</v>
      </c>
      <c r="I4116" s="17">
        <f t="shared" si="297"/>
        <v>32224.47</v>
      </c>
      <c r="J4116" s="519">
        <v>27686.28</v>
      </c>
      <c r="K4116" s="519">
        <f t="shared" si="301"/>
        <v>4538.1900000000023</v>
      </c>
      <c r="L4116" s="519">
        <f t="shared" si="302"/>
        <v>4538.1900000000023</v>
      </c>
      <c r="M4116" s="557">
        <f t="shared" si="303"/>
        <v>0.14083055516506562</v>
      </c>
      <c r="N4116" s="15" t="s">
        <v>22</v>
      </c>
      <c r="O4116" s="15" t="s">
        <v>105</v>
      </c>
    </row>
    <row r="4117" spans="1:15">
      <c r="A4117" s="70">
        <v>2026</v>
      </c>
      <c r="B4117" s="16" t="s">
        <v>464</v>
      </c>
      <c r="C4117" s="70" t="s">
        <v>5303</v>
      </c>
      <c r="D4117" s="15" t="s">
        <v>5304</v>
      </c>
      <c r="E4117" s="15" t="s">
        <v>4895</v>
      </c>
      <c r="F4117" s="95">
        <v>1</v>
      </c>
      <c r="G4117" s="16" t="s">
        <v>285</v>
      </c>
      <c r="H4117" s="17">
        <v>4000</v>
      </c>
      <c r="I4117" s="17">
        <f t="shared" si="297"/>
        <v>4000</v>
      </c>
      <c r="J4117" s="519">
        <v>0</v>
      </c>
      <c r="K4117" s="519">
        <f t="shared" si="301"/>
        <v>4000</v>
      </c>
      <c r="L4117" s="519">
        <f t="shared" si="302"/>
        <v>4000</v>
      </c>
      <c r="M4117" s="557">
        <f t="shared" si="303"/>
        <v>1</v>
      </c>
      <c r="N4117" s="15" t="s">
        <v>40</v>
      </c>
      <c r="O4117" s="15" t="s">
        <v>105</v>
      </c>
    </row>
    <row r="4118" spans="1:15">
      <c r="A4118" s="70">
        <v>2026</v>
      </c>
      <c r="B4118" s="16" t="s">
        <v>464</v>
      </c>
      <c r="C4118" s="70" t="s">
        <v>5305</v>
      </c>
      <c r="D4118" s="15" t="s">
        <v>5306</v>
      </c>
      <c r="E4118" s="15" t="s">
        <v>5307</v>
      </c>
      <c r="F4118" s="95">
        <v>6</v>
      </c>
      <c r="G4118" s="16" t="s">
        <v>3531</v>
      </c>
      <c r="H4118" s="17">
        <v>7000</v>
      </c>
      <c r="I4118" s="17">
        <f t="shared" si="297"/>
        <v>42000</v>
      </c>
      <c r="J4118" s="519">
        <v>5883.18</v>
      </c>
      <c r="K4118" s="519">
        <f t="shared" si="301"/>
        <v>1116.8199999999997</v>
      </c>
      <c r="L4118" s="519">
        <f t="shared" si="302"/>
        <v>6700.9199999999983</v>
      </c>
      <c r="M4118" s="557">
        <f t="shared" si="303"/>
        <v>0.15954571428571424</v>
      </c>
      <c r="N4118" s="15" t="s">
        <v>22</v>
      </c>
      <c r="O4118" s="15" t="s">
        <v>4066</v>
      </c>
    </row>
    <row r="4119" spans="1:15">
      <c r="A4119" s="70">
        <v>2026</v>
      </c>
      <c r="B4119" s="16" t="s">
        <v>464</v>
      </c>
      <c r="C4119" s="70" t="s">
        <v>5308</v>
      </c>
      <c r="D4119" s="15" t="s">
        <v>5309</v>
      </c>
      <c r="E4119" s="15" t="s">
        <v>5310</v>
      </c>
      <c r="F4119" s="95">
        <v>2000</v>
      </c>
      <c r="G4119" s="16" t="s">
        <v>37</v>
      </c>
      <c r="H4119" s="17">
        <v>34</v>
      </c>
      <c r="I4119" s="17">
        <f t="shared" si="297"/>
        <v>68000</v>
      </c>
      <c r="J4119" s="519">
        <v>27</v>
      </c>
      <c r="K4119" s="519">
        <f t="shared" si="301"/>
        <v>7</v>
      </c>
      <c r="L4119" s="519">
        <f t="shared" si="302"/>
        <v>14000</v>
      </c>
      <c r="M4119" s="557">
        <f t="shared" si="303"/>
        <v>0.20588235294117646</v>
      </c>
      <c r="N4119" s="15" t="s">
        <v>22</v>
      </c>
      <c r="O4119" s="15" t="s">
        <v>4066</v>
      </c>
    </row>
    <row r="4120" spans="1:15">
      <c r="A4120" s="70">
        <v>2026</v>
      </c>
      <c r="B4120" s="16" t="s">
        <v>562</v>
      </c>
      <c r="C4120" s="70" t="s">
        <v>5311</v>
      </c>
      <c r="D4120" s="15" t="s">
        <v>200</v>
      </c>
      <c r="E4120" s="15" t="s">
        <v>5312</v>
      </c>
      <c r="F4120" s="95">
        <v>1</v>
      </c>
      <c r="G4120" s="16" t="s">
        <v>302</v>
      </c>
      <c r="H4120" s="17">
        <v>51000</v>
      </c>
      <c r="I4120" s="17">
        <f t="shared" si="297"/>
        <v>51000</v>
      </c>
      <c r="J4120" s="519">
        <v>49500</v>
      </c>
      <c r="K4120" s="519">
        <f t="shared" si="301"/>
        <v>1500</v>
      </c>
      <c r="L4120" s="519">
        <f t="shared" si="302"/>
        <v>1500</v>
      </c>
      <c r="M4120" s="557">
        <f t="shared" si="303"/>
        <v>2.9411764705882353E-2</v>
      </c>
      <c r="N4120" s="15" t="s">
        <v>22</v>
      </c>
      <c r="O4120" s="15" t="s">
        <v>39</v>
      </c>
    </row>
    <row r="4121" spans="1:15">
      <c r="A4121" s="70">
        <v>2026</v>
      </c>
      <c r="B4121" s="16" t="s">
        <v>562</v>
      </c>
      <c r="C4121" s="70" t="s">
        <v>5313</v>
      </c>
      <c r="D4121" s="15" t="s">
        <v>335</v>
      </c>
      <c r="E4121" s="15" t="s">
        <v>336</v>
      </c>
      <c r="F4121" s="95">
        <v>98000</v>
      </c>
      <c r="G4121" s="16" t="s">
        <v>337</v>
      </c>
      <c r="H4121" s="17">
        <v>49.75</v>
      </c>
      <c r="I4121" s="17">
        <f t="shared" si="297"/>
        <v>4875500</v>
      </c>
      <c r="J4121" s="519">
        <v>49.5</v>
      </c>
      <c r="K4121" s="519">
        <f t="shared" si="301"/>
        <v>0.25</v>
      </c>
      <c r="L4121" s="519">
        <f t="shared" si="302"/>
        <v>24500</v>
      </c>
      <c r="M4121" s="557">
        <f t="shared" si="303"/>
        <v>5.0251256281407036E-3</v>
      </c>
      <c r="N4121" s="15" t="s">
        <v>40</v>
      </c>
      <c r="O4121" s="15" t="s">
        <v>39</v>
      </c>
    </row>
    <row r="4122" spans="1:15">
      <c r="A4122" s="70">
        <v>2026</v>
      </c>
      <c r="B4122" s="16" t="s">
        <v>562</v>
      </c>
      <c r="C4122" s="70" t="s">
        <v>5314</v>
      </c>
      <c r="D4122" s="15" t="s">
        <v>229</v>
      </c>
      <c r="E4122" s="15" t="s">
        <v>233</v>
      </c>
      <c r="F4122" s="95">
        <v>12000</v>
      </c>
      <c r="G4122" s="16" t="s">
        <v>37</v>
      </c>
      <c r="H4122" s="17">
        <v>24.2</v>
      </c>
      <c r="I4122" s="17">
        <f t="shared" si="297"/>
        <v>290400</v>
      </c>
      <c r="J4122" s="519">
        <v>23.7</v>
      </c>
      <c r="K4122" s="519">
        <f t="shared" si="301"/>
        <v>0.5</v>
      </c>
      <c r="L4122" s="519">
        <f t="shared" si="302"/>
        <v>6000</v>
      </c>
      <c r="M4122" s="557">
        <f t="shared" si="303"/>
        <v>2.0661157024793389E-2</v>
      </c>
      <c r="N4122" s="15" t="s">
        <v>22</v>
      </c>
      <c r="O4122" s="15" t="s">
        <v>39</v>
      </c>
    </row>
    <row r="4123" spans="1:15">
      <c r="A4123" s="70">
        <v>2026</v>
      </c>
      <c r="B4123" s="16" t="s">
        <v>562</v>
      </c>
      <c r="C4123" s="70" t="s">
        <v>5315</v>
      </c>
      <c r="D4123" s="15" t="s">
        <v>1227</v>
      </c>
      <c r="E4123" s="15" t="s">
        <v>5316</v>
      </c>
      <c r="F4123" s="95">
        <v>136</v>
      </c>
      <c r="G4123" s="16" t="s">
        <v>19</v>
      </c>
      <c r="H4123" s="17">
        <v>6460</v>
      </c>
      <c r="I4123" s="17">
        <f t="shared" si="297"/>
        <v>878560</v>
      </c>
      <c r="J4123" s="519">
        <v>6300</v>
      </c>
      <c r="K4123" s="519">
        <f t="shared" si="301"/>
        <v>160</v>
      </c>
      <c r="L4123" s="519">
        <f t="shared" si="302"/>
        <v>21760</v>
      </c>
      <c r="M4123" s="557">
        <f t="shared" si="303"/>
        <v>2.4767801857585141E-2</v>
      </c>
      <c r="N4123" s="15" t="s">
        <v>40</v>
      </c>
      <c r="O4123" s="15" t="s">
        <v>39</v>
      </c>
    </row>
    <row r="4124" spans="1:15">
      <c r="A4124" s="70">
        <v>2026</v>
      </c>
      <c r="B4124" s="16" t="s">
        <v>562</v>
      </c>
      <c r="C4124" s="70" t="s">
        <v>5315</v>
      </c>
      <c r="D4124" s="15" t="s">
        <v>1227</v>
      </c>
      <c r="E4124" s="15" t="s">
        <v>5317</v>
      </c>
      <c r="F4124" s="95">
        <v>63</v>
      </c>
      <c r="G4124" s="16" t="s">
        <v>19</v>
      </c>
      <c r="H4124" s="17">
        <v>5400</v>
      </c>
      <c r="I4124" s="17">
        <f t="shared" ref="I4124:I4127" si="307">H4124*F4124</f>
        <v>340200</v>
      </c>
      <c r="J4124" s="519">
        <v>5350</v>
      </c>
      <c r="K4124" s="519">
        <f t="shared" si="301"/>
        <v>50</v>
      </c>
      <c r="L4124" s="519">
        <f t="shared" si="302"/>
        <v>3150</v>
      </c>
      <c r="M4124" s="557">
        <f t="shared" si="303"/>
        <v>9.2592592592592587E-3</v>
      </c>
      <c r="N4124" s="15" t="s">
        <v>40</v>
      </c>
      <c r="O4124" s="15" t="s">
        <v>39</v>
      </c>
    </row>
    <row r="4125" spans="1:15">
      <c r="A4125" s="70">
        <v>2026</v>
      </c>
      <c r="B4125" s="16" t="s">
        <v>562</v>
      </c>
      <c r="C4125" s="70" t="s">
        <v>5318</v>
      </c>
      <c r="D4125" s="15" t="s">
        <v>2250</v>
      </c>
      <c r="E4125" s="15" t="s">
        <v>2251</v>
      </c>
      <c r="F4125" s="95">
        <v>27</v>
      </c>
      <c r="G4125" s="16" t="s">
        <v>19</v>
      </c>
      <c r="H4125" s="17">
        <v>29375</v>
      </c>
      <c r="I4125" s="17">
        <f t="shared" si="307"/>
        <v>793125</v>
      </c>
      <c r="J4125" s="519">
        <v>22000</v>
      </c>
      <c r="K4125" s="519">
        <f t="shared" si="301"/>
        <v>7375</v>
      </c>
      <c r="L4125" s="519">
        <f t="shared" si="302"/>
        <v>199125</v>
      </c>
      <c r="M4125" s="557">
        <f t="shared" si="303"/>
        <v>0.25106382978723402</v>
      </c>
      <c r="N4125" s="15" t="s">
        <v>40</v>
      </c>
      <c r="O4125" s="15" t="s">
        <v>39</v>
      </c>
    </row>
    <row r="4126" spans="1:15">
      <c r="A4126" s="70">
        <v>2026</v>
      </c>
      <c r="B4126" s="16" t="s">
        <v>562</v>
      </c>
      <c r="C4126" s="70" t="s">
        <v>5319</v>
      </c>
      <c r="D4126" s="15" t="s">
        <v>229</v>
      </c>
      <c r="E4126" s="15" t="s">
        <v>230</v>
      </c>
      <c r="F4126" s="95">
        <v>6000</v>
      </c>
      <c r="G4126" s="16" t="s">
        <v>37</v>
      </c>
      <c r="H4126" s="17">
        <v>24.2</v>
      </c>
      <c r="I4126" s="17">
        <f t="shared" si="307"/>
        <v>145200</v>
      </c>
      <c r="J4126" s="519">
        <v>23.7</v>
      </c>
      <c r="K4126" s="519">
        <f t="shared" si="301"/>
        <v>0.5</v>
      </c>
      <c r="L4126" s="519">
        <f t="shared" si="302"/>
        <v>3000</v>
      </c>
      <c r="M4126" s="557">
        <f t="shared" si="303"/>
        <v>2.0661157024793389E-2</v>
      </c>
      <c r="N4126" s="15" t="s">
        <v>22</v>
      </c>
      <c r="O4126" s="15" t="s">
        <v>39</v>
      </c>
    </row>
    <row r="4127" spans="1:15">
      <c r="A4127" s="70">
        <v>2026</v>
      </c>
      <c r="B4127" s="16" t="s">
        <v>562</v>
      </c>
      <c r="C4127" s="70" t="s">
        <v>5320</v>
      </c>
      <c r="D4127" s="15" t="s">
        <v>1119</v>
      </c>
      <c r="E4127" s="15" t="s">
        <v>4488</v>
      </c>
      <c r="F4127" s="95">
        <v>10</v>
      </c>
      <c r="G4127" s="16" t="s">
        <v>19</v>
      </c>
      <c r="H4127" s="17">
        <v>480</v>
      </c>
      <c r="I4127" s="17">
        <f t="shared" si="307"/>
        <v>4800</v>
      </c>
      <c r="J4127" s="519">
        <v>450</v>
      </c>
      <c r="K4127" s="519">
        <f t="shared" si="301"/>
        <v>30</v>
      </c>
      <c r="L4127" s="519">
        <f t="shared" si="302"/>
        <v>300</v>
      </c>
      <c r="M4127" s="557">
        <f t="shared" si="303"/>
        <v>6.25E-2</v>
      </c>
      <c r="N4127" s="15" t="s">
        <v>40</v>
      </c>
      <c r="O4127" s="15" t="s">
        <v>39</v>
      </c>
    </row>
    <row r="4128" spans="1:15">
      <c r="A4128" s="70">
        <v>2026</v>
      </c>
      <c r="B4128" s="16" t="s">
        <v>562</v>
      </c>
      <c r="C4128" s="70" t="s">
        <v>5320</v>
      </c>
      <c r="D4128" s="15" t="s">
        <v>1119</v>
      </c>
      <c r="E4128" s="15" t="s">
        <v>5321</v>
      </c>
      <c r="F4128" s="95">
        <v>20</v>
      </c>
      <c r="G4128" s="16" t="s">
        <v>19</v>
      </c>
      <c r="H4128" s="17">
        <v>38</v>
      </c>
      <c r="I4128" s="17">
        <f t="shared" ref="I4128:I4144" si="308">H4128*F4128</f>
        <v>760</v>
      </c>
      <c r="J4128" s="519">
        <v>25</v>
      </c>
      <c r="K4128" s="519">
        <f t="shared" ref="K4128:K4144" si="309">H4128-J4128</f>
        <v>13</v>
      </c>
      <c r="L4128" s="519">
        <f t="shared" ref="L4128:L4144" si="310">K4128*F4128</f>
        <v>260</v>
      </c>
      <c r="M4128" s="557">
        <f t="shared" ref="M4128:M4144" si="311">K4128/H4128</f>
        <v>0.34210526315789475</v>
      </c>
      <c r="N4128" s="15" t="s">
        <v>40</v>
      </c>
      <c r="O4128" s="15" t="s">
        <v>39</v>
      </c>
    </row>
    <row r="4129" spans="1:15">
      <c r="A4129" s="70">
        <v>2026</v>
      </c>
      <c r="B4129" s="16" t="s">
        <v>562</v>
      </c>
      <c r="C4129" s="70" t="s">
        <v>5320</v>
      </c>
      <c r="D4129" s="15" t="s">
        <v>1119</v>
      </c>
      <c r="E4129" s="15" t="s">
        <v>4491</v>
      </c>
      <c r="F4129" s="95">
        <v>2</v>
      </c>
      <c r="G4129" s="16" t="s">
        <v>19</v>
      </c>
      <c r="H4129" s="17">
        <v>220</v>
      </c>
      <c r="I4129" s="17">
        <f t="shared" si="308"/>
        <v>440</v>
      </c>
      <c r="J4129" s="519">
        <v>200</v>
      </c>
      <c r="K4129" s="519">
        <f t="shared" si="309"/>
        <v>20</v>
      </c>
      <c r="L4129" s="519">
        <f t="shared" si="310"/>
        <v>40</v>
      </c>
      <c r="M4129" s="557">
        <f t="shared" si="311"/>
        <v>9.0909090909090912E-2</v>
      </c>
      <c r="N4129" s="15" t="s">
        <v>40</v>
      </c>
      <c r="O4129" s="15" t="s">
        <v>39</v>
      </c>
    </row>
    <row r="4130" spans="1:15">
      <c r="A4130" s="70">
        <v>2026</v>
      </c>
      <c r="B4130" s="16" t="s">
        <v>562</v>
      </c>
      <c r="C4130" s="70" t="s">
        <v>5320</v>
      </c>
      <c r="D4130" s="15" t="s">
        <v>1119</v>
      </c>
      <c r="E4130" s="15" t="s">
        <v>5322</v>
      </c>
      <c r="F4130" s="95">
        <v>8</v>
      </c>
      <c r="G4130" s="16" t="s">
        <v>19</v>
      </c>
      <c r="H4130" s="17">
        <v>650</v>
      </c>
      <c r="I4130" s="17">
        <f t="shared" si="308"/>
        <v>5200</v>
      </c>
      <c r="J4130" s="519">
        <v>630</v>
      </c>
      <c r="K4130" s="519">
        <f t="shared" si="309"/>
        <v>20</v>
      </c>
      <c r="L4130" s="519">
        <f t="shared" si="310"/>
        <v>160</v>
      </c>
      <c r="M4130" s="557">
        <f t="shared" si="311"/>
        <v>3.0769230769230771E-2</v>
      </c>
      <c r="N4130" s="15" t="s">
        <v>40</v>
      </c>
      <c r="O4130" s="15" t="s">
        <v>39</v>
      </c>
    </row>
    <row r="4131" spans="1:15">
      <c r="A4131" s="70">
        <v>2026</v>
      </c>
      <c r="B4131" s="16" t="s">
        <v>562</v>
      </c>
      <c r="C4131" s="70" t="s">
        <v>5320</v>
      </c>
      <c r="D4131" s="15" t="s">
        <v>1119</v>
      </c>
      <c r="E4131" s="15" t="s">
        <v>3276</v>
      </c>
      <c r="F4131" s="95">
        <v>70</v>
      </c>
      <c r="G4131" s="16" t="s">
        <v>19</v>
      </c>
      <c r="H4131" s="17">
        <v>20</v>
      </c>
      <c r="I4131" s="17">
        <f t="shared" si="308"/>
        <v>1400</v>
      </c>
      <c r="J4131" s="519">
        <v>17</v>
      </c>
      <c r="K4131" s="519">
        <f t="shared" si="309"/>
        <v>3</v>
      </c>
      <c r="L4131" s="519">
        <f t="shared" si="310"/>
        <v>210</v>
      </c>
      <c r="M4131" s="557">
        <f t="shared" si="311"/>
        <v>0.15</v>
      </c>
      <c r="N4131" s="15" t="s">
        <v>40</v>
      </c>
      <c r="O4131" s="15" t="s">
        <v>39</v>
      </c>
    </row>
    <row r="4132" spans="1:15">
      <c r="A4132" s="70">
        <v>2026</v>
      </c>
      <c r="B4132" s="16" t="s">
        <v>562</v>
      </c>
      <c r="C4132" s="70" t="s">
        <v>5323</v>
      </c>
      <c r="D4132" s="15" t="s">
        <v>200</v>
      </c>
      <c r="E4132" s="15" t="s">
        <v>5324</v>
      </c>
      <c r="F4132" s="95">
        <v>1</v>
      </c>
      <c r="G4132" s="16" t="s">
        <v>302</v>
      </c>
      <c r="H4132" s="17">
        <v>45000</v>
      </c>
      <c r="I4132" s="17">
        <f t="shared" si="308"/>
        <v>45000</v>
      </c>
      <c r="J4132" s="519">
        <v>40000</v>
      </c>
      <c r="K4132" s="519">
        <f t="shared" si="309"/>
        <v>5000</v>
      </c>
      <c r="L4132" s="519">
        <f t="shared" si="310"/>
        <v>5000</v>
      </c>
      <c r="M4132" s="557">
        <f t="shared" si="311"/>
        <v>0.1111111111111111</v>
      </c>
      <c r="N4132" s="15" t="s">
        <v>40</v>
      </c>
      <c r="O4132" s="15" t="s">
        <v>39</v>
      </c>
    </row>
    <row r="4133" spans="1:15">
      <c r="A4133" s="70">
        <v>2026</v>
      </c>
      <c r="B4133" s="16" t="s">
        <v>562</v>
      </c>
      <c r="C4133" s="70" t="s">
        <v>5323</v>
      </c>
      <c r="D4133" s="15" t="s">
        <v>200</v>
      </c>
      <c r="E4133" s="15" t="s">
        <v>5325</v>
      </c>
      <c r="F4133" s="95">
        <v>2</v>
      </c>
      <c r="G4133" s="16" t="s">
        <v>302</v>
      </c>
      <c r="H4133" s="17">
        <v>55000</v>
      </c>
      <c r="I4133" s="17">
        <f t="shared" si="308"/>
        <v>110000</v>
      </c>
      <c r="J4133" s="519">
        <v>50000</v>
      </c>
      <c r="K4133" s="519">
        <f t="shared" si="309"/>
        <v>5000</v>
      </c>
      <c r="L4133" s="519">
        <f t="shared" si="310"/>
        <v>10000</v>
      </c>
      <c r="M4133" s="557">
        <f t="shared" si="311"/>
        <v>9.0909090909090912E-2</v>
      </c>
      <c r="N4133" s="15" t="s">
        <v>40</v>
      </c>
      <c r="O4133" s="15" t="s">
        <v>39</v>
      </c>
    </row>
    <row r="4134" spans="1:15">
      <c r="A4134" s="70">
        <v>2026</v>
      </c>
      <c r="B4134" s="16" t="s">
        <v>562</v>
      </c>
      <c r="C4134" s="70" t="s">
        <v>5326</v>
      </c>
      <c r="D4134" s="15" t="s">
        <v>157</v>
      </c>
      <c r="E4134" s="15" t="s">
        <v>5327</v>
      </c>
      <c r="F4134" s="95">
        <v>27</v>
      </c>
      <c r="G4134" s="16" t="s">
        <v>19</v>
      </c>
      <c r="H4134" s="17">
        <v>410</v>
      </c>
      <c r="I4134" s="17">
        <f t="shared" si="308"/>
        <v>11070</v>
      </c>
      <c r="J4134" s="519">
        <v>384</v>
      </c>
      <c r="K4134" s="519">
        <f t="shared" si="309"/>
        <v>26</v>
      </c>
      <c r="L4134" s="519">
        <f t="shared" si="310"/>
        <v>702</v>
      </c>
      <c r="M4134" s="557">
        <f t="shared" si="311"/>
        <v>6.3414634146341464E-2</v>
      </c>
      <c r="N4134" s="15" t="s">
        <v>22</v>
      </c>
      <c r="O4134" s="15" t="s">
        <v>39</v>
      </c>
    </row>
    <row r="4135" spans="1:15">
      <c r="A4135" s="70">
        <v>2026</v>
      </c>
      <c r="B4135" s="16" t="s">
        <v>562</v>
      </c>
      <c r="C4135" s="70" t="s">
        <v>5328</v>
      </c>
      <c r="D4135" s="15" t="s">
        <v>200</v>
      </c>
      <c r="E4135" s="15" t="s">
        <v>5329</v>
      </c>
      <c r="F4135" s="95">
        <v>1</v>
      </c>
      <c r="G4135" s="16" t="s">
        <v>302</v>
      </c>
      <c r="H4135" s="17">
        <v>56500</v>
      </c>
      <c r="I4135" s="17">
        <f t="shared" si="308"/>
        <v>56500</v>
      </c>
      <c r="J4135" s="519">
        <v>52500</v>
      </c>
      <c r="K4135" s="519">
        <f t="shared" si="309"/>
        <v>4000</v>
      </c>
      <c r="L4135" s="519">
        <f t="shared" si="310"/>
        <v>4000</v>
      </c>
      <c r="M4135" s="557">
        <f t="shared" si="311"/>
        <v>7.0796460176991149E-2</v>
      </c>
      <c r="N4135" s="15" t="s">
        <v>40</v>
      </c>
      <c r="O4135" s="15" t="s">
        <v>39</v>
      </c>
    </row>
    <row r="4136" spans="1:15">
      <c r="A4136" s="70">
        <v>2026</v>
      </c>
      <c r="B4136" s="16" t="s">
        <v>562</v>
      </c>
      <c r="C4136" s="70" t="s">
        <v>5330</v>
      </c>
      <c r="D4136" s="15" t="s">
        <v>192</v>
      </c>
      <c r="E4136" s="15" t="s">
        <v>227</v>
      </c>
      <c r="F4136" s="95">
        <v>108</v>
      </c>
      <c r="G4136" s="16" t="s">
        <v>19</v>
      </c>
      <c r="H4136" s="17">
        <v>3365</v>
      </c>
      <c r="I4136" s="17">
        <f t="shared" si="308"/>
        <v>363420</v>
      </c>
      <c r="J4136" s="519">
        <v>3265</v>
      </c>
      <c r="K4136" s="519">
        <f t="shared" si="309"/>
        <v>100</v>
      </c>
      <c r="L4136" s="519">
        <f t="shared" si="310"/>
        <v>10800</v>
      </c>
      <c r="M4136" s="557">
        <f t="shared" si="311"/>
        <v>2.9717682020802376E-2</v>
      </c>
      <c r="N4136" s="15" t="s">
        <v>40</v>
      </c>
      <c r="O4136" s="15" t="s">
        <v>39</v>
      </c>
    </row>
    <row r="4137" spans="1:15">
      <c r="A4137" s="70">
        <v>2026</v>
      </c>
      <c r="B4137" s="16" t="s">
        <v>562</v>
      </c>
      <c r="C4137" s="70" t="s">
        <v>5331</v>
      </c>
      <c r="D4137" s="15" t="s">
        <v>229</v>
      </c>
      <c r="E4137" s="15" t="s">
        <v>233</v>
      </c>
      <c r="F4137" s="95">
        <v>9000</v>
      </c>
      <c r="G4137" s="16" t="s">
        <v>37</v>
      </c>
      <c r="H4137" s="17">
        <v>24.2</v>
      </c>
      <c r="I4137" s="17">
        <f t="shared" si="308"/>
        <v>217800</v>
      </c>
      <c r="J4137" s="519">
        <v>23.7</v>
      </c>
      <c r="K4137" s="519">
        <f t="shared" si="309"/>
        <v>0.5</v>
      </c>
      <c r="L4137" s="519">
        <f t="shared" si="310"/>
        <v>4500</v>
      </c>
      <c r="M4137" s="557">
        <f t="shared" si="311"/>
        <v>2.0661157024793389E-2</v>
      </c>
      <c r="N4137" s="15" t="s">
        <v>22</v>
      </c>
      <c r="O4137" s="15" t="s">
        <v>39</v>
      </c>
    </row>
    <row r="4138" spans="1:15">
      <c r="A4138" s="70">
        <v>2026</v>
      </c>
      <c r="B4138" s="16" t="s">
        <v>562</v>
      </c>
      <c r="C4138" s="70" t="s">
        <v>5332</v>
      </c>
      <c r="D4138" s="15" t="s">
        <v>2213</v>
      </c>
      <c r="E4138" s="15" t="s">
        <v>5333</v>
      </c>
      <c r="F4138" s="95">
        <v>120</v>
      </c>
      <c r="G4138" s="16" t="s">
        <v>302</v>
      </c>
      <c r="H4138" s="17">
        <v>25990.799999999999</v>
      </c>
      <c r="I4138" s="17">
        <f t="shared" si="308"/>
        <v>3118896</v>
      </c>
      <c r="J4138" s="519">
        <v>25373.7</v>
      </c>
      <c r="K4138" s="519">
        <f t="shared" si="309"/>
        <v>617.09999999999854</v>
      </c>
      <c r="L4138" s="519">
        <f t="shared" si="310"/>
        <v>74051.999999999825</v>
      </c>
      <c r="M4138" s="557">
        <f t="shared" si="311"/>
        <v>2.374301675977648E-2</v>
      </c>
      <c r="N4138" s="15" t="s">
        <v>22</v>
      </c>
      <c r="O4138" s="15" t="s">
        <v>39</v>
      </c>
    </row>
    <row r="4139" spans="1:15">
      <c r="A4139" s="70">
        <v>2026</v>
      </c>
      <c r="B4139" s="16" t="s">
        <v>562</v>
      </c>
      <c r="C4139" s="70" t="s">
        <v>5334</v>
      </c>
      <c r="D4139" s="15" t="s">
        <v>229</v>
      </c>
      <c r="E4139" s="15" t="s">
        <v>996</v>
      </c>
      <c r="F4139" s="95">
        <v>6000</v>
      </c>
      <c r="G4139" s="16" t="s">
        <v>37</v>
      </c>
      <c r="H4139" s="17">
        <v>24.2</v>
      </c>
      <c r="I4139" s="17">
        <f t="shared" si="308"/>
        <v>145200</v>
      </c>
      <c r="J4139" s="519">
        <v>23.7</v>
      </c>
      <c r="K4139" s="519">
        <f t="shared" si="309"/>
        <v>0.5</v>
      </c>
      <c r="L4139" s="519">
        <f t="shared" si="310"/>
        <v>3000</v>
      </c>
      <c r="M4139" s="557">
        <f t="shared" si="311"/>
        <v>2.0661157024793389E-2</v>
      </c>
      <c r="N4139" s="15" t="s">
        <v>22</v>
      </c>
      <c r="O4139" s="15" t="s">
        <v>39</v>
      </c>
    </row>
    <row r="4140" spans="1:15">
      <c r="A4140" s="70">
        <v>2026</v>
      </c>
      <c r="B4140" s="16" t="s">
        <v>562</v>
      </c>
      <c r="C4140" s="70" t="s">
        <v>5335</v>
      </c>
      <c r="D4140" s="15" t="s">
        <v>5336</v>
      </c>
      <c r="E4140" s="15" t="s">
        <v>5337</v>
      </c>
      <c r="F4140" s="95">
        <v>40</v>
      </c>
      <c r="G4140" s="16" t="s">
        <v>302</v>
      </c>
      <c r="H4140" s="17">
        <v>21200</v>
      </c>
      <c r="I4140" s="17">
        <f t="shared" si="308"/>
        <v>848000</v>
      </c>
      <c r="J4140" s="519">
        <v>21000</v>
      </c>
      <c r="K4140" s="519">
        <f t="shared" si="309"/>
        <v>200</v>
      </c>
      <c r="L4140" s="519">
        <f t="shared" si="310"/>
        <v>8000</v>
      </c>
      <c r="M4140" s="557">
        <f t="shared" si="311"/>
        <v>9.433962264150943E-3</v>
      </c>
      <c r="N4140" s="15" t="s">
        <v>40</v>
      </c>
      <c r="O4140" s="15" t="s">
        <v>39</v>
      </c>
    </row>
    <row r="4141" spans="1:15">
      <c r="A4141" s="70">
        <v>2026</v>
      </c>
      <c r="B4141" s="16" t="s">
        <v>562</v>
      </c>
      <c r="C4141" s="70" t="s">
        <v>5338</v>
      </c>
      <c r="D4141" s="15" t="s">
        <v>200</v>
      </c>
      <c r="E4141" s="15" t="s">
        <v>5339</v>
      </c>
      <c r="F4141" s="95">
        <v>1</v>
      </c>
      <c r="G4141" s="16" t="s">
        <v>19</v>
      </c>
      <c r="H4141" s="17">
        <v>155000</v>
      </c>
      <c r="I4141" s="17">
        <f t="shared" si="308"/>
        <v>155000</v>
      </c>
      <c r="J4141" s="519">
        <v>153000</v>
      </c>
      <c r="K4141" s="519">
        <f t="shared" si="309"/>
        <v>2000</v>
      </c>
      <c r="L4141" s="519">
        <f t="shared" si="310"/>
        <v>2000</v>
      </c>
      <c r="M4141" s="557">
        <f t="shared" si="311"/>
        <v>1.2903225806451613E-2</v>
      </c>
      <c r="N4141" s="15" t="s">
        <v>22</v>
      </c>
      <c r="O4141" s="15" t="s">
        <v>39</v>
      </c>
    </row>
    <row r="4142" spans="1:15">
      <c r="A4142" s="70">
        <v>2026</v>
      </c>
      <c r="B4142" s="16" t="s">
        <v>562</v>
      </c>
      <c r="C4142" s="70" t="s">
        <v>5338</v>
      </c>
      <c r="D4142" s="15" t="s">
        <v>200</v>
      </c>
      <c r="E4142" s="15" t="s">
        <v>1286</v>
      </c>
      <c r="F4142" s="95">
        <v>1</v>
      </c>
      <c r="G4142" s="16" t="s">
        <v>19</v>
      </c>
      <c r="H4142" s="17">
        <v>8500</v>
      </c>
      <c r="I4142" s="17">
        <f t="shared" si="308"/>
        <v>8500</v>
      </c>
      <c r="J4142" s="519">
        <v>5000</v>
      </c>
      <c r="K4142" s="519">
        <f t="shared" si="309"/>
        <v>3500</v>
      </c>
      <c r="L4142" s="519">
        <f t="shared" si="310"/>
        <v>3500</v>
      </c>
      <c r="M4142" s="557">
        <f t="shared" si="311"/>
        <v>0.41176470588235292</v>
      </c>
      <c r="N4142" s="15" t="s">
        <v>22</v>
      </c>
      <c r="O4142" s="15" t="s">
        <v>39</v>
      </c>
    </row>
    <row r="4143" spans="1:15">
      <c r="A4143" s="70">
        <v>2026</v>
      </c>
      <c r="B4143" s="16" t="s">
        <v>562</v>
      </c>
      <c r="C4143" s="70" t="s">
        <v>5340</v>
      </c>
      <c r="D4143" s="15" t="s">
        <v>17</v>
      </c>
      <c r="E4143" s="15" t="s">
        <v>5341</v>
      </c>
      <c r="F4143" s="95">
        <v>5</v>
      </c>
      <c r="G4143" s="16" t="s">
        <v>19</v>
      </c>
      <c r="H4143" s="17">
        <v>5900</v>
      </c>
      <c r="I4143" s="17">
        <f t="shared" si="308"/>
        <v>29500</v>
      </c>
      <c r="J4143" s="519">
        <v>5500</v>
      </c>
      <c r="K4143" s="519">
        <f t="shared" si="309"/>
        <v>400</v>
      </c>
      <c r="L4143" s="519">
        <f t="shared" si="310"/>
        <v>2000</v>
      </c>
      <c r="M4143" s="557">
        <f t="shared" si="311"/>
        <v>6.7796610169491525E-2</v>
      </c>
      <c r="N4143" s="15" t="s">
        <v>40</v>
      </c>
      <c r="O4143" s="15" t="s">
        <v>4066</v>
      </c>
    </row>
    <row r="4144" spans="1:15">
      <c r="A4144" s="70">
        <v>2026</v>
      </c>
      <c r="B4144" s="16" t="s">
        <v>562</v>
      </c>
      <c r="C4144" s="70" t="s">
        <v>5342</v>
      </c>
      <c r="D4144" s="15" t="s">
        <v>304</v>
      </c>
      <c r="E4144" s="15" t="s">
        <v>5343</v>
      </c>
      <c r="F4144" s="95">
        <v>12</v>
      </c>
      <c r="G4144" s="16" t="s">
        <v>19</v>
      </c>
      <c r="H4144" s="17">
        <v>10000</v>
      </c>
      <c r="I4144" s="17">
        <f t="shared" si="308"/>
        <v>120000</v>
      </c>
      <c r="J4144" s="519">
        <v>9500</v>
      </c>
      <c r="K4144" s="519">
        <f t="shared" si="309"/>
        <v>500</v>
      </c>
      <c r="L4144" s="519">
        <f t="shared" si="310"/>
        <v>6000</v>
      </c>
      <c r="M4144" s="557">
        <f t="shared" si="311"/>
        <v>0.05</v>
      </c>
      <c r="N4144" s="15" t="s">
        <v>40</v>
      </c>
      <c r="O4144" s="15" t="s">
        <v>39</v>
      </c>
    </row>
    <row r="4145" spans="1:15">
      <c r="A4145" s="70">
        <v>2026</v>
      </c>
      <c r="B4145" s="16" t="s">
        <v>562</v>
      </c>
      <c r="C4145" s="70" t="s">
        <v>5342</v>
      </c>
      <c r="D4145" s="15" t="s">
        <v>304</v>
      </c>
      <c r="E4145" s="15" t="s">
        <v>5344</v>
      </c>
      <c r="F4145" s="95">
        <v>12</v>
      </c>
      <c r="G4145" s="16" t="s">
        <v>19</v>
      </c>
      <c r="H4145" s="17">
        <v>10000</v>
      </c>
      <c r="I4145" s="17">
        <f t="shared" ref="I4145:I4155" si="312">H4145*F4145</f>
        <v>120000</v>
      </c>
      <c r="J4145" s="519">
        <v>9500</v>
      </c>
      <c r="K4145" s="519">
        <f t="shared" ref="K4145:K4155" si="313">H4145-J4145</f>
        <v>500</v>
      </c>
      <c r="L4145" s="519">
        <f t="shared" ref="L4145:L4155" si="314">K4145*F4145</f>
        <v>6000</v>
      </c>
      <c r="M4145" s="557">
        <f t="shared" ref="M4145:M4155" si="315">K4145/H4145</f>
        <v>0.05</v>
      </c>
      <c r="N4145" s="15" t="s">
        <v>40</v>
      </c>
      <c r="O4145" s="15" t="s">
        <v>39</v>
      </c>
    </row>
    <row r="4146" spans="1:15">
      <c r="A4146" s="70">
        <v>2026</v>
      </c>
      <c r="B4146" s="16" t="s">
        <v>562</v>
      </c>
      <c r="C4146" s="70" t="s">
        <v>5342</v>
      </c>
      <c r="D4146" s="15" t="s">
        <v>304</v>
      </c>
      <c r="E4146" s="15" t="s">
        <v>5345</v>
      </c>
      <c r="F4146" s="95">
        <v>12</v>
      </c>
      <c r="G4146" s="16" t="s">
        <v>19</v>
      </c>
      <c r="H4146" s="17">
        <v>11500</v>
      </c>
      <c r="I4146" s="17">
        <f t="shared" si="312"/>
        <v>138000</v>
      </c>
      <c r="J4146" s="519">
        <v>11000</v>
      </c>
      <c r="K4146" s="519">
        <f t="shared" si="313"/>
        <v>500</v>
      </c>
      <c r="L4146" s="519">
        <f t="shared" si="314"/>
        <v>6000</v>
      </c>
      <c r="M4146" s="557">
        <f t="shared" si="315"/>
        <v>4.3478260869565216E-2</v>
      </c>
      <c r="N4146" s="15" t="s">
        <v>40</v>
      </c>
      <c r="O4146" s="15" t="s">
        <v>39</v>
      </c>
    </row>
    <row r="4147" spans="1:15">
      <c r="A4147" s="70">
        <v>2026</v>
      </c>
      <c r="B4147" s="16" t="s">
        <v>562</v>
      </c>
      <c r="C4147" s="70" t="s">
        <v>5346</v>
      </c>
      <c r="D4147" s="15" t="s">
        <v>1119</v>
      </c>
      <c r="E4147" s="15" t="s">
        <v>5347</v>
      </c>
      <c r="F4147" s="95">
        <v>1000</v>
      </c>
      <c r="G4147" s="16" t="s">
        <v>19</v>
      </c>
      <c r="H4147" s="17">
        <v>60</v>
      </c>
      <c r="I4147" s="17">
        <f t="shared" si="312"/>
        <v>60000</v>
      </c>
      <c r="J4147" s="519">
        <v>55</v>
      </c>
      <c r="K4147" s="519">
        <f t="shared" si="313"/>
        <v>5</v>
      </c>
      <c r="L4147" s="519">
        <f t="shared" si="314"/>
        <v>5000</v>
      </c>
      <c r="M4147" s="557">
        <f t="shared" si="315"/>
        <v>8.3333333333333329E-2</v>
      </c>
      <c r="N4147" s="15" t="s">
        <v>40</v>
      </c>
      <c r="O4147" s="15" t="s">
        <v>39</v>
      </c>
    </row>
    <row r="4148" spans="1:15">
      <c r="A4148" s="70">
        <v>2026</v>
      </c>
      <c r="B4148" s="16" t="s">
        <v>562</v>
      </c>
      <c r="C4148" s="70" t="s">
        <v>5348</v>
      </c>
      <c r="D4148" s="15" t="s">
        <v>1119</v>
      </c>
      <c r="E4148" s="15" t="s">
        <v>5349</v>
      </c>
      <c r="F4148" s="95">
        <v>2</v>
      </c>
      <c r="G4148" s="16" t="s">
        <v>3462</v>
      </c>
      <c r="H4148" s="17">
        <v>480</v>
      </c>
      <c r="I4148" s="17">
        <f t="shared" si="312"/>
        <v>960</v>
      </c>
      <c r="J4148" s="519">
        <v>450</v>
      </c>
      <c r="K4148" s="519">
        <f t="shared" si="313"/>
        <v>30</v>
      </c>
      <c r="L4148" s="519">
        <f t="shared" si="314"/>
        <v>60</v>
      </c>
      <c r="M4148" s="557">
        <f t="shared" si="315"/>
        <v>6.25E-2</v>
      </c>
      <c r="N4148" s="15" t="s">
        <v>40</v>
      </c>
      <c r="O4148" s="15" t="s">
        <v>39</v>
      </c>
    </row>
    <row r="4149" spans="1:15">
      <c r="A4149" s="70">
        <v>2026</v>
      </c>
      <c r="B4149" s="16" t="s">
        <v>562</v>
      </c>
      <c r="C4149" s="70" t="s">
        <v>5350</v>
      </c>
      <c r="D4149" s="15" t="s">
        <v>1042</v>
      </c>
      <c r="E4149" s="15" t="s">
        <v>5351</v>
      </c>
      <c r="F4149" s="95">
        <v>1176.5899999999999</v>
      </c>
      <c r="G4149" s="16" t="s">
        <v>37</v>
      </c>
      <c r="H4149" s="17">
        <v>468</v>
      </c>
      <c r="I4149" s="17">
        <f t="shared" si="312"/>
        <v>550644.12</v>
      </c>
      <c r="J4149" s="519">
        <v>439.5</v>
      </c>
      <c r="K4149" s="519">
        <f t="shared" si="313"/>
        <v>28.5</v>
      </c>
      <c r="L4149" s="519">
        <f t="shared" si="314"/>
        <v>33532.814999999995</v>
      </c>
      <c r="M4149" s="557">
        <f t="shared" si="315"/>
        <v>6.0897435897435896E-2</v>
      </c>
      <c r="N4149" s="15" t="s">
        <v>22</v>
      </c>
      <c r="O4149" s="15" t="s">
        <v>105</v>
      </c>
    </row>
    <row r="4150" spans="1:15">
      <c r="A4150" s="70">
        <v>2026</v>
      </c>
      <c r="B4150" s="16" t="s">
        <v>562</v>
      </c>
      <c r="C4150" s="70" t="s">
        <v>5352</v>
      </c>
      <c r="D4150" s="15" t="s">
        <v>44</v>
      </c>
      <c r="E4150" s="15" t="s">
        <v>709</v>
      </c>
      <c r="F4150" s="95">
        <v>526.16</v>
      </c>
      <c r="G4150" s="16" t="s">
        <v>37</v>
      </c>
      <c r="H4150" s="17">
        <v>479.52</v>
      </c>
      <c r="I4150" s="17">
        <f t="shared" si="312"/>
        <v>252304.24319999997</v>
      </c>
      <c r="J4150" s="519">
        <v>473.5</v>
      </c>
      <c r="K4150" s="519">
        <f t="shared" si="313"/>
        <v>6.0199999999999818</v>
      </c>
      <c r="L4150" s="519">
        <f t="shared" si="314"/>
        <v>3167.4831999999901</v>
      </c>
      <c r="M4150" s="557">
        <f t="shared" si="315"/>
        <v>1.2554220887554184E-2</v>
      </c>
      <c r="N4150" s="15" t="s">
        <v>22</v>
      </c>
      <c r="O4150" s="15" t="s">
        <v>105</v>
      </c>
    </row>
    <row r="4151" spans="1:15">
      <c r="A4151" s="70">
        <v>2026</v>
      </c>
      <c r="B4151" s="16" t="s">
        <v>562</v>
      </c>
      <c r="C4151" s="70" t="s">
        <v>5353</v>
      </c>
      <c r="D4151" s="15" t="s">
        <v>892</v>
      </c>
      <c r="E4151" s="15" t="s">
        <v>3844</v>
      </c>
      <c r="F4151" s="95">
        <v>30</v>
      </c>
      <c r="G4151" s="16" t="s">
        <v>19</v>
      </c>
      <c r="H4151" s="17">
        <v>1250</v>
      </c>
      <c r="I4151" s="17">
        <f t="shared" si="312"/>
        <v>37500</v>
      </c>
      <c r="J4151" s="519">
        <v>1200</v>
      </c>
      <c r="K4151" s="519">
        <f t="shared" si="313"/>
        <v>50</v>
      </c>
      <c r="L4151" s="519">
        <f t="shared" si="314"/>
        <v>1500</v>
      </c>
      <c r="M4151" s="557">
        <f t="shared" si="315"/>
        <v>0.04</v>
      </c>
      <c r="N4151" s="15" t="s">
        <v>40</v>
      </c>
      <c r="O4151" s="15" t="s">
        <v>105</v>
      </c>
    </row>
    <row r="4152" spans="1:15">
      <c r="A4152" s="70">
        <v>2026</v>
      </c>
      <c r="B4152" s="16" t="s">
        <v>562</v>
      </c>
      <c r="C4152" s="70" t="s">
        <v>5354</v>
      </c>
      <c r="D4152" s="15" t="s">
        <v>270</v>
      </c>
      <c r="E4152" s="15" t="s">
        <v>73</v>
      </c>
      <c r="F4152" s="95">
        <v>303.10000000000002</v>
      </c>
      <c r="G4152" s="16" t="s">
        <v>37</v>
      </c>
      <c r="H4152" s="17">
        <v>489.5</v>
      </c>
      <c r="I4152" s="17">
        <f t="shared" si="312"/>
        <v>148367.45000000001</v>
      </c>
      <c r="J4152" s="519">
        <v>474</v>
      </c>
      <c r="K4152" s="519">
        <f t="shared" si="313"/>
        <v>15.5</v>
      </c>
      <c r="L4152" s="519">
        <f t="shared" si="314"/>
        <v>4698.05</v>
      </c>
      <c r="M4152" s="557">
        <f t="shared" si="315"/>
        <v>3.1664964249233915E-2</v>
      </c>
      <c r="N4152" s="15" t="s">
        <v>22</v>
      </c>
      <c r="O4152" s="15" t="s">
        <v>105</v>
      </c>
    </row>
    <row r="4153" spans="1:15">
      <c r="A4153" s="70">
        <v>2026</v>
      </c>
      <c r="B4153" s="16" t="s">
        <v>562</v>
      </c>
      <c r="C4153" s="70" t="s">
        <v>5355</v>
      </c>
      <c r="D4153" s="15" t="s">
        <v>1042</v>
      </c>
      <c r="E4153" s="15" t="s">
        <v>889</v>
      </c>
      <c r="F4153" s="95">
        <v>2666</v>
      </c>
      <c r="G4153" s="16" t="s">
        <v>37</v>
      </c>
      <c r="H4153" s="17">
        <v>468</v>
      </c>
      <c r="I4153" s="17">
        <f t="shared" si="312"/>
        <v>1247688</v>
      </c>
      <c r="J4153" s="519">
        <v>439.5</v>
      </c>
      <c r="K4153" s="519">
        <f t="shared" si="313"/>
        <v>28.5</v>
      </c>
      <c r="L4153" s="519">
        <f t="shared" si="314"/>
        <v>75981</v>
      </c>
      <c r="M4153" s="557">
        <f t="shared" si="315"/>
        <v>6.0897435897435896E-2</v>
      </c>
      <c r="N4153" s="15" t="s">
        <v>22</v>
      </c>
      <c r="O4153" s="15" t="s">
        <v>105</v>
      </c>
    </row>
    <row r="4154" spans="1:15">
      <c r="A4154" s="70">
        <v>2026</v>
      </c>
      <c r="B4154" s="16" t="s">
        <v>562</v>
      </c>
      <c r="C4154" s="70" t="s">
        <v>5356</v>
      </c>
      <c r="D4154" s="15" t="s">
        <v>1042</v>
      </c>
      <c r="E4154" s="15" t="s">
        <v>889</v>
      </c>
      <c r="F4154" s="95">
        <v>2276.61</v>
      </c>
      <c r="G4154" s="16" t="s">
        <v>37</v>
      </c>
      <c r="H4154" s="17">
        <v>468</v>
      </c>
      <c r="I4154" s="17">
        <f t="shared" si="312"/>
        <v>1065453.48</v>
      </c>
      <c r="J4154" s="519">
        <v>439</v>
      </c>
      <c r="K4154" s="519">
        <f t="shared" si="313"/>
        <v>29</v>
      </c>
      <c r="L4154" s="519">
        <f t="shared" si="314"/>
        <v>66021.69</v>
      </c>
      <c r="M4154" s="557">
        <f t="shared" si="315"/>
        <v>6.1965811965811968E-2</v>
      </c>
      <c r="N4154" s="15" t="s">
        <v>22</v>
      </c>
      <c r="O4154" s="15" t="s">
        <v>105</v>
      </c>
    </row>
    <row r="4155" spans="1:15">
      <c r="A4155" s="70">
        <v>2026</v>
      </c>
      <c r="B4155" s="16" t="s">
        <v>562</v>
      </c>
      <c r="C4155" s="70" t="s">
        <v>5357</v>
      </c>
      <c r="D4155" s="15" t="s">
        <v>4329</v>
      </c>
      <c r="E4155" s="15" t="s">
        <v>5358</v>
      </c>
      <c r="F4155" s="95">
        <v>1</v>
      </c>
      <c r="G4155" s="16" t="s">
        <v>19</v>
      </c>
      <c r="H4155" s="17">
        <v>95700</v>
      </c>
      <c r="I4155" s="17">
        <f t="shared" si="312"/>
        <v>95700</v>
      </c>
      <c r="J4155" s="519">
        <v>89100</v>
      </c>
      <c r="K4155" s="519">
        <f t="shared" si="313"/>
        <v>6600</v>
      </c>
      <c r="L4155" s="519">
        <f t="shared" si="314"/>
        <v>6600</v>
      </c>
      <c r="M4155" s="557">
        <f t="shared" si="315"/>
        <v>6.8965517241379309E-2</v>
      </c>
      <c r="N4155" s="15" t="s">
        <v>40</v>
      </c>
      <c r="O4155" s="15" t="s">
        <v>105</v>
      </c>
    </row>
    <row r="4156" spans="1:15">
      <c r="A4156" s="70">
        <v>2026</v>
      </c>
      <c r="B4156" s="16" t="s">
        <v>562</v>
      </c>
      <c r="C4156" s="70" t="s">
        <v>5359</v>
      </c>
      <c r="D4156" s="15" t="s">
        <v>27</v>
      </c>
      <c r="E4156" s="15" t="s">
        <v>458</v>
      </c>
      <c r="F4156" s="95">
        <v>200</v>
      </c>
      <c r="G4156" s="16" t="s">
        <v>19</v>
      </c>
      <c r="H4156" s="17">
        <v>12.75</v>
      </c>
      <c r="I4156" s="17">
        <f t="shared" ref="I4156:I4205" si="316">H4156*F4156</f>
        <v>2550</v>
      </c>
      <c r="J4156" s="519">
        <v>12</v>
      </c>
      <c r="K4156" s="519">
        <f t="shared" ref="K4156:K4182" si="317">H4156-J4156</f>
        <v>0.75</v>
      </c>
      <c r="L4156" s="519">
        <f t="shared" ref="L4156:L4182" si="318">K4156*F4156</f>
        <v>150</v>
      </c>
      <c r="M4156" s="557">
        <f t="shared" ref="M4156:M4182" si="319">K4156/H4156</f>
        <v>5.8823529411764705E-2</v>
      </c>
      <c r="N4156" s="15" t="s">
        <v>22</v>
      </c>
      <c r="O4156" s="15" t="s">
        <v>105</v>
      </c>
    </row>
    <row r="4157" spans="1:15">
      <c r="A4157" s="70">
        <v>2026</v>
      </c>
      <c r="B4157" s="16" t="s">
        <v>562</v>
      </c>
      <c r="C4157" s="70" t="s">
        <v>5360</v>
      </c>
      <c r="D4157" s="15" t="s">
        <v>107</v>
      </c>
      <c r="E4157" s="15" t="s">
        <v>564</v>
      </c>
      <c r="F4157" s="95">
        <v>40</v>
      </c>
      <c r="G4157" s="16" t="s">
        <v>19</v>
      </c>
      <c r="H4157" s="17">
        <v>1150</v>
      </c>
      <c r="I4157" s="17">
        <f t="shared" si="316"/>
        <v>46000</v>
      </c>
      <c r="J4157" s="519">
        <v>955</v>
      </c>
      <c r="K4157" s="519">
        <f t="shared" si="317"/>
        <v>195</v>
      </c>
      <c r="L4157" s="519">
        <f t="shared" si="318"/>
        <v>7800</v>
      </c>
      <c r="M4157" s="557">
        <f t="shared" si="319"/>
        <v>0.16956521739130434</v>
      </c>
      <c r="N4157" s="15" t="s">
        <v>22</v>
      </c>
      <c r="O4157" s="15" t="s">
        <v>105</v>
      </c>
    </row>
    <row r="4158" spans="1:15">
      <c r="A4158" s="70">
        <v>2026</v>
      </c>
      <c r="B4158" s="16" t="s">
        <v>562</v>
      </c>
      <c r="C4158" s="70" t="s">
        <v>5361</v>
      </c>
      <c r="D4158" s="15" t="s">
        <v>1119</v>
      </c>
      <c r="E4158" s="15" t="s">
        <v>5362</v>
      </c>
      <c r="F4158" s="95">
        <v>27</v>
      </c>
      <c r="G4158" s="16" t="s">
        <v>302</v>
      </c>
      <c r="H4158" s="17">
        <v>800</v>
      </c>
      <c r="I4158" s="17">
        <f t="shared" si="316"/>
        <v>21600</v>
      </c>
      <c r="J4158" s="519">
        <v>750</v>
      </c>
      <c r="K4158" s="519">
        <f t="shared" si="317"/>
        <v>50</v>
      </c>
      <c r="L4158" s="519">
        <f t="shared" si="318"/>
        <v>1350</v>
      </c>
      <c r="M4158" s="557">
        <f t="shared" si="319"/>
        <v>6.25E-2</v>
      </c>
      <c r="N4158" s="15" t="s">
        <v>40</v>
      </c>
      <c r="O4158" s="15" t="s">
        <v>105</v>
      </c>
    </row>
    <row r="4159" spans="1:15">
      <c r="A4159" s="70">
        <v>2026</v>
      </c>
      <c r="B4159" s="16" t="s">
        <v>562</v>
      </c>
      <c r="C4159" s="70" t="s">
        <v>5363</v>
      </c>
      <c r="D4159" s="15" t="s">
        <v>1119</v>
      </c>
      <c r="E4159" s="15" t="s">
        <v>3276</v>
      </c>
      <c r="F4159" s="95">
        <v>20</v>
      </c>
      <c r="G4159" s="16" t="s">
        <v>19</v>
      </c>
      <c r="H4159" s="17">
        <v>20</v>
      </c>
      <c r="I4159" s="17">
        <f t="shared" ref="I4159:I4168" si="320">H4159*F4159</f>
        <v>400</v>
      </c>
      <c r="J4159" s="519">
        <v>17</v>
      </c>
      <c r="K4159" s="519">
        <f t="shared" ref="K4159:K4168" si="321">H4159-J4159</f>
        <v>3</v>
      </c>
      <c r="L4159" s="519">
        <f t="shared" ref="L4159:L4168" si="322">K4159*F4159</f>
        <v>60</v>
      </c>
      <c r="M4159" s="557">
        <f t="shared" ref="M4159:M4168" si="323">K4159/H4159</f>
        <v>0.15</v>
      </c>
      <c r="N4159" s="15" t="s">
        <v>40</v>
      </c>
      <c r="O4159" s="15" t="s">
        <v>105</v>
      </c>
    </row>
    <row r="4160" spans="1:15">
      <c r="A4160" s="70">
        <v>2026</v>
      </c>
      <c r="B4160" s="16" t="s">
        <v>562</v>
      </c>
      <c r="C4160" s="70" t="s">
        <v>5364</v>
      </c>
      <c r="D4160" s="15" t="s">
        <v>4398</v>
      </c>
      <c r="E4160" s="15" t="s">
        <v>3914</v>
      </c>
      <c r="F4160" s="95">
        <v>6</v>
      </c>
      <c r="G4160" s="16" t="s">
        <v>302</v>
      </c>
      <c r="H4160" s="17">
        <v>5670</v>
      </c>
      <c r="I4160" s="17">
        <f t="shared" si="320"/>
        <v>34020</v>
      </c>
      <c r="J4160" s="519">
        <v>5200</v>
      </c>
      <c r="K4160" s="519">
        <f t="shared" si="321"/>
        <v>470</v>
      </c>
      <c r="L4160" s="519">
        <f t="shared" si="322"/>
        <v>2820</v>
      </c>
      <c r="M4160" s="557">
        <f t="shared" si="323"/>
        <v>8.2892416225749554E-2</v>
      </c>
      <c r="N4160" s="15" t="s">
        <v>40</v>
      </c>
      <c r="O4160" s="15" t="s">
        <v>105</v>
      </c>
    </row>
    <row r="4161" spans="1:15">
      <c r="A4161" s="70">
        <v>2026</v>
      </c>
      <c r="B4161" s="16" t="s">
        <v>562</v>
      </c>
      <c r="C4161" s="70" t="s">
        <v>5364</v>
      </c>
      <c r="D4161" s="15" t="s">
        <v>4398</v>
      </c>
      <c r="E4161" s="15" t="s">
        <v>4912</v>
      </c>
      <c r="F4161" s="95">
        <v>8</v>
      </c>
      <c r="G4161" s="16" t="s">
        <v>302</v>
      </c>
      <c r="H4161" s="17">
        <v>14200</v>
      </c>
      <c r="I4161" s="17">
        <f t="shared" si="320"/>
        <v>113600</v>
      </c>
      <c r="J4161" s="519">
        <v>13500</v>
      </c>
      <c r="K4161" s="519">
        <f t="shared" si="321"/>
        <v>700</v>
      </c>
      <c r="L4161" s="519">
        <f t="shared" si="322"/>
        <v>5600</v>
      </c>
      <c r="M4161" s="557">
        <f t="shared" si="323"/>
        <v>4.9295774647887321E-2</v>
      </c>
      <c r="N4161" s="15" t="s">
        <v>40</v>
      </c>
      <c r="O4161" s="15" t="s">
        <v>105</v>
      </c>
    </row>
    <row r="4162" spans="1:15">
      <c r="A4162" s="70">
        <v>2026</v>
      </c>
      <c r="B4162" s="16" t="s">
        <v>562</v>
      </c>
      <c r="C4162" s="70" t="s">
        <v>5365</v>
      </c>
      <c r="D4162" s="15" t="s">
        <v>270</v>
      </c>
      <c r="E4162" s="15" t="s">
        <v>73</v>
      </c>
      <c r="F4162" s="95">
        <v>216.5</v>
      </c>
      <c r="G4162" s="16" t="s">
        <v>37</v>
      </c>
      <c r="H4162" s="17">
        <v>489.5</v>
      </c>
      <c r="I4162" s="17">
        <f t="shared" si="320"/>
        <v>105976.75</v>
      </c>
      <c r="J4162" s="519">
        <v>474</v>
      </c>
      <c r="K4162" s="519">
        <f t="shared" si="321"/>
        <v>15.5</v>
      </c>
      <c r="L4162" s="519">
        <f t="shared" si="322"/>
        <v>3355.75</v>
      </c>
      <c r="M4162" s="557">
        <f t="shared" si="323"/>
        <v>3.1664964249233915E-2</v>
      </c>
      <c r="N4162" s="15" t="s">
        <v>22</v>
      </c>
      <c r="O4162" s="15" t="s">
        <v>105</v>
      </c>
    </row>
    <row r="4163" spans="1:15">
      <c r="A4163" s="70">
        <v>2026</v>
      </c>
      <c r="B4163" s="16" t="s">
        <v>562</v>
      </c>
      <c r="C4163" s="70" t="s">
        <v>5366</v>
      </c>
      <c r="D4163" s="15" t="s">
        <v>1042</v>
      </c>
      <c r="E4163" s="15" t="s">
        <v>644</v>
      </c>
      <c r="F4163" s="95">
        <v>1030</v>
      </c>
      <c r="G4163" s="16" t="s">
        <v>37</v>
      </c>
      <c r="H4163" s="17">
        <v>468</v>
      </c>
      <c r="I4163" s="17">
        <f t="shared" si="320"/>
        <v>482040</v>
      </c>
      <c r="J4163" s="519">
        <v>439.5</v>
      </c>
      <c r="K4163" s="519">
        <f t="shared" si="321"/>
        <v>28.5</v>
      </c>
      <c r="L4163" s="519">
        <f t="shared" si="322"/>
        <v>29355</v>
      </c>
      <c r="M4163" s="557">
        <f t="shared" si="323"/>
        <v>6.0897435897435896E-2</v>
      </c>
      <c r="N4163" s="15" t="s">
        <v>22</v>
      </c>
      <c r="O4163" s="15" t="s">
        <v>105</v>
      </c>
    </row>
    <row r="4164" spans="1:15">
      <c r="A4164" s="70">
        <v>2026</v>
      </c>
      <c r="B4164" s="16" t="s">
        <v>562</v>
      </c>
      <c r="C4164" s="70" t="s">
        <v>5367</v>
      </c>
      <c r="D4164" s="15" t="s">
        <v>4398</v>
      </c>
      <c r="E4164" s="15" t="s">
        <v>5368</v>
      </c>
      <c r="F4164" s="95">
        <v>4</v>
      </c>
      <c r="G4164" s="16" t="s">
        <v>302</v>
      </c>
      <c r="H4164" s="17">
        <v>37500</v>
      </c>
      <c r="I4164" s="17">
        <f t="shared" si="320"/>
        <v>150000</v>
      </c>
      <c r="J4164" s="519">
        <v>37000</v>
      </c>
      <c r="K4164" s="519">
        <f t="shared" si="321"/>
        <v>500</v>
      </c>
      <c r="L4164" s="519">
        <f t="shared" si="322"/>
        <v>2000</v>
      </c>
      <c r="M4164" s="557">
        <f t="shared" si="323"/>
        <v>1.3333333333333334E-2</v>
      </c>
      <c r="N4164" s="15" t="s">
        <v>40</v>
      </c>
      <c r="O4164" s="15" t="s">
        <v>105</v>
      </c>
    </row>
    <row r="4165" spans="1:15">
      <c r="A4165" s="70">
        <v>2026</v>
      </c>
      <c r="B4165" s="16" t="s">
        <v>562</v>
      </c>
      <c r="C4165" s="70" t="s">
        <v>5369</v>
      </c>
      <c r="D4165" s="15" t="s">
        <v>166</v>
      </c>
      <c r="E4165" s="70" t="s">
        <v>4160</v>
      </c>
      <c r="F4165" s="95">
        <v>19420</v>
      </c>
      <c r="G4165" s="16" t="s">
        <v>37</v>
      </c>
      <c r="H4165" s="17">
        <v>476.52</v>
      </c>
      <c r="I4165" s="17">
        <f t="shared" si="320"/>
        <v>9254018.4000000004</v>
      </c>
      <c r="J4165" s="519">
        <v>461.5</v>
      </c>
      <c r="K4165" s="519">
        <f t="shared" si="321"/>
        <v>15.019999999999982</v>
      </c>
      <c r="L4165" s="519">
        <f t="shared" si="322"/>
        <v>291688.39999999967</v>
      </c>
      <c r="M4165" s="557">
        <f t="shared" si="323"/>
        <v>3.1520188029883281E-2</v>
      </c>
      <c r="N4165" s="15" t="s">
        <v>22</v>
      </c>
      <c r="O4165" s="15" t="s">
        <v>105</v>
      </c>
    </row>
    <row r="4166" spans="1:15">
      <c r="A4166" s="70">
        <v>2026</v>
      </c>
      <c r="B4166" s="16" t="s">
        <v>562</v>
      </c>
      <c r="C4166" s="70" t="s">
        <v>5370</v>
      </c>
      <c r="D4166" s="15" t="s">
        <v>4329</v>
      </c>
      <c r="E4166" s="15" t="s">
        <v>5371</v>
      </c>
      <c r="F4166" s="95">
        <v>1</v>
      </c>
      <c r="G4166" s="16" t="s">
        <v>302</v>
      </c>
      <c r="H4166" s="17">
        <v>2640000</v>
      </c>
      <c r="I4166" s="17">
        <f t="shared" si="320"/>
        <v>2640000</v>
      </c>
      <c r="J4166" s="519">
        <v>2475000</v>
      </c>
      <c r="K4166" s="519">
        <f t="shared" si="321"/>
        <v>165000</v>
      </c>
      <c r="L4166" s="519">
        <f t="shared" si="322"/>
        <v>165000</v>
      </c>
      <c r="M4166" s="557">
        <f t="shared" si="323"/>
        <v>6.25E-2</v>
      </c>
      <c r="N4166" s="15" t="s">
        <v>40</v>
      </c>
      <c r="O4166" s="15" t="s">
        <v>105</v>
      </c>
    </row>
    <row r="4167" spans="1:15">
      <c r="A4167" s="70">
        <v>2026</v>
      </c>
      <c r="B4167" s="16" t="s">
        <v>562</v>
      </c>
      <c r="C4167" s="70" t="s">
        <v>5372</v>
      </c>
      <c r="D4167" s="15" t="s">
        <v>1042</v>
      </c>
      <c r="E4167" s="15" t="s">
        <v>889</v>
      </c>
      <c r="F4167" s="95">
        <v>3917</v>
      </c>
      <c r="G4167" s="16" t="s">
        <v>37</v>
      </c>
      <c r="H4167" s="17">
        <v>468</v>
      </c>
      <c r="I4167" s="17">
        <f t="shared" si="320"/>
        <v>1833156</v>
      </c>
      <c r="J4167" s="519">
        <v>439.5</v>
      </c>
      <c r="K4167" s="519">
        <f t="shared" si="321"/>
        <v>28.5</v>
      </c>
      <c r="L4167" s="519">
        <f t="shared" si="322"/>
        <v>111634.5</v>
      </c>
      <c r="M4167" s="557">
        <f t="shared" si="323"/>
        <v>6.0897435897435896E-2</v>
      </c>
      <c r="N4167" s="15" t="s">
        <v>22</v>
      </c>
      <c r="O4167" s="15" t="s">
        <v>105</v>
      </c>
    </row>
    <row r="4168" spans="1:15">
      <c r="A4168" s="70">
        <v>2026</v>
      </c>
      <c r="B4168" s="16" t="s">
        <v>562</v>
      </c>
      <c r="C4168" s="70" t="s">
        <v>5373</v>
      </c>
      <c r="D4168" s="15" t="s">
        <v>5374</v>
      </c>
      <c r="E4168" s="15" t="s">
        <v>5375</v>
      </c>
      <c r="F4168" s="95">
        <v>1</v>
      </c>
      <c r="G4168" s="16" t="s">
        <v>302</v>
      </c>
      <c r="H4168" s="17">
        <v>69000</v>
      </c>
      <c r="I4168" s="17">
        <f t="shared" si="320"/>
        <v>69000</v>
      </c>
      <c r="J4168" s="519">
        <v>66930</v>
      </c>
      <c r="K4168" s="519">
        <f t="shared" si="321"/>
        <v>2070</v>
      </c>
      <c r="L4168" s="519">
        <f t="shared" si="322"/>
        <v>2070</v>
      </c>
      <c r="M4168" s="557">
        <f t="shared" si="323"/>
        <v>0.03</v>
      </c>
      <c r="N4168" s="15" t="s">
        <v>40</v>
      </c>
      <c r="O4168" s="15" t="s">
        <v>4066</v>
      </c>
    </row>
    <row r="4169" spans="1:15">
      <c r="A4169" s="70">
        <v>2026</v>
      </c>
      <c r="B4169" s="16" t="s">
        <v>562</v>
      </c>
      <c r="C4169" s="70" t="s">
        <v>5376</v>
      </c>
      <c r="D4169" s="15" t="s">
        <v>398</v>
      </c>
      <c r="E4169" s="15" t="s">
        <v>5377</v>
      </c>
      <c r="F4169" s="95">
        <v>1</v>
      </c>
      <c r="G4169" s="16" t="s">
        <v>285</v>
      </c>
      <c r="H4169" s="17">
        <v>10000</v>
      </c>
      <c r="I4169" s="17">
        <f t="shared" si="316"/>
        <v>10000</v>
      </c>
      <c r="J4169" s="519">
        <v>9000</v>
      </c>
      <c r="K4169" s="519">
        <f t="shared" si="317"/>
        <v>1000</v>
      </c>
      <c r="L4169" s="519">
        <f t="shared" si="318"/>
        <v>1000</v>
      </c>
      <c r="M4169" s="557">
        <f t="shared" si="319"/>
        <v>0.1</v>
      </c>
      <c r="N4169" s="15" t="s">
        <v>40</v>
      </c>
      <c r="O4169" s="15" t="s">
        <v>4066</v>
      </c>
    </row>
    <row r="4170" spans="1:15">
      <c r="A4170" s="70">
        <v>2026</v>
      </c>
      <c r="B4170" s="16" t="s">
        <v>562</v>
      </c>
      <c r="C4170" s="70" t="s">
        <v>5378</v>
      </c>
      <c r="D4170" s="15" t="s">
        <v>1119</v>
      </c>
      <c r="E4170" s="15" t="s">
        <v>5379</v>
      </c>
      <c r="F4170" s="95">
        <v>12</v>
      </c>
      <c r="G4170" s="16" t="s">
        <v>19</v>
      </c>
      <c r="H4170" s="17">
        <v>1800</v>
      </c>
      <c r="I4170" s="17">
        <f t="shared" si="316"/>
        <v>21600</v>
      </c>
      <c r="J4170" s="519">
        <v>1600</v>
      </c>
      <c r="K4170" s="519">
        <f t="shared" si="317"/>
        <v>200</v>
      </c>
      <c r="L4170" s="519">
        <f t="shared" si="318"/>
        <v>2400</v>
      </c>
      <c r="M4170" s="557">
        <f t="shared" si="319"/>
        <v>0.1111111111111111</v>
      </c>
      <c r="N4170" s="15" t="s">
        <v>40</v>
      </c>
      <c r="O4170" s="15" t="s">
        <v>4066</v>
      </c>
    </row>
    <row r="4171" spans="1:15">
      <c r="A4171" s="70">
        <v>2026</v>
      </c>
      <c r="B4171" s="16" t="s">
        <v>562</v>
      </c>
      <c r="C4171" s="70" t="s">
        <v>5378</v>
      </c>
      <c r="D4171" s="15" t="s">
        <v>1119</v>
      </c>
      <c r="E4171" s="15" t="s">
        <v>5380</v>
      </c>
      <c r="F4171" s="95">
        <v>12</v>
      </c>
      <c r="G4171" s="16" t="s">
        <v>19</v>
      </c>
      <c r="H4171" s="17">
        <v>2200</v>
      </c>
      <c r="I4171" s="17">
        <f t="shared" si="316"/>
        <v>26400</v>
      </c>
      <c r="J4171" s="519">
        <v>2000</v>
      </c>
      <c r="K4171" s="519">
        <f t="shared" si="317"/>
        <v>200</v>
      </c>
      <c r="L4171" s="519">
        <f t="shared" si="318"/>
        <v>2400</v>
      </c>
      <c r="M4171" s="557">
        <f t="shared" si="319"/>
        <v>9.0909090909090912E-2</v>
      </c>
      <c r="N4171" s="15" t="s">
        <v>40</v>
      </c>
      <c r="O4171" s="15" t="s">
        <v>4066</v>
      </c>
    </row>
    <row r="4172" spans="1:15">
      <c r="A4172" s="70">
        <v>2026</v>
      </c>
      <c r="B4172" s="16" t="s">
        <v>562</v>
      </c>
      <c r="C4172" s="70" t="s">
        <v>5381</v>
      </c>
      <c r="D4172" s="15" t="s">
        <v>4302</v>
      </c>
      <c r="E4172" s="15" t="s">
        <v>5382</v>
      </c>
      <c r="F4172" s="95">
        <v>1</v>
      </c>
      <c r="G4172" s="16" t="s">
        <v>285</v>
      </c>
      <c r="H4172" s="17">
        <v>17400</v>
      </c>
      <c r="I4172" s="17">
        <f t="shared" si="316"/>
        <v>17400</v>
      </c>
      <c r="J4172" s="519">
        <v>16878</v>
      </c>
      <c r="K4172" s="519">
        <f t="shared" si="317"/>
        <v>522</v>
      </c>
      <c r="L4172" s="519">
        <f t="shared" si="318"/>
        <v>522</v>
      </c>
      <c r="M4172" s="557">
        <f t="shared" si="319"/>
        <v>0.03</v>
      </c>
      <c r="N4172" s="15" t="s">
        <v>40</v>
      </c>
      <c r="O4172" s="15" t="s">
        <v>4066</v>
      </c>
    </row>
    <row r="4173" spans="1:15">
      <c r="A4173" s="70">
        <v>2026</v>
      </c>
      <c r="B4173" s="16" t="s">
        <v>562</v>
      </c>
      <c r="C4173" s="70" t="s">
        <v>5383</v>
      </c>
      <c r="D4173" s="15" t="s">
        <v>4231</v>
      </c>
      <c r="E4173" s="15" t="s">
        <v>5384</v>
      </c>
      <c r="F4173" s="95">
        <v>1</v>
      </c>
      <c r="G4173" s="16" t="s">
        <v>285</v>
      </c>
      <c r="H4173" s="17">
        <v>33175</v>
      </c>
      <c r="I4173" s="17">
        <f t="shared" si="316"/>
        <v>33175</v>
      </c>
      <c r="J4173" s="519">
        <v>32179.75</v>
      </c>
      <c r="K4173" s="519">
        <f t="shared" si="317"/>
        <v>995.25</v>
      </c>
      <c r="L4173" s="519">
        <f t="shared" si="318"/>
        <v>995.25</v>
      </c>
      <c r="M4173" s="557">
        <f t="shared" si="319"/>
        <v>0.03</v>
      </c>
      <c r="N4173" s="15" t="s">
        <v>40</v>
      </c>
      <c r="O4173" s="15" t="s">
        <v>4066</v>
      </c>
    </row>
    <row r="4174" spans="1:15">
      <c r="A4174" s="70">
        <v>2026</v>
      </c>
      <c r="B4174" s="16" t="s">
        <v>562</v>
      </c>
      <c r="C4174" s="70" t="s">
        <v>5385</v>
      </c>
      <c r="D4174" s="15" t="s">
        <v>17</v>
      </c>
      <c r="E4174" s="15" t="s">
        <v>5386</v>
      </c>
      <c r="F4174" s="95">
        <v>48</v>
      </c>
      <c r="G4174" s="16" t="s">
        <v>1259</v>
      </c>
      <c r="H4174" s="17">
        <v>280</v>
      </c>
      <c r="I4174" s="17">
        <f t="shared" si="316"/>
        <v>13440</v>
      </c>
      <c r="J4174" s="519">
        <v>250</v>
      </c>
      <c r="K4174" s="519">
        <f t="shared" si="317"/>
        <v>30</v>
      </c>
      <c r="L4174" s="519">
        <f t="shared" si="318"/>
        <v>1440</v>
      </c>
      <c r="M4174" s="557">
        <f t="shared" si="319"/>
        <v>0.10714285714285714</v>
      </c>
      <c r="N4174" s="15" t="s">
        <v>40</v>
      </c>
      <c r="O4174" s="15" t="s">
        <v>4066</v>
      </c>
    </row>
    <row r="4175" spans="1:15">
      <c r="A4175" s="70">
        <v>2026</v>
      </c>
      <c r="B4175" s="16" t="s">
        <v>562</v>
      </c>
      <c r="C4175" s="70" t="s">
        <v>5387</v>
      </c>
      <c r="D4175" s="15" t="s">
        <v>3448</v>
      </c>
      <c r="E4175" s="15" t="s">
        <v>5388</v>
      </c>
      <c r="F4175" s="95">
        <v>8</v>
      </c>
      <c r="G4175" s="16" t="s">
        <v>19</v>
      </c>
      <c r="H4175" s="17">
        <v>4000</v>
      </c>
      <c r="I4175" s="17">
        <f t="shared" si="316"/>
        <v>32000</v>
      </c>
      <c r="J4175" s="519">
        <v>3880</v>
      </c>
      <c r="K4175" s="519">
        <f t="shared" si="317"/>
        <v>120</v>
      </c>
      <c r="L4175" s="519">
        <f t="shared" si="318"/>
        <v>960</v>
      </c>
      <c r="M4175" s="557">
        <f t="shared" si="319"/>
        <v>0.03</v>
      </c>
      <c r="N4175" s="15" t="s">
        <v>40</v>
      </c>
      <c r="O4175" s="15" t="s">
        <v>4066</v>
      </c>
    </row>
    <row r="4176" spans="1:15">
      <c r="A4176" s="70">
        <v>2026</v>
      </c>
      <c r="B4176" s="16" t="s">
        <v>562</v>
      </c>
      <c r="C4176" s="70" t="s">
        <v>5389</v>
      </c>
      <c r="D4176" s="15" t="s">
        <v>1204</v>
      </c>
      <c r="E4176" s="15" t="s">
        <v>5390</v>
      </c>
      <c r="F4176" s="95">
        <v>5</v>
      </c>
      <c r="G4176" s="16" t="s">
        <v>19</v>
      </c>
      <c r="H4176" s="17">
        <v>1780</v>
      </c>
      <c r="I4176" s="17">
        <f t="shared" si="316"/>
        <v>8900</v>
      </c>
      <c r="J4176" s="519">
        <v>1750</v>
      </c>
      <c r="K4176" s="519">
        <f t="shared" si="317"/>
        <v>30</v>
      </c>
      <c r="L4176" s="519">
        <f t="shared" si="318"/>
        <v>150</v>
      </c>
      <c r="M4176" s="557">
        <f t="shared" si="319"/>
        <v>1.6853932584269662E-2</v>
      </c>
      <c r="N4176" s="15" t="s">
        <v>22</v>
      </c>
      <c r="O4176" s="15" t="s">
        <v>4066</v>
      </c>
    </row>
    <row r="4177" spans="1:15">
      <c r="A4177" s="70">
        <v>2026</v>
      </c>
      <c r="B4177" s="16" t="s">
        <v>562</v>
      </c>
      <c r="C4177" s="70" t="s">
        <v>5391</v>
      </c>
      <c r="D4177" s="15" t="s">
        <v>5392</v>
      </c>
      <c r="E4177" s="15" t="s">
        <v>5393</v>
      </c>
      <c r="F4177" s="95">
        <v>10</v>
      </c>
      <c r="G4177" s="16" t="s">
        <v>2482</v>
      </c>
      <c r="H4177" s="17">
        <v>2000</v>
      </c>
      <c r="I4177" s="17">
        <f t="shared" si="316"/>
        <v>20000</v>
      </c>
      <c r="J4177" s="519">
        <v>1900</v>
      </c>
      <c r="K4177" s="519">
        <f t="shared" si="317"/>
        <v>100</v>
      </c>
      <c r="L4177" s="519">
        <f t="shared" si="318"/>
        <v>1000</v>
      </c>
      <c r="M4177" s="557">
        <f t="shared" si="319"/>
        <v>0.05</v>
      </c>
      <c r="N4177" s="15" t="s">
        <v>40</v>
      </c>
      <c r="O4177" s="15" t="s">
        <v>4066</v>
      </c>
    </row>
    <row r="4178" spans="1:15">
      <c r="A4178" s="70">
        <v>2026</v>
      </c>
      <c r="B4178" s="16" t="s">
        <v>562</v>
      </c>
      <c r="C4178" s="70" t="s">
        <v>5394</v>
      </c>
      <c r="D4178" s="15" t="s">
        <v>329</v>
      </c>
      <c r="E4178" s="15" t="s">
        <v>5395</v>
      </c>
      <c r="F4178" s="95">
        <v>4</v>
      </c>
      <c r="G4178" s="16" t="s">
        <v>331</v>
      </c>
      <c r="H4178" s="17">
        <v>2100</v>
      </c>
      <c r="I4178" s="17">
        <f t="shared" si="316"/>
        <v>8400</v>
      </c>
      <c r="J4178" s="519">
        <v>2060</v>
      </c>
      <c r="K4178" s="519">
        <f t="shared" si="317"/>
        <v>40</v>
      </c>
      <c r="L4178" s="519">
        <f t="shared" si="318"/>
        <v>160</v>
      </c>
      <c r="M4178" s="557">
        <f t="shared" si="319"/>
        <v>1.9047619047619049E-2</v>
      </c>
      <c r="N4178" s="15" t="s">
        <v>40</v>
      </c>
      <c r="O4178" s="15" t="s">
        <v>4066</v>
      </c>
    </row>
    <row r="4179" spans="1:15">
      <c r="A4179" s="70">
        <v>2026</v>
      </c>
      <c r="B4179" s="16" t="s">
        <v>562</v>
      </c>
      <c r="C4179" s="70" t="s">
        <v>5396</v>
      </c>
      <c r="D4179" s="15" t="s">
        <v>157</v>
      </c>
      <c r="E4179" s="15" t="s">
        <v>5397</v>
      </c>
      <c r="F4179" s="95">
        <v>1</v>
      </c>
      <c r="G4179" s="16" t="s">
        <v>19</v>
      </c>
      <c r="H4179" s="17">
        <v>5400</v>
      </c>
      <c r="I4179" s="17">
        <f t="shared" si="316"/>
        <v>5400</v>
      </c>
      <c r="J4179" s="519">
        <v>4320</v>
      </c>
      <c r="K4179" s="519">
        <f t="shared" si="317"/>
        <v>1080</v>
      </c>
      <c r="L4179" s="519">
        <f t="shared" si="318"/>
        <v>1080</v>
      </c>
      <c r="M4179" s="557">
        <f t="shared" si="319"/>
        <v>0.2</v>
      </c>
      <c r="N4179" s="15" t="s">
        <v>40</v>
      </c>
      <c r="O4179" s="15" t="s">
        <v>4066</v>
      </c>
    </row>
    <row r="4180" spans="1:15">
      <c r="A4180" s="70">
        <v>2026</v>
      </c>
      <c r="B4180" s="16" t="s">
        <v>562</v>
      </c>
      <c r="C4180" s="70" t="s">
        <v>5398</v>
      </c>
      <c r="D4180" s="15" t="s">
        <v>5399</v>
      </c>
      <c r="E4180" s="15" t="s">
        <v>5400</v>
      </c>
      <c r="F4180" s="95">
        <v>1</v>
      </c>
      <c r="G4180" s="16" t="s">
        <v>285</v>
      </c>
      <c r="H4180" s="17">
        <v>14700</v>
      </c>
      <c r="I4180" s="17">
        <f t="shared" si="316"/>
        <v>14700</v>
      </c>
      <c r="J4180" s="519">
        <v>14259</v>
      </c>
      <c r="K4180" s="519">
        <f t="shared" si="317"/>
        <v>441</v>
      </c>
      <c r="L4180" s="519">
        <f t="shared" si="318"/>
        <v>441</v>
      </c>
      <c r="M4180" s="557">
        <f t="shared" si="319"/>
        <v>0.03</v>
      </c>
      <c r="N4180" s="15" t="s">
        <v>40</v>
      </c>
      <c r="O4180" s="15" t="s">
        <v>4066</v>
      </c>
    </row>
    <row r="4181" spans="1:15">
      <c r="A4181" s="70">
        <v>2026</v>
      </c>
      <c r="B4181" s="16" t="s">
        <v>562</v>
      </c>
      <c r="C4181" s="70" t="s">
        <v>5401</v>
      </c>
      <c r="D4181" s="15" t="s">
        <v>522</v>
      </c>
      <c r="E4181" s="15" t="s">
        <v>5402</v>
      </c>
      <c r="F4181" s="95">
        <v>1</v>
      </c>
      <c r="G4181" s="16" t="s">
        <v>285</v>
      </c>
      <c r="H4181" s="17">
        <v>1023450</v>
      </c>
      <c r="I4181" s="17">
        <f t="shared" si="316"/>
        <v>1023450</v>
      </c>
      <c r="J4181" s="519">
        <v>972277.5</v>
      </c>
      <c r="K4181" s="519">
        <f t="shared" si="317"/>
        <v>51172.5</v>
      </c>
      <c r="L4181" s="519">
        <f t="shared" si="318"/>
        <v>51172.5</v>
      </c>
      <c r="M4181" s="557">
        <f t="shared" si="319"/>
        <v>0.05</v>
      </c>
      <c r="N4181" s="15" t="s">
        <v>40</v>
      </c>
      <c r="O4181" s="15" t="s">
        <v>4066</v>
      </c>
    </row>
    <row r="4182" spans="1:15">
      <c r="A4182" s="70">
        <v>2026</v>
      </c>
      <c r="B4182" s="16" t="s">
        <v>562</v>
      </c>
      <c r="C4182" s="70" t="s">
        <v>5403</v>
      </c>
      <c r="D4182" s="15" t="s">
        <v>1948</v>
      </c>
      <c r="E4182" s="15" t="s">
        <v>5404</v>
      </c>
      <c r="F4182" s="95">
        <v>1</v>
      </c>
      <c r="G4182" s="16" t="s">
        <v>19</v>
      </c>
      <c r="H4182" s="17">
        <v>6344</v>
      </c>
      <c r="I4182" s="17">
        <f t="shared" si="316"/>
        <v>6344</v>
      </c>
      <c r="J4182" s="519">
        <v>5836.48</v>
      </c>
      <c r="K4182" s="519">
        <f t="shared" si="317"/>
        <v>507.52000000000044</v>
      </c>
      <c r="L4182" s="519">
        <f t="shared" si="318"/>
        <v>507.52000000000044</v>
      </c>
      <c r="M4182" s="557">
        <f t="shared" si="319"/>
        <v>8.0000000000000071E-2</v>
      </c>
      <c r="N4182" s="15" t="s">
        <v>22</v>
      </c>
      <c r="O4182" s="15" t="s">
        <v>4066</v>
      </c>
    </row>
    <row r="4183" spans="1:15">
      <c r="A4183" s="70">
        <v>2026</v>
      </c>
      <c r="B4183" s="16" t="s">
        <v>562</v>
      </c>
      <c r="C4183" s="70" t="s">
        <v>5403</v>
      </c>
      <c r="D4183" s="15" t="s">
        <v>1948</v>
      </c>
      <c r="E4183" s="15" t="s">
        <v>5405</v>
      </c>
      <c r="F4183" s="95">
        <v>1</v>
      </c>
      <c r="G4183" s="16" t="s">
        <v>19</v>
      </c>
      <c r="H4183" s="17">
        <v>1391</v>
      </c>
      <c r="I4183" s="17">
        <f t="shared" si="316"/>
        <v>1391</v>
      </c>
      <c r="J4183" s="519">
        <v>1251.9000000000001</v>
      </c>
      <c r="K4183" s="519">
        <f t="shared" ref="K4183:K4205" si="324">H4183-J4183</f>
        <v>139.09999999999991</v>
      </c>
      <c r="L4183" s="519">
        <f t="shared" ref="L4183:L4205" si="325">K4183*F4183</f>
        <v>139.09999999999991</v>
      </c>
      <c r="M4183" s="557">
        <f t="shared" ref="M4183:M4205" si="326">K4183/H4183</f>
        <v>9.9999999999999936E-2</v>
      </c>
      <c r="N4183" s="15" t="s">
        <v>22</v>
      </c>
      <c r="O4183" s="15" t="s">
        <v>4066</v>
      </c>
    </row>
    <row r="4184" spans="1:15">
      <c r="A4184" s="70">
        <v>2026</v>
      </c>
      <c r="B4184" s="16" t="s">
        <v>562</v>
      </c>
      <c r="C4184" s="70" t="s">
        <v>5403</v>
      </c>
      <c r="D4184" s="15" t="s">
        <v>1948</v>
      </c>
      <c r="E4184" s="15" t="s">
        <v>5406</v>
      </c>
      <c r="F4184" s="95">
        <v>1</v>
      </c>
      <c r="G4184" s="16" t="s">
        <v>19</v>
      </c>
      <c r="H4184" s="17">
        <v>1764</v>
      </c>
      <c r="I4184" s="17">
        <f t="shared" si="316"/>
        <v>1764</v>
      </c>
      <c r="J4184" s="519">
        <v>1587.6</v>
      </c>
      <c r="K4184" s="519">
        <f t="shared" si="324"/>
        <v>176.40000000000009</v>
      </c>
      <c r="L4184" s="519">
        <f t="shared" si="325"/>
        <v>176.40000000000009</v>
      </c>
      <c r="M4184" s="557">
        <f t="shared" si="326"/>
        <v>0.10000000000000005</v>
      </c>
      <c r="N4184" s="15" t="s">
        <v>22</v>
      </c>
      <c r="O4184" s="15" t="s">
        <v>4066</v>
      </c>
    </row>
    <row r="4185" spans="1:15">
      <c r="A4185" s="70">
        <v>2026</v>
      </c>
      <c r="B4185" s="16" t="s">
        <v>562</v>
      </c>
      <c r="C4185" s="70" t="s">
        <v>5407</v>
      </c>
      <c r="D4185" s="15" t="s">
        <v>118</v>
      </c>
      <c r="E4185" s="15" t="s">
        <v>5408</v>
      </c>
      <c r="F4185" s="95">
        <v>2</v>
      </c>
      <c r="G4185" s="16" t="s">
        <v>19</v>
      </c>
      <c r="H4185" s="17">
        <v>4750</v>
      </c>
      <c r="I4185" s="17">
        <f t="shared" si="316"/>
        <v>9500</v>
      </c>
      <c r="J4185" s="519">
        <v>3562.5</v>
      </c>
      <c r="K4185" s="519">
        <f t="shared" si="324"/>
        <v>1187.5</v>
      </c>
      <c r="L4185" s="519">
        <f t="shared" si="325"/>
        <v>2375</v>
      </c>
      <c r="M4185" s="557">
        <f t="shared" si="326"/>
        <v>0.25</v>
      </c>
      <c r="N4185" s="15" t="s">
        <v>22</v>
      </c>
      <c r="O4185" s="15" t="s">
        <v>4066</v>
      </c>
    </row>
    <row r="4186" spans="1:15">
      <c r="A4186" s="70">
        <v>2026</v>
      </c>
      <c r="B4186" s="16" t="s">
        <v>562</v>
      </c>
      <c r="C4186" s="70" t="s">
        <v>5409</v>
      </c>
      <c r="D4186" s="15" t="s">
        <v>2934</v>
      </c>
      <c r="E4186" s="15" t="s">
        <v>5410</v>
      </c>
      <c r="F4186" s="95">
        <v>1</v>
      </c>
      <c r="G4186" s="16" t="s">
        <v>285</v>
      </c>
      <c r="H4186" s="17">
        <v>183690</v>
      </c>
      <c r="I4186" s="17">
        <f t="shared" si="316"/>
        <v>183690</v>
      </c>
      <c r="J4186" s="519">
        <v>180000</v>
      </c>
      <c r="K4186" s="519">
        <f t="shared" si="324"/>
        <v>3690</v>
      </c>
      <c r="L4186" s="519">
        <f t="shared" si="325"/>
        <v>3690</v>
      </c>
      <c r="M4186" s="557">
        <f t="shared" si="326"/>
        <v>2.0088192062714356E-2</v>
      </c>
      <c r="N4186" s="15" t="s">
        <v>40</v>
      </c>
      <c r="O4186" s="15" t="s">
        <v>4066</v>
      </c>
    </row>
    <row r="4187" spans="1:15">
      <c r="A4187" s="70">
        <v>2026</v>
      </c>
      <c r="B4187" s="16" t="s">
        <v>562</v>
      </c>
      <c r="C4187" s="70" t="s">
        <v>5411</v>
      </c>
      <c r="D4187" s="15" t="s">
        <v>2934</v>
      </c>
      <c r="E4187" s="15" t="s">
        <v>5412</v>
      </c>
      <c r="F4187" s="95">
        <v>1</v>
      </c>
      <c r="G4187" s="16" t="s">
        <v>285</v>
      </c>
      <c r="H4187" s="17">
        <v>47120</v>
      </c>
      <c r="I4187" s="17">
        <f t="shared" si="316"/>
        <v>47120</v>
      </c>
      <c r="J4187" s="519">
        <v>45706.400000000001</v>
      </c>
      <c r="K4187" s="519">
        <f t="shared" si="324"/>
        <v>1413.5999999999985</v>
      </c>
      <c r="L4187" s="519">
        <f t="shared" si="325"/>
        <v>1413.5999999999985</v>
      </c>
      <c r="M4187" s="557">
        <f t="shared" si="326"/>
        <v>2.9999999999999968E-2</v>
      </c>
      <c r="N4187" s="15" t="s">
        <v>40</v>
      </c>
      <c r="O4187" s="15" t="s">
        <v>4066</v>
      </c>
    </row>
    <row r="4188" spans="1:15">
      <c r="A4188" s="70">
        <v>2026</v>
      </c>
      <c r="B4188" s="16" t="s">
        <v>562</v>
      </c>
      <c r="C4188" s="70" t="s">
        <v>5413</v>
      </c>
      <c r="D4188" s="15" t="s">
        <v>522</v>
      </c>
      <c r="E4188" s="15" t="s">
        <v>5402</v>
      </c>
      <c r="F4188" s="95">
        <v>1</v>
      </c>
      <c r="G4188" s="16" t="s">
        <v>285</v>
      </c>
      <c r="H4188" s="17">
        <v>396000</v>
      </c>
      <c r="I4188" s="17">
        <f t="shared" si="316"/>
        <v>396000</v>
      </c>
      <c r="J4188" s="519">
        <v>376200</v>
      </c>
      <c r="K4188" s="519">
        <f t="shared" si="324"/>
        <v>19800</v>
      </c>
      <c r="L4188" s="519">
        <f t="shared" si="325"/>
        <v>19800</v>
      </c>
      <c r="M4188" s="557">
        <f t="shared" si="326"/>
        <v>0.05</v>
      </c>
      <c r="N4188" s="15" t="s">
        <v>40</v>
      </c>
      <c r="O4188" s="15" t="s">
        <v>4066</v>
      </c>
    </row>
    <row r="4189" spans="1:15">
      <c r="A4189" s="70">
        <v>2026</v>
      </c>
      <c r="B4189" s="16" t="s">
        <v>562</v>
      </c>
      <c r="C4189" s="70" t="s">
        <v>5414</v>
      </c>
      <c r="D4189" s="15" t="s">
        <v>345</v>
      </c>
      <c r="E4189" s="15" t="s">
        <v>5415</v>
      </c>
      <c r="F4189" s="95">
        <v>1</v>
      </c>
      <c r="G4189" s="16" t="s">
        <v>285</v>
      </c>
      <c r="H4189" s="17">
        <v>60480</v>
      </c>
      <c r="I4189" s="17">
        <f t="shared" si="316"/>
        <v>60480</v>
      </c>
      <c r="J4189" s="519">
        <v>58655.9</v>
      </c>
      <c r="K4189" s="519">
        <f t="shared" si="324"/>
        <v>1824.0999999999985</v>
      </c>
      <c r="L4189" s="519">
        <f t="shared" si="325"/>
        <v>1824.0999999999985</v>
      </c>
      <c r="M4189" s="557">
        <f t="shared" si="326"/>
        <v>3.0160383597883575E-2</v>
      </c>
      <c r="N4189" s="15" t="s">
        <v>40</v>
      </c>
      <c r="O4189" s="15" t="s">
        <v>4066</v>
      </c>
    </row>
    <row r="4190" spans="1:15">
      <c r="A4190" s="70">
        <v>2026</v>
      </c>
      <c r="B4190" s="16" t="s">
        <v>562</v>
      </c>
      <c r="C4190" s="70" t="s">
        <v>5416</v>
      </c>
      <c r="D4190" s="15" t="s">
        <v>157</v>
      </c>
      <c r="E4190" s="15" t="s">
        <v>5397</v>
      </c>
      <c r="F4190" s="95">
        <v>1</v>
      </c>
      <c r="G4190" s="16" t="s">
        <v>19</v>
      </c>
      <c r="H4190" s="17">
        <v>5400</v>
      </c>
      <c r="I4190" s="17">
        <f t="shared" si="316"/>
        <v>5400</v>
      </c>
      <c r="J4190" s="519">
        <v>4320</v>
      </c>
      <c r="K4190" s="519">
        <f t="shared" si="324"/>
        <v>1080</v>
      </c>
      <c r="L4190" s="519">
        <f t="shared" si="325"/>
        <v>1080</v>
      </c>
      <c r="M4190" s="557">
        <f t="shared" si="326"/>
        <v>0.2</v>
      </c>
      <c r="N4190" s="15" t="s">
        <v>40</v>
      </c>
      <c r="O4190" s="15" t="s">
        <v>4066</v>
      </c>
    </row>
    <row r="4191" spans="1:15">
      <c r="A4191" s="70">
        <v>2026</v>
      </c>
      <c r="B4191" s="16" t="s">
        <v>562</v>
      </c>
      <c r="C4191" s="70" t="s">
        <v>5417</v>
      </c>
      <c r="D4191" s="15" t="s">
        <v>329</v>
      </c>
      <c r="E4191" s="15" t="s">
        <v>5418</v>
      </c>
      <c r="F4191" s="95">
        <v>2</v>
      </c>
      <c r="G4191" s="16" t="s">
        <v>19</v>
      </c>
      <c r="H4191" s="17">
        <v>850</v>
      </c>
      <c r="I4191" s="17">
        <f t="shared" si="316"/>
        <v>1700</v>
      </c>
      <c r="J4191" s="519">
        <v>820</v>
      </c>
      <c r="K4191" s="519">
        <f t="shared" si="324"/>
        <v>30</v>
      </c>
      <c r="L4191" s="519">
        <f t="shared" si="325"/>
        <v>60</v>
      </c>
      <c r="M4191" s="557">
        <f t="shared" si="326"/>
        <v>3.5294117647058823E-2</v>
      </c>
      <c r="N4191" s="15" t="s">
        <v>40</v>
      </c>
      <c r="O4191" s="15" t="s">
        <v>4066</v>
      </c>
    </row>
    <row r="4192" spans="1:15">
      <c r="A4192" s="70">
        <v>2026</v>
      </c>
      <c r="B4192" s="16" t="s">
        <v>562</v>
      </c>
      <c r="C4192" s="70" t="s">
        <v>5419</v>
      </c>
      <c r="D4192" s="15" t="s">
        <v>5186</v>
      </c>
      <c r="E4192" s="15" t="s">
        <v>5420</v>
      </c>
      <c r="F4192" s="95">
        <v>1</v>
      </c>
      <c r="G4192" s="16" t="s">
        <v>285</v>
      </c>
      <c r="H4192" s="17">
        <v>17000</v>
      </c>
      <c r="I4192" s="17">
        <f t="shared" si="316"/>
        <v>17000</v>
      </c>
      <c r="J4192" s="519">
        <v>15000</v>
      </c>
      <c r="K4192" s="519">
        <f t="shared" si="324"/>
        <v>2000</v>
      </c>
      <c r="L4192" s="519">
        <f t="shared" si="325"/>
        <v>2000</v>
      </c>
      <c r="M4192" s="557">
        <f t="shared" si="326"/>
        <v>0.11764705882352941</v>
      </c>
      <c r="N4192" s="15" t="s">
        <v>40</v>
      </c>
      <c r="O4192" s="15" t="s">
        <v>4066</v>
      </c>
    </row>
    <row r="4193" spans="1:15">
      <c r="A4193" s="70">
        <v>2026</v>
      </c>
      <c r="B4193" s="16" t="s">
        <v>562</v>
      </c>
      <c r="C4193" s="70" t="s">
        <v>5421</v>
      </c>
      <c r="D4193" s="15" t="s">
        <v>5186</v>
      </c>
      <c r="E4193" s="15" t="s">
        <v>5422</v>
      </c>
      <c r="F4193" s="95">
        <v>1</v>
      </c>
      <c r="G4193" s="16" t="s">
        <v>285</v>
      </c>
      <c r="H4193" s="17">
        <v>1851100</v>
      </c>
      <c r="I4193" s="17">
        <f t="shared" si="316"/>
        <v>1851100</v>
      </c>
      <c r="J4193" s="519">
        <v>1797100</v>
      </c>
      <c r="K4193" s="519">
        <f t="shared" si="324"/>
        <v>54000</v>
      </c>
      <c r="L4193" s="519">
        <f t="shared" si="325"/>
        <v>54000</v>
      </c>
      <c r="M4193" s="557">
        <f t="shared" si="326"/>
        <v>2.917184376857004E-2</v>
      </c>
      <c r="N4193" s="15" t="s">
        <v>40</v>
      </c>
      <c r="O4193" s="15" t="s">
        <v>4066</v>
      </c>
    </row>
    <row r="4194" spans="1:15">
      <c r="A4194" s="70">
        <v>2026</v>
      </c>
      <c r="B4194" s="16" t="s">
        <v>562</v>
      </c>
      <c r="C4194" s="70" t="s">
        <v>5423</v>
      </c>
      <c r="D4194" s="15" t="s">
        <v>2934</v>
      </c>
      <c r="E4194" s="15" t="s">
        <v>5424</v>
      </c>
      <c r="F4194" s="95">
        <v>1</v>
      </c>
      <c r="G4194" s="16" t="s">
        <v>285</v>
      </c>
      <c r="H4194" s="17">
        <v>96833</v>
      </c>
      <c r="I4194" s="17">
        <f t="shared" si="316"/>
        <v>96833</v>
      </c>
      <c r="J4194" s="519">
        <v>79000</v>
      </c>
      <c r="K4194" s="519">
        <f t="shared" si="324"/>
        <v>17833</v>
      </c>
      <c r="L4194" s="519">
        <f t="shared" si="325"/>
        <v>17833</v>
      </c>
      <c r="M4194" s="557">
        <f t="shared" si="326"/>
        <v>0.18416242396703603</v>
      </c>
      <c r="N4194" s="15" t="s">
        <v>40</v>
      </c>
      <c r="O4194" s="15" t="s">
        <v>4066</v>
      </c>
    </row>
    <row r="4195" spans="1:15">
      <c r="A4195" s="70">
        <v>2026</v>
      </c>
      <c r="B4195" s="16" t="s">
        <v>562</v>
      </c>
      <c r="C4195" s="70" t="s">
        <v>5425</v>
      </c>
      <c r="D4195" s="15" t="s">
        <v>345</v>
      </c>
      <c r="E4195" s="15" t="s">
        <v>5426</v>
      </c>
      <c r="F4195" s="95">
        <v>1</v>
      </c>
      <c r="G4195" s="16" t="s">
        <v>285</v>
      </c>
      <c r="H4195" s="17">
        <v>43580</v>
      </c>
      <c r="I4195" s="17">
        <f t="shared" si="316"/>
        <v>43580</v>
      </c>
      <c r="J4195" s="519">
        <v>42272.6</v>
      </c>
      <c r="K4195" s="519">
        <f t="shared" si="324"/>
        <v>1307.4000000000015</v>
      </c>
      <c r="L4195" s="519">
        <f t="shared" si="325"/>
        <v>1307.4000000000015</v>
      </c>
      <c r="M4195" s="557">
        <f t="shared" si="326"/>
        <v>3.0000000000000034E-2</v>
      </c>
      <c r="N4195" s="15" t="s">
        <v>40</v>
      </c>
      <c r="O4195" s="15" t="s">
        <v>4066</v>
      </c>
    </row>
    <row r="4196" spans="1:15">
      <c r="A4196" s="70">
        <v>2026</v>
      </c>
      <c r="B4196" s="16" t="s">
        <v>562</v>
      </c>
      <c r="C4196" s="70" t="s">
        <v>5427</v>
      </c>
      <c r="D4196" s="15" t="s">
        <v>5428</v>
      </c>
      <c r="E4196" s="15" t="s">
        <v>5429</v>
      </c>
      <c r="F4196" s="95">
        <v>2</v>
      </c>
      <c r="G4196" s="16" t="s">
        <v>19</v>
      </c>
      <c r="H4196" s="17">
        <v>8850</v>
      </c>
      <c r="I4196" s="17">
        <f t="shared" si="316"/>
        <v>17700</v>
      </c>
      <c r="J4196" s="519">
        <v>8584.5</v>
      </c>
      <c r="K4196" s="519">
        <f t="shared" si="324"/>
        <v>265.5</v>
      </c>
      <c r="L4196" s="519">
        <f t="shared" si="325"/>
        <v>531</v>
      </c>
      <c r="M4196" s="557">
        <f t="shared" si="326"/>
        <v>0.03</v>
      </c>
      <c r="N4196" s="15" t="s">
        <v>40</v>
      </c>
      <c r="O4196" s="15" t="s">
        <v>4066</v>
      </c>
    </row>
    <row r="4197" spans="1:15">
      <c r="A4197" s="70">
        <v>2026</v>
      </c>
      <c r="B4197" s="16" t="s">
        <v>562</v>
      </c>
      <c r="C4197" s="70" t="s">
        <v>5430</v>
      </c>
      <c r="D4197" s="15" t="s">
        <v>5431</v>
      </c>
      <c r="E4197" s="15" t="s">
        <v>5432</v>
      </c>
      <c r="F4197" s="95">
        <v>1</v>
      </c>
      <c r="G4197" s="16" t="s">
        <v>19</v>
      </c>
      <c r="H4197" s="17">
        <v>843.09</v>
      </c>
      <c r="I4197" s="17">
        <f t="shared" si="316"/>
        <v>843.09</v>
      </c>
      <c r="J4197" s="519">
        <v>840</v>
      </c>
      <c r="K4197" s="519">
        <f t="shared" si="324"/>
        <v>3.0900000000000318</v>
      </c>
      <c r="L4197" s="519">
        <f t="shared" si="325"/>
        <v>3.0900000000000318</v>
      </c>
      <c r="M4197" s="557">
        <f t="shared" si="326"/>
        <v>3.6650891363911703E-3</v>
      </c>
      <c r="N4197" s="15" t="s">
        <v>22</v>
      </c>
      <c r="O4197" s="15" t="s">
        <v>4066</v>
      </c>
    </row>
    <row r="4198" spans="1:15">
      <c r="A4198" s="70">
        <v>2026</v>
      </c>
      <c r="B4198" s="16" t="s">
        <v>562</v>
      </c>
      <c r="C4198" s="70" t="s">
        <v>5430</v>
      </c>
      <c r="D4198" s="15" t="s">
        <v>5431</v>
      </c>
      <c r="E4198" s="15" t="s">
        <v>5433</v>
      </c>
      <c r="F4198" s="95">
        <v>10</v>
      </c>
      <c r="G4198" s="16" t="s">
        <v>19</v>
      </c>
      <c r="H4198" s="17">
        <v>37.380000000000003</v>
      </c>
      <c r="I4198" s="17">
        <f t="shared" si="316"/>
        <v>373.8</v>
      </c>
      <c r="J4198" s="519">
        <v>35</v>
      </c>
      <c r="K4198" s="519">
        <f t="shared" si="324"/>
        <v>2.3800000000000026</v>
      </c>
      <c r="L4198" s="519">
        <f t="shared" si="325"/>
        <v>23.800000000000026</v>
      </c>
      <c r="M4198" s="557">
        <f t="shared" si="326"/>
        <v>6.3670411985018785E-2</v>
      </c>
      <c r="N4198" s="15" t="s">
        <v>22</v>
      </c>
      <c r="O4198" s="15" t="s">
        <v>4066</v>
      </c>
    </row>
    <row r="4199" spans="1:15">
      <c r="A4199" s="70">
        <v>2026</v>
      </c>
      <c r="B4199" s="16" t="s">
        <v>562</v>
      </c>
      <c r="C4199" s="70" t="s">
        <v>5434</v>
      </c>
      <c r="D4199" s="15" t="s">
        <v>5435</v>
      </c>
      <c r="E4199" s="15" t="s">
        <v>5436</v>
      </c>
      <c r="F4199" s="95">
        <v>1400</v>
      </c>
      <c r="G4199" s="16" t="s">
        <v>5437</v>
      </c>
      <c r="H4199" s="17">
        <v>65</v>
      </c>
      <c r="I4199" s="17">
        <f t="shared" si="316"/>
        <v>91000</v>
      </c>
      <c r="J4199" s="519">
        <v>62.5</v>
      </c>
      <c r="K4199" s="519">
        <f t="shared" si="324"/>
        <v>2.5</v>
      </c>
      <c r="L4199" s="519">
        <f t="shared" si="325"/>
        <v>3500</v>
      </c>
      <c r="M4199" s="557">
        <f t="shared" si="326"/>
        <v>3.8461538461538464E-2</v>
      </c>
      <c r="N4199" s="15" t="s">
        <v>40</v>
      </c>
      <c r="O4199" s="15" t="s">
        <v>4066</v>
      </c>
    </row>
    <row r="4200" spans="1:15">
      <c r="A4200" s="70">
        <v>2026</v>
      </c>
      <c r="B4200" s="16" t="s">
        <v>562</v>
      </c>
      <c r="C4200" s="70" t="s">
        <v>5434</v>
      </c>
      <c r="D4200" s="15" t="s">
        <v>5435</v>
      </c>
      <c r="E4200" s="15" t="s">
        <v>5438</v>
      </c>
      <c r="F4200" s="95">
        <v>1</v>
      </c>
      <c r="G4200" s="16" t="s">
        <v>285</v>
      </c>
      <c r="H4200" s="17">
        <v>5500</v>
      </c>
      <c r="I4200" s="17">
        <f t="shared" si="316"/>
        <v>5500</v>
      </c>
      <c r="J4200" s="519">
        <v>4000</v>
      </c>
      <c r="K4200" s="519">
        <f t="shared" si="324"/>
        <v>1500</v>
      </c>
      <c r="L4200" s="519">
        <f t="shared" si="325"/>
        <v>1500</v>
      </c>
      <c r="M4200" s="557">
        <f t="shared" si="326"/>
        <v>0.27272727272727271</v>
      </c>
      <c r="N4200" s="15" t="s">
        <v>40</v>
      </c>
      <c r="O4200" s="15" t="s">
        <v>4066</v>
      </c>
    </row>
    <row r="4201" spans="1:15">
      <c r="A4201" s="70">
        <v>2026</v>
      </c>
      <c r="B4201" s="16" t="s">
        <v>562</v>
      </c>
      <c r="C4201" s="70" t="s">
        <v>5439</v>
      </c>
      <c r="D4201" s="15" t="s">
        <v>4857</v>
      </c>
      <c r="E4201" s="15" t="s">
        <v>5440</v>
      </c>
      <c r="F4201" s="95">
        <v>1</v>
      </c>
      <c r="G4201" s="16" t="s">
        <v>285</v>
      </c>
      <c r="H4201" s="17">
        <v>203820</v>
      </c>
      <c r="I4201" s="17">
        <f t="shared" si="316"/>
        <v>203820</v>
      </c>
      <c r="J4201" s="519">
        <v>200000</v>
      </c>
      <c r="K4201" s="519">
        <f t="shared" si="324"/>
        <v>3820</v>
      </c>
      <c r="L4201" s="519">
        <f t="shared" si="325"/>
        <v>3820</v>
      </c>
      <c r="M4201" s="557">
        <f t="shared" si="326"/>
        <v>1.8742027278971642E-2</v>
      </c>
      <c r="N4201" s="15" t="s">
        <v>40</v>
      </c>
      <c r="O4201" s="15" t="s">
        <v>4066</v>
      </c>
    </row>
    <row r="4202" spans="1:15">
      <c r="A4202" s="70">
        <v>2026</v>
      </c>
      <c r="B4202" s="16" t="s">
        <v>562</v>
      </c>
      <c r="C4202" s="70" t="s">
        <v>5441</v>
      </c>
      <c r="D4202" s="15" t="s">
        <v>17</v>
      </c>
      <c r="E4202" s="15" t="s">
        <v>5442</v>
      </c>
      <c r="F4202" s="95">
        <v>4</v>
      </c>
      <c r="G4202" s="16" t="s">
        <v>19</v>
      </c>
      <c r="H4202" s="17">
        <v>315</v>
      </c>
      <c r="I4202" s="17">
        <f t="shared" si="316"/>
        <v>1260</v>
      </c>
      <c r="J4202" s="519">
        <v>185</v>
      </c>
      <c r="K4202" s="519">
        <f t="shared" si="324"/>
        <v>130</v>
      </c>
      <c r="L4202" s="519">
        <f t="shared" si="325"/>
        <v>520</v>
      </c>
      <c r="M4202" s="557">
        <f t="shared" si="326"/>
        <v>0.41269841269841268</v>
      </c>
      <c r="N4202" s="15" t="s">
        <v>22</v>
      </c>
      <c r="O4202" s="15" t="s">
        <v>4066</v>
      </c>
    </row>
    <row r="4203" spans="1:15">
      <c r="A4203" s="70">
        <v>2026</v>
      </c>
      <c r="B4203" s="16" t="s">
        <v>562</v>
      </c>
      <c r="C4203" s="70" t="s">
        <v>5441</v>
      </c>
      <c r="D4203" s="15" t="s">
        <v>17</v>
      </c>
      <c r="E4203" s="15" t="s">
        <v>5443</v>
      </c>
      <c r="F4203" s="95">
        <v>4</v>
      </c>
      <c r="G4203" s="16" t="s">
        <v>19</v>
      </c>
      <c r="H4203" s="17">
        <v>290</v>
      </c>
      <c r="I4203" s="17">
        <f t="shared" si="316"/>
        <v>1160</v>
      </c>
      <c r="J4203" s="519">
        <v>165</v>
      </c>
      <c r="K4203" s="519">
        <f t="shared" si="324"/>
        <v>125</v>
      </c>
      <c r="L4203" s="519">
        <f t="shared" si="325"/>
        <v>500</v>
      </c>
      <c r="M4203" s="557">
        <f t="shared" si="326"/>
        <v>0.43103448275862066</v>
      </c>
      <c r="N4203" s="15" t="s">
        <v>22</v>
      </c>
      <c r="O4203" s="15" t="s">
        <v>4066</v>
      </c>
    </row>
    <row r="4204" spans="1:15">
      <c r="A4204" s="70">
        <v>2026</v>
      </c>
      <c r="B4204" s="16" t="s">
        <v>562</v>
      </c>
      <c r="C4204" s="70" t="s">
        <v>5444</v>
      </c>
      <c r="D4204" s="15" t="s">
        <v>4231</v>
      </c>
      <c r="E4204" s="15" t="s">
        <v>5445</v>
      </c>
      <c r="F4204" s="95">
        <v>1</v>
      </c>
      <c r="G4204" s="16" t="s">
        <v>285</v>
      </c>
      <c r="H4204" s="17">
        <v>51200</v>
      </c>
      <c r="I4204" s="17">
        <f t="shared" si="316"/>
        <v>51200</v>
      </c>
      <c r="J4204" s="519">
        <v>49664</v>
      </c>
      <c r="K4204" s="519">
        <f t="shared" si="324"/>
        <v>1536</v>
      </c>
      <c r="L4204" s="519">
        <f t="shared" si="325"/>
        <v>1536</v>
      </c>
      <c r="M4204" s="557">
        <f t="shared" si="326"/>
        <v>0.03</v>
      </c>
      <c r="N4204" s="15" t="s">
        <v>40</v>
      </c>
      <c r="O4204" s="15" t="s">
        <v>4066</v>
      </c>
    </row>
    <row r="4205" spans="1:15">
      <c r="A4205" s="70">
        <v>2026</v>
      </c>
      <c r="B4205" s="16" t="s">
        <v>562</v>
      </c>
      <c r="C4205" s="70" t="s">
        <v>5446</v>
      </c>
      <c r="D4205" s="15" t="s">
        <v>5447</v>
      </c>
      <c r="E4205" s="15" t="s">
        <v>5448</v>
      </c>
      <c r="F4205" s="95">
        <v>1</v>
      </c>
      <c r="G4205" s="16" t="s">
        <v>285</v>
      </c>
      <c r="H4205" s="17">
        <v>86400</v>
      </c>
      <c r="I4205" s="17">
        <f t="shared" si="316"/>
        <v>86400</v>
      </c>
      <c r="J4205" s="519">
        <v>83900</v>
      </c>
      <c r="K4205" s="519">
        <f t="shared" si="324"/>
        <v>2500</v>
      </c>
      <c r="L4205" s="519">
        <f t="shared" si="325"/>
        <v>2500</v>
      </c>
      <c r="M4205" s="557">
        <f t="shared" si="326"/>
        <v>2.8935185185185185E-2</v>
      </c>
      <c r="N4205" s="15" t="s">
        <v>40</v>
      </c>
      <c r="O4205" s="15" t="s">
        <v>4066</v>
      </c>
    </row>
    <row r="4206" spans="1:15">
      <c r="A4206" s="70">
        <v>2026</v>
      </c>
      <c r="B4206" s="16" t="s">
        <v>562</v>
      </c>
      <c r="C4206" s="70" t="s">
        <v>5449</v>
      </c>
      <c r="D4206" s="15" t="s">
        <v>1935</v>
      </c>
      <c r="E4206" s="15" t="s">
        <v>5450</v>
      </c>
      <c r="F4206" s="95">
        <v>2</v>
      </c>
      <c r="G4206" s="16" t="s">
        <v>2482</v>
      </c>
      <c r="H4206" s="17">
        <v>770</v>
      </c>
      <c r="I4206" s="17">
        <f t="shared" ref="I4206:I4227" si="327">H4206*F4206</f>
        <v>1540</v>
      </c>
      <c r="J4206" s="519">
        <v>740</v>
      </c>
      <c r="K4206" s="519">
        <f t="shared" ref="K4206:K4227" si="328">H4206-J4206</f>
        <v>30</v>
      </c>
      <c r="L4206" s="519">
        <f t="shared" ref="L4206:L4227" si="329">K4206*F4206</f>
        <v>60</v>
      </c>
      <c r="M4206" s="557">
        <f t="shared" ref="M4206:M4227" si="330">K4206/H4206</f>
        <v>3.896103896103896E-2</v>
      </c>
      <c r="N4206" s="15" t="s">
        <v>22</v>
      </c>
      <c r="O4206" s="15" t="s">
        <v>4066</v>
      </c>
    </row>
    <row r="4207" spans="1:15">
      <c r="A4207" s="70">
        <v>2026</v>
      </c>
      <c r="B4207" s="16" t="s">
        <v>562</v>
      </c>
      <c r="C4207" s="70" t="s">
        <v>5449</v>
      </c>
      <c r="D4207" s="15" t="s">
        <v>1935</v>
      </c>
      <c r="E4207" s="15" t="s">
        <v>5451</v>
      </c>
      <c r="F4207" s="95">
        <v>3</v>
      </c>
      <c r="G4207" s="16" t="s">
        <v>2482</v>
      </c>
      <c r="H4207" s="17">
        <v>630</v>
      </c>
      <c r="I4207" s="17">
        <f t="shared" si="327"/>
        <v>1890</v>
      </c>
      <c r="J4207" s="519">
        <v>592</v>
      </c>
      <c r="K4207" s="519">
        <f t="shared" si="328"/>
        <v>38</v>
      </c>
      <c r="L4207" s="519">
        <f t="shared" si="329"/>
        <v>114</v>
      </c>
      <c r="M4207" s="557">
        <f t="shared" si="330"/>
        <v>6.0317460317460318E-2</v>
      </c>
      <c r="N4207" s="15" t="s">
        <v>22</v>
      </c>
      <c r="O4207" s="15" t="s">
        <v>4066</v>
      </c>
    </row>
    <row r="4208" spans="1:15">
      <c r="A4208" s="70">
        <v>2026</v>
      </c>
      <c r="B4208" s="16" t="s">
        <v>562</v>
      </c>
      <c r="C4208" s="70" t="s">
        <v>5449</v>
      </c>
      <c r="D4208" s="15" t="s">
        <v>1935</v>
      </c>
      <c r="E4208" s="15" t="s">
        <v>5452</v>
      </c>
      <c r="F4208" s="95">
        <v>2</v>
      </c>
      <c r="G4208" s="16" t="s">
        <v>2482</v>
      </c>
      <c r="H4208" s="17">
        <v>680</v>
      </c>
      <c r="I4208" s="17">
        <f t="shared" si="327"/>
        <v>1360</v>
      </c>
      <c r="J4208" s="519">
        <v>592</v>
      </c>
      <c r="K4208" s="519">
        <f t="shared" si="328"/>
        <v>88</v>
      </c>
      <c r="L4208" s="519">
        <f t="shared" si="329"/>
        <v>176</v>
      </c>
      <c r="M4208" s="557">
        <f t="shared" si="330"/>
        <v>0.12941176470588237</v>
      </c>
      <c r="N4208" s="15" t="s">
        <v>22</v>
      </c>
      <c r="O4208" s="15" t="s">
        <v>4066</v>
      </c>
    </row>
    <row r="4209" spans="1:15">
      <c r="A4209" s="70">
        <v>2026</v>
      </c>
      <c r="B4209" s="16" t="s">
        <v>562</v>
      </c>
      <c r="C4209" s="70" t="s">
        <v>5453</v>
      </c>
      <c r="D4209" s="15" t="s">
        <v>3020</v>
      </c>
      <c r="E4209" s="15" t="s">
        <v>5454</v>
      </c>
      <c r="F4209" s="95">
        <v>1</v>
      </c>
      <c r="G4209" s="16" t="s">
        <v>285</v>
      </c>
      <c r="H4209" s="17">
        <v>68500</v>
      </c>
      <c r="I4209" s="17">
        <f t="shared" si="327"/>
        <v>68500</v>
      </c>
      <c r="J4209" s="519">
        <v>65000</v>
      </c>
      <c r="K4209" s="519">
        <f t="shared" si="328"/>
        <v>3500</v>
      </c>
      <c r="L4209" s="519">
        <f t="shared" si="329"/>
        <v>3500</v>
      </c>
      <c r="M4209" s="557">
        <f t="shared" si="330"/>
        <v>5.1094890510948905E-2</v>
      </c>
      <c r="N4209" s="15" t="s">
        <v>40</v>
      </c>
      <c r="O4209" s="15" t="s">
        <v>4066</v>
      </c>
    </row>
    <row r="4210" spans="1:15">
      <c r="A4210" s="70">
        <v>2026</v>
      </c>
      <c r="B4210" s="16" t="s">
        <v>562</v>
      </c>
      <c r="C4210" s="70" t="s">
        <v>5455</v>
      </c>
      <c r="D4210" s="15" t="s">
        <v>5456</v>
      </c>
      <c r="E4210" s="15" t="s">
        <v>5457</v>
      </c>
      <c r="F4210" s="95">
        <v>1</v>
      </c>
      <c r="G4210" s="16" t="s">
        <v>285</v>
      </c>
      <c r="H4210" s="17">
        <v>345531</v>
      </c>
      <c r="I4210" s="17">
        <f t="shared" si="327"/>
        <v>345531</v>
      </c>
      <c r="J4210" s="519">
        <v>310977</v>
      </c>
      <c r="K4210" s="519">
        <f t="shared" si="328"/>
        <v>34554</v>
      </c>
      <c r="L4210" s="519">
        <f t="shared" si="329"/>
        <v>34554</v>
      </c>
      <c r="M4210" s="557">
        <f t="shared" si="330"/>
        <v>0.10000260468669959</v>
      </c>
      <c r="N4210" s="15" t="s">
        <v>40</v>
      </c>
      <c r="O4210" s="15" t="s">
        <v>4066</v>
      </c>
    </row>
    <row r="4211" spans="1:15">
      <c r="A4211" s="70">
        <v>2026</v>
      </c>
      <c r="B4211" s="16" t="s">
        <v>562</v>
      </c>
      <c r="C4211" s="70" t="s">
        <v>5458</v>
      </c>
      <c r="D4211" s="15" t="s">
        <v>2291</v>
      </c>
      <c r="E4211" s="15" t="s">
        <v>5459</v>
      </c>
      <c r="F4211" s="95">
        <v>1</v>
      </c>
      <c r="G4211" s="16" t="s">
        <v>285</v>
      </c>
      <c r="H4211" s="17">
        <v>3500</v>
      </c>
      <c r="I4211" s="17">
        <f t="shared" si="327"/>
        <v>3500</v>
      </c>
      <c r="J4211" s="519">
        <v>3150</v>
      </c>
      <c r="K4211" s="519">
        <f t="shared" si="328"/>
        <v>350</v>
      </c>
      <c r="L4211" s="519">
        <f t="shared" si="329"/>
        <v>350</v>
      </c>
      <c r="M4211" s="557">
        <f t="shared" si="330"/>
        <v>0.1</v>
      </c>
      <c r="N4211" s="15" t="s">
        <v>40</v>
      </c>
      <c r="O4211" s="15" t="s">
        <v>4066</v>
      </c>
    </row>
    <row r="4212" spans="1:15">
      <c r="A4212" s="70">
        <v>2026</v>
      </c>
      <c r="B4212" s="16" t="s">
        <v>562</v>
      </c>
      <c r="C4212" s="70" t="s">
        <v>5460</v>
      </c>
      <c r="D4212" s="15" t="s">
        <v>5461</v>
      </c>
      <c r="E4212" s="15" t="s">
        <v>5462</v>
      </c>
      <c r="F4212" s="95">
        <v>1</v>
      </c>
      <c r="G4212" s="16" t="s">
        <v>285</v>
      </c>
      <c r="H4212" s="17">
        <v>50000</v>
      </c>
      <c r="I4212" s="17">
        <f t="shared" si="327"/>
        <v>50000</v>
      </c>
      <c r="J4212" s="519">
        <v>45000</v>
      </c>
      <c r="K4212" s="519">
        <f t="shared" si="328"/>
        <v>5000</v>
      </c>
      <c r="L4212" s="519">
        <f t="shared" si="329"/>
        <v>5000</v>
      </c>
      <c r="M4212" s="557">
        <f t="shared" si="330"/>
        <v>0.1</v>
      </c>
      <c r="N4212" s="15" t="s">
        <v>40</v>
      </c>
      <c r="O4212" s="15" t="s">
        <v>4066</v>
      </c>
    </row>
    <row r="4213" spans="1:15">
      <c r="A4213" s="70">
        <v>2026</v>
      </c>
      <c r="B4213" s="16" t="s">
        <v>562</v>
      </c>
      <c r="C4213" s="70" t="s">
        <v>5463</v>
      </c>
      <c r="D4213" s="15" t="s">
        <v>5186</v>
      </c>
      <c r="E4213" s="15" t="s">
        <v>5464</v>
      </c>
      <c r="F4213" s="95">
        <v>1</v>
      </c>
      <c r="G4213" s="16" t="s">
        <v>285</v>
      </c>
      <c r="H4213" s="17">
        <v>8500</v>
      </c>
      <c r="I4213" s="17">
        <f t="shared" si="327"/>
        <v>8500</v>
      </c>
      <c r="J4213" s="519">
        <v>7000</v>
      </c>
      <c r="K4213" s="519">
        <f t="shared" si="328"/>
        <v>1500</v>
      </c>
      <c r="L4213" s="519">
        <f t="shared" si="329"/>
        <v>1500</v>
      </c>
      <c r="M4213" s="557">
        <f t="shared" si="330"/>
        <v>0.17647058823529413</v>
      </c>
      <c r="N4213" s="15" t="s">
        <v>40</v>
      </c>
      <c r="O4213" s="15" t="s">
        <v>4066</v>
      </c>
    </row>
    <row r="4214" spans="1:15">
      <c r="A4214" s="70">
        <v>2026</v>
      </c>
      <c r="B4214" s="16" t="s">
        <v>562</v>
      </c>
      <c r="C4214" s="70" t="s">
        <v>5465</v>
      </c>
      <c r="D4214" s="15" t="s">
        <v>2052</v>
      </c>
      <c r="E4214" s="15" t="s">
        <v>5466</v>
      </c>
      <c r="F4214" s="95">
        <v>5</v>
      </c>
      <c r="G4214" s="16" t="s">
        <v>798</v>
      </c>
      <c r="H4214" s="17">
        <v>3406</v>
      </c>
      <c r="I4214" s="17">
        <f t="shared" si="327"/>
        <v>17030</v>
      </c>
      <c r="J4214" s="519">
        <v>3000</v>
      </c>
      <c r="K4214" s="519">
        <f t="shared" si="328"/>
        <v>406</v>
      </c>
      <c r="L4214" s="519">
        <f t="shared" si="329"/>
        <v>2030</v>
      </c>
      <c r="M4214" s="557">
        <f t="shared" si="330"/>
        <v>0.11920140927774515</v>
      </c>
      <c r="N4214" s="15" t="s">
        <v>40</v>
      </c>
      <c r="O4214" s="15" t="s">
        <v>4066</v>
      </c>
    </row>
    <row r="4215" spans="1:15">
      <c r="A4215" s="70">
        <v>2026</v>
      </c>
      <c r="B4215" s="16" t="s">
        <v>562</v>
      </c>
      <c r="C4215" s="70" t="s">
        <v>5467</v>
      </c>
      <c r="D4215" s="15" t="s">
        <v>1840</v>
      </c>
      <c r="E4215" s="15" t="s">
        <v>5468</v>
      </c>
      <c r="F4215" s="95">
        <v>1</v>
      </c>
      <c r="G4215" s="16" t="s">
        <v>19</v>
      </c>
      <c r="H4215" s="17">
        <v>104900</v>
      </c>
      <c r="I4215" s="17">
        <f t="shared" si="327"/>
        <v>104900</v>
      </c>
      <c r="J4215" s="519">
        <v>101753</v>
      </c>
      <c r="K4215" s="519">
        <f t="shared" si="328"/>
        <v>3147</v>
      </c>
      <c r="L4215" s="519">
        <f t="shared" si="329"/>
        <v>3147</v>
      </c>
      <c r="M4215" s="557">
        <f t="shared" si="330"/>
        <v>0.03</v>
      </c>
      <c r="N4215" s="15" t="s">
        <v>40</v>
      </c>
      <c r="O4215" s="15" t="s">
        <v>4066</v>
      </c>
    </row>
    <row r="4216" spans="1:15">
      <c r="A4216" s="70">
        <v>2026</v>
      </c>
      <c r="B4216" s="16" t="s">
        <v>562</v>
      </c>
      <c r="C4216" s="70" t="s">
        <v>5469</v>
      </c>
      <c r="D4216" s="15" t="s">
        <v>118</v>
      </c>
      <c r="E4216" s="15" t="s">
        <v>5470</v>
      </c>
      <c r="F4216" s="95">
        <v>1</v>
      </c>
      <c r="G4216" s="16" t="s">
        <v>19</v>
      </c>
      <c r="H4216" s="17">
        <v>7800</v>
      </c>
      <c r="I4216" s="17">
        <f t="shared" si="327"/>
        <v>7800</v>
      </c>
      <c r="J4216" s="519">
        <v>7680</v>
      </c>
      <c r="K4216" s="519">
        <f t="shared" si="328"/>
        <v>120</v>
      </c>
      <c r="L4216" s="519">
        <f t="shared" si="329"/>
        <v>120</v>
      </c>
      <c r="M4216" s="557">
        <f t="shared" si="330"/>
        <v>1.5384615384615385E-2</v>
      </c>
      <c r="N4216" s="15" t="s">
        <v>22</v>
      </c>
      <c r="O4216" s="15" t="s">
        <v>4066</v>
      </c>
    </row>
    <row r="4217" spans="1:15">
      <c r="A4217" s="70">
        <v>2026</v>
      </c>
      <c r="B4217" s="16" t="s">
        <v>562</v>
      </c>
      <c r="C4217" s="70" t="s">
        <v>5471</v>
      </c>
      <c r="D4217" s="15" t="s">
        <v>1948</v>
      </c>
      <c r="E4217" s="15" t="s">
        <v>3757</v>
      </c>
      <c r="F4217" s="95">
        <v>10</v>
      </c>
      <c r="G4217" s="16" t="s">
        <v>19</v>
      </c>
      <c r="H4217" s="17">
        <v>302</v>
      </c>
      <c r="I4217" s="17">
        <f t="shared" si="327"/>
        <v>3020</v>
      </c>
      <c r="J4217" s="519">
        <v>271.8</v>
      </c>
      <c r="K4217" s="519">
        <f t="shared" si="328"/>
        <v>30.199999999999989</v>
      </c>
      <c r="L4217" s="519">
        <f t="shared" si="329"/>
        <v>301.99999999999989</v>
      </c>
      <c r="M4217" s="557">
        <f t="shared" si="330"/>
        <v>9.9999999999999964E-2</v>
      </c>
      <c r="N4217" s="15" t="s">
        <v>40</v>
      </c>
      <c r="O4217" s="15" t="s">
        <v>4066</v>
      </c>
    </row>
    <row r="4218" spans="1:15">
      <c r="A4218" s="70">
        <v>2026</v>
      </c>
      <c r="B4218" s="16" t="s">
        <v>562</v>
      </c>
      <c r="C4218" s="70" t="s">
        <v>5472</v>
      </c>
      <c r="D4218" s="15" t="s">
        <v>522</v>
      </c>
      <c r="E4218" s="15" t="s">
        <v>5473</v>
      </c>
      <c r="F4218" s="95">
        <v>1</v>
      </c>
      <c r="G4218" s="16" t="s">
        <v>285</v>
      </c>
      <c r="H4218" s="17">
        <v>75000</v>
      </c>
      <c r="I4218" s="17">
        <f t="shared" si="327"/>
        <v>75000</v>
      </c>
      <c r="J4218" s="519">
        <v>72000</v>
      </c>
      <c r="K4218" s="519">
        <f t="shared" si="328"/>
        <v>3000</v>
      </c>
      <c r="L4218" s="519">
        <f t="shared" si="329"/>
        <v>3000</v>
      </c>
      <c r="M4218" s="557">
        <f t="shared" si="330"/>
        <v>0.04</v>
      </c>
      <c r="N4218" s="15" t="s">
        <v>40</v>
      </c>
      <c r="O4218" s="15" t="s">
        <v>4066</v>
      </c>
    </row>
    <row r="4219" spans="1:15">
      <c r="A4219" s="70">
        <v>2026</v>
      </c>
      <c r="B4219" s="16" t="s">
        <v>562</v>
      </c>
      <c r="C4219" s="70" t="s">
        <v>5474</v>
      </c>
      <c r="D4219" s="15" t="s">
        <v>118</v>
      </c>
      <c r="E4219" s="15" t="s">
        <v>4438</v>
      </c>
      <c r="F4219" s="95">
        <v>4</v>
      </c>
      <c r="G4219" s="16" t="s">
        <v>19</v>
      </c>
      <c r="H4219" s="17">
        <v>25000</v>
      </c>
      <c r="I4219" s="17">
        <f t="shared" si="327"/>
        <v>100000</v>
      </c>
      <c r="J4219" s="519">
        <v>24800</v>
      </c>
      <c r="K4219" s="519">
        <f t="shared" si="328"/>
        <v>200</v>
      </c>
      <c r="L4219" s="519">
        <f t="shared" si="329"/>
        <v>800</v>
      </c>
      <c r="M4219" s="557">
        <f t="shared" si="330"/>
        <v>8.0000000000000002E-3</v>
      </c>
      <c r="N4219" s="15" t="s">
        <v>22</v>
      </c>
      <c r="O4219" s="15" t="s">
        <v>4066</v>
      </c>
    </row>
    <row r="4220" spans="1:15">
      <c r="A4220" s="70">
        <v>2026</v>
      </c>
      <c r="B4220" s="16" t="s">
        <v>562</v>
      </c>
      <c r="C4220" s="70" t="s">
        <v>5475</v>
      </c>
      <c r="D4220" s="15" t="s">
        <v>17</v>
      </c>
      <c r="E4220" s="15" t="s">
        <v>5476</v>
      </c>
      <c r="F4220" s="95">
        <v>1</v>
      </c>
      <c r="G4220" s="16" t="s">
        <v>19</v>
      </c>
      <c r="H4220" s="17">
        <v>5250</v>
      </c>
      <c r="I4220" s="17">
        <f t="shared" si="327"/>
        <v>5250</v>
      </c>
      <c r="J4220" s="519">
        <v>4100</v>
      </c>
      <c r="K4220" s="519">
        <f t="shared" si="328"/>
        <v>1150</v>
      </c>
      <c r="L4220" s="519">
        <f t="shared" si="329"/>
        <v>1150</v>
      </c>
      <c r="M4220" s="557">
        <f t="shared" si="330"/>
        <v>0.21904761904761905</v>
      </c>
      <c r="N4220" s="15" t="s">
        <v>22</v>
      </c>
      <c r="O4220" s="15" t="s">
        <v>4066</v>
      </c>
    </row>
    <row r="4221" spans="1:15">
      <c r="A4221" s="70">
        <v>2026</v>
      </c>
      <c r="B4221" s="16" t="s">
        <v>562</v>
      </c>
      <c r="C4221" s="70" t="s">
        <v>5477</v>
      </c>
      <c r="D4221" s="15" t="s">
        <v>118</v>
      </c>
      <c r="E4221" s="15" t="s">
        <v>5478</v>
      </c>
      <c r="F4221" s="95">
        <v>1</v>
      </c>
      <c r="G4221" s="16" t="s">
        <v>19</v>
      </c>
      <c r="H4221" s="17">
        <v>695</v>
      </c>
      <c r="I4221" s="17">
        <f t="shared" si="327"/>
        <v>695</v>
      </c>
      <c r="J4221" s="519">
        <v>521.25</v>
      </c>
      <c r="K4221" s="519">
        <f t="shared" si="328"/>
        <v>173.75</v>
      </c>
      <c r="L4221" s="519">
        <f t="shared" si="329"/>
        <v>173.75</v>
      </c>
      <c r="M4221" s="557">
        <f t="shared" si="330"/>
        <v>0.25</v>
      </c>
      <c r="N4221" s="15" t="s">
        <v>22</v>
      </c>
      <c r="O4221" s="15" t="s">
        <v>4066</v>
      </c>
    </row>
    <row r="4222" spans="1:15">
      <c r="A4222" s="70">
        <v>2026</v>
      </c>
      <c r="B4222" s="16" t="s">
        <v>562</v>
      </c>
      <c r="C4222" s="70" t="s">
        <v>5479</v>
      </c>
      <c r="D4222" s="15" t="s">
        <v>5480</v>
      </c>
      <c r="E4222" s="15" t="s">
        <v>5481</v>
      </c>
      <c r="F4222" s="95">
        <v>120</v>
      </c>
      <c r="G4222" s="16" t="s">
        <v>19</v>
      </c>
      <c r="H4222" s="17">
        <v>235</v>
      </c>
      <c r="I4222" s="17">
        <f t="shared" si="327"/>
        <v>28200</v>
      </c>
      <c r="J4222" s="519">
        <v>200</v>
      </c>
      <c r="K4222" s="519">
        <f t="shared" si="328"/>
        <v>35</v>
      </c>
      <c r="L4222" s="519">
        <f t="shared" si="329"/>
        <v>4200</v>
      </c>
      <c r="M4222" s="557">
        <f t="shared" si="330"/>
        <v>0.14893617021276595</v>
      </c>
      <c r="N4222" s="15" t="s">
        <v>40</v>
      </c>
      <c r="O4222" s="15" t="s">
        <v>4066</v>
      </c>
    </row>
    <row r="4223" spans="1:15">
      <c r="A4223" s="70">
        <v>2026</v>
      </c>
      <c r="B4223" s="16" t="s">
        <v>562</v>
      </c>
      <c r="C4223" s="70" t="s">
        <v>5482</v>
      </c>
      <c r="D4223" s="15" t="s">
        <v>4179</v>
      </c>
      <c r="E4223" s="15" t="s">
        <v>5483</v>
      </c>
      <c r="F4223" s="95">
        <v>1</v>
      </c>
      <c r="G4223" s="16" t="s">
        <v>285</v>
      </c>
      <c r="H4223" s="17">
        <v>186195.8</v>
      </c>
      <c r="I4223" s="17">
        <f t="shared" si="327"/>
        <v>186195.8</v>
      </c>
      <c r="J4223" s="519">
        <v>180000</v>
      </c>
      <c r="K4223" s="519">
        <f t="shared" si="328"/>
        <v>6195.7999999999884</v>
      </c>
      <c r="L4223" s="519">
        <f t="shared" si="329"/>
        <v>6195.7999999999884</v>
      </c>
      <c r="M4223" s="557">
        <f t="shared" si="330"/>
        <v>3.327572372738799E-2</v>
      </c>
      <c r="N4223" s="15" t="s">
        <v>40</v>
      </c>
      <c r="O4223" s="15" t="s">
        <v>4066</v>
      </c>
    </row>
    <row r="4224" spans="1:15">
      <c r="A4224" s="70">
        <v>2026</v>
      </c>
      <c r="B4224" s="16" t="s">
        <v>562</v>
      </c>
      <c r="C4224" s="70" t="s">
        <v>5484</v>
      </c>
      <c r="D4224" s="15" t="s">
        <v>4179</v>
      </c>
      <c r="E4224" s="15" t="s">
        <v>5485</v>
      </c>
      <c r="F4224" s="95">
        <v>1</v>
      </c>
      <c r="G4224" s="16" t="s">
        <v>285</v>
      </c>
      <c r="H4224" s="17">
        <v>249592.9</v>
      </c>
      <c r="I4224" s="17">
        <f t="shared" si="327"/>
        <v>249592.9</v>
      </c>
      <c r="J4224" s="519">
        <v>245000</v>
      </c>
      <c r="K4224" s="519">
        <f t="shared" si="328"/>
        <v>4592.8999999999942</v>
      </c>
      <c r="L4224" s="519">
        <f t="shared" si="329"/>
        <v>4592.8999999999942</v>
      </c>
      <c r="M4224" s="557">
        <f t="shared" si="330"/>
        <v>1.8401565108622859E-2</v>
      </c>
      <c r="N4224" s="15" t="s">
        <v>40</v>
      </c>
      <c r="O4224" s="15" t="s">
        <v>4066</v>
      </c>
    </row>
    <row r="4225" spans="1:16">
      <c r="A4225" s="70">
        <v>2026</v>
      </c>
      <c r="B4225" s="16" t="s">
        <v>562</v>
      </c>
      <c r="C4225" s="70" t="s">
        <v>5486</v>
      </c>
      <c r="D4225" s="15" t="s">
        <v>17</v>
      </c>
      <c r="E4225" s="15" t="s">
        <v>5487</v>
      </c>
      <c r="F4225" s="95">
        <v>6</v>
      </c>
      <c r="G4225" s="16" t="s">
        <v>19</v>
      </c>
      <c r="H4225" s="17">
        <v>390</v>
      </c>
      <c r="I4225" s="17">
        <f t="shared" si="327"/>
        <v>2340</v>
      </c>
      <c r="J4225" s="519">
        <v>378</v>
      </c>
      <c r="K4225" s="519">
        <f t="shared" si="328"/>
        <v>12</v>
      </c>
      <c r="L4225" s="519">
        <f t="shared" si="329"/>
        <v>72</v>
      </c>
      <c r="M4225" s="557">
        <f t="shared" si="330"/>
        <v>3.0769230769230771E-2</v>
      </c>
      <c r="N4225" s="15" t="s">
        <v>22</v>
      </c>
      <c r="O4225" s="15" t="s">
        <v>4066</v>
      </c>
    </row>
    <row r="4226" spans="1:16">
      <c r="A4226" s="70">
        <v>2026</v>
      </c>
      <c r="B4226" s="16" t="s">
        <v>562</v>
      </c>
      <c r="C4226" s="70" t="s">
        <v>5486</v>
      </c>
      <c r="D4226" s="15" t="s">
        <v>17</v>
      </c>
      <c r="E4226" s="15" t="s">
        <v>4355</v>
      </c>
      <c r="F4226" s="95">
        <v>6</v>
      </c>
      <c r="G4226" s="16" t="s">
        <v>19</v>
      </c>
      <c r="H4226" s="17">
        <v>3590</v>
      </c>
      <c r="I4226" s="17">
        <f t="shared" si="327"/>
        <v>21540</v>
      </c>
      <c r="J4226" s="519">
        <v>3482</v>
      </c>
      <c r="K4226" s="519">
        <f t="shared" si="328"/>
        <v>108</v>
      </c>
      <c r="L4226" s="519">
        <f t="shared" si="329"/>
        <v>648</v>
      </c>
      <c r="M4226" s="557">
        <f t="shared" si="330"/>
        <v>3.0083565459610027E-2</v>
      </c>
      <c r="N4226" s="15" t="s">
        <v>22</v>
      </c>
      <c r="O4226" s="15" t="s">
        <v>4066</v>
      </c>
    </row>
    <row r="4227" spans="1:16">
      <c r="A4227" s="70">
        <v>2026</v>
      </c>
      <c r="B4227" s="16" t="s">
        <v>562</v>
      </c>
      <c r="C4227" s="70" t="s">
        <v>5486</v>
      </c>
      <c r="D4227" s="15" t="s">
        <v>17</v>
      </c>
      <c r="E4227" s="15" t="s">
        <v>5488</v>
      </c>
      <c r="F4227" s="95">
        <v>1</v>
      </c>
      <c r="G4227" s="16" t="s">
        <v>19</v>
      </c>
      <c r="H4227" s="17">
        <v>1300</v>
      </c>
      <c r="I4227" s="17">
        <f t="shared" si="327"/>
        <v>1300</v>
      </c>
      <c r="J4227" s="519">
        <v>1261</v>
      </c>
      <c r="K4227" s="519">
        <f t="shared" si="328"/>
        <v>39</v>
      </c>
      <c r="L4227" s="519">
        <f t="shared" si="329"/>
        <v>39</v>
      </c>
      <c r="M4227" s="557">
        <f t="shared" si="330"/>
        <v>0.03</v>
      </c>
      <c r="N4227" s="15" t="s">
        <v>22</v>
      </c>
      <c r="O4227" s="15" t="s">
        <v>4066</v>
      </c>
    </row>
    <row r="4228" spans="1:16">
      <c r="A4228" s="70">
        <v>2026</v>
      </c>
      <c r="B4228" s="16" t="s">
        <v>562</v>
      </c>
      <c r="C4228" s="70" t="s">
        <v>5489</v>
      </c>
      <c r="D4228" s="15" t="s">
        <v>118</v>
      </c>
      <c r="E4228" s="15" t="s">
        <v>5490</v>
      </c>
      <c r="F4228" s="95">
        <v>1</v>
      </c>
      <c r="G4228" s="16" t="s">
        <v>19</v>
      </c>
      <c r="H4228" s="17">
        <v>21500</v>
      </c>
      <c r="I4228" s="17">
        <f t="shared" ref="I4228:I4252" si="331">H4228*F4228</f>
        <v>21500</v>
      </c>
      <c r="J4228" s="519">
        <v>20855</v>
      </c>
      <c r="K4228" s="519">
        <f t="shared" ref="K4228:K4252" si="332">H4228-J4228</f>
        <v>645</v>
      </c>
      <c r="L4228" s="519">
        <f t="shared" ref="L4228:L4252" si="333">K4228*F4228</f>
        <v>645</v>
      </c>
      <c r="M4228" s="557">
        <f t="shared" ref="M4228:M4252" si="334">K4228/H4228</f>
        <v>0.03</v>
      </c>
      <c r="N4228" s="15" t="s">
        <v>22</v>
      </c>
      <c r="O4228" s="15" t="s">
        <v>4066</v>
      </c>
    </row>
    <row r="4229" spans="1:16">
      <c r="A4229" s="70">
        <v>2026</v>
      </c>
      <c r="B4229" s="16" t="s">
        <v>562</v>
      </c>
      <c r="C4229" s="70" t="s">
        <v>5491</v>
      </c>
      <c r="D4229" s="15" t="s">
        <v>1525</v>
      </c>
      <c r="E4229" s="15" t="s">
        <v>5492</v>
      </c>
      <c r="F4229" s="95">
        <v>3</v>
      </c>
      <c r="G4229" s="16" t="s">
        <v>19</v>
      </c>
      <c r="H4229" s="17">
        <v>10800</v>
      </c>
      <c r="I4229" s="17">
        <f t="shared" si="331"/>
        <v>32400</v>
      </c>
      <c r="J4229" s="519">
        <v>10476</v>
      </c>
      <c r="K4229" s="519">
        <f t="shared" si="332"/>
        <v>324</v>
      </c>
      <c r="L4229" s="519">
        <f t="shared" si="333"/>
        <v>972</v>
      </c>
      <c r="M4229" s="557">
        <f t="shared" si="334"/>
        <v>0.03</v>
      </c>
      <c r="N4229" s="15" t="s">
        <v>40</v>
      </c>
      <c r="O4229" s="15" t="s">
        <v>4066</v>
      </c>
    </row>
    <row r="4230" spans="1:16">
      <c r="A4230" s="70">
        <v>2026</v>
      </c>
      <c r="B4230" s="16" t="s">
        <v>562</v>
      </c>
      <c r="C4230" s="70" t="s">
        <v>5493</v>
      </c>
      <c r="D4230" s="15" t="s">
        <v>4179</v>
      </c>
      <c r="E4230" s="15" t="s">
        <v>5494</v>
      </c>
      <c r="F4230" s="95">
        <v>1</v>
      </c>
      <c r="G4230" s="16" t="s">
        <v>285</v>
      </c>
      <c r="H4230" s="17">
        <v>596576.19999999995</v>
      </c>
      <c r="I4230" s="17">
        <f t="shared" si="331"/>
        <v>596576.19999999995</v>
      </c>
      <c r="J4230" s="519">
        <v>580000</v>
      </c>
      <c r="K4230" s="519">
        <f t="shared" si="332"/>
        <v>16576.199999999953</v>
      </c>
      <c r="L4230" s="519">
        <f t="shared" si="333"/>
        <v>16576.199999999953</v>
      </c>
      <c r="M4230" s="557">
        <f t="shared" si="334"/>
        <v>2.7785553630868872E-2</v>
      </c>
      <c r="N4230" s="15" t="s">
        <v>40</v>
      </c>
      <c r="O4230" s="15" t="s">
        <v>4066</v>
      </c>
    </row>
    <row r="4231" spans="1:16">
      <c r="A4231" s="70">
        <v>2026</v>
      </c>
      <c r="B4231" s="16" t="s">
        <v>562</v>
      </c>
      <c r="C4231" s="70" t="s">
        <v>5495</v>
      </c>
      <c r="D4231" s="15" t="s">
        <v>125</v>
      </c>
      <c r="E4231" s="15" t="s">
        <v>5496</v>
      </c>
      <c r="F4231" s="95">
        <v>1</v>
      </c>
      <c r="G4231" s="16" t="s">
        <v>285</v>
      </c>
      <c r="H4231" s="17">
        <v>55500</v>
      </c>
      <c r="I4231" s="17">
        <f t="shared" si="331"/>
        <v>55500</v>
      </c>
      <c r="J4231" s="519">
        <v>54667.5</v>
      </c>
      <c r="K4231" s="519">
        <f t="shared" si="332"/>
        <v>832.5</v>
      </c>
      <c r="L4231" s="519">
        <f t="shared" si="333"/>
        <v>832.5</v>
      </c>
      <c r="M4231" s="557">
        <f t="shared" si="334"/>
        <v>1.4999999999999999E-2</v>
      </c>
      <c r="N4231" s="15" t="s">
        <v>22</v>
      </c>
      <c r="O4231" s="15" t="s">
        <v>4066</v>
      </c>
    </row>
    <row r="4232" spans="1:16">
      <c r="A4232" s="70">
        <v>2026</v>
      </c>
      <c r="B4232" s="16" t="s">
        <v>562</v>
      </c>
      <c r="C4232" s="70" t="s">
        <v>5497</v>
      </c>
      <c r="D4232" s="15" t="s">
        <v>5186</v>
      </c>
      <c r="E4232" s="15" t="s">
        <v>5498</v>
      </c>
      <c r="F4232" s="95">
        <v>1</v>
      </c>
      <c r="G4232" s="16" t="s">
        <v>285</v>
      </c>
      <c r="H4232" s="17">
        <v>110110</v>
      </c>
      <c r="I4232" s="17">
        <f t="shared" si="331"/>
        <v>110110</v>
      </c>
      <c r="J4232" s="519">
        <v>105110</v>
      </c>
      <c r="K4232" s="519">
        <f t="shared" si="332"/>
        <v>5000</v>
      </c>
      <c r="L4232" s="519">
        <f t="shared" si="333"/>
        <v>5000</v>
      </c>
      <c r="M4232" s="557">
        <f t="shared" si="334"/>
        <v>4.5409136318227225E-2</v>
      </c>
      <c r="N4232" s="15" t="s">
        <v>40</v>
      </c>
      <c r="O4232" s="15" t="s">
        <v>4066</v>
      </c>
    </row>
    <row r="4233" spans="1:16">
      <c r="A4233" s="70">
        <v>2026</v>
      </c>
      <c r="B4233" s="16" t="s">
        <v>562</v>
      </c>
      <c r="C4233" s="70" t="s">
        <v>5499</v>
      </c>
      <c r="D4233" s="15" t="s">
        <v>1948</v>
      </c>
      <c r="E4233" s="15" t="s">
        <v>5500</v>
      </c>
      <c r="F4233" s="95">
        <v>24</v>
      </c>
      <c r="G4233" s="16" t="s">
        <v>19</v>
      </c>
      <c r="H4233" s="17">
        <v>60</v>
      </c>
      <c r="I4233" s="17">
        <f t="shared" si="331"/>
        <v>1440</v>
      </c>
      <c r="J4233" s="519">
        <v>54</v>
      </c>
      <c r="K4233" s="519">
        <f t="shared" si="332"/>
        <v>6</v>
      </c>
      <c r="L4233" s="519">
        <f t="shared" si="333"/>
        <v>144</v>
      </c>
      <c r="M4233" s="557">
        <f t="shared" si="334"/>
        <v>0.1</v>
      </c>
      <c r="N4233" s="15" t="s">
        <v>40</v>
      </c>
      <c r="O4233" s="15" t="s">
        <v>4066</v>
      </c>
    </row>
    <row r="4234" spans="1:16">
      <c r="A4234" s="70">
        <v>2026</v>
      </c>
      <c r="B4234" s="16" t="s">
        <v>562</v>
      </c>
      <c r="C4234" s="70" t="s">
        <v>5501</v>
      </c>
      <c r="D4234" s="15" t="s">
        <v>5502</v>
      </c>
      <c r="E4234" s="15" t="s">
        <v>5503</v>
      </c>
      <c r="F4234" s="95">
        <v>1</v>
      </c>
      <c r="G4234" s="16" t="s">
        <v>285</v>
      </c>
      <c r="H4234" s="17">
        <v>265000</v>
      </c>
      <c r="I4234" s="17">
        <f t="shared" si="331"/>
        <v>265000</v>
      </c>
      <c r="J4234" s="519">
        <v>250000</v>
      </c>
      <c r="K4234" s="519">
        <f t="shared" si="332"/>
        <v>15000</v>
      </c>
      <c r="L4234" s="519">
        <f t="shared" si="333"/>
        <v>15000</v>
      </c>
      <c r="M4234" s="557">
        <f t="shared" si="334"/>
        <v>5.6603773584905662E-2</v>
      </c>
      <c r="N4234" s="15" t="s">
        <v>22</v>
      </c>
      <c r="O4234" s="15" t="s">
        <v>4066</v>
      </c>
    </row>
    <row r="4235" spans="1:16">
      <c r="A4235" s="70">
        <v>2026</v>
      </c>
      <c r="B4235" s="16" t="s">
        <v>562</v>
      </c>
      <c r="C4235" s="70" t="s">
        <v>5332</v>
      </c>
      <c r="D4235" s="15" t="s">
        <v>2213</v>
      </c>
      <c r="E4235" s="15" t="s">
        <v>5504</v>
      </c>
      <c r="F4235" s="95">
        <v>120</v>
      </c>
      <c r="G4235" s="16" t="s">
        <v>302</v>
      </c>
      <c r="H4235" s="17">
        <v>25990.799999999999</v>
      </c>
      <c r="I4235" s="17">
        <f>H4235*F4235</f>
        <v>3118896</v>
      </c>
      <c r="J4235" s="519">
        <v>25373.7</v>
      </c>
      <c r="K4235" s="519">
        <f t="shared" ref="K4235" si="335">H4235-J4235</f>
        <v>617.09999999999854</v>
      </c>
      <c r="L4235" s="519">
        <f t="shared" ref="L4235" si="336">K4235*F4235</f>
        <v>74051.999999999825</v>
      </c>
      <c r="M4235" s="557">
        <f t="shared" ref="M4235" si="337">K4235/H4235</f>
        <v>2.374301675977648E-2</v>
      </c>
      <c r="N4235" s="15" t="s">
        <v>22</v>
      </c>
      <c r="O4235" s="15" t="s">
        <v>39</v>
      </c>
    </row>
    <row r="4236" spans="1:16">
      <c r="A4236" s="70">
        <v>2026</v>
      </c>
      <c r="B4236" s="16" t="s">
        <v>562</v>
      </c>
      <c r="C4236" s="70" t="s">
        <v>5505</v>
      </c>
      <c r="D4236" s="15" t="s">
        <v>5506</v>
      </c>
      <c r="F4236" s="95">
        <v>12</v>
      </c>
      <c r="G4236" s="16" t="s">
        <v>19</v>
      </c>
      <c r="H4236" s="17">
        <v>52371</v>
      </c>
      <c r="I4236" s="17">
        <f>H4236*F4236</f>
        <v>628452</v>
      </c>
      <c r="J4236" s="519">
        <v>49401</v>
      </c>
      <c r="K4236" s="519">
        <f>H4236-J4236</f>
        <v>2970</v>
      </c>
      <c r="L4236" s="519">
        <f>K4236*F4236</f>
        <v>35640</v>
      </c>
      <c r="M4236" s="557">
        <f>K4236/H4236</f>
        <v>5.6710775047258979E-2</v>
      </c>
      <c r="N4236" s="15" t="s">
        <v>40</v>
      </c>
      <c r="O4236" s="15" t="s">
        <v>39</v>
      </c>
      <c r="P4236" s="655" t="s">
        <v>5507</v>
      </c>
    </row>
    <row r="4237" spans="1:16">
      <c r="A4237" s="70">
        <v>2026</v>
      </c>
      <c r="B4237" s="16" t="s">
        <v>562</v>
      </c>
      <c r="C4237" s="70" t="s">
        <v>5342</v>
      </c>
      <c r="D4237" s="15" t="s">
        <v>304</v>
      </c>
      <c r="E4237" s="15" t="s">
        <v>5344</v>
      </c>
      <c r="F4237" s="95">
        <v>12</v>
      </c>
      <c r="G4237" s="16" t="s">
        <v>19</v>
      </c>
      <c r="H4237" s="17">
        <v>10000</v>
      </c>
      <c r="I4237" s="17">
        <f t="shared" ref="I4237:I4238" si="338">H4237*F4237</f>
        <v>120000</v>
      </c>
      <c r="J4237" s="519">
        <v>9500</v>
      </c>
      <c r="K4237" s="519">
        <f t="shared" ref="K4237:K4238" si="339">H4237-J4237</f>
        <v>500</v>
      </c>
      <c r="L4237" s="519">
        <f t="shared" ref="L4237:L4238" si="340">K4237*F4237</f>
        <v>6000</v>
      </c>
      <c r="M4237" s="557">
        <f t="shared" ref="M4237:M4238" si="341">K4237/H4237</f>
        <v>0.05</v>
      </c>
      <c r="N4237" s="15" t="s">
        <v>40</v>
      </c>
      <c r="O4237" s="15" t="s">
        <v>39</v>
      </c>
      <c r="P4237" s="655"/>
    </row>
    <row r="4238" spans="1:16">
      <c r="A4238" s="70">
        <v>2026</v>
      </c>
      <c r="B4238" s="16" t="s">
        <v>562</v>
      </c>
      <c r="C4238" s="70" t="s">
        <v>5342</v>
      </c>
      <c r="D4238" s="15" t="s">
        <v>304</v>
      </c>
      <c r="E4238" s="15" t="s">
        <v>5345</v>
      </c>
      <c r="F4238" s="95">
        <v>12</v>
      </c>
      <c r="G4238" s="16" t="s">
        <v>19</v>
      </c>
      <c r="H4238" s="17">
        <v>11500</v>
      </c>
      <c r="I4238" s="17">
        <f t="shared" si="338"/>
        <v>138000</v>
      </c>
      <c r="J4238" s="519">
        <v>11000</v>
      </c>
      <c r="K4238" s="519">
        <f t="shared" si="339"/>
        <v>500</v>
      </c>
      <c r="L4238" s="519">
        <f t="shared" si="340"/>
        <v>6000</v>
      </c>
      <c r="M4238" s="557">
        <f t="shared" si="341"/>
        <v>4.3478260869565216E-2</v>
      </c>
      <c r="N4238" s="15" t="s">
        <v>40</v>
      </c>
      <c r="O4238" s="15" t="s">
        <v>39</v>
      </c>
      <c r="P4238" s="655"/>
    </row>
    <row r="4239" spans="1:16">
      <c r="A4239" s="70">
        <v>2026</v>
      </c>
      <c r="B4239" s="16" t="s">
        <v>696</v>
      </c>
      <c r="C4239" s="70" t="s">
        <v>5508</v>
      </c>
      <c r="D4239" s="15" t="s">
        <v>335</v>
      </c>
      <c r="E4239" s="15" t="s">
        <v>336</v>
      </c>
      <c r="F4239" s="95">
        <v>154000</v>
      </c>
      <c r="G4239" s="16" t="s">
        <v>337</v>
      </c>
      <c r="H4239" s="17">
        <v>49.75</v>
      </c>
      <c r="I4239" s="17">
        <f t="shared" si="331"/>
        <v>7661500</v>
      </c>
      <c r="J4239" s="519">
        <v>49.25</v>
      </c>
      <c r="K4239" s="519">
        <f t="shared" si="332"/>
        <v>0.5</v>
      </c>
      <c r="L4239" s="519">
        <f t="shared" si="333"/>
        <v>77000</v>
      </c>
      <c r="M4239" s="557">
        <f t="shared" si="334"/>
        <v>1.0050251256281407E-2</v>
      </c>
      <c r="N4239" s="15" t="s">
        <v>22</v>
      </c>
      <c r="O4239" s="15" t="s">
        <v>39</v>
      </c>
    </row>
    <row r="4240" spans="1:16">
      <c r="A4240" s="70">
        <v>2026</v>
      </c>
      <c r="B4240" s="16" t="s">
        <v>696</v>
      </c>
      <c r="C4240" s="70" t="s">
        <v>5509</v>
      </c>
      <c r="D4240" s="15" t="s">
        <v>1181</v>
      </c>
      <c r="E4240" s="15" t="s">
        <v>5510</v>
      </c>
      <c r="F4240" s="95">
        <v>36</v>
      </c>
      <c r="G4240" s="16" t="s">
        <v>19</v>
      </c>
      <c r="H4240" s="17">
        <v>16500</v>
      </c>
      <c r="I4240" s="17">
        <f t="shared" si="331"/>
        <v>594000</v>
      </c>
      <c r="J4240" s="519">
        <v>8966.1</v>
      </c>
      <c r="K4240" s="519">
        <f t="shared" si="332"/>
        <v>7533.9</v>
      </c>
      <c r="L4240" s="519">
        <f t="shared" si="333"/>
        <v>271220.39999999997</v>
      </c>
      <c r="M4240" s="557">
        <f t="shared" si="334"/>
        <v>0.45659999999999995</v>
      </c>
      <c r="N4240" s="15" t="s">
        <v>22</v>
      </c>
      <c r="O4240" s="15" t="s">
        <v>39</v>
      </c>
      <c r="P4240" s="654" t="s">
        <v>5511</v>
      </c>
    </row>
    <row r="4241" spans="1:16">
      <c r="A4241" s="70">
        <v>2026</v>
      </c>
      <c r="B4241" s="16" t="s">
        <v>696</v>
      </c>
      <c r="C4241" s="70" t="s">
        <v>5509</v>
      </c>
      <c r="D4241" s="15" t="s">
        <v>1181</v>
      </c>
      <c r="E4241" s="15" t="s">
        <v>5512</v>
      </c>
      <c r="F4241" s="95">
        <v>48</v>
      </c>
      <c r="G4241" s="16" t="s">
        <v>19</v>
      </c>
      <c r="H4241" s="17">
        <v>6000</v>
      </c>
      <c r="I4241" s="17">
        <f t="shared" si="331"/>
        <v>288000</v>
      </c>
      <c r="J4241" s="519">
        <v>4954.95</v>
      </c>
      <c r="K4241" s="519">
        <f t="shared" si="332"/>
        <v>1045.0500000000002</v>
      </c>
      <c r="L4241" s="519">
        <f t="shared" si="333"/>
        <v>50162.400000000009</v>
      </c>
      <c r="M4241" s="557">
        <f t="shared" si="334"/>
        <v>0.17417500000000002</v>
      </c>
      <c r="N4241" s="15" t="s">
        <v>22</v>
      </c>
      <c r="O4241" s="15" t="s">
        <v>39</v>
      </c>
      <c r="P4241" s="654" t="s">
        <v>5511</v>
      </c>
    </row>
    <row r="4242" spans="1:16">
      <c r="A4242" s="70">
        <v>2026</v>
      </c>
      <c r="B4242" s="16" t="s">
        <v>696</v>
      </c>
      <c r="C4242" s="70" t="s">
        <v>5513</v>
      </c>
      <c r="D4242" s="15" t="s">
        <v>200</v>
      </c>
      <c r="E4242" s="15" t="s">
        <v>5514</v>
      </c>
      <c r="F4242" s="95">
        <v>1</v>
      </c>
      <c r="G4242" s="16" t="s">
        <v>302</v>
      </c>
      <c r="H4242" s="17">
        <v>52000</v>
      </c>
      <c r="I4242" s="17">
        <f t="shared" si="331"/>
        <v>52000</v>
      </c>
      <c r="J4242" s="519">
        <v>50000</v>
      </c>
      <c r="K4242" s="519">
        <f t="shared" si="332"/>
        <v>2000</v>
      </c>
      <c r="L4242" s="519">
        <f t="shared" si="333"/>
        <v>2000</v>
      </c>
      <c r="M4242" s="557">
        <f t="shared" si="334"/>
        <v>3.8461538461538464E-2</v>
      </c>
      <c r="N4242" s="15" t="s">
        <v>40</v>
      </c>
      <c r="O4242" s="15" t="s">
        <v>39</v>
      </c>
    </row>
    <row r="4243" spans="1:16">
      <c r="A4243" s="70">
        <v>2026</v>
      </c>
      <c r="B4243" s="16" t="s">
        <v>696</v>
      </c>
      <c r="C4243" s="70" t="s">
        <v>5513</v>
      </c>
      <c r="D4243" s="15" t="s">
        <v>200</v>
      </c>
      <c r="E4243" s="15" t="s">
        <v>5515</v>
      </c>
      <c r="F4243" s="95">
        <v>2</v>
      </c>
      <c r="G4243" s="16" t="s">
        <v>302</v>
      </c>
      <c r="H4243" s="17">
        <v>25000</v>
      </c>
      <c r="I4243" s="17">
        <f t="shared" si="331"/>
        <v>50000</v>
      </c>
      <c r="J4243" s="519">
        <v>22500</v>
      </c>
      <c r="K4243" s="519">
        <f t="shared" si="332"/>
        <v>2500</v>
      </c>
      <c r="L4243" s="519">
        <f t="shared" si="333"/>
        <v>5000</v>
      </c>
      <c r="M4243" s="557">
        <f t="shared" si="334"/>
        <v>0.1</v>
      </c>
      <c r="N4243" s="15" t="s">
        <v>40</v>
      </c>
      <c r="O4243" s="15" t="s">
        <v>39</v>
      </c>
    </row>
    <row r="4244" spans="1:16">
      <c r="A4244" s="70">
        <v>2026</v>
      </c>
      <c r="B4244" s="16" t="s">
        <v>696</v>
      </c>
      <c r="C4244" s="70" t="s">
        <v>5516</v>
      </c>
      <c r="D4244" s="15" t="s">
        <v>200</v>
      </c>
      <c r="E4244" s="15" t="s">
        <v>5514</v>
      </c>
      <c r="F4244" s="95">
        <v>1</v>
      </c>
      <c r="G4244" s="16" t="s">
        <v>302</v>
      </c>
      <c r="H4244" s="17">
        <v>52000</v>
      </c>
      <c r="I4244" s="17">
        <f t="shared" si="331"/>
        <v>52000</v>
      </c>
      <c r="J4244" s="519">
        <v>50000</v>
      </c>
      <c r="K4244" s="519">
        <f t="shared" si="332"/>
        <v>2000</v>
      </c>
      <c r="L4244" s="519">
        <f t="shared" si="333"/>
        <v>2000</v>
      </c>
      <c r="M4244" s="557">
        <f t="shared" si="334"/>
        <v>3.8461538461538464E-2</v>
      </c>
      <c r="N4244" s="15" t="s">
        <v>40</v>
      </c>
      <c r="O4244" s="15" t="s">
        <v>39</v>
      </c>
    </row>
    <row r="4245" spans="1:16">
      <c r="A4245" s="70">
        <v>2026</v>
      </c>
      <c r="B4245" s="16" t="s">
        <v>696</v>
      </c>
      <c r="C4245" s="70" t="s">
        <v>5516</v>
      </c>
      <c r="D4245" s="15" t="s">
        <v>200</v>
      </c>
      <c r="E4245" s="15" t="s">
        <v>5515</v>
      </c>
      <c r="F4245" s="95">
        <v>3</v>
      </c>
      <c r="G4245" s="16" t="s">
        <v>302</v>
      </c>
      <c r="H4245" s="17">
        <v>25000</v>
      </c>
      <c r="I4245" s="17">
        <f t="shared" si="331"/>
        <v>75000</v>
      </c>
      <c r="J4245" s="519">
        <v>22500</v>
      </c>
      <c r="K4245" s="519">
        <f t="shared" si="332"/>
        <v>2500</v>
      </c>
      <c r="L4245" s="519">
        <f t="shared" si="333"/>
        <v>7500</v>
      </c>
      <c r="M4245" s="557">
        <f t="shared" si="334"/>
        <v>0.1</v>
      </c>
      <c r="N4245" s="15" t="s">
        <v>40</v>
      </c>
      <c r="O4245" s="15" t="s">
        <v>39</v>
      </c>
    </row>
    <row r="4246" spans="1:16">
      <c r="A4246" s="70">
        <v>2026</v>
      </c>
      <c r="B4246" s="16" t="s">
        <v>696</v>
      </c>
      <c r="C4246" s="70" t="s">
        <v>5517</v>
      </c>
      <c r="D4246" s="15" t="s">
        <v>229</v>
      </c>
      <c r="E4246" s="15" t="s">
        <v>275</v>
      </c>
      <c r="F4246" s="95">
        <v>6000</v>
      </c>
      <c r="G4246" s="16" t="s">
        <v>37</v>
      </c>
      <c r="H4246" s="17">
        <v>24.2</v>
      </c>
      <c r="I4246" s="17">
        <f t="shared" si="331"/>
        <v>145200</v>
      </c>
      <c r="J4246" s="519">
        <v>23.7</v>
      </c>
      <c r="K4246" s="519">
        <f t="shared" si="332"/>
        <v>0.5</v>
      </c>
      <c r="L4246" s="519">
        <f t="shared" si="333"/>
        <v>3000</v>
      </c>
      <c r="M4246" s="557">
        <f t="shared" si="334"/>
        <v>2.0661157024793389E-2</v>
      </c>
      <c r="N4246" s="15" t="s">
        <v>22</v>
      </c>
      <c r="O4246" s="15" t="s">
        <v>39</v>
      </c>
    </row>
    <row r="4247" spans="1:16">
      <c r="A4247" s="70">
        <v>2026</v>
      </c>
      <c r="B4247" s="16" t="s">
        <v>696</v>
      </c>
      <c r="C4247" s="70" t="s">
        <v>5517</v>
      </c>
      <c r="D4247" s="15" t="s">
        <v>229</v>
      </c>
      <c r="E4247" s="15" t="s">
        <v>230</v>
      </c>
      <c r="F4247" s="95">
        <v>6000</v>
      </c>
      <c r="G4247" s="16" t="s">
        <v>37</v>
      </c>
      <c r="H4247" s="17">
        <v>24.2</v>
      </c>
      <c r="I4247" s="17">
        <f t="shared" si="331"/>
        <v>145200</v>
      </c>
      <c r="J4247" s="519">
        <v>23.7</v>
      </c>
      <c r="K4247" s="519">
        <f t="shared" si="332"/>
        <v>0.5</v>
      </c>
      <c r="L4247" s="519">
        <f t="shared" si="333"/>
        <v>3000</v>
      </c>
      <c r="M4247" s="557">
        <f t="shared" si="334"/>
        <v>2.0661157024793389E-2</v>
      </c>
      <c r="N4247" s="15" t="s">
        <v>22</v>
      </c>
      <c r="O4247" s="15" t="s">
        <v>39</v>
      </c>
    </row>
    <row r="4248" spans="1:16">
      <c r="A4248" s="70">
        <v>2026</v>
      </c>
      <c r="B4248" s="16" t="s">
        <v>696</v>
      </c>
      <c r="C4248" s="70" t="s">
        <v>5518</v>
      </c>
      <c r="D4248" s="15" t="s">
        <v>270</v>
      </c>
      <c r="E4248" s="15" t="s">
        <v>1244</v>
      </c>
      <c r="F4248" s="95">
        <v>2</v>
      </c>
      <c r="G4248" s="16" t="s">
        <v>302</v>
      </c>
      <c r="H4248" s="17">
        <v>121924</v>
      </c>
      <c r="I4248" s="17">
        <f t="shared" si="331"/>
        <v>243848</v>
      </c>
      <c r="J4248" s="519">
        <v>120100</v>
      </c>
      <c r="K4248" s="519">
        <f t="shared" si="332"/>
        <v>1824</v>
      </c>
      <c r="L4248" s="519">
        <f t="shared" si="333"/>
        <v>3648</v>
      </c>
      <c r="M4248" s="557">
        <f t="shared" si="334"/>
        <v>1.49601391030478E-2</v>
      </c>
      <c r="N4248" s="15" t="s">
        <v>40</v>
      </c>
      <c r="O4248" s="15" t="s">
        <v>105</v>
      </c>
    </row>
    <row r="4249" spans="1:16">
      <c r="A4249" s="70">
        <v>2026</v>
      </c>
      <c r="B4249" s="16" t="s">
        <v>696</v>
      </c>
      <c r="C4249" s="70" t="s">
        <v>5519</v>
      </c>
      <c r="D4249" s="15" t="s">
        <v>5520</v>
      </c>
      <c r="E4249" s="15" t="s">
        <v>5521</v>
      </c>
      <c r="F4249" s="95">
        <v>6</v>
      </c>
      <c r="G4249" s="16" t="s">
        <v>19</v>
      </c>
      <c r="H4249" s="17">
        <v>2175</v>
      </c>
      <c r="I4249" s="17">
        <f t="shared" si="331"/>
        <v>13050</v>
      </c>
      <c r="J4249" s="519">
        <v>1740</v>
      </c>
      <c r="K4249" s="519">
        <f t="shared" si="332"/>
        <v>435</v>
      </c>
      <c r="L4249" s="519">
        <f t="shared" si="333"/>
        <v>2610</v>
      </c>
      <c r="M4249" s="557">
        <f t="shared" si="334"/>
        <v>0.2</v>
      </c>
      <c r="N4249" s="15" t="s">
        <v>40</v>
      </c>
      <c r="O4249" s="15" t="s">
        <v>105</v>
      </c>
    </row>
    <row r="4250" spans="1:16">
      <c r="A4250" s="70">
        <v>2026</v>
      </c>
      <c r="B4250" s="16" t="s">
        <v>696</v>
      </c>
      <c r="C4250" s="70" t="s">
        <v>5522</v>
      </c>
      <c r="D4250" s="15" t="s">
        <v>1042</v>
      </c>
      <c r="E4250" s="15" t="s">
        <v>711</v>
      </c>
      <c r="F4250" s="95">
        <v>8368</v>
      </c>
      <c r="G4250" s="16" t="s">
        <v>37</v>
      </c>
      <c r="H4250" s="17">
        <v>492</v>
      </c>
      <c r="I4250" s="17">
        <f t="shared" si="331"/>
        <v>4117056</v>
      </c>
      <c r="J4250" s="519">
        <v>439.5</v>
      </c>
      <c r="K4250" s="519">
        <f t="shared" si="332"/>
        <v>52.5</v>
      </c>
      <c r="L4250" s="519">
        <f t="shared" si="333"/>
        <v>439320</v>
      </c>
      <c r="M4250" s="557">
        <f t="shared" si="334"/>
        <v>0.10670731707317073</v>
      </c>
      <c r="N4250" s="15" t="s">
        <v>22</v>
      </c>
      <c r="O4250" s="15" t="s">
        <v>105</v>
      </c>
    </row>
    <row r="4251" spans="1:16">
      <c r="A4251" s="70">
        <v>2026</v>
      </c>
      <c r="B4251" s="16" t="s">
        <v>696</v>
      </c>
      <c r="C4251" s="70" t="s">
        <v>5523</v>
      </c>
      <c r="D4251" s="15" t="s">
        <v>270</v>
      </c>
      <c r="E4251" s="15" t="s">
        <v>73</v>
      </c>
      <c r="F4251" s="95">
        <v>216.5</v>
      </c>
      <c r="G4251" s="16" t="s">
        <v>37</v>
      </c>
      <c r="H4251" s="17">
        <v>512.5</v>
      </c>
      <c r="I4251" s="17">
        <f t="shared" si="331"/>
        <v>110956.25</v>
      </c>
      <c r="J4251" s="519">
        <v>474</v>
      </c>
      <c r="K4251" s="519">
        <f t="shared" si="332"/>
        <v>38.5</v>
      </c>
      <c r="L4251" s="519">
        <f t="shared" si="333"/>
        <v>8335.25</v>
      </c>
      <c r="M4251" s="557">
        <f t="shared" si="334"/>
        <v>7.5121951219512192E-2</v>
      </c>
      <c r="N4251" s="15" t="s">
        <v>22</v>
      </c>
      <c r="O4251" s="15" t="s">
        <v>105</v>
      </c>
    </row>
    <row r="4252" spans="1:16">
      <c r="A4252" s="70">
        <v>2026</v>
      </c>
      <c r="B4252" s="16" t="s">
        <v>696</v>
      </c>
      <c r="C4252" s="70" t="s">
        <v>5523</v>
      </c>
      <c r="D4252" s="15" t="s">
        <v>270</v>
      </c>
      <c r="E4252" s="15" t="s">
        <v>74</v>
      </c>
      <c r="F4252" s="95">
        <v>29</v>
      </c>
      <c r="G4252" s="16" t="s">
        <v>37</v>
      </c>
      <c r="H4252" s="17">
        <v>512.5</v>
      </c>
      <c r="I4252" s="17">
        <f t="shared" si="331"/>
        <v>14862.5</v>
      </c>
      <c r="J4252" s="519">
        <v>474</v>
      </c>
      <c r="K4252" s="519">
        <f t="shared" si="332"/>
        <v>38.5</v>
      </c>
      <c r="L4252" s="519">
        <f t="shared" si="333"/>
        <v>1116.5</v>
      </c>
      <c r="M4252" s="557">
        <f t="shared" si="334"/>
        <v>7.5121951219512192E-2</v>
      </c>
      <c r="N4252" s="15" t="s">
        <v>22</v>
      </c>
      <c r="O4252" s="15" t="s">
        <v>105</v>
      </c>
    </row>
    <row r="4253" spans="1:16">
      <c r="A4253" s="70">
        <v>2026</v>
      </c>
      <c r="B4253" s="16" t="s">
        <v>696</v>
      </c>
      <c r="C4253" s="70" t="s">
        <v>5524</v>
      </c>
      <c r="D4253" s="15" t="s">
        <v>270</v>
      </c>
      <c r="E4253" s="15" t="s">
        <v>5525</v>
      </c>
      <c r="F4253" s="95">
        <v>1</v>
      </c>
      <c r="G4253" s="16" t="s">
        <v>302</v>
      </c>
      <c r="H4253" s="17">
        <v>170172</v>
      </c>
      <c r="I4253" s="17">
        <f t="shared" ref="I4253:I4298" si="342">H4253*F4253</f>
        <v>170172</v>
      </c>
      <c r="J4253" s="519">
        <v>167624</v>
      </c>
      <c r="K4253" s="519">
        <f t="shared" ref="K4253:K4271" si="343">H4253-J4253</f>
        <v>2548</v>
      </c>
      <c r="L4253" s="519">
        <f t="shared" ref="L4253:L4271" si="344">K4253*F4253</f>
        <v>2548</v>
      </c>
      <c r="M4253" s="557">
        <f t="shared" ref="M4253:M4286" si="345">K4253/H4253</f>
        <v>1.497308605410996E-2</v>
      </c>
      <c r="N4253" s="15" t="s">
        <v>40</v>
      </c>
      <c r="O4253" s="15" t="s">
        <v>105</v>
      </c>
    </row>
    <row r="4254" spans="1:16">
      <c r="A4254" s="70">
        <v>2026</v>
      </c>
      <c r="B4254" s="16" t="s">
        <v>696</v>
      </c>
      <c r="C4254" s="70" t="s">
        <v>5526</v>
      </c>
      <c r="D4254" s="15" t="s">
        <v>3847</v>
      </c>
      <c r="E4254" s="15" t="s">
        <v>5527</v>
      </c>
      <c r="F4254" s="95">
        <v>12</v>
      </c>
      <c r="G4254" s="16" t="s">
        <v>19</v>
      </c>
      <c r="H4254" s="17">
        <v>11400</v>
      </c>
      <c r="I4254" s="17">
        <f t="shared" si="342"/>
        <v>136800</v>
      </c>
      <c r="J4254" s="519">
        <v>11210</v>
      </c>
      <c r="K4254" s="519">
        <f t="shared" si="343"/>
        <v>190</v>
      </c>
      <c r="L4254" s="519">
        <f t="shared" si="344"/>
        <v>2280</v>
      </c>
      <c r="M4254" s="557">
        <f t="shared" si="345"/>
        <v>1.6666666666666666E-2</v>
      </c>
      <c r="N4254" s="15" t="s">
        <v>40</v>
      </c>
      <c r="O4254" s="15" t="s">
        <v>105</v>
      </c>
    </row>
    <row r="4255" spans="1:16">
      <c r="A4255" s="70">
        <v>2026</v>
      </c>
      <c r="B4255" s="16" t="s">
        <v>696</v>
      </c>
      <c r="C4255" s="70" t="s">
        <v>5526</v>
      </c>
      <c r="D4255" s="15" t="s">
        <v>3847</v>
      </c>
      <c r="E4255" s="15" t="s">
        <v>4158</v>
      </c>
      <c r="F4255" s="95">
        <v>92</v>
      </c>
      <c r="G4255" s="16" t="s">
        <v>19</v>
      </c>
      <c r="H4255" s="17">
        <v>10260</v>
      </c>
      <c r="I4255" s="17">
        <f t="shared" si="342"/>
        <v>943920</v>
      </c>
      <c r="J4255" s="519">
        <v>10070</v>
      </c>
      <c r="K4255" s="519">
        <f t="shared" si="343"/>
        <v>190</v>
      </c>
      <c r="L4255" s="519">
        <f t="shared" si="344"/>
        <v>17480</v>
      </c>
      <c r="M4255" s="557">
        <f t="shared" si="345"/>
        <v>1.8518518518518517E-2</v>
      </c>
      <c r="N4255" s="15" t="s">
        <v>40</v>
      </c>
      <c r="O4255" s="15" t="s">
        <v>105</v>
      </c>
    </row>
    <row r="4256" spans="1:16">
      <c r="A4256" s="70">
        <v>2026</v>
      </c>
      <c r="B4256" s="16" t="s">
        <v>696</v>
      </c>
      <c r="C4256" s="70" t="s">
        <v>5528</v>
      </c>
      <c r="D4256" s="15" t="s">
        <v>304</v>
      </c>
      <c r="E4256" s="15" t="s">
        <v>5344</v>
      </c>
      <c r="F4256" s="95">
        <v>24</v>
      </c>
      <c r="G4256" s="16" t="s">
        <v>19</v>
      </c>
      <c r="H4256" s="17">
        <v>10000</v>
      </c>
      <c r="I4256" s="17">
        <f t="shared" si="342"/>
        <v>240000</v>
      </c>
      <c r="J4256" s="519">
        <v>9500</v>
      </c>
      <c r="K4256" s="519">
        <f t="shared" si="343"/>
        <v>500</v>
      </c>
      <c r="L4256" s="519">
        <f t="shared" si="344"/>
        <v>12000</v>
      </c>
      <c r="M4256" s="557">
        <f t="shared" si="345"/>
        <v>0.05</v>
      </c>
      <c r="N4256" s="15" t="s">
        <v>40</v>
      </c>
      <c r="O4256" s="15" t="s">
        <v>105</v>
      </c>
    </row>
    <row r="4257" spans="1:15">
      <c r="A4257" s="70">
        <v>2026</v>
      </c>
      <c r="B4257" s="16" t="s">
        <v>696</v>
      </c>
      <c r="C4257" s="70" t="s">
        <v>5528</v>
      </c>
      <c r="D4257" s="15" t="s">
        <v>304</v>
      </c>
      <c r="E4257" s="15" t="s">
        <v>5345</v>
      </c>
      <c r="F4257" s="95">
        <v>12</v>
      </c>
      <c r="G4257" s="16" t="s">
        <v>19</v>
      </c>
      <c r="H4257" s="17">
        <v>11500</v>
      </c>
      <c r="I4257" s="17">
        <f t="shared" si="342"/>
        <v>138000</v>
      </c>
      <c r="J4257" s="519">
        <v>11000</v>
      </c>
      <c r="K4257" s="519">
        <f t="shared" si="343"/>
        <v>500</v>
      </c>
      <c r="L4257" s="519">
        <f t="shared" si="344"/>
        <v>6000</v>
      </c>
      <c r="M4257" s="557">
        <f t="shared" si="345"/>
        <v>4.3478260869565216E-2</v>
      </c>
      <c r="N4257" s="15" t="s">
        <v>40</v>
      </c>
      <c r="O4257" s="15" t="s">
        <v>105</v>
      </c>
    </row>
    <row r="4258" spans="1:15">
      <c r="A4258" s="70">
        <v>2026</v>
      </c>
      <c r="B4258" s="16" t="s">
        <v>696</v>
      </c>
      <c r="C4258" s="70" t="s">
        <v>5529</v>
      </c>
      <c r="D4258" s="15" t="s">
        <v>2043</v>
      </c>
      <c r="E4258" s="15" t="s">
        <v>5530</v>
      </c>
      <c r="F4258" s="95">
        <v>80</v>
      </c>
      <c r="G4258" s="16" t="s">
        <v>302</v>
      </c>
      <c r="H4258" s="17">
        <f>1587*39</f>
        <v>61893</v>
      </c>
      <c r="I4258" s="17">
        <f t="shared" si="342"/>
        <v>4951440</v>
      </c>
      <c r="J4258" s="519">
        <f>1520*39</f>
        <v>59280</v>
      </c>
      <c r="K4258" s="519">
        <f t="shared" si="343"/>
        <v>2613</v>
      </c>
      <c r="L4258" s="519">
        <f t="shared" si="344"/>
        <v>209040</v>
      </c>
      <c r="M4258" s="557">
        <f t="shared" si="345"/>
        <v>4.2218021424070572E-2</v>
      </c>
      <c r="N4258" s="15" t="s">
        <v>22</v>
      </c>
      <c r="O4258" s="15" t="s">
        <v>105</v>
      </c>
    </row>
    <row r="4259" spans="1:15">
      <c r="A4259" s="70">
        <v>2026</v>
      </c>
      <c r="B4259" s="16" t="s">
        <v>696</v>
      </c>
      <c r="C4259" s="70" t="s">
        <v>5529</v>
      </c>
      <c r="D4259" s="15" t="s">
        <v>5531</v>
      </c>
      <c r="E4259" s="15" t="s">
        <v>5532</v>
      </c>
      <c r="F4259" s="95">
        <v>12</v>
      </c>
      <c r="G4259" s="16" t="s">
        <v>19</v>
      </c>
      <c r="H4259" s="17">
        <v>26144</v>
      </c>
      <c r="I4259" s="17">
        <f t="shared" si="342"/>
        <v>313728</v>
      </c>
      <c r="J4259" s="519">
        <v>23529.599999999999</v>
      </c>
      <c r="K4259" s="519">
        <f t="shared" ref="K4259" si="346">H4259-J4259</f>
        <v>2614.4000000000015</v>
      </c>
      <c r="L4259" s="519">
        <f t="shared" ref="L4259" si="347">K4259*F4259</f>
        <v>31372.800000000017</v>
      </c>
      <c r="M4259" s="557">
        <f t="shared" ref="M4259" si="348">K4259/H4259</f>
        <v>0.10000000000000006</v>
      </c>
      <c r="N4259" s="15" t="s">
        <v>40</v>
      </c>
      <c r="O4259" s="15" t="s">
        <v>105</v>
      </c>
    </row>
    <row r="4260" spans="1:15">
      <c r="A4260" s="70">
        <v>2026</v>
      </c>
      <c r="B4260" s="16" t="s">
        <v>696</v>
      </c>
      <c r="C4260" s="70" t="s">
        <v>5533</v>
      </c>
      <c r="D4260" s="15" t="s">
        <v>192</v>
      </c>
      <c r="E4260" s="15" t="s">
        <v>4049</v>
      </c>
      <c r="F4260" s="95">
        <v>9</v>
      </c>
      <c r="G4260" s="16" t="s">
        <v>19</v>
      </c>
      <c r="H4260" s="17">
        <v>22840</v>
      </c>
      <c r="I4260" s="17">
        <f t="shared" si="342"/>
        <v>205560</v>
      </c>
      <c r="J4260" s="519">
        <v>18850</v>
      </c>
      <c r="K4260" s="519">
        <f t="shared" si="343"/>
        <v>3990</v>
      </c>
      <c r="L4260" s="519">
        <f t="shared" si="344"/>
        <v>35910</v>
      </c>
      <c r="M4260" s="557">
        <f t="shared" si="345"/>
        <v>0.17469352014010509</v>
      </c>
      <c r="N4260" s="15" t="s">
        <v>40</v>
      </c>
      <c r="O4260" s="15" t="s">
        <v>105</v>
      </c>
    </row>
    <row r="4261" spans="1:15">
      <c r="A4261" s="70">
        <v>2026</v>
      </c>
      <c r="B4261" s="16" t="s">
        <v>696</v>
      </c>
      <c r="C4261" s="70" t="s">
        <v>5534</v>
      </c>
      <c r="D4261" s="15" t="s">
        <v>270</v>
      </c>
      <c r="E4261" s="15" t="s">
        <v>71</v>
      </c>
      <c r="F4261" s="95">
        <v>181</v>
      </c>
      <c r="G4261" s="16" t="s">
        <v>37</v>
      </c>
      <c r="H4261" s="17">
        <v>512.5</v>
      </c>
      <c r="I4261" s="17">
        <f t="shared" si="342"/>
        <v>92762.5</v>
      </c>
      <c r="J4261" s="519">
        <v>474</v>
      </c>
      <c r="K4261" s="519">
        <f t="shared" si="343"/>
        <v>38.5</v>
      </c>
      <c r="L4261" s="519">
        <f t="shared" si="344"/>
        <v>6968.5</v>
      </c>
      <c r="M4261" s="557">
        <f t="shared" si="345"/>
        <v>7.5121951219512192E-2</v>
      </c>
      <c r="N4261" s="15" t="s">
        <v>22</v>
      </c>
      <c r="O4261" s="15" t="s">
        <v>105</v>
      </c>
    </row>
    <row r="4262" spans="1:15">
      <c r="A4262" s="70">
        <v>2026</v>
      </c>
      <c r="B4262" s="16" t="s">
        <v>696</v>
      </c>
      <c r="C4262" s="70" t="s">
        <v>5534</v>
      </c>
      <c r="D4262" s="15" t="s">
        <v>270</v>
      </c>
      <c r="E4262" s="15" t="s">
        <v>73</v>
      </c>
      <c r="F4262" s="95">
        <v>433</v>
      </c>
      <c r="G4262" s="16" t="s">
        <v>37</v>
      </c>
      <c r="H4262" s="17">
        <v>512.5</v>
      </c>
      <c r="I4262" s="17">
        <f t="shared" si="342"/>
        <v>221912.5</v>
      </c>
      <c r="J4262" s="519">
        <v>474</v>
      </c>
      <c r="K4262" s="519">
        <f t="shared" si="343"/>
        <v>38.5</v>
      </c>
      <c r="L4262" s="519">
        <f t="shared" si="344"/>
        <v>16670.5</v>
      </c>
      <c r="M4262" s="557">
        <f t="shared" si="345"/>
        <v>7.5121951219512192E-2</v>
      </c>
      <c r="N4262" s="15" t="s">
        <v>22</v>
      </c>
      <c r="O4262" s="15" t="s">
        <v>105</v>
      </c>
    </row>
    <row r="4263" spans="1:15">
      <c r="A4263" s="70">
        <v>2026</v>
      </c>
      <c r="B4263" s="16" t="s">
        <v>696</v>
      </c>
      <c r="C4263" s="70" t="s">
        <v>5534</v>
      </c>
      <c r="D4263" s="15" t="s">
        <v>270</v>
      </c>
      <c r="E4263" s="15" t="s">
        <v>4254</v>
      </c>
      <c r="F4263" s="95">
        <v>288.5</v>
      </c>
      <c r="G4263" s="16" t="s">
        <v>37</v>
      </c>
      <c r="H4263" s="17">
        <v>512.5</v>
      </c>
      <c r="I4263" s="17">
        <f t="shared" si="342"/>
        <v>147856.25</v>
      </c>
      <c r="J4263" s="519">
        <v>474</v>
      </c>
      <c r="K4263" s="519">
        <f t="shared" si="343"/>
        <v>38.5</v>
      </c>
      <c r="L4263" s="519">
        <f t="shared" si="344"/>
        <v>11107.25</v>
      </c>
      <c r="M4263" s="557">
        <f t="shared" si="345"/>
        <v>7.5121951219512192E-2</v>
      </c>
      <c r="N4263" s="15" t="s">
        <v>22</v>
      </c>
      <c r="O4263" s="15" t="s">
        <v>105</v>
      </c>
    </row>
    <row r="4264" spans="1:15">
      <c r="A4264" s="70">
        <v>2026</v>
      </c>
      <c r="B4264" s="16" t="s">
        <v>696</v>
      </c>
      <c r="C4264" s="70" t="s">
        <v>5534</v>
      </c>
      <c r="D4264" s="15" t="s">
        <v>270</v>
      </c>
      <c r="E4264" s="15" t="s">
        <v>606</v>
      </c>
      <c r="F4264" s="95">
        <v>72.099999999999994</v>
      </c>
      <c r="G4264" s="16" t="s">
        <v>37</v>
      </c>
      <c r="H4264" s="17">
        <v>512.5</v>
      </c>
      <c r="I4264" s="17">
        <f t="shared" si="342"/>
        <v>36951.25</v>
      </c>
      <c r="J4264" s="519">
        <v>474</v>
      </c>
      <c r="K4264" s="519">
        <f t="shared" si="343"/>
        <v>38.5</v>
      </c>
      <c r="L4264" s="519">
        <f t="shared" si="344"/>
        <v>2775.85</v>
      </c>
      <c r="M4264" s="557">
        <f t="shared" si="345"/>
        <v>7.5121951219512192E-2</v>
      </c>
      <c r="N4264" s="15" t="s">
        <v>22</v>
      </c>
      <c r="O4264" s="15" t="s">
        <v>105</v>
      </c>
    </row>
    <row r="4265" spans="1:15">
      <c r="A4265" s="70">
        <v>2026</v>
      </c>
      <c r="B4265" s="16" t="s">
        <v>696</v>
      </c>
      <c r="C4265" s="70" t="s">
        <v>5535</v>
      </c>
      <c r="D4265" s="15" t="s">
        <v>5531</v>
      </c>
      <c r="E4265" s="15" t="s">
        <v>5536</v>
      </c>
      <c r="F4265" s="95">
        <v>12</v>
      </c>
      <c r="G4265" s="16" t="s">
        <v>19</v>
      </c>
      <c r="H4265" s="17">
        <v>130720</v>
      </c>
      <c r="I4265" s="17">
        <f t="shared" si="342"/>
        <v>1568640</v>
      </c>
      <c r="J4265" s="519">
        <v>112419.2</v>
      </c>
      <c r="K4265" s="519">
        <f t="shared" si="343"/>
        <v>18300.800000000003</v>
      </c>
      <c r="L4265" s="519">
        <f t="shared" si="344"/>
        <v>219609.60000000003</v>
      </c>
      <c r="M4265" s="557">
        <f t="shared" si="345"/>
        <v>0.14000000000000001</v>
      </c>
      <c r="N4265" s="15" t="s">
        <v>40</v>
      </c>
      <c r="O4265" s="15" t="s">
        <v>105</v>
      </c>
    </row>
    <row r="4266" spans="1:15">
      <c r="A4266" s="70">
        <v>2026</v>
      </c>
      <c r="B4266" s="16" t="s">
        <v>696</v>
      </c>
      <c r="C4266" s="70" t="s">
        <v>5535</v>
      </c>
      <c r="D4266" s="15" t="s">
        <v>5531</v>
      </c>
      <c r="E4266" s="15" t="s">
        <v>5537</v>
      </c>
      <c r="F4266" s="95">
        <v>12</v>
      </c>
      <c r="G4266" s="16" t="s">
        <v>302</v>
      </c>
      <c r="H4266" s="17">
        <v>1869182</v>
      </c>
      <c r="I4266" s="17">
        <f t="shared" si="342"/>
        <v>22430184</v>
      </c>
      <c r="J4266" s="519">
        <v>1607496.52</v>
      </c>
      <c r="K4266" s="519">
        <f t="shared" si="343"/>
        <v>261685.47999999998</v>
      </c>
      <c r="L4266" s="519">
        <f t="shared" si="344"/>
        <v>3140225.76</v>
      </c>
      <c r="M4266" s="557">
        <f t="shared" si="345"/>
        <v>0.13999999999999999</v>
      </c>
      <c r="N4266" s="15" t="s">
        <v>40</v>
      </c>
      <c r="O4266" s="15" t="s">
        <v>105</v>
      </c>
    </row>
    <row r="4267" spans="1:15">
      <c r="A4267" s="70">
        <v>2026</v>
      </c>
      <c r="B4267" s="16" t="s">
        <v>696</v>
      </c>
      <c r="C4267" s="70" t="s">
        <v>5538</v>
      </c>
      <c r="D4267" s="15" t="s">
        <v>5531</v>
      </c>
      <c r="E4267" s="15" t="s">
        <v>5539</v>
      </c>
      <c r="F4267" s="95">
        <v>12</v>
      </c>
      <c r="G4267" s="16" t="s">
        <v>19</v>
      </c>
      <c r="H4267" s="17">
        <v>28614</v>
      </c>
      <c r="I4267" s="17">
        <f t="shared" si="342"/>
        <v>343368</v>
      </c>
      <c r="J4267" s="519">
        <v>25752.6</v>
      </c>
      <c r="K4267" s="519">
        <f t="shared" si="343"/>
        <v>2861.4000000000015</v>
      </c>
      <c r="L4267" s="519">
        <f t="shared" si="344"/>
        <v>34336.800000000017</v>
      </c>
      <c r="M4267" s="557">
        <f t="shared" si="345"/>
        <v>0.10000000000000005</v>
      </c>
      <c r="N4267" s="15" t="s">
        <v>40</v>
      </c>
      <c r="O4267" s="15" t="s">
        <v>105</v>
      </c>
    </row>
    <row r="4268" spans="1:15">
      <c r="A4268" s="70">
        <v>2026</v>
      </c>
      <c r="B4268" s="16" t="s">
        <v>696</v>
      </c>
      <c r="C4268" s="70" t="s">
        <v>5540</v>
      </c>
      <c r="D4268" s="15" t="s">
        <v>200</v>
      </c>
      <c r="E4268" s="15" t="s">
        <v>5541</v>
      </c>
      <c r="F4268" s="95">
        <v>1</v>
      </c>
      <c r="G4268" s="16" t="s">
        <v>302</v>
      </c>
      <c r="H4268" s="17">
        <v>84500</v>
      </c>
      <c r="I4268" s="17">
        <f t="shared" si="342"/>
        <v>84500</v>
      </c>
      <c r="J4268" s="519">
        <v>80000</v>
      </c>
      <c r="K4268" s="519">
        <f t="shared" si="343"/>
        <v>4500</v>
      </c>
      <c r="L4268" s="519">
        <f t="shared" si="344"/>
        <v>4500</v>
      </c>
      <c r="M4268" s="557">
        <f t="shared" si="345"/>
        <v>5.3254437869822487E-2</v>
      </c>
      <c r="N4268" s="15" t="s">
        <v>40</v>
      </c>
      <c r="O4268" s="15" t="s">
        <v>39</v>
      </c>
    </row>
    <row r="4269" spans="1:15">
      <c r="A4269" s="70">
        <v>2026</v>
      </c>
      <c r="B4269" s="16" t="s">
        <v>696</v>
      </c>
      <c r="C4269" s="70" t="s">
        <v>5542</v>
      </c>
      <c r="D4269" s="15" t="s">
        <v>1204</v>
      </c>
      <c r="E4269" s="15" t="s">
        <v>4706</v>
      </c>
      <c r="F4269" s="95">
        <v>30000</v>
      </c>
      <c r="G4269" s="16" t="s">
        <v>19</v>
      </c>
      <c r="H4269" s="17">
        <v>1.38</v>
      </c>
      <c r="I4269" s="17">
        <f t="shared" si="342"/>
        <v>41400</v>
      </c>
      <c r="J4269" s="519">
        <v>1.3</v>
      </c>
      <c r="K4269" s="519">
        <f t="shared" si="343"/>
        <v>7.9999999999999849E-2</v>
      </c>
      <c r="L4269" s="519">
        <f t="shared" si="344"/>
        <v>2399.9999999999955</v>
      </c>
      <c r="M4269" s="557">
        <f t="shared" si="345"/>
        <v>5.797101449275352E-2</v>
      </c>
      <c r="N4269" s="15" t="s">
        <v>22</v>
      </c>
      <c r="O4269" s="15" t="s">
        <v>39</v>
      </c>
    </row>
    <row r="4270" spans="1:15">
      <c r="A4270" s="70">
        <v>2026</v>
      </c>
      <c r="B4270" s="16" t="s">
        <v>696</v>
      </c>
      <c r="C4270" s="70" t="s">
        <v>5543</v>
      </c>
      <c r="D4270" s="15" t="s">
        <v>1119</v>
      </c>
      <c r="E4270" s="15" t="s">
        <v>4486</v>
      </c>
      <c r="F4270" s="95">
        <v>20</v>
      </c>
      <c r="G4270" s="16" t="s">
        <v>19</v>
      </c>
      <c r="H4270" s="17">
        <v>600</v>
      </c>
      <c r="I4270" s="17">
        <f t="shared" si="342"/>
        <v>12000</v>
      </c>
      <c r="J4270" s="519">
        <v>580</v>
      </c>
      <c r="K4270" s="519">
        <f t="shared" si="343"/>
        <v>20</v>
      </c>
      <c r="L4270" s="519">
        <f t="shared" si="344"/>
        <v>400</v>
      </c>
      <c r="M4270" s="557">
        <f t="shared" si="345"/>
        <v>3.3333333333333333E-2</v>
      </c>
      <c r="N4270" s="15" t="s">
        <v>40</v>
      </c>
      <c r="O4270" s="15" t="s">
        <v>39</v>
      </c>
    </row>
    <row r="4271" spans="1:15">
      <c r="A4271" s="70">
        <v>2026</v>
      </c>
      <c r="B4271" s="16" t="s">
        <v>696</v>
      </c>
      <c r="C4271" s="70" t="s">
        <v>5544</v>
      </c>
      <c r="D4271" s="15" t="s">
        <v>590</v>
      </c>
      <c r="E4271" s="15" t="s">
        <v>5545</v>
      </c>
      <c r="F4271" s="95">
        <v>3</v>
      </c>
      <c r="G4271" s="16" t="s">
        <v>302</v>
      </c>
      <c r="H4271" s="17">
        <v>75000</v>
      </c>
      <c r="I4271" s="17">
        <f t="shared" si="342"/>
        <v>225000</v>
      </c>
      <c r="J4271" s="519">
        <v>70000</v>
      </c>
      <c r="K4271" s="519">
        <f t="shared" si="343"/>
        <v>5000</v>
      </c>
      <c r="L4271" s="519">
        <f t="shared" si="344"/>
        <v>15000</v>
      </c>
      <c r="M4271" s="557">
        <f t="shared" si="345"/>
        <v>6.6666666666666666E-2</v>
      </c>
      <c r="N4271" s="15" t="s">
        <v>40</v>
      </c>
      <c r="O4271" s="15" t="s">
        <v>39</v>
      </c>
    </row>
    <row r="4272" spans="1:15">
      <c r="A4272" s="70">
        <v>2026</v>
      </c>
      <c r="B4272" s="16" t="s">
        <v>696</v>
      </c>
      <c r="C4272" s="70" t="s">
        <v>5546</v>
      </c>
      <c r="D4272" s="15" t="s">
        <v>107</v>
      </c>
      <c r="E4272" s="15" t="s">
        <v>816</v>
      </c>
      <c r="F4272" s="95">
        <v>14</v>
      </c>
      <c r="G4272" s="16" t="s">
        <v>19</v>
      </c>
      <c r="H4272" s="17">
        <v>3000</v>
      </c>
      <c r="I4272" s="17">
        <f t="shared" si="342"/>
        <v>42000</v>
      </c>
      <c r="J4272" s="519">
        <v>2755</v>
      </c>
      <c r="K4272" s="519">
        <f t="shared" ref="K4272:K4286" si="349">H4272-J4272</f>
        <v>245</v>
      </c>
      <c r="L4272" s="519">
        <f t="shared" ref="L4272:L4286" si="350">K4272*F4272</f>
        <v>3430</v>
      </c>
      <c r="M4272" s="557">
        <f t="shared" si="345"/>
        <v>8.1666666666666665E-2</v>
      </c>
      <c r="N4272" s="15" t="s">
        <v>22</v>
      </c>
      <c r="O4272" s="15" t="s">
        <v>105</v>
      </c>
    </row>
    <row r="4273" spans="1:15">
      <c r="A4273" s="70">
        <v>2026</v>
      </c>
      <c r="B4273" s="16" t="s">
        <v>696</v>
      </c>
      <c r="C4273" s="70" t="s">
        <v>5547</v>
      </c>
      <c r="D4273" s="15" t="s">
        <v>892</v>
      </c>
      <c r="E4273" s="15" t="s">
        <v>3844</v>
      </c>
      <c r="F4273" s="95">
        <v>20</v>
      </c>
      <c r="G4273" s="16" t="s">
        <v>19</v>
      </c>
      <c r="H4273" s="17">
        <v>1250</v>
      </c>
      <c r="I4273" s="17">
        <f t="shared" si="342"/>
        <v>25000</v>
      </c>
      <c r="J4273" s="519">
        <v>1200</v>
      </c>
      <c r="K4273" s="519">
        <f t="shared" si="349"/>
        <v>50</v>
      </c>
      <c r="L4273" s="519">
        <f t="shared" si="350"/>
        <v>1000</v>
      </c>
      <c r="M4273" s="557">
        <f t="shared" si="345"/>
        <v>0.04</v>
      </c>
      <c r="N4273" s="15" t="s">
        <v>40</v>
      </c>
      <c r="O4273" s="15" t="s">
        <v>105</v>
      </c>
    </row>
    <row r="4274" spans="1:15">
      <c r="A4274" s="70">
        <v>2026</v>
      </c>
      <c r="B4274" s="16" t="s">
        <v>696</v>
      </c>
      <c r="C4274" s="70" t="s">
        <v>5548</v>
      </c>
      <c r="D4274" s="15" t="s">
        <v>27</v>
      </c>
      <c r="E4274" s="15" t="s">
        <v>1316</v>
      </c>
      <c r="F4274" s="95">
        <v>200</v>
      </c>
      <c r="G4274" s="16" t="s">
        <v>19</v>
      </c>
      <c r="H4274" s="17">
        <v>20.75</v>
      </c>
      <c r="I4274" s="17">
        <f t="shared" si="342"/>
        <v>4150</v>
      </c>
      <c r="J4274" s="519">
        <v>19</v>
      </c>
      <c r="K4274" s="519">
        <f t="shared" si="349"/>
        <v>1.75</v>
      </c>
      <c r="L4274" s="519">
        <f t="shared" si="350"/>
        <v>350</v>
      </c>
      <c r="M4274" s="557">
        <f t="shared" si="345"/>
        <v>8.4337349397590355E-2</v>
      </c>
      <c r="N4274" s="15" t="s">
        <v>22</v>
      </c>
      <c r="O4274" s="15" t="s">
        <v>105</v>
      </c>
    </row>
    <row r="4275" spans="1:15">
      <c r="A4275" s="70">
        <v>2026</v>
      </c>
      <c r="B4275" s="16" t="s">
        <v>696</v>
      </c>
      <c r="C4275" s="70" t="s">
        <v>5548</v>
      </c>
      <c r="D4275" s="15" t="s">
        <v>27</v>
      </c>
      <c r="E4275" s="15" t="s">
        <v>1504</v>
      </c>
      <c r="F4275" s="95">
        <v>100</v>
      </c>
      <c r="G4275" s="16" t="s">
        <v>19</v>
      </c>
      <c r="H4275" s="17">
        <v>3.37</v>
      </c>
      <c r="I4275" s="17">
        <f t="shared" si="342"/>
        <v>337</v>
      </c>
      <c r="J4275" s="519">
        <v>3</v>
      </c>
      <c r="K4275" s="519">
        <f t="shared" si="349"/>
        <v>0.37000000000000011</v>
      </c>
      <c r="L4275" s="519">
        <f t="shared" si="350"/>
        <v>37.000000000000014</v>
      </c>
      <c r="M4275" s="557">
        <f t="shared" si="345"/>
        <v>0.10979228486646887</v>
      </c>
      <c r="N4275" s="15" t="s">
        <v>22</v>
      </c>
      <c r="O4275" s="15" t="s">
        <v>105</v>
      </c>
    </row>
    <row r="4276" spans="1:15">
      <c r="A4276" s="70">
        <v>2026</v>
      </c>
      <c r="B4276" s="16" t="s">
        <v>696</v>
      </c>
      <c r="C4276" s="70" t="s">
        <v>5548</v>
      </c>
      <c r="D4276" s="15" t="s">
        <v>27</v>
      </c>
      <c r="E4276" s="15" t="s">
        <v>457</v>
      </c>
      <c r="F4276" s="95">
        <v>200</v>
      </c>
      <c r="G4276" s="16" t="s">
        <v>19</v>
      </c>
      <c r="H4276" s="17">
        <v>6.8</v>
      </c>
      <c r="I4276" s="17">
        <f t="shared" si="342"/>
        <v>1360</v>
      </c>
      <c r="J4276" s="519">
        <v>6</v>
      </c>
      <c r="K4276" s="519">
        <f t="shared" si="349"/>
        <v>0.79999999999999982</v>
      </c>
      <c r="L4276" s="519">
        <f t="shared" si="350"/>
        <v>159.99999999999997</v>
      </c>
      <c r="M4276" s="557">
        <f t="shared" si="345"/>
        <v>0.11764705882352938</v>
      </c>
      <c r="N4276" s="15" t="s">
        <v>22</v>
      </c>
      <c r="O4276" s="15" t="s">
        <v>105</v>
      </c>
    </row>
    <row r="4277" spans="1:15">
      <c r="A4277" s="70">
        <v>2026</v>
      </c>
      <c r="B4277" s="16" t="s">
        <v>696</v>
      </c>
      <c r="C4277" s="70" t="s">
        <v>5549</v>
      </c>
      <c r="D4277" s="15" t="s">
        <v>270</v>
      </c>
      <c r="E4277" s="15" t="s">
        <v>73</v>
      </c>
      <c r="F4277" s="95">
        <v>259.8</v>
      </c>
      <c r="G4277" s="16" t="s">
        <v>37</v>
      </c>
      <c r="H4277" s="17">
        <v>512.5</v>
      </c>
      <c r="I4277" s="17">
        <f t="shared" si="342"/>
        <v>133147.5</v>
      </c>
      <c r="J4277" s="519">
        <v>474</v>
      </c>
      <c r="K4277" s="519">
        <f t="shared" si="349"/>
        <v>38.5</v>
      </c>
      <c r="L4277" s="519">
        <f t="shared" si="350"/>
        <v>10002.300000000001</v>
      </c>
      <c r="M4277" s="557">
        <f t="shared" si="345"/>
        <v>7.5121951219512192E-2</v>
      </c>
      <c r="N4277" s="15" t="s">
        <v>22</v>
      </c>
      <c r="O4277" s="15" t="s">
        <v>105</v>
      </c>
    </row>
    <row r="4278" spans="1:15">
      <c r="A4278" s="70">
        <v>2026</v>
      </c>
      <c r="B4278" s="16" t="s">
        <v>696</v>
      </c>
      <c r="C4278" s="70" t="s">
        <v>5549</v>
      </c>
      <c r="D4278" s="15" t="s">
        <v>270</v>
      </c>
      <c r="E4278" s="15" t="s">
        <v>4254</v>
      </c>
      <c r="F4278" s="95">
        <v>346.2</v>
      </c>
      <c r="G4278" s="16" t="s">
        <v>37</v>
      </c>
      <c r="H4278" s="17">
        <v>512.5</v>
      </c>
      <c r="I4278" s="17">
        <f t="shared" si="342"/>
        <v>177427.5</v>
      </c>
      <c r="J4278" s="519">
        <v>474</v>
      </c>
      <c r="K4278" s="519">
        <f t="shared" si="349"/>
        <v>38.5</v>
      </c>
      <c r="L4278" s="519">
        <f t="shared" si="350"/>
        <v>13328.699999999999</v>
      </c>
      <c r="M4278" s="557">
        <f t="shared" si="345"/>
        <v>7.5121951219512192E-2</v>
      </c>
      <c r="N4278" s="15" t="s">
        <v>22</v>
      </c>
      <c r="O4278" s="15" t="s">
        <v>105</v>
      </c>
    </row>
    <row r="4279" spans="1:15">
      <c r="A4279" s="70">
        <v>2026</v>
      </c>
      <c r="B4279" s="16" t="s">
        <v>696</v>
      </c>
      <c r="C4279" s="70" t="s">
        <v>5549</v>
      </c>
      <c r="D4279" s="15" t="s">
        <v>270</v>
      </c>
      <c r="E4279" s="15" t="s">
        <v>74</v>
      </c>
      <c r="F4279" s="95">
        <v>29</v>
      </c>
      <c r="G4279" s="16" t="s">
        <v>37</v>
      </c>
      <c r="H4279" s="17">
        <v>512.5</v>
      </c>
      <c r="I4279" s="17">
        <f t="shared" si="342"/>
        <v>14862.5</v>
      </c>
      <c r="J4279" s="519">
        <v>474</v>
      </c>
      <c r="K4279" s="519">
        <f t="shared" si="349"/>
        <v>38.5</v>
      </c>
      <c r="L4279" s="519">
        <f t="shared" si="350"/>
        <v>1116.5</v>
      </c>
      <c r="M4279" s="557">
        <f t="shared" si="345"/>
        <v>7.5121951219512192E-2</v>
      </c>
      <c r="N4279" s="15" t="s">
        <v>22</v>
      </c>
      <c r="O4279" s="15" t="s">
        <v>105</v>
      </c>
    </row>
    <row r="4280" spans="1:15">
      <c r="A4280" s="70">
        <v>2026</v>
      </c>
      <c r="B4280" s="16" t="s">
        <v>696</v>
      </c>
      <c r="C4280" s="70" t="s">
        <v>5550</v>
      </c>
      <c r="D4280" s="15" t="s">
        <v>1042</v>
      </c>
      <c r="E4280" s="15" t="s">
        <v>644</v>
      </c>
      <c r="F4280" s="95">
        <v>621</v>
      </c>
      <c r="G4280" s="16" t="s">
        <v>37</v>
      </c>
      <c r="H4280" s="17">
        <v>492</v>
      </c>
      <c r="I4280" s="17">
        <f t="shared" si="342"/>
        <v>305532</v>
      </c>
      <c r="J4280" s="519">
        <v>439.5</v>
      </c>
      <c r="K4280" s="519">
        <f t="shared" si="349"/>
        <v>52.5</v>
      </c>
      <c r="L4280" s="519">
        <f t="shared" si="350"/>
        <v>32602.5</v>
      </c>
      <c r="M4280" s="557">
        <f t="shared" si="345"/>
        <v>0.10670731707317073</v>
      </c>
      <c r="N4280" s="15" t="s">
        <v>22</v>
      </c>
      <c r="O4280" s="15" t="s">
        <v>105</v>
      </c>
    </row>
    <row r="4281" spans="1:15">
      <c r="A4281" s="70">
        <v>2026</v>
      </c>
      <c r="B4281" s="16" t="s">
        <v>696</v>
      </c>
      <c r="C4281" s="70" t="s">
        <v>5550</v>
      </c>
      <c r="D4281" s="15" t="s">
        <v>1042</v>
      </c>
      <c r="E4281" s="15" t="s">
        <v>5551</v>
      </c>
      <c r="F4281" s="95">
        <v>160</v>
      </c>
      <c r="G4281" s="16" t="s">
        <v>37</v>
      </c>
      <c r="H4281" s="17">
        <v>492</v>
      </c>
      <c r="I4281" s="17">
        <f t="shared" si="342"/>
        <v>78720</v>
      </c>
      <c r="J4281" s="519">
        <v>439.5</v>
      </c>
      <c r="K4281" s="519">
        <f t="shared" si="349"/>
        <v>52.5</v>
      </c>
      <c r="L4281" s="519">
        <f t="shared" si="350"/>
        <v>8400</v>
      </c>
      <c r="M4281" s="557">
        <f t="shared" si="345"/>
        <v>0.10670731707317073</v>
      </c>
      <c r="N4281" s="15" t="s">
        <v>22</v>
      </c>
      <c r="O4281" s="15" t="s">
        <v>105</v>
      </c>
    </row>
    <row r="4282" spans="1:15">
      <c r="A4282" s="70">
        <v>2026</v>
      </c>
      <c r="B4282" s="16" t="s">
        <v>696</v>
      </c>
      <c r="C4282" s="70" t="s">
        <v>5550</v>
      </c>
      <c r="D4282" s="15" t="s">
        <v>1042</v>
      </c>
      <c r="E4282" s="15" t="s">
        <v>5552</v>
      </c>
      <c r="F4282" s="95">
        <v>1090</v>
      </c>
      <c r="G4282" s="16" t="s">
        <v>37</v>
      </c>
      <c r="H4282" s="17">
        <v>492</v>
      </c>
      <c r="I4282" s="17">
        <f t="shared" si="342"/>
        <v>536280</v>
      </c>
      <c r="J4282" s="519">
        <v>439.5</v>
      </c>
      <c r="K4282" s="519">
        <f t="shared" si="349"/>
        <v>52.5</v>
      </c>
      <c r="L4282" s="519">
        <f t="shared" si="350"/>
        <v>57225</v>
      </c>
      <c r="M4282" s="557">
        <f t="shared" si="345"/>
        <v>0.10670731707317073</v>
      </c>
      <c r="N4282" s="15" t="s">
        <v>22</v>
      </c>
      <c r="O4282" s="15" t="s">
        <v>105</v>
      </c>
    </row>
    <row r="4283" spans="1:15">
      <c r="A4283" s="70">
        <v>2026</v>
      </c>
      <c r="B4283" s="16" t="s">
        <v>696</v>
      </c>
      <c r="C4283" s="70" t="s">
        <v>5550</v>
      </c>
      <c r="D4283" s="15" t="s">
        <v>1042</v>
      </c>
      <c r="E4283" s="15" t="s">
        <v>5553</v>
      </c>
      <c r="F4283" s="95">
        <v>1520</v>
      </c>
      <c r="G4283" s="16" t="s">
        <v>37</v>
      </c>
      <c r="H4283" s="17">
        <v>492</v>
      </c>
      <c r="I4283" s="17">
        <f t="shared" si="342"/>
        <v>747840</v>
      </c>
      <c r="J4283" s="519">
        <v>439.5</v>
      </c>
      <c r="K4283" s="519">
        <f t="shared" si="349"/>
        <v>52.5</v>
      </c>
      <c r="L4283" s="519">
        <f t="shared" si="350"/>
        <v>79800</v>
      </c>
      <c r="M4283" s="557">
        <f t="shared" si="345"/>
        <v>0.10670731707317073</v>
      </c>
      <c r="N4283" s="15" t="s">
        <v>22</v>
      </c>
      <c r="O4283" s="15" t="s">
        <v>105</v>
      </c>
    </row>
    <row r="4284" spans="1:15">
      <c r="A4284" s="70">
        <v>2026</v>
      </c>
      <c r="B4284" s="16" t="s">
        <v>696</v>
      </c>
      <c r="C4284" s="70" t="s">
        <v>5550</v>
      </c>
      <c r="D4284" s="15" t="s">
        <v>1042</v>
      </c>
      <c r="E4284" s="15" t="s">
        <v>649</v>
      </c>
      <c r="F4284" s="95">
        <v>521</v>
      </c>
      <c r="G4284" s="16" t="s">
        <v>37</v>
      </c>
      <c r="H4284" s="17">
        <v>492</v>
      </c>
      <c r="I4284" s="17">
        <f t="shared" si="342"/>
        <v>256332</v>
      </c>
      <c r="J4284" s="519">
        <v>439.5</v>
      </c>
      <c r="K4284" s="519">
        <f t="shared" si="349"/>
        <v>52.5</v>
      </c>
      <c r="L4284" s="519">
        <f t="shared" si="350"/>
        <v>27352.5</v>
      </c>
      <c r="M4284" s="557">
        <f t="shared" si="345"/>
        <v>0.10670731707317073</v>
      </c>
      <c r="N4284" s="15" t="s">
        <v>22</v>
      </c>
      <c r="O4284" s="15" t="s">
        <v>105</v>
      </c>
    </row>
    <row r="4285" spans="1:15">
      <c r="A4285" s="70">
        <v>2026</v>
      </c>
      <c r="B4285" s="16" t="s">
        <v>696</v>
      </c>
      <c r="C4285" s="70" t="s">
        <v>5550</v>
      </c>
      <c r="D4285" s="15" t="s">
        <v>1042</v>
      </c>
      <c r="E4285" s="15" t="s">
        <v>277</v>
      </c>
      <c r="F4285" s="95">
        <v>876</v>
      </c>
      <c r="G4285" s="16" t="s">
        <v>37</v>
      </c>
      <c r="H4285" s="17">
        <v>492</v>
      </c>
      <c r="I4285" s="17">
        <f t="shared" si="342"/>
        <v>430992</v>
      </c>
      <c r="J4285" s="519">
        <v>439.5</v>
      </c>
      <c r="K4285" s="519">
        <f t="shared" si="349"/>
        <v>52.5</v>
      </c>
      <c r="L4285" s="519">
        <f t="shared" si="350"/>
        <v>45990</v>
      </c>
      <c r="M4285" s="557">
        <f t="shared" si="345"/>
        <v>0.10670731707317073</v>
      </c>
      <c r="N4285" s="15" t="s">
        <v>22</v>
      </c>
      <c r="O4285" s="15" t="s">
        <v>105</v>
      </c>
    </row>
    <row r="4286" spans="1:15">
      <c r="A4286" s="70">
        <v>2026</v>
      </c>
      <c r="B4286" s="16" t="s">
        <v>696</v>
      </c>
      <c r="C4286" s="70" t="s">
        <v>5550</v>
      </c>
      <c r="D4286" s="15" t="s">
        <v>1042</v>
      </c>
      <c r="E4286" s="15" t="s">
        <v>5554</v>
      </c>
      <c r="F4286" s="95">
        <v>93</v>
      </c>
      <c r="G4286" s="16" t="s">
        <v>37</v>
      </c>
      <c r="H4286" s="17">
        <v>492</v>
      </c>
      <c r="I4286" s="17">
        <f t="shared" si="342"/>
        <v>45756</v>
      </c>
      <c r="J4286" s="519">
        <v>439.5</v>
      </c>
      <c r="K4286" s="519">
        <f t="shared" si="349"/>
        <v>52.5</v>
      </c>
      <c r="L4286" s="519">
        <f t="shared" si="350"/>
        <v>4882.5</v>
      </c>
      <c r="M4286" s="557">
        <f t="shared" si="345"/>
        <v>0.10670731707317073</v>
      </c>
      <c r="N4286" s="15" t="s">
        <v>22</v>
      </c>
      <c r="O4286" s="15" t="s">
        <v>105</v>
      </c>
    </row>
    <row r="4287" spans="1:15">
      <c r="A4287" s="70">
        <v>2026</v>
      </c>
      <c r="B4287" s="16" t="s">
        <v>696</v>
      </c>
      <c r="C4287" s="70" t="s">
        <v>5555</v>
      </c>
      <c r="D4287" s="15" t="s">
        <v>590</v>
      </c>
      <c r="E4287" s="15" t="s">
        <v>5556</v>
      </c>
      <c r="F4287" s="95">
        <v>27</v>
      </c>
      <c r="G4287" s="16" t="s">
        <v>302</v>
      </c>
      <c r="H4287" s="17">
        <v>115250</v>
      </c>
      <c r="I4287" s="17">
        <f t="shared" si="342"/>
        <v>3111750</v>
      </c>
      <c r="J4287" s="519">
        <v>107800</v>
      </c>
      <c r="K4287" s="519">
        <f t="shared" ref="K4287:K4298" si="351">H4287-J4287</f>
        <v>7450</v>
      </c>
      <c r="L4287" s="519">
        <f t="shared" ref="L4287:L4298" si="352">K4287*F4287</f>
        <v>201150</v>
      </c>
      <c r="M4287" s="557">
        <f t="shared" ref="M4287:M4298" si="353">K4287/H4287</f>
        <v>6.4642082429501091E-2</v>
      </c>
      <c r="N4287" s="15" t="s">
        <v>22</v>
      </c>
      <c r="O4287" s="15" t="s">
        <v>39</v>
      </c>
    </row>
    <row r="4288" spans="1:15">
      <c r="A4288" s="70">
        <v>2026</v>
      </c>
      <c r="B4288" s="16" t="s">
        <v>696</v>
      </c>
      <c r="C4288" s="70" t="s">
        <v>5557</v>
      </c>
      <c r="D4288" s="15" t="s">
        <v>2086</v>
      </c>
      <c r="E4288" s="15" t="s">
        <v>5558</v>
      </c>
      <c r="F4288" s="95">
        <v>12</v>
      </c>
      <c r="G4288" s="16" t="s">
        <v>302</v>
      </c>
      <c r="H4288" s="17">
        <v>153562</v>
      </c>
      <c r="I4288" s="17">
        <f t="shared" si="342"/>
        <v>1842744</v>
      </c>
      <c r="J4288" s="519">
        <v>152000</v>
      </c>
      <c r="K4288" s="519">
        <f t="shared" si="351"/>
        <v>1562</v>
      </c>
      <c r="L4288" s="519">
        <f t="shared" si="352"/>
        <v>18744</v>
      </c>
      <c r="M4288" s="557">
        <f t="shared" si="353"/>
        <v>1.0171787291126711E-2</v>
      </c>
      <c r="N4288" s="15" t="s">
        <v>40</v>
      </c>
      <c r="O4288" s="15" t="s">
        <v>39</v>
      </c>
    </row>
    <row r="4289" spans="1:15">
      <c r="A4289" s="70">
        <v>2026</v>
      </c>
      <c r="B4289" s="16" t="s">
        <v>696</v>
      </c>
      <c r="C4289" s="70" t="s">
        <v>5559</v>
      </c>
      <c r="D4289" s="15" t="s">
        <v>590</v>
      </c>
      <c r="E4289" s="15" t="s">
        <v>5560</v>
      </c>
      <c r="F4289" s="95">
        <v>6</v>
      </c>
      <c r="G4289" s="16" t="s">
        <v>302</v>
      </c>
      <c r="H4289" s="17">
        <v>2550</v>
      </c>
      <c r="I4289" s="17">
        <f t="shared" si="342"/>
        <v>15300</v>
      </c>
      <c r="J4289" s="519">
        <v>2000</v>
      </c>
      <c r="K4289" s="519">
        <f t="shared" si="351"/>
        <v>550</v>
      </c>
      <c r="L4289" s="519">
        <f t="shared" si="352"/>
        <v>3300</v>
      </c>
      <c r="M4289" s="557">
        <f t="shared" si="353"/>
        <v>0.21568627450980393</v>
      </c>
      <c r="N4289" s="15" t="s">
        <v>40</v>
      </c>
      <c r="O4289" s="15" t="s">
        <v>39</v>
      </c>
    </row>
    <row r="4290" spans="1:15">
      <c r="A4290" s="70">
        <v>2026</v>
      </c>
      <c r="B4290" s="16" t="s">
        <v>696</v>
      </c>
      <c r="C4290" s="70" t="s">
        <v>5561</v>
      </c>
      <c r="D4290" s="15" t="s">
        <v>35</v>
      </c>
      <c r="E4290" s="15" t="s">
        <v>5562</v>
      </c>
      <c r="F4290" s="95">
        <v>2678</v>
      </c>
      <c r="G4290" s="16" t="s">
        <v>37</v>
      </c>
      <c r="H4290" s="17">
        <v>462</v>
      </c>
      <c r="I4290" s="17">
        <f t="shared" si="342"/>
        <v>1237236</v>
      </c>
      <c r="J4290" s="519">
        <v>440</v>
      </c>
      <c r="K4290" s="519">
        <f t="shared" si="351"/>
        <v>22</v>
      </c>
      <c r="L4290" s="519">
        <f t="shared" si="352"/>
        <v>58916</v>
      </c>
      <c r="M4290" s="557">
        <f t="shared" si="353"/>
        <v>4.7619047619047616E-2</v>
      </c>
      <c r="N4290" s="15" t="s">
        <v>22</v>
      </c>
      <c r="O4290" s="15" t="s">
        <v>105</v>
      </c>
    </row>
    <row r="4291" spans="1:15">
      <c r="A4291" s="70">
        <v>2026</v>
      </c>
      <c r="B4291" s="16" t="s">
        <v>696</v>
      </c>
      <c r="C4291" s="70" t="s">
        <v>5563</v>
      </c>
      <c r="D4291" s="15" t="s">
        <v>1042</v>
      </c>
      <c r="E4291" s="15" t="s">
        <v>5564</v>
      </c>
      <c r="F4291" s="95">
        <v>3780</v>
      </c>
      <c r="G4291" s="16" t="s">
        <v>37</v>
      </c>
      <c r="H4291" s="17">
        <v>492</v>
      </c>
      <c r="I4291" s="17">
        <f t="shared" si="342"/>
        <v>1859760</v>
      </c>
      <c r="J4291" s="519">
        <v>439.5</v>
      </c>
      <c r="K4291" s="519">
        <f t="shared" si="351"/>
        <v>52.5</v>
      </c>
      <c r="L4291" s="519">
        <f t="shared" si="352"/>
        <v>198450</v>
      </c>
      <c r="M4291" s="557">
        <f t="shared" si="353"/>
        <v>0.10670731707317073</v>
      </c>
      <c r="N4291" s="15" t="s">
        <v>22</v>
      </c>
      <c r="O4291" s="15" t="s">
        <v>105</v>
      </c>
    </row>
    <row r="4292" spans="1:15">
      <c r="A4292" s="70">
        <v>2026</v>
      </c>
      <c r="B4292" s="16" t="s">
        <v>696</v>
      </c>
      <c r="C4292" s="70" t="s">
        <v>5563</v>
      </c>
      <c r="D4292" s="15" t="s">
        <v>1042</v>
      </c>
      <c r="E4292" s="15" t="s">
        <v>5565</v>
      </c>
      <c r="F4292" s="95">
        <v>534</v>
      </c>
      <c r="G4292" s="16" t="s">
        <v>37</v>
      </c>
      <c r="H4292" s="17">
        <v>492</v>
      </c>
      <c r="I4292" s="17">
        <f t="shared" si="342"/>
        <v>262728</v>
      </c>
      <c r="J4292" s="519">
        <v>439.5</v>
      </c>
      <c r="K4292" s="519">
        <f t="shared" si="351"/>
        <v>52.5</v>
      </c>
      <c r="L4292" s="519">
        <f t="shared" si="352"/>
        <v>28035</v>
      </c>
      <c r="M4292" s="557">
        <f t="shared" si="353"/>
        <v>0.10670731707317073</v>
      </c>
      <c r="N4292" s="15" t="s">
        <v>22</v>
      </c>
      <c r="O4292" s="15" t="s">
        <v>105</v>
      </c>
    </row>
    <row r="4293" spans="1:15">
      <c r="A4293" s="70">
        <v>2026</v>
      </c>
      <c r="B4293" s="16" t="s">
        <v>696</v>
      </c>
      <c r="C4293" s="70" t="s">
        <v>5566</v>
      </c>
      <c r="D4293" s="15" t="s">
        <v>5567</v>
      </c>
      <c r="E4293" s="15" t="s">
        <v>5568</v>
      </c>
      <c r="F4293" s="95">
        <v>2</v>
      </c>
      <c r="G4293" s="16" t="s">
        <v>19</v>
      </c>
      <c r="H4293" s="17">
        <v>32500</v>
      </c>
      <c r="I4293" s="17">
        <f t="shared" si="342"/>
        <v>65000</v>
      </c>
      <c r="J4293" s="519">
        <v>31500</v>
      </c>
      <c r="K4293" s="519">
        <f t="shared" si="351"/>
        <v>1000</v>
      </c>
      <c r="L4293" s="519">
        <f t="shared" si="352"/>
        <v>2000</v>
      </c>
      <c r="M4293" s="557">
        <f t="shared" si="353"/>
        <v>3.0769230769230771E-2</v>
      </c>
      <c r="N4293" s="15" t="s">
        <v>22</v>
      </c>
      <c r="O4293" s="15" t="s">
        <v>4066</v>
      </c>
    </row>
    <row r="4294" spans="1:15">
      <c r="A4294" s="70">
        <v>2026</v>
      </c>
      <c r="B4294" s="16" t="s">
        <v>696</v>
      </c>
      <c r="C4294" s="70" t="s">
        <v>5569</v>
      </c>
      <c r="D4294" s="15" t="s">
        <v>376</v>
      </c>
      <c r="E4294" s="565" t="s">
        <v>5570</v>
      </c>
      <c r="F4294" s="95">
        <v>1</v>
      </c>
      <c r="G4294" s="16" t="s">
        <v>285</v>
      </c>
      <c r="H4294" s="17">
        <v>369000</v>
      </c>
      <c r="I4294" s="17">
        <f t="shared" si="342"/>
        <v>369000</v>
      </c>
      <c r="J4294" s="519">
        <v>364000</v>
      </c>
      <c r="K4294" s="519">
        <f t="shared" si="351"/>
        <v>5000</v>
      </c>
      <c r="L4294" s="519">
        <f t="shared" si="352"/>
        <v>5000</v>
      </c>
      <c r="M4294" s="557">
        <f t="shared" si="353"/>
        <v>1.3550135501355014E-2</v>
      </c>
      <c r="N4294" s="15" t="s">
        <v>40</v>
      </c>
      <c r="O4294" s="15" t="s">
        <v>4066</v>
      </c>
    </row>
    <row r="4295" spans="1:15">
      <c r="A4295" s="70">
        <v>2026</v>
      </c>
      <c r="B4295" s="16" t="s">
        <v>696</v>
      </c>
      <c r="C4295" s="70" t="s">
        <v>5571</v>
      </c>
      <c r="D4295" s="15" t="s">
        <v>5572</v>
      </c>
      <c r="E4295" s="15" t="s">
        <v>5573</v>
      </c>
      <c r="F4295" s="95">
        <v>6</v>
      </c>
      <c r="G4295" s="16" t="s">
        <v>285</v>
      </c>
      <c r="H4295" s="17">
        <v>11500</v>
      </c>
      <c r="I4295" s="17">
        <f t="shared" si="342"/>
        <v>69000</v>
      </c>
      <c r="J4295" s="519">
        <v>11000</v>
      </c>
      <c r="K4295" s="519">
        <f t="shared" si="351"/>
        <v>500</v>
      </c>
      <c r="L4295" s="519">
        <f t="shared" si="352"/>
        <v>3000</v>
      </c>
      <c r="M4295" s="557">
        <f t="shared" si="353"/>
        <v>4.3478260869565216E-2</v>
      </c>
      <c r="N4295" s="15" t="s">
        <v>22</v>
      </c>
      <c r="O4295" s="15" t="s">
        <v>4066</v>
      </c>
    </row>
    <row r="4296" spans="1:15">
      <c r="A4296" s="70">
        <v>2026</v>
      </c>
      <c r="B4296" s="16" t="s">
        <v>696</v>
      </c>
      <c r="C4296" s="70" t="s">
        <v>5574</v>
      </c>
      <c r="D4296" s="15" t="s">
        <v>4637</v>
      </c>
      <c r="E4296" s="15" t="s">
        <v>5575</v>
      </c>
      <c r="F4296" s="95">
        <v>1</v>
      </c>
      <c r="G4296" s="16" t="s">
        <v>285</v>
      </c>
      <c r="H4296" s="17">
        <v>467675</v>
      </c>
      <c r="I4296" s="17">
        <f t="shared" si="342"/>
        <v>467675</v>
      </c>
      <c r="J4296" s="519">
        <v>444292</v>
      </c>
      <c r="K4296" s="519">
        <f t="shared" si="351"/>
        <v>23383</v>
      </c>
      <c r="L4296" s="519">
        <f t="shared" si="352"/>
        <v>23383</v>
      </c>
      <c r="M4296" s="557">
        <f t="shared" si="353"/>
        <v>4.9998396322232318E-2</v>
      </c>
      <c r="N4296" s="15" t="s">
        <v>40</v>
      </c>
      <c r="O4296" s="15" t="s">
        <v>4066</v>
      </c>
    </row>
    <row r="4297" spans="1:15">
      <c r="A4297" s="70">
        <v>2026</v>
      </c>
      <c r="B4297" s="16" t="s">
        <v>696</v>
      </c>
      <c r="C4297" s="70" t="s">
        <v>5576</v>
      </c>
      <c r="D4297" s="15" t="s">
        <v>5577</v>
      </c>
      <c r="E4297" s="565" t="s">
        <v>5578</v>
      </c>
      <c r="F4297" s="95">
        <v>11</v>
      </c>
      <c r="G4297" s="16" t="s">
        <v>19</v>
      </c>
      <c r="H4297" s="17">
        <v>99000</v>
      </c>
      <c r="I4297" s="17">
        <f t="shared" si="342"/>
        <v>1089000</v>
      </c>
      <c r="J4297" s="519">
        <v>89909.09</v>
      </c>
      <c r="K4297" s="519">
        <f t="shared" si="351"/>
        <v>9090.9100000000035</v>
      </c>
      <c r="L4297" s="519">
        <f t="shared" si="352"/>
        <v>100000.01000000004</v>
      </c>
      <c r="M4297" s="557">
        <f t="shared" si="353"/>
        <v>9.1827373737373777E-2</v>
      </c>
      <c r="N4297" s="15" t="s">
        <v>40</v>
      </c>
      <c r="O4297" s="15" t="s">
        <v>4066</v>
      </c>
    </row>
    <row r="4298" spans="1:15">
      <c r="A4298" s="70">
        <v>2026</v>
      </c>
      <c r="B4298" s="16" t="s">
        <v>696</v>
      </c>
      <c r="C4298" s="70" t="s">
        <v>5579</v>
      </c>
      <c r="D4298" s="15" t="s">
        <v>1948</v>
      </c>
      <c r="E4298" s="15" t="s">
        <v>5580</v>
      </c>
      <c r="F4298" s="95">
        <v>5</v>
      </c>
      <c r="G4298" s="16" t="s">
        <v>29</v>
      </c>
      <c r="H4298" s="17">
        <v>223</v>
      </c>
      <c r="I4298" s="17">
        <f t="shared" si="342"/>
        <v>1115</v>
      </c>
      <c r="J4298" s="519">
        <v>211.85</v>
      </c>
      <c r="K4298" s="519">
        <f t="shared" si="351"/>
        <v>11.150000000000006</v>
      </c>
      <c r="L4298" s="519">
        <f t="shared" si="352"/>
        <v>55.750000000000028</v>
      </c>
      <c r="M4298" s="557">
        <f t="shared" si="353"/>
        <v>5.0000000000000024E-2</v>
      </c>
      <c r="N4298" s="15" t="s">
        <v>22</v>
      </c>
      <c r="O4298" s="15" t="s">
        <v>4066</v>
      </c>
    </row>
    <row r="4299" spans="1:15">
      <c r="A4299" s="70">
        <v>2026</v>
      </c>
      <c r="B4299" s="16" t="s">
        <v>696</v>
      </c>
      <c r="C4299" s="70" t="s">
        <v>5581</v>
      </c>
      <c r="D4299" s="15" t="s">
        <v>4857</v>
      </c>
      <c r="E4299" s="15" t="s">
        <v>5582</v>
      </c>
      <c r="F4299" s="95">
        <v>1</v>
      </c>
      <c r="G4299" s="16" t="s">
        <v>59</v>
      </c>
      <c r="H4299" s="17">
        <v>175650</v>
      </c>
      <c r="I4299" s="17">
        <f t="shared" ref="I4299:I4327" si="354">H4299*F4299</f>
        <v>175650</v>
      </c>
      <c r="J4299" s="519">
        <v>173000</v>
      </c>
      <c r="K4299" s="519">
        <f t="shared" ref="K4299:K4327" si="355">H4299-J4299</f>
        <v>2650</v>
      </c>
      <c r="L4299" s="519">
        <f t="shared" ref="L4299:L4327" si="356">K4299*F4299</f>
        <v>2650</v>
      </c>
      <c r="M4299" s="557">
        <f t="shared" ref="M4299:M4327" si="357">K4299/H4299</f>
        <v>1.5086820381440364E-2</v>
      </c>
      <c r="N4299" s="15" t="s">
        <v>40</v>
      </c>
      <c r="O4299" s="15" t="s">
        <v>4066</v>
      </c>
    </row>
    <row r="4300" spans="1:15">
      <c r="A4300" s="70">
        <v>2026</v>
      </c>
      <c r="B4300" s="16" t="s">
        <v>696</v>
      </c>
      <c r="C4300" s="70" t="s">
        <v>5583</v>
      </c>
      <c r="D4300" s="15" t="s">
        <v>4932</v>
      </c>
      <c r="E4300" s="15" t="s">
        <v>5584</v>
      </c>
      <c r="F4300" s="95">
        <v>1</v>
      </c>
      <c r="G4300" s="16" t="s">
        <v>19</v>
      </c>
      <c r="H4300" s="17">
        <v>6800</v>
      </c>
      <c r="I4300" s="17">
        <f t="shared" si="354"/>
        <v>6800</v>
      </c>
      <c r="J4300" s="519">
        <v>5780</v>
      </c>
      <c r="K4300" s="519">
        <f t="shared" si="355"/>
        <v>1020</v>
      </c>
      <c r="L4300" s="519">
        <f t="shared" si="356"/>
        <v>1020</v>
      </c>
      <c r="M4300" s="557">
        <f t="shared" si="357"/>
        <v>0.15</v>
      </c>
      <c r="N4300" s="15" t="s">
        <v>22</v>
      </c>
      <c r="O4300" s="15" t="s">
        <v>4066</v>
      </c>
    </row>
    <row r="4301" spans="1:15">
      <c r="A4301" s="70">
        <v>2026</v>
      </c>
      <c r="B4301" s="16" t="s">
        <v>696</v>
      </c>
      <c r="C4301" s="70" t="s">
        <v>5585</v>
      </c>
      <c r="D4301" s="15" t="s">
        <v>4179</v>
      </c>
      <c r="E4301" s="15" t="s">
        <v>5586</v>
      </c>
      <c r="F4301" s="95">
        <v>1</v>
      </c>
      <c r="G4301" s="16" t="s">
        <v>59</v>
      </c>
      <c r="H4301" s="17">
        <v>38080</v>
      </c>
      <c r="I4301" s="17">
        <f t="shared" si="354"/>
        <v>38080</v>
      </c>
      <c r="J4301" s="519">
        <v>37000</v>
      </c>
      <c r="K4301" s="519">
        <f t="shared" si="355"/>
        <v>1080</v>
      </c>
      <c r="L4301" s="519">
        <f t="shared" si="356"/>
        <v>1080</v>
      </c>
      <c r="M4301" s="557">
        <f t="shared" si="357"/>
        <v>2.8361344537815126E-2</v>
      </c>
      <c r="N4301" s="15" t="s">
        <v>40</v>
      </c>
      <c r="O4301" s="15" t="s">
        <v>4066</v>
      </c>
    </row>
    <row r="4302" spans="1:15">
      <c r="A4302" s="70">
        <v>2026</v>
      </c>
      <c r="B4302" s="16" t="s">
        <v>696</v>
      </c>
      <c r="C4302" s="70" t="s">
        <v>5585</v>
      </c>
      <c r="D4302" s="15" t="s">
        <v>4179</v>
      </c>
      <c r="E4302" s="15" t="s">
        <v>5587</v>
      </c>
      <c r="F4302" s="95">
        <v>1</v>
      </c>
      <c r="G4302" s="16" t="s">
        <v>59</v>
      </c>
      <c r="H4302" s="17">
        <v>475007.34</v>
      </c>
      <c r="I4302" s="17">
        <f t="shared" si="354"/>
        <v>475007.34</v>
      </c>
      <c r="J4302" s="519">
        <v>460000</v>
      </c>
      <c r="K4302" s="519">
        <f t="shared" si="355"/>
        <v>15007.340000000026</v>
      </c>
      <c r="L4302" s="519">
        <f t="shared" si="356"/>
        <v>15007.340000000026</v>
      </c>
      <c r="M4302" s="557">
        <f t="shared" si="357"/>
        <v>3.1593911790921012E-2</v>
      </c>
      <c r="N4302" s="15" t="s">
        <v>40</v>
      </c>
      <c r="O4302" s="15" t="s">
        <v>4066</v>
      </c>
    </row>
    <row r="4303" spans="1:15">
      <c r="A4303" s="70">
        <v>2026</v>
      </c>
      <c r="B4303" s="16" t="s">
        <v>696</v>
      </c>
      <c r="C4303" s="70" t="s">
        <v>5585</v>
      </c>
      <c r="D4303" s="15" t="s">
        <v>4179</v>
      </c>
      <c r="E4303" s="15" t="s">
        <v>5588</v>
      </c>
      <c r="F4303" s="95">
        <v>1</v>
      </c>
      <c r="G4303" s="16" t="s">
        <v>59</v>
      </c>
      <c r="H4303" s="17">
        <v>300959.40999999997</v>
      </c>
      <c r="I4303" s="17">
        <f t="shared" si="354"/>
        <v>300959.40999999997</v>
      </c>
      <c r="J4303" s="519">
        <v>285000</v>
      </c>
      <c r="K4303" s="519">
        <f t="shared" si="355"/>
        <v>15959.409999999974</v>
      </c>
      <c r="L4303" s="519">
        <f t="shared" si="356"/>
        <v>15959.409999999974</v>
      </c>
      <c r="M4303" s="557">
        <f t="shared" si="357"/>
        <v>5.3028446593512316E-2</v>
      </c>
      <c r="N4303" s="15" t="s">
        <v>40</v>
      </c>
      <c r="O4303" s="15" t="s">
        <v>4066</v>
      </c>
    </row>
    <row r="4304" spans="1:15">
      <c r="A4304" s="70">
        <v>2026</v>
      </c>
      <c r="B4304" s="16" t="s">
        <v>696</v>
      </c>
      <c r="C4304" s="70" t="s">
        <v>5589</v>
      </c>
      <c r="D4304" s="15" t="s">
        <v>4857</v>
      </c>
      <c r="E4304" s="15" t="s">
        <v>5590</v>
      </c>
      <c r="F4304" s="95">
        <v>1</v>
      </c>
      <c r="G4304" s="16" t="s">
        <v>285</v>
      </c>
      <c r="H4304" s="17">
        <v>168990</v>
      </c>
      <c r="I4304" s="17">
        <f t="shared" si="354"/>
        <v>168990</v>
      </c>
      <c r="J4304" s="519">
        <v>166990</v>
      </c>
      <c r="K4304" s="519">
        <f t="shared" si="355"/>
        <v>2000</v>
      </c>
      <c r="L4304" s="519">
        <f t="shared" si="356"/>
        <v>2000</v>
      </c>
      <c r="M4304" s="557">
        <f t="shared" si="357"/>
        <v>1.1835019823658205E-2</v>
      </c>
      <c r="N4304" s="15" t="s">
        <v>40</v>
      </c>
      <c r="O4304" s="15" t="s">
        <v>4066</v>
      </c>
    </row>
    <row r="4305" spans="1:15">
      <c r="A4305" s="70">
        <v>2026</v>
      </c>
      <c r="B4305" s="16" t="s">
        <v>696</v>
      </c>
      <c r="C4305" s="70" t="s">
        <v>5591</v>
      </c>
      <c r="D4305" s="15" t="s">
        <v>3049</v>
      </c>
      <c r="E4305" s="15" t="s">
        <v>5592</v>
      </c>
      <c r="F4305" s="95">
        <v>4</v>
      </c>
      <c r="G4305" s="16" t="s">
        <v>19</v>
      </c>
      <c r="H4305" s="17">
        <v>1350</v>
      </c>
      <c r="I4305" s="17">
        <f t="shared" si="354"/>
        <v>5400</v>
      </c>
      <c r="J4305" s="519">
        <v>1215</v>
      </c>
      <c r="K4305" s="519">
        <f t="shared" si="355"/>
        <v>135</v>
      </c>
      <c r="L4305" s="519">
        <f t="shared" si="356"/>
        <v>540</v>
      </c>
      <c r="M4305" s="557">
        <f t="shared" si="357"/>
        <v>0.1</v>
      </c>
      <c r="N4305" s="15" t="s">
        <v>22</v>
      </c>
      <c r="O4305" s="15" t="s">
        <v>4066</v>
      </c>
    </row>
    <row r="4306" spans="1:15">
      <c r="A4306" s="70">
        <v>2026</v>
      </c>
      <c r="B4306" s="16" t="s">
        <v>696</v>
      </c>
      <c r="C4306" s="70" t="s">
        <v>5593</v>
      </c>
      <c r="D4306" s="15" t="s">
        <v>4170</v>
      </c>
      <c r="E4306" s="15" t="s">
        <v>5594</v>
      </c>
      <c r="F4306" s="95">
        <v>1</v>
      </c>
      <c r="G4306" s="16" t="s">
        <v>19</v>
      </c>
      <c r="H4306" s="17">
        <v>29500</v>
      </c>
      <c r="I4306" s="17">
        <f t="shared" si="354"/>
        <v>29500</v>
      </c>
      <c r="J4306" s="519">
        <v>28025</v>
      </c>
      <c r="K4306" s="519">
        <f t="shared" si="355"/>
        <v>1475</v>
      </c>
      <c r="L4306" s="519">
        <f t="shared" si="356"/>
        <v>1475</v>
      </c>
      <c r="M4306" s="557">
        <f t="shared" si="357"/>
        <v>0.05</v>
      </c>
      <c r="N4306" s="15" t="s">
        <v>40</v>
      </c>
      <c r="O4306" s="15" t="s">
        <v>4066</v>
      </c>
    </row>
    <row r="4307" spans="1:15">
      <c r="A4307" s="70">
        <v>2026</v>
      </c>
      <c r="B4307" s="16" t="s">
        <v>696</v>
      </c>
      <c r="C4307" s="70" t="s">
        <v>5595</v>
      </c>
      <c r="D4307" s="15" t="s">
        <v>522</v>
      </c>
      <c r="E4307" s="15" t="s">
        <v>5596</v>
      </c>
      <c r="F4307" s="95">
        <v>1</v>
      </c>
      <c r="G4307" s="16" t="s">
        <v>285</v>
      </c>
      <c r="H4307" s="17">
        <v>1146673</v>
      </c>
      <c r="I4307" s="17">
        <f t="shared" si="354"/>
        <v>1146673</v>
      </c>
      <c r="J4307" s="519">
        <v>1050000</v>
      </c>
      <c r="K4307" s="519">
        <f t="shared" si="355"/>
        <v>96673</v>
      </c>
      <c r="L4307" s="519">
        <f t="shared" si="356"/>
        <v>96673</v>
      </c>
      <c r="M4307" s="557">
        <f t="shared" si="357"/>
        <v>8.4307383185964965E-2</v>
      </c>
      <c r="N4307" s="15" t="s">
        <v>40</v>
      </c>
      <c r="O4307" s="15" t="s">
        <v>4066</v>
      </c>
    </row>
    <row r="4308" spans="1:15">
      <c r="A4308" s="70">
        <v>2026</v>
      </c>
      <c r="B4308" s="16" t="s">
        <v>696</v>
      </c>
      <c r="C4308" s="70" t="s">
        <v>5597</v>
      </c>
      <c r="D4308" s="15" t="s">
        <v>4932</v>
      </c>
      <c r="E4308" s="15" t="s">
        <v>5598</v>
      </c>
      <c r="F4308" s="95">
        <v>18</v>
      </c>
      <c r="G4308" s="16" t="s">
        <v>19</v>
      </c>
      <c r="H4308" s="17">
        <v>670</v>
      </c>
      <c r="I4308" s="17">
        <f t="shared" si="354"/>
        <v>12060</v>
      </c>
      <c r="J4308" s="519">
        <v>603</v>
      </c>
      <c r="K4308" s="519">
        <f t="shared" si="355"/>
        <v>67</v>
      </c>
      <c r="L4308" s="519">
        <f t="shared" si="356"/>
        <v>1206</v>
      </c>
      <c r="M4308" s="557">
        <f t="shared" si="357"/>
        <v>0.1</v>
      </c>
      <c r="N4308" s="15" t="s">
        <v>22</v>
      </c>
      <c r="O4308" s="15" t="s">
        <v>4066</v>
      </c>
    </row>
    <row r="4309" spans="1:15">
      <c r="A4309" s="70">
        <v>2026</v>
      </c>
      <c r="B4309" s="16" t="s">
        <v>696</v>
      </c>
      <c r="C4309" s="70" t="s">
        <v>5597</v>
      </c>
      <c r="D4309" s="15" t="s">
        <v>4932</v>
      </c>
      <c r="E4309" s="15" t="s">
        <v>5599</v>
      </c>
      <c r="F4309" s="95">
        <v>2</v>
      </c>
      <c r="G4309" s="16" t="s">
        <v>19</v>
      </c>
      <c r="H4309" s="17">
        <v>750</v>
      </c>
      <c r="I4309" s="17">
        <f t="shared" si="354"/>
        <v>1500</v>
      </c>
      <c r="J4309" s="519">
        <v>675</v>
      </c>
      <c r="K4309" s="519">
        <f t="shared" si="355"/>
        <v>75</v>
      </c>
      <c r="L4309" s="519">
        <f t="shared" si="356"/>
        <v>150</v>
      </c>
      <c r="M4309" s="557">
        <f t="shared" si="357"/>
        <v>0.1</v>
      </c>
      <c r="N4309" s="15" t="s">
        <v>22</v>
      </c>
      <c r="O4309" s="15" t="s">
        <v>4066</v>
      </c>
    </row>
    <row r="4310" spans="1:15">
      <c r="A4310" s="70">
        <v>2026</v>
      </c>
      <c r="B4310" s="16" t="s">
        <v>696</v>
      </c>
      <c r="C4310" s="70" t="s">
        <v>5597</v>
      </c>
      <c r="D4310" s="15" t="s">
        <v>4932</v>
      </c>
      <c r="E4310" s="15" t="s">
        <v>5600</v>
      </c>
      <c r="F4310" s="95">
        <v>3</v>
      </c>
      <c r="G4310" s="16" t="s">
        <v>19</v>
      </c>
      <c r="H4310" s="17">
        <v>2450</v>
      </c>
      <c r="I4310" s="17">
        <f t="shared" si="354"/>
        <v>7350</v>
      </c>
      <c r="J4310" s="519">
        <v>2205</v>
      </c>
      <c r="K4310" s="519">
        <f t="shared" si="355"/>
        <v>245</v>
      </c>
      <c r="L4310" s="519">
        <f t="shared" si="356"/>
        <v>735</v>
      </c>
      <c r="M4310" s="557">
        <f t="shared" si="357"/>
        <v>0.1</v>
      </c>
      <c r="N4310" s="15" t="s">
        <v>22</v>
      </c>
      <c r="O4310" s="15" t="s">
        <v>4066</v>
      </c>
    </row>
    <row r="4311" spans="1:15">
      <c r="A4311" s="70">
        <v>2026</v>
      </c>
      <c r="B4311" s="16" t="s">
        <v>696</v>
      </c>
      <c r="C4311" s="70" t="s">
        <v>5597</v>
      </c>
      <c r="D4311" s="15" t="s">
        <v>4932</v>
      </c>
      <c r="E4311" s="565" t="s">
        <v>5601</v>
      </c>
      <c r="F4311" s="95">
        <v>1</v>
      </c>
      <c r="G4311" s="16" t="s">
        <v>19</v>
      </c>
      <c r="H4311" s="17">
        <v>2150</v>
      </c>
      <c r="I4311" s="17">
        <f t="shared" si="354"/>
        <v>2150</v>
      </c>
      <c r="J4311" s="519">
        <v>1935</v>
      </c>
      <c r="K4311" s="519">
        <f t="shared" si="355"/>
        <v>215</v>
      </c>
      <c r="L4311" s="519">
        <f t="shared" si="356"/>
        <v>215</v>
      </c>
      <c r="M4311" s="557">
        <f t="shared" si="357"/>
        <v>0.1</v>
      </c>
      <c r="N4311" s="15" t="s">
        <v>22</v>
      </c>
      <c r="O4311" s="15" t="s">
        <v>4066</v>
      </c>
    </row>
    <row r="4312" spans="1:15">
      <c r="A4312" s="70">
        <v>2026</v>
      </c>
      <c r="B4312" s="16" t="s">
        <v>696</v>
      </c>
      <c r="C4312" s="70" t="s">
        <v>5602</v>
      </c>
      <c r="D4312" s="15" t="s">
        <v>3020</v>
      </c>
      <c r="E4312" s="15" t="s">
        <v>5603</v>
      </c>
      <c r="F4312" s="95">
        <v>1</v>
      </c>
      <c r="G4312" s="16" t="s">
        <v>285</v>
      </c>
      <c r="H4312" s="17">
        <v>35000</v>
      </c>
      <c r="I4312" s="17">
        <f t="shared" si="354"/>
        <v>35000</v>
      </c>
      <c r="J4312" s="519">
        <v>33500</v>
      </c>
      <c r="K4312" s="519">
        <f t="shared" si="355"/>
        <v>1500</v>
      </c>
      <c r="L4312" s="519">
        <f t="shared" si="356"/>
        <v>1500</v>
      </c>
      <c r="M4312" s="557">
        <f t="shared" si="357"/>
        <v>4.2857142857142858E-2</v>
      </c>
      <c r="N4312" s="15" t="s">
        <v>40</v>
      </c>
      <c r="O4312" s="15" t="s">
        <v>4066</v>
      </c>
    </row>
    <row r="4313" spans="1:15">
      <c r="A4313" s="70">
        <v>2026</v>
      </c>
      <c r="B4313" s="16" t="s">
        <v>696</v>
      </c>
      <c r="C4313" s="70" t="s">
        <v>5604</v>
      </c>
      <c r="D4313" s="15" t="s">
        <v>4179</v>
      </c>
      <c r="E4313" s="15" t="s">
        <v>5605</v>
      </c>
      <c r="F4313" s="95">
        <v>1</v>
      </c>
      <c r="G4313" s="16" t="s">
        <v>285</v>
      </c>
      <c r="H4313" s="17">
        <v>233609.67</v>
      </c>
      <c r="I4313" s="17">
        <f t="shared" si="354"/>
        <v>233609.67</v>
      </c>
      <c r="J4313" s="519">
        <v>220000</v>
      </c>
      <c r="K4313" s="519">
        <f t="shared" si="355"/>
        <v>13609.670000000013</v>
      </c>
      <c r="L4313" s="519">
        <f t="shared" si="356"/>
        <v>13609.670000000013</v>
      </c>
      <c r="M4313" s="557">
        <f t="shared" si="357"/>
        <v>5.8258162001598703E-2</v>
      </c>
      <c r="N4313" s="15" t="s">
        <v>40</v>
      </c>
      <c r="O4313" s="15" t="s">
        <v>4066</v>
      </c>
    </row>
    <row r="4314" spans="1:15">
      <c r="A4314" s="70">
        <v>2026</v>
      </c>
      <c r="B4314" s="16" t="s">
        <v>696</v>
      </c>
      <c r="C4314" s="70" t="s">
        <v>5606</v>
      </c>
      <c r="D4314" s="15" t="s">
        <v>4179</v>
      </c>
      <c r="E4314" s="15" t="s">
        <v>5607</v>
      </c>
      <c r="F4314" s="95">
        <v>1</v>
      </c>
      <c r="G4314" s="16" t="s">
        <v>285</v>
      </c>
      <c r="H4314" s="17">
        <v>157247.94</v>
      </c>
      <c r="I4314" s="17">
        <f t="shared" si="354"/>
        <v>157247.94</v>
      </c>
      <c r="J4314" s="519">
        <v>150000</v>
      </c>
      <c r="K4314" s="519">
        <f t="shared" si="355"/>
        <v>7247.9400000000023</v>
      </c>
      <c r="L4314" s="519">
        <f t="shared" si="356"/>
        <v>7247.9400000000023</v>
      </c>
      <c r="M4314" s="557">
        <f t="shared" si="357"/>
        <v>4.6092432117075761E-2</v>
      </c>
      <c r="N4314" s="15" t="s">
        <v>40</v>
      </c>
      <c r="O4314" s="15" t="s">
        <v>4066</v>
      </c>
    </row>
    <row r="4315" spans="1:15">
      <c r="A4315" s="70">
        <v>2026</v>
      </c>
      <c r="B4315" s="16" t="s">
        <v>696</v>
      </c>
      <c r="C4315" s="70" t="s">
        <v>5606</v>
      </c>
      <c r="D4315" s="15" t="s">
        <v>4179</v>
      </c>
      <c r="E4315" s="15" t="s">
        <v>5608</v>
      </c>
      <c r="F4315" s="95">
        <v>1</v>
      </c>
      <c r="G4315" s="16" t="s">
        <v>285</v>
      </c>
      <c r="H4315" s="17">
        <v>655223.11</v>
      </c>
      <c r="I4315" s="17">
        <f t="shared" si="354"/>
        <v>655223.11</v>
      </c>
      <c r="J4315" s="519">
        <v>640000</v>
      </c>
      <c r="K4315" s="519">
        <f t="shared" si="355"/>
        <v>15223.109999999986</v>
      </c>
      <c r="L4315" s="519">
        <f t="shared" si="356"/>
        <v>15223.109999999986</v>
      </c>
      <c r="M4315" s="557">
        <f t="shared" si="357"/>
        <v>2.3233475388253606E-2</v>
      </c>
      <c r="N4315" s="15" t="s">
        <v>40</v>
      </c>
      <c r="O4315" s="15" t="s">
        <v>4066</v>
      </c>
    </row>
    <row r="4316" spans="1:15">
      <c r="A4316" s="70">
        <v>2026</v>
      </c>
      <c r="B4316" s="16" t="s">
        <v>696</v>
      </c>
      <c r="C4316" s="70" t="s">
        <v>5609</v>
      </c>
      <c r="D4316" s="15" t="s">
        <v>4857</v>
      </c>
      <c r="E4316" s="15" t="s">
        <v>5610</v>
      </c>
      <c r="F4316" s="95">
        <v>1</v>
      </c>
      <c r="G4316" s="16" t="s">
        <v>285</v>
      </c>
      <c r="H4316" s="17">
        <v>372395</v>
      </c>
      <c r="I4316" s="17">
        <f t="shared" si="354"/>
        <v>372395</v>
      </c>
      <c r="J4316" s="519">
        <v>367395</v>
      </c>
      <c r="K4316" s="519">
        <f t="shared" si="355"/>
        <v>5000</v>
      </c>
      <c r="L4316" s="519">
        <f t="shared" si="356"/>
        <v>5000</v>
      </c>
      <c r="M4316" s="557">
        <f t="shared" si="357"/>
        <v>1.3426603472119658E-2</v>
      </c>
      <c r="N4316" s="15" t="s">
        <v>40</v>
      </c>
      <c r="O4316" s="15" t="s">
        <v>4066</v>
      </c>
    </row>
    <row r="4317" spans="1:15">
      <c r="A4317" s="70">
        <v>2026</v>
      </c>
      <c r="B4317" s="16" t="s">
        <v>696</v>
      </c>
      <c r="C4317" s="70" t="s">
        <v>5611</v>
      </c>
      <c r="D4317" s="15" t="s">
        <v>4179</v>
      </c>
      <c r="E4317" s="15" t="s">
        <v>5612</v>
      </c>
      <c r="F4317" s="95">
        <v>1</v>
      </c>
      <c r="G4317" s="16" t="s">
        <v>285</v>
      </c>
      <c r="H4317" s="17">
        <v>195794.55</v>
      </c>
      <c r="I4317" s="17">
        <f t="shared" si="354"/>
        <v>195794.55</v>
      </c>
      <c r="J4317" s="519">
        <v>186000</v>
      </c>
      <c r="K4317" s="519">
        <f t="shared" si="355"/>
        <v>9794.5499999999884</v>
      </c>
      <c r="L4317" s="519">
        <f t="shared" si="356"/>
        <v>9794.5499999999884</v>
      </c>
      <c r="M4317" s="557">
        <f t="shared" si="357"/>
        <v>5.0024630409784075E-2</v>
      </c>
      <c r="N4317" s="15" t="s">
        <v>40</v>
      </c>
      <c r="O4317" s="15" t="s">
        <v>4066</v>
      </c>
    </row>
    <row r="4318" spans="1:15">
      <c r="A4318" s="70">
        <v>2026</v>
      </c>
      <c r="B4318" s="16" t="s">
        <v>696</v>
      </c>
      <c r="C4318" s="70" t="s">
        <v>5613</v>
      </c>
      <c r="D4318" s="15" t="s">
        <v>89</v>
      </c>
      <c r="E4318" s="15" t="s">
        <v>5614</v>
      </c>
      <c r="F4318" s="95">
        <v>1</v>
      </c>
      <c r="G4318" s="16" t="s">
        <v>285</v>
      </c>
      <c r="H4318" s="17">
        <v>15000</v>
      </c>
      <c r="I4318" s="17">
        <f t="shared" si="354"/>
        <v>15000</v>
      </c>
      <c r="J4318" s="519">
        <v>13500</v>
      </c>
      <c r="K4318" s="519">
        <f t="shared" si="355"/>
        <v>1500</v>
      </c>
      <c r="L4318" s="519">
        <f t="shared" si="356"/>
        <v>1500</v>
      </c>
      <c r="M4318" s="557">
        <f t="shared" si="357"/>
        <v>0.1</v>
      </c>
      <c r="N4318" s="15" t="s">
        <v>40</v>
      </c>
      <c r="O4318" s="15" t="s">
        <v>4066</v>
      </c>
    </row>
    <row r="4319" spans="1:15">
      <c r="A4319" s="70">
        <v>2026</v>
      </c>
      <c r="B4319" s="16" t="s">
        <v>696</v>
      </c>
      <c r="C4319" s="70" t="s">
        <v>5615</v>
      </c>
      <c r="D4319" s="15" t="s">
        <v>248</v>
      </c>
      <c r="E4319" s="15" t="s">
        <v>5616</v>
      </c>
      <c r="F4319" s="95">
        <v>1</v>
      </c>
      <c r="G4319" s="16" t="s">
        <v>19</v>
      </c>
      <c r="H4319" s="17">
        <v>12500</v>
      </c>
      <c r="I4319" s="17">
        <f t="shared" si="354"/>
        <v>12500</v>
      </c>
      <c r="J4319" s="519">
        <v>10200</v>
      </c>
      <c r="K4319" s="519">
        <f t="shared" si="355"/>
        <v>2300</v>
      </c>
      <c r="L4319" s="519">
        <f t="shared" si="356"/>
        <v>2300</v>
      </c>
      <c r="M4319" s="557">
        <f t="shared" si="357"/>
        <v>0.184</v>
      </c>
      <c r="N4319" s="15" t="s">
        <v>22</v>
      </c>
      <c r="O4319" s="15" t="s">
        <v>4066</v>
      </c>
    </row>
    <row r="4320" spans="1:15">
      <c r="A4320" s="70">
        <v>2026</v>
      </c>
      <c r="B4320" s="16" t="s">
        <v>696</v>
      </c>
      <c r="C4320" s="70" t="s">
        <v>5617</v>
      </c>
      <c r="D4320" s="15" t="s">
        <v>4231</v>
      </c>
      <c r="E4320" s="15" t="s">
        <v>5618</v>
      </c>
      <c r="F4320" s="95">
        <v>1</v>
      </c>
      <c r="G4320" s="16" t="s">
        <v>285</v>
      </c>
      <c r="H4320" s="17">
        <v>3000</v>
      </c>
      <c r="I4320" s="17">
        <f t="shared" si="354"/>
        <v>3000</v>
      </c>
      <c r="J4320" s="519">
        <v>2700</v>
      </c>
      <c r="K4320" s="519">
        <f t="shared" si="355"/>
        <v>300</v>
      </c>
      <c r="L4320" s="519">
        <f t="shared" si="356"/>
        <v>300</v>
      </c>
      <c r="M4320" s="557">
        <f t="shared" si="357"/>
        <v>0.1</v>
      </c>
      <c r="N4320" s="15" t="s">
        <v>40</v>
      </c>
      <c r="O4320" s="15" t="s">
        <v>4066</v>
      </c>
    </row>
    <row r="4321" spans="1:15">
      <c r="A4321" s="70">
        <v>2026</v>
      </c>
      <c r="B4321" s="16" t="s">
        <v>696</v>
      </c>
      <c r="C4321" s="70" t="s">
        <v>5619</v>
      </c>
      <c r="D4321" s="15" t="s">
        <v>4857</v>
      </c>
      <c r="E4321" s="15" t="s">
        <v>5620</v>
      </c>
      <c r="F4321" s="95">
        <v>1</v>
      </c>
      <c r="G4321" s="16" t="s">
        <v>285</v>
      </c>
      <c r="H4321" s="17">
        <v>211500</v>
      </c>
      <c r="I4321" s="17">
        <f t="shared" si="354"/>
        <v>211500</v>
      </c>
      <c r="J4321" s="519">
        <v>208500</v>
      </c>
      <c r="K4321" s="519">
        <f t="shared" si="355"/>
        <v>3000</v>
      </c>
      <c r="L4321" s="519">
        <f t="shared" si="356"/>
        <v>3000</v>
      </c>
      <c r="M4321" s="557">
        <f t="shared" si="357"/>
        <v>1.4184397163120567E-2</v>
      </c>
      <c r="N4321" s="15" t="s">
        <v>40</v>
      </c>
      <c r="O4321" s="15" t="s">
        <v>4066</v>
      </c>
    </row>
    <row r="4322" spans="1:15">
      <c r="A4322" s="70">
        <v>2026</v>
      </c>
      <c r="B4322" s="16" t="s">
        <v>696</v>
      </c>
      <c r="C4322" s="70" t="s">
        <v>5621</v>
      </c>
      <c r="D4322" s="15" t="s">
        <v>4231</v>
      </c>
      <c r="E4322" s="15" t="s">
        <v>5622</v>
      </c>
      <c r="F4322" s="95">
        <v>1</v>
      </c>
      <c r="G4322" s="16" t="s">
        <v>285</v>
      </c>
      <c r="H4322" s="17">
        <v>201350</v>
      </c>
      <c r="I4322" s="17">
        <f t="shared" si="354"/>
        <v>201350</v>
      </c>
      <c r="J4322" s="519">
        <v>196350</v>
      </c>
      <c r="K4322" s="519">
        <f t="shared" si="355"/>
        <v>5000</v>
      </c>
      <c r="L4322" s="519">
        <f t="shared" si="356"/>
        <v>5000</v>
      </c>
      <c r="M4322" s="557">
        <f t="shared" si="357"/>
        <v>2.4832381425378695E-2</v>
      </c>
      <c r="N4322" s="15" t="s">
        <v>40</v>
      </c>
      <c r="O4322" s="15" t="s">
        <v>4066</v>
      </c>
    </row>
    <row r="4323" spans="1:15">
      <c r="A4323" s="70">
        <v>2026</v>
      </c>
      <c r="B4323" s="16" t="s">
        <v>696</v>
      </c>
      <c r="C4323" s="70" t="s">
        <v>5623</v>
      </c>
      <c r="D4323" s="15" t="s">
        <v>1935</v>
      </c>
      <c r="E4323" s="15" t="s">
        <v>5450</v>
      </c>
      <c r="F4323" s="95">
        <v>2</v>
      </c>
      <c r="G4323" s="16" t="s">
        <v>2482</v>
      </c>
      <c r="H4323" s="17">
        <v>770</v>
      </c>
      <c r="I4323" s="17">
        <f t="shared" si="354"/>
        <v>1540</v>
      </c>
      <c r="J4323" s="519">
        <v>740</v>
      </c>
      <c r="K4323" s="519">
        <f t="shared" si="355"/>
        <v>30</v>
      </c>
      <c r="L4323" s="519">
        <f t="shared" si="356"/>
        <v>60</v>
      </c>
      <c r="M4323" s="557">
        <f t="shared" si="357"/>
        <v>3.896103896103896E-2</v>
      </c>
      <c r="N4323" s="15" t="s">
        <v>22</v>
      </c>
      <c r="O4323" s="15" t="s">
        <v>4066</v>
      </c>
    </row>
    <row r="4324" spans="1:15">
      <c r="A4324" s="70">
        <v>2026</v>
      </c>
      <c r="B4324" s="16" t="s">
        <v>696</v>
      </c>
      <c r="C4324" s="70" t="s">
        <v>5623</v>
      </c>
      <c r="D4324" s="15" t="s">
        <v>1935</v>
      </c>
      <c r="E4324" s="15" t="s">
        <v>5451</v>
      </c>
      <c r="F4324" s="95">
        <v>4</v>
      </c>
      <c r="G4324" s="16" t="s">
        <v>2482</v>
      </c>
      <c r="H4324" s="17">
        <v>630</v>
      </c>
      <c r="I4324" s="17">
        <f t="shared" si="354"/>
        <v>2520</v>
      </c>
      <c r="J4324" s="519">
        <v>592</v>
      </c>
      <c r="K4324" s="519">
        <f t="shared" si="355"/>
        <v>38</v>
      </c>
      <c r="L4324" s="519">
        <f t="shared" si="356"/>
        <v>152</v>
      </c>
      <c r="M4324" s="557">
        <f t="shared" si="357"/>
        <v>6.0317460317460318E-2</v>
      </c>
      <c r="N4324" s="15" t="s">
        <v>22</v>
      </c>
      <c r="O4324" s="15" t="s">
        <v>4066</v>
      </c>
    </row>
    <row r="4325" spans="1:15">
      <c r="A4325" s="70">
        <v>2026</v>
      </c>
      <c r="B4325" s="16" t="s">
        <v>696</v>
      </c>
      <c r="C4325" s="70" t="s">
        <v>5623</v>
      </c>
      <c r="D4325" s="15" t="s">
        <v>1935</v>
      </c>
      <c r="E4325" s="15" t="s">
        <v>5452</v>
      </c>
      <c r="F4325" s="95">
        <v>1</v>
      </c>
      <c r="G4325" s="16" t="s">
        <v>2482</v>
      </c>
      <c r="H4325" s="17">
        <v>680</v>
      </c>
      <c r="I4325" s="17">
        <f t="shared" si="354"/>
        <v>680</v>
      </c>
      <c r="J4325" s="519">
        <v>592</v>
      </c>
      <c r="K4325" s="519">
        <f t="shared" si="355"/>
        <v>88</v>
      </c>
      <c r="L4325" s="519">
        <f t="shared" si="356"/>
        <v>88</v>
      </c>
      <c r="M4325" s="557">
        <f t="shared" si="357"/>
        <v>0.12941176470588237</v>
      </c>
      <c r="N4325" s="15" t="s">
        <v>22</v>
      </c>
      <c r="O4325" s="15" t="s">
        <v>4066</v>
      </c>
    </row>
    <row r="4326" spans="1:15">
      <c r="A4326" s="70">
        <v>2026</v>
      </c>
      <c r="B4326" s="16" t="s">
        <v>696</v>
      </c>
      <c r="C4326" s="70" t="s">
        <v>5624</v>
      </c>
      <c r="D4326" s="15" t="s">
        <v>27</v>
      </c>
      <c r="E4326" s="15" t="s">
        <v>5265</v>
      </c>
      <c r="F4326" s="95">
        <v>200</v>
      </c>
      <c r="G4326" s="16" t="s">
        <v>1146</v>
      </c>
      <c r="H4326" s="17">
        <v>547</v>
      </c>
      <c r="I4326" s="17">
        <f t="shared" si="354"/>
        <v>109400</v>
      </c>
      <c r="J4326" s="519">
        <v>540</v>
      </c>
      <c r="K4326" s="519">
        <f t="shared" si="355"/>
        <v>7</v>
      </c>
      <c r="L4326" s="519">
        <f t="shared" si="356"/>
        <v>1400</v>
      </c>
      <c r="M4326" s="557">
        <f t="shared" si="357"/>
        <v>1.2797074954296161E-2</v>
      </c>
      <c r="N4326" s="15" t="s">
        <v>22</v>
      </c>
      <c r="O4326" s="15" t="s">
        <v>4066</v>
      </c>
    </row>
    <row r="4327" spans="1:15">
      <c r="A4327" s="70">
        <v>2026</v>
      </c>
      <c r="B4327" s="16" t="s">
        <v>696</v>
      </c>
      <c r="C4327" s="70" t="s">
        <v>5624</v>
      </c>
      <c r="D4327" s="15" t="s">
        <v>27</v>
      </c>
      <c r="E4327" s="15" t="s">
        <v>4603</v>
      </c>
      <c r="F4327" s="95">
        <v>660</v>
      </c>
      <c r="G4327" s="16" t="s">
        <v>1146</v>
      </c>
      <c r="H4327" s="17">
        <v>396</v>
      </c>
      <c r="I4327" s="17">
        <f t="shared" si="354"/>
        <v>261360</v>
      </c>
      <c r="J4327" s="519">
        <v>390</v>
      </c>
      <c r="K4327" s="519">
        <f t="shared" si="355"/>
        <v>6</v>
      </c>
      <c r="L4327" s="519">
        <f t="shared" si="356"/>
        <v>3960</v>
      </c>
      <c r="M4327" s="557">
        <f t="shared" si="357"/>
        <v>1.5151515151515152E-2</v>
      </c>
      <c r="N4327" s="15" t="s">
        <v>22</v>
      </c>
      <c r="O4327" s="15" t="s">
        <v>4066</v>
      </c>
    </row>
    <row r="4328" spans="1:15">
      <c r="A4328" s="70">
        <v>2026</v>
      </c>
      <c r="B4328" s="16" t="s">
        <v>696</v>
      </c>
      <c r="C4328" s="70" t="s">
        <v>5624</v>
      </c>
      <c r="D4328" s="15" t="s">
        <v>27</v>
      </c>
      <c r="E4328" s="15" t="s">
        <v>5266</v>
      </c>
      <c r="F4328" s="95">
        <v>150</v>
      </c>
      <c r="G4328" s="16" t="s">
        <v>1146</v>
      </c>
      <c r="H4328" s="17">
        <v>520</v>
      </c>
      <c r="I4328" s="17">
        <f t="shared" ref="I4328:I4334" si="358">H4328*F4328</f>
        <v>78000</v>
      </c>
      <c r="J4328" s="519">
        <v>510</v>
      </c>
      <c r="K4328" s="519">
        <f t="shared" ref="K4328:K4334" si="359">H4328-J4328</f>
        <v>10</v>
      </c>
      <c r="L4328" s="519">
        <f t="shared" ref="L4328:L4334" si="360">K4328*F4328</f>
        <v>1500</v>
      </c>
      <c r="M4328" s="557">
        <f t="shared" ref="M4328:M4334" si="361">K4328/H4328</f>
        <v>1.9230769230769232E-2</v>
      </c>
      <c r="N4328" s="15" t="s">
        <v>22</v>
      </c>
      <c r="O4328" s="15" t="s">
        <v>4066</v>
      </c>
    </row>
    <row r="4329" spans="1:15">
      <c r="A4329" s="70">
        <v>2026</v>
      </c>
      <c r="B4329" s="16" t="s">
        <v>696</v>
      </c>
      <c r="C4329" s="70" t="s">
        <v>5624</v>
      </c>
      <c r="D4329" s="15" t="s">
        <v>27</v>
      </c>
      <c r="E4329" s="15" t="s">
        <v>5625</v>
      </c>
      <c r="F4329" s="95">
        <v>250</v>
      </c>
      <c r="G4329" s="16" t="s">
        <v>1146</v>
      </c>
      <c r="H4329" s="17">
        <v>200</v>
      </c>
      <c r="I4329" s="17">
        <f t="shared" si="358"/>
        <v>50000</v>
      </c>
      <c r="J4329" s="519">
        <v>196</v>
      </c>
      <c r="K4329" s="519">
        <f t="shared" si="359"/>
        <v>4</v>
      </c>
      <c r="L4329" s="519">
        <f t="shared" si="360"/>
        <v>1000</v>
      </c>
      <c r="M4329" s="557">
        <f t="shared" si="361"/>
        <v>0.02</v>
      </c>
      <c r="N4329" s="15" t="s">
        <v>22</v>
      </c>
      <c r="O4329" s="15" t="s">
        <v>4066</v>
      </c>
    </row>
    <row r="4330" spans="1:15">
      <c r="A4330" s="70">
        <v>2026</v>
      </c>
      <c r="B4330" s="16" t="s">
        <v>696</v>
      </c>
      <c r="C4330" s="70" t="s">
        <v>5624</v>
      </c>
      <c r="D4330" s="15" t="s">
        <v>27</v>
      </c>
      <c r="E4330" s="15" t="s">
        <v>5626</v>
      </c>
      <c r="F4330" s="95">
        <v>50</v>
      </c>
      <c r="G4330" s="16" t="s">
        <v>1146</v>
      </c>
      <c r="H4330" s="17">
        <v>95</v>
      </c>
      <c r="I4330" s="17">
        <f t="shared" si="358"/>
        <v>4750</v>
      </c>
      <c r="J4330" s="519">
        <v>93</v>
      </c>
      <c r="K4330" s="519">
        <f t="shared" si="359"/>
        <v>2</v>
      </c>
      <c r="L4330" s="519">
        <f t="shared" si="360"/>
        <v>100</v>
      </c>
      <c r="M4330" s="557">
        <f t="shared" si="361"/>
        <v>2.1052631578947368E-2</v>
      </c>
      <c r="N4330" s="15" t="s">
        <v>22</v>
      </c>
      <c r="O4330" s="15" t="s">
        <v>4066</v>
      </c>
    </row>
    <row r="4331" spans="1:15">
      <c r="A4331" s="70">
        <v>2026</v>
      </c>
      <c r="B4331" s="16" t="s">
        <v>696</v>
      </c>
      <c r="C4331" s="70" t="s">
        <v>5627</v>
      </c>
      <c r="D4331" s="15" t="s">
        <v>2934</v>
      </c>
      <c r="E4331" s="15" t="s">
        <v>5628</v>
      </c>
      <c r="F4331" s="95">
        <v>1</v>
      </c>
      <c r="G4331" s="16" t="s">
        <v>285</v>
      </c>
      <c r="H4331" s="17">
        <v>32500</v>
      </c>
      <c r="I4331" s="17">
        <f t="shared" si="358"/>
        <v>32500</v>
      </c>
      <c r="J4331" s="519">
        <v>30500</v>
      </c>
      <c r="K4331" s="519">
        <f t="shared" si="359"/>
        <v>2000</v>
      </c>
      <c r="L4331" s="519">
        <f t="shared" si="360"/>
        <v>2000</v>
      </c>
      <c r="M4331" s="557">
        <f t="shared" si="361"/>
        <v>6.1538461538461542E-2</v>
      </c>
      <c r="N4331" s="15" t="s">
        <v>40</v>
      </c>
      <c r="O4331" s="15" t="s">
        <v>4066</v>
      </c>
    </row>
    <row r="4332" spans="1:15">
      <c r="A4332" s="70">
        <v>2026</v>
      </c>
      <c r="B4332" s="16" t="s">
        <v>696</v>
      </c>
      <c r="C4332" s="70" t="s">
        <v>5629</v>
      </c>
      <c r="D4332" s="15" t="s">
        <v>171</v>
      </c>
      <c r="E4332" s="15" t="s">
        <v>5630</v>
      </c>
      <c r="F4332" s="95">
        <v>3</v>
      </c>
      <c r="G4332" s="16" t="s">
        <v>302</v>
      </c>
      <c r="H4332" s="17">
        <v>103320</v>
      </c>
      <c r="I4332" s="17">
        <f t="shared" si="358"/>
        <v>309960</v>
      </c>
      <c r="J4332" s="519">
        <v>100000</v>
      </c>
      <c r="K4332" s="519">
        <f t="shared" si="359"/>
        <v>3320</v>
      </c>
      <c r="L4332" s="519">
        <f t="shared" si="360"/>
        <v>9960</v>
      </c>
      <c r="M4332" s="557">
        <f t="shared" si="361"/>
        <v>3.2133178474641887E-2</v>
      </c>
      <c r="N4332" s="15" t="s">
        <v>40</v>
      </c>
      <c r="O4332" s="15" t="s">
        <v>4066</v>
      </c>
    </row>
    <row r="4333" spans="1:15">
      <c r="A4333" s="70">
        <v>2026</v>
      </c>
      <c r="B4333" s="16" t="s">
        <v>696</v>
      </c>
      <c r="C4333" s="70" t="s">
        <v>5631</v>
      </c>
      <c r="D4333" s="15" t="s">
        <v>113</v>
      </c>
      <c r="E4333" s="15" t="s">
        <v>5632</v>
      </c>
      <c r="F4333" s="95">
        <v>2</v>
      </c>
      <c r="G4333" s="16" t="s">
        <v>19</v>
      </c>
      <c r="H4333" s="17">
        <v>275000</v>
      </c>
      <c r="I4333" s="17">
        <f t="shared" si="358"/>
        <v>550000</v>
      </c>
      <c r="J4333" s="519">
        <v>200000</v>
      </c>
      <c r="K4333" s="519">
        <f t="shared" si="359"/>
        <v>75000</v>
      </c>
      <c r="L4333" s="519">
        <f t="shared" si="360"/>
        <v>150000</v>
      </c>
      <c r="M4333" s="557">
        <f t="shared" si="361"/>
        <v>0.27272727272727271</v>
      </c>
      <c r="N4333" s="15" t="s">
        <v>40</v>
      </c>
      <c r="O4333" s="15" t="s">
        <v>4066</v>
      </c>
    </row>
    <row r="4334" spans="1:15">
      <c r="A4334" s="70">
        <v>2026</v>
      </c>
      <c r="B4334" s="16" t="s">
        <v>696</v>
      </c>
      <c r="C4334" s="70" t="s">
        <v>5633</v>
      </c>
      <c r="D4334" s="15" t="s">
        <v>182</v>
      </c>
      <c r="E4334" s="15" t="s">
        <v>5634</v>
      </c>
      <c r="F4334" s="95">
        <v>1</v>
      </c>
      <c r="G4334" s="16" t="s">
        <v>19</v>
      </c>
      <c r="H4334" s="17">
        <v>198222</v>
      </c>
      <c r="I4334" s="17">
        <f t="shared" si="358"/>
        <v>198222</v>
      </c>
      <c r="J4334" s="519">
        <v>178399.8</v>
      </c>
      <c r="K4334" s="519">
        <f t="shared" si="359"/>
        <v>19822.200000000012</v>
      </c>
      <c r="L4334" s="519">
        <f t="shared" si="360"/>
        <v>19822.200000000012</v>
      </c>
      <c r="M4334" s="557">
        <f t="shared" si="361"/>
        <v>0.10000000000000006</v>
      </c>
      <c r="N4334" s="15" t="s">
        <v>40</v>
      </c>
      <c r="O4334" s="15" t="s">
        <v>4066</v>
      </c>
    </row>
    <row r="4335" spans="1:15">
      <c r="A4335" s="70">
        <v>2026</v>
      </c>
      <c r="B4335" s="16" t="s">
        <v>696</v>
      </c>
      <c r="C4335" s="70" t="s">
        <v>5635</v>
      </c>
      <c r="D4335" s="15" t="s">
        <v>5636</v>
      </c>
      <c r="E4335" s="15" t="s">
        <v>5637</v>
      </c>
      <c r="F4335" s="95">
        <v>1</v>
      </c>
      <c r="G4335" s="16" t="s">
        <v>19</v>
      </c>
      <c r="H4335" s="17">
        <v>2500</v>
      </c>
      <c r="I4335" s="17">
        <f t="shared" ref="I4335:I4370" si="362">H4335*F4335</f>
        <v>2500</v>
      </c>
      <c r="J4335" s="519">
        <v>1750</v>
      </c>
      <c r="K4335" s="519">
        <f t="shared" ref="K4335:K4370" si="363">H4335-J4335</f>
        <v>750</v>
      </c>
      <c r="L4335" s="519">
        <f t="shared" ref="L4335:L4370" si="364">K4335*F4335</f>
        <v>750</v>
      </c>
      <c r="M4335" s="557">
        <f t="shared" ref="M4335:M4370" si="365">K4335/H4335</f>
        <v>0.3</v>
      </c>
      <c r="N4335" s="15" t="s">
        <v>40</v>
      </c>
      <c r="O4335" s="15" t="s">
        <v>4066</v>
      </c>
    </row>
    <row r="4336" spans="1:15">
      <c r="A4336" s="70">
        <v>2026</v>
      </c>
      <c r="B4336" s="16" t="s">
        <v>696</v>
      </c>
      <c r="C4336" s="70" t="s">
        <v>5635</v>
      </c>
      <c r="D4336" s="15" t="s">
        <v>5636</v>
      </c>
      <c r="E4336" s="15" t="s">
        <v>5638</v>
      </c>
      <c r="F4336" s="95">
        <v>1</v>
      </c>
      <c r="G4336" s="16" t="s">
        <v>19</v>
      </c>
      <c r="H4336" s="17">
        <v>2500</v>
      </c>
      <c r="I4336" s="17">
        <f t="shared" si="362"/>
        <v>2500</v>
      </c>
      <c r="J4336" s="519">
        <v>1750</v>
      </c>
      <c r="K4336" s="519">
        <f t="shared" si="363"/>
        <v>750</v>
      </c>
      <c r="L4336" s="519">
        <f t="shared" si="364"/>
        <v>750</v>
      </c>
      <c r="M4336" s="557">
        <f t="shared" si="365"/>
        <v>0.3</v>
      </c>
      <c r="N4336" s="15" t="s">
        <v>40</v>
      </c>
      <c r="O4336" s="15" t="s">
        <v>4066</v>
      </c>
    </row>
    <row r="4337" spans="1:15">
      <c r="A4337" s="70">
        <v>2026</v>
      </c>
      <c r="B4337" s="16" t="s">
        <v>696</v>
      </c>
      <c r="C4337" s="70" t="s">
        <v>5639</v>
      </c>
      <c r="D4337" s="15" t="s">
        <v>3931</v>
      </c>
      <c r="E4337" s="15" t="s">
        <v>5640</v>
      </c>
      <c r="F4337" s="95">
        <v>1</v>
      </c>
      <c r="G4337" s="16" t="s">
        <v>285</v>
      </c>
      <c r="H4337" s="17">
        <v>185000</v>
      </c>
      <c r="I4337" s="17">
        <f t="shared" si="362"/>
        <v>185000</v>
      </c>
      <c r="J4337" s="519">
        <v>175750</v>
      </c>
      <c r="K4337" s="519">
        <f t="shared" si="363"/>
        <v>9250</v>
      </c>
      <c r="L4337" s="519">
        <f t="shared" si="364"/>
        <v>9250</v>
      </c>
      <c r="M4337" s="557">
        <f t="shared" si="365"/>
        <v>0.05</v>
      </c>
      <c r="N4337" s="15" t="s">
        <v>40</v>
      </c>
      <c r="O4337" s="15" t="s">
        <v>4066</v>
      </c>
    </row>
    <row r="4338" spans="1:15">
      <c r="A4338" s="70">
        <v>2026</v>
      </c>
      <c r="B4338" s="16" t="s">
        <v>696</v>
      </c>
      <c r="C4338" s="70" t="s">
        <v>5641</v>
      </c>
      <c r="D4338" s="15" t="s">
        <v>113</v>
      </c>
      <c r="E4338" s="15" t="s">
        <v>5642</v>
      </c>
      <c r="F4338" s="95">
        <v>1</v>
      </c>
      <c r="G4338" s="16" t="s">
        <v>19</v>
      </c>
      <c r="H4338" s="17">
        <v>75000</v>
      </c>
      <c r="I4338" s="17">
        <f t="shared" si="362"/>
        <v>75000</v>
      </c>
      <c r="J4338" s="519">
        <v>60000</v>
      </c>
      <c r="K4338" s="519">
        <f t="shared" si="363"/>
        <v>15000</v>
      </c>
      <c r="L4338" s="519">
        <f t="shared" si="364"/>
        <v>15000</v>
      </c>
      <c r="M4338" s="557">
        <f t="shared" si="365"/>
        <v>0.2</v>
      </c>
      <c r="N4338" s="15" t="s">
        <v>40</v>
      </c>
      <c r="O4338" s="15" t="s">
        <v>4066</v>
      </c>
    </row>
    <row r="4339" spans="1:15">
      <c r="A4339" s="70">
        <v>2026</v>
      </c>
      <c r="B4339" s="16" t="s">
        <v>696</v>
      </c>
      <c r="C4339" s="70" t="s">
        <v>5643</v>
      </c>
      <c r="D4339" s="15" t="s">
        <v>4637</v>
      </c>
      <c r="E4339" s="15" t="s">
        <v>5644</v>
      </c>
      <c r="F4339" s="95">
        <v>1</v>
      </c>
      <c r="G4339" s="16" t="s">
        <v>285</v>
      </c>
      <c r="H4339" s="17">
        <v>49955</v>
      </c>
      <c r="I4339" s="17">
        <f t="shared" si="362"/>
        <v>49955</v>
      </c>
      <c r="J4339" s="519">
        <v>44960</v>
      </c>
      <c r="K4339" s="519">
        <f t="shared" si="363"/>
        <v>4995</v>
      </c>
      <c r="L4339" s="519">
        <f t="shared" si="364"/>
        <v>4995</v>
      </c>
      <c r="M4339" s="557">
        <f t="shared" si="365"/>
        <v>9.9989990991892708E-2</v>
      </c>
      <c r="N4339" s="15" t="s">
        <v>40</v>
      </c>
      <c r="O4339" s="15" t="s">
        <v>4066</v>
      </c>
    </row>
    <row r="4340" spans="1:15">
      <c r="A4340" s="70">
        <v>2026</v>
      </c>
      <c r="B4340" s="16" t="s">
        <v>696</v>
      </c>
      <c r="C4340" s="70" t="s">
        <v>5645</v>
      </c>
      <c r="D4340" s="15" t="s">
        <v>946</v>
      </c>
      <c r="E4340" s="15" t="s">
        <v>1700</v>
      </c>
      <c r="F4340" s="95">
        <v>4000</v>
      </c>
      <c r="G4340" s="16" t="s">
        <v>1146</v>
      </c>
      <c r="H4340" s="17">
        <v>22.5</v>
      </c>
      <c r="I4340" s="17">
        <f t="shared" si="362"/>
        <v>90000</v>
      </c>
      <c r="J4340" s="519">
        <v>20.93</v>
      </c>
      <c r="K4340" s="519">
        <f t="shared" si="363"/>
        <v>1.5700000000000003</v>
      </c>
      <c r="L4340" s="519">
        <f t="shared" si="364"/>
        <v>6280.0000000000009</v>
      </c>
      <c r="M4340" s="557">
        <f t="shared" si="365"/>
        <v>6.9777777777777786E-2</v>
      </c>
      <c r="N4340" s="15" t="s">
        <v>40</v>
      </c>
      <c r="O4340" s="15" t="s">
        <v>4066</v>
      </c>
    </row>
    <row r="4341" spans="1:15">
      <c r="A4341" s="70">
        <v>2026</v>
      </c>
      <c r="B4341" s="16" t="s">
        <v>696</v>
      </c>
      <c r="C4341" s="70" t="s">
        <v>4558</v>
      </c>
      <c r="D4341" s="15" t="s">
        <v>4334</v>
      </c>
      <c r="E4341" s="15" t="s">
        <v>5646</v>
      </c>
      <c r="F4341" s="95">
        <v>1</v>
      </c>
      <c r="G4341" s="16" t="s">
        <v>285</v>
      </c>
      <c r="H4341" s="17">
        <v>270398.90999999997</v>
      </c>
      <c r="I4341" s="17">
        <f t="shared" si="362"/>
        <v>270398.90999999997</v>
      </c>
      <c r="J4341" s="519">
        <v>265078.03000000003</v>
      </c>
      <c r="K4341" s="519">
        <f t="shared" si="363"/>
        <v>5320.8799999999464</v>
      </c>
      <c r="L4341" s="519">
        <f t="shared" si="364"/>
        <v>5320.8799999999464</v>
      </c>
      <c r="M4341" s="557">
        <f t="shared" si="365"/>
        <v>1.967788997374267E-2</v>
      </c>
      <c r="N4341" s="15" t="s">
        <v>40</v>
      </c>
      <c r="O4341" s="15" t="s">
        <v>105</v>
      </c>
    </row>
    <row r="4342" spans="1:15">
      <c r="A4342" s="70">
        <v>2026</v>
      </c>
      <c r="B4342" s="16" t="s">
        <v>1</v>
      </c>
      <c r="C4342" s="70" t="s">
        <v>5647</v>
      </c>
      <c r="D4342" s="15" t="s">
        <v>5648</v>
      </c>
      <c r="E4342" s="15" t="s">
        <v>5649</v>
      </c>
      <c r="F4342" s="95">
        <v>12</v>
      </c>
      <c r="G4342" s="16" t="s">
        <v>19</v>
      </c>
      <c r="H4342" s="17">
        <f>256*39</f>
        <v>9984</v>
      </c>
      <c r="I4342" s="17">
        <f t="shared" si="362"/>
        <v>119808</v>
      </c>
      <c r="J4342" s="519">
        <f>244*39</f>
        <v>9516</v>
      </c>
      <c r="K4342" s="519">
        <f t="shared" si="363"/>
        <v>468</v>
      </c>
      <c r="L4342" s="519">
        <f t="shared" si="364"/>
        <v>5616</v>
      </c>
      <c r="M4342" s="557">
        <f t="shared" si="365"/>
        <v>4.6875E-2</v>
      </c>
      <c r="N4342" s="15" t="s">
        <v>40</v>
      </c>
      <c r="O4342" s="15" t="s">
        <v>39</v>
      </c>
    </row>
    <row r="4343" spans="1:15">
      <c r="A4343" s="70">
        <v>2026</v>
      </c>
      <c r="B4343" s="16" t="s">
        <v>1</v>
      </c>
      <c r="C4343" s="70" t="s">
        <v>5650</v>
      </c>
      <c r="D4343" s="15" t="s">
        <v>617</v>
      </c>
      <c r="E4343" s="15" t="s">
        <v>233</v>
      </c>
      <c r="F4343" s="95">
        <v>6000</v>
      </c>
      <c r="G4343" s="16" t="s">
        <v>37</v>
      </c>
      <c r="H4343" s="17">
        <v>24</v>
      </c>
      <c r="I4343" s="17">
        <f t="shared" si="362"/>
        <v>144000</v>
      </c>
      <c r="J4343" s="519">
        <v>23.5</v>
      </c>
      <c r="K4343" s="519">
        <f t="shared" si="363"/>
        <v>0.5</v>
      </c>
      <c r="L4343" s="519">
        <f t="shared" si="364"/>
        <v>3000</v>
      </c>
      <c r="M4343" s="557">
        <f t="shared" si="365"/>
        <v>2.0833333333333332E-2</v>
      </c>
      <c r="N4343" s="15" t="s">
        <v>40</v>
      </c>
      <c r="O4343" s="15" t="s">
        <v>39</v>
      </c>
    </row>
    <row r="4344" spans="1:15">
      <c r="A4344" s="70">
        <v>2026</v>
      </c>
      <c r="B4344" s="16" t="s">
        <v>1</v>
      </c>
      <c r="C4344" s="70" t="s">
        <v>5651</v>
      </c>
      <c r="D4344" s="15" t="s">
        <v>497</v>
      </c>
      <c r="E4344" s="15" t="s">
        <v>4530</v>
      </c>
      <c r="F4344" s="95">
        <v>20000</v>
      </c>
      <c r="G4344" s="16" t="s">
        <v>37</v>
      </c>
      <c r="H4344" s="17">
        <v>89.09</v>
      </c>
      <c r="I4344" s="17">
        <f t="shared" si="362"/>
        <v>1781800</v>
      </c>
      <c r="J4344" s="519">
        <v>86.76</v>
      </c>
      <c r="K4344" s="519">
        <f t="shared" si="363"/>
        <v>2.3299999999999983</v>
      </c>
      <c r="L4344" s="519">
        <f t="shared" si="364"/>
        <v>46599.999999999964</v>
      </c>
      <c r="M4344" s="557">
        <f t="shared" si="365"/>
        <v>2.6153328095184624E-2</v>
      </c>
      <c r="N4344" s="15" t="s">
        <v>40</v>
      </c>
      <c r="O4344" s="15" t="s">
        <v>39</v>
      </c>
    </row>
    <row r="4345" spans="1:15">
      <c r="A4345" s="70">
        <v>2026</v>
      </c>
      <c r="B4345" s="16" t="s">
        <v>1</v>
      </c>
      <c r="C4345" s="70" t="s">
        <v>5652</v>
      </c>
      <c r="D4345" s="15" t="s">
        <v>270</v>
      </c>
      <c r="E4345" s="15" t="s">
        <v>5653</v>
      </c>
      <c r="F4345" s="95">
        <v>1</v>
      </c>
      <c r="G4345" s="16" t="s">
        <v>302</v>
      </c>
      <c r="H4345" s="17">
        <v>119987</v>
      </c>
      <c r="I4345" s="17">
        <f t="shared" si="362"/>
        <v>119987</v>
      </c>
      <c r="J4345" s="17">
        <v>118193</v>
      </c>
      <c r="K4345" s="519">
        <f t="shared" si="363"/>
        <v>1794</v>
      </c>
      <c r="L4345" s="519">
        <f t="shared" si="364"/>
        <v>1794</v>
      </c>
      <c r="M4345" s="557">
        <f t="shared" si="365"/>
        <v>1.4951619758807204E-2</v>
      </c>
      <c r="N4345" s="15" t="s">
        <v>40</v>
      </c>
      <c r="O4345" s="15" t="s">
        <v>105</v>
      </c>
    </row>
    <row r="4346" spans="1:15">
      <c r="A4346" s="70">
        <v>2026</v>
      </c>
      <c r="B4346" s="16" t="s">
        <v>1</v>
      </c>
      <c r="C4346" s="70" t="s">
        <v>5654</v>
      </c>
      <c r="D4346" s="15" t="s">
        <v>1042</v>
      </c>
      <c r="E4346" s="15" t="s">
        <v>540</v>
      </c>
      <c r="F4346" s="95">
        <v>458</v>
      </c>
      <c r="G4346" s="16" t="s">
        <v>37</v>
      </c>
      <c r="H4346" s="17">
        <v>498</v>
      </c>
      <c r="I4346" s="17">
        <f t="shared" si="362"/>
        <v>228084</v>
      </c>
      <c r="J4346" s="17">
        <v>439.5</v>
      </c>
      <c r="K4346" s="519">
        <f t="shared" si="363"/>
        <v>58.5</v>
      </c>
      <c r="L4346" s="519">
        <f t="shared" si="364"/>
        <v>26793</v>
      </c>
      <c r="M4346" s="557">
        <f t="shared" si="365"/>
        <v>0.11746987951807229</v>
      </c>
      <c r="N4346" s="15" t="s">
        <v>40</v>
      </c>
      <c r="O4346" s="15" t="s">
        <v>105</v>
      </c>
    </row>
    <row r="4347" spans="1:15">
      <c r="A4347" s="70">
        <v>2026</v>
      </c>
      <c r="B4347" s="16" t="s">
        <v>1</v>
      </c>
      <c r="C4347" s="70" t="s">
        <v>5654</v>
      </c>
      <c r="D4347" s="15" t="s">
        <v>1042</v>
      </c>
      <c r="E4347" s="15" t="s">
        <v>217</v>
      </c>
      <c r="F4347" s="95">
        <v>358</v>
      </c>
      <c r="G4347" s="16" t="s">
        <v>37</v>
      </c>
      <c r="H4347" s="17">
        <v>498</v>
      </c>
      <c r="I4347" s="17">
        <f t="shared" si="362"/>
        <v>178284</v>
      </c>
      <c r="J4347" s="17">
        <v>439.5</v>
      </c>
      <c r="K4347" s="519">
        <f t="shared" si="363"/>
        <v>58.5</v>
      </c>
      <c r="L4347" s="519">
        <f t="shared" si="364"/>
        <v>20943</v>
      </c>
      <c r="M4347" s="557">
        <f t="shared" si="365"/>
        <v>0.11746987951807229</v>
      </c>
      <c r="N4347" s="15" t="s">
        <v>40</v>
      </c>
      <c r="O4347" s="15" t="s">
        <v>105</v>
      </c>
    </row>
    <row r="4348" spans="1:15">
      <c r="A4348" s="70">
        <v>2026</v>
      </c>
      <c r="B4348" s="16" t="s">
        <v>1</v>
      </c>
      <c r="C4348" s="70" t="s">
        <v>5654</v>
      </c>
      <c r="D4348" s="15" t="s">
        <v>1042</v>
      </c>
      <c r="E4348" s="15" t="s">
        <v>555</v>
      </c>
      <c r="F4348" s="95">
        <v>418.8</v>
      </c>
      <c r="G4348" s="16" t="s">
        <v>37</v>
      </c>
      <c r="H4348" s="17">
        <v>498</v>
      </c>
      <c r="I4348" s="17">
        <f t="shared" si="362"/>
        <v>208562.4</v>
      </c>
      <c r="J4348" s="17">
        <v>439.5</v>
      </c>
      <c r="K4348" s="519">
        <f t="shared" si="363"/>
        <v>58.5</v>
      </c>
      <c r="L4348" s="519">
        <f t="shared" si="364"/>
        <v>24499.8</v>
      </c>
      <c r="M4348" s="557">
        <f t="shared" si="365"/>
        <v>0.11746987951807229</v>
      </c>
      <c r="N4348" s="15" t="s">
        <v>40</v>
      </c>
      <c r="O4348" s="15" t="s">
        <v>105</v>
      </c>
    </row>
    <row r="4349" spans="1:15">
      <c r="A4349" s="70">
        <v>2026</v>
      </c>
      <c r="B4349" s="16" t="s">
        <v>1</v>
      </c>
      <c r="C4349" s="70" t="s">
        <v>5654</v>
      </c>
      <c r="D4349" s="15" t="s">
        <v>1042</v>
      </c>
      <c r="E4349" s="15" t="s">
        <v>5655</v>
      </c>
      <c r="F4349" s="95">
        <v>166.47</v>
      </c>
      <c r="G4349" s="16" t="s">
        <v>37</v>
      </c>
      <c r="H4349" s="17">
        <v>498</v>
      </c>
      <c r="I4349" s="17">
        <f t="shared" si="362"/>
        <v>82902.06</v>
      </c>
      <c r="J4349" s="17">
        <v>439.5</v>
      </c>
      <c r="K4349" s="519">
        <f t="shared" si="363"/>
        <v>58.5</v>
      </c>
      <c r="L4349" s="519">
        <f t="shared" si="364"/>
        <v>9738.4950000000008</v>
      </c>
      <c r="M4349" s="557">
        <f t="shared" si="365"/>
        <v>0.11746987951807229</v>
      </c>
      <c r="N4349" s="15" t="s">
        <v>40</v>
      </c>
      <c r="O4349" s="15" t="s">
        <v>105</v>
      </c>
    </row>
    <row r="4350" spans="1:15">
      <c r="A4350" s="70">
        <v>2026</v>
      </c>
      <c r="B4350" s="16" t="s">
        <v>1</v>
      </c>
      <c r="C4350" s="70" t="s">
        <v>5654</v>
      </c>
      <c r="D4350" s="15" t="s">
        <v>1042</v>
      </c>
      <c r="E4350" s="15" t="s">
        <v>5656</v>
      </c>
      <c r="F4350" s="95">
        <v>1370.63</v>
      </c>
      <c r="G4350" s="16" t="s">
        <v>37</v>
      </c>
      <c r="H4350" s="17">
        <v>498</v>
      </c>
      <c r="I4350" s="17">
        <f t="shared" si="362"/>
        <v>682573.74000000011</v>
      </c>
      <c r="J4350" s="17">
        <v>439.5</v>
      </c>
      <c r="K4350" s="519">
        <f t="shared" si="363"/>
        <v>58.5</v>
      </c>
      <c r="L4350" s="519">
        <f t="shared" si="364"/>
        <v>80181.85500000001</v>
      </c>
      <c r="M4350" s="557">
        <f t="shared" si="365"/>
        <v>0.11746987951807229</v>
      </c>
      <c r="N4350" s="15" t="s">
        <v>40</v>
      </c>
      <c r="O4350" s="15" t="s">
        <v>105</v>
      </c>
    </row>
    <row r="4351" spans="1:15">
      <c r="A4351" s="70">
        <v>2026</v>
      </c>
      <c r="B4351" s="16" t="s">
        <v>1</v>
      </c>
      <c r="C4351" s="70" t="s">
        <v>5654</v>
      </c>
      <c r="D4351" s="15" t="s">
        <v>1042</v>
      </c>
      <c r="E4351" s="15" t="s">
        <v>297</v>
      </c>
      <c r="F4351" s="95">
        <v>417.64</v>
      </c>
      <c r="G4351" s="16" t="s">
        <v>37</v>
      </c>
      <c r="H4351" s="17">
        <v>498</v>
      </c>
      <c r="I4351" s="17">
        <f t="shared" si="362"/>
        <v>207984.72</v>
      </c>
      <c r="J4351" s="17">
        <v>439.5</v>
      </c>
      <c r="K4351" s="519">
        <f t="shared" si="363"/>
        <v>58.5</v>
      </c>
      <c r="L4351" s="519">
        <f t="shared" si="364"/>
        <v>24431.94</v>
      </c>
      <c r="M4351" s="557">
        <f t="shared" si="365"/>
        <v>0.11746987951807229</v>
      </c>
      <c r="N4351" s="15" t="s">
        <v>40</v>
      </c>
      <c r="O4351" s="15" t="s">
        <v>105</v>
      </c>
    </row>
    <row r="4352" spans="1:15">
      <c r="A4352" s="70">
        <v>2026</v>
      </c>
      <c r="B4352" s="16" t="s">
        <v>1</v>
      </c>
      <c r="C4352" s="70" t="s">
        <v>5654</v>
      </c>
      <c r="D4352" s="15" t="s">
        <v>1042</v>
      </c>
      <c r="E4352" s="15" t="s">
        <v>5657</v>
      </c>
      <c r="F4352" s="95">
        <v>142.99</v>
      </c>
      <c r="G4352" s="16" t="s">
        <v>37</v>
      </c>
      <c r="H4352" s="17">
        <v>498</v>
      </c>
      <c r="I4352" s="17">
        <f t="shared" si="362"/>
        <v>71209.02</v>
      </c>
      <c r="J4352" s="17">
        <v>439.5</v>
      </c>
      <c r="K4352" s="519">
        <f t="shared" si="363"/>
        <v>58.5</v>
      </c>
      <c r="L4352" s="519">
        <f t="shared" si="364"/>
        <v>8364.9150000000009</v>
      </c>
      <c r="M4352" s="557">
        <f t="shared" si="365"/>
        <v>0.11746987951807229</v>
      </c>
      <c r="N4352" s="15" t="s">
        <v>40</v>
      </c>
      <c r="O4352" s="15" t="s">
        <v>105</v>
      </c>
    </row>
    <row r="4353" spans="1:15">
      <c r="A4353" s="70">
        <v>2026</v>
      </c>
      <c r="B4353" s="16" t="s">
        <v>1</v>
      </c>
      <c r="C4353" s="70" t="s">
        <v>5654</v>
      </c>
      <c r="D4353" s="15" t="s">
        <v>1042</v>
      </c>
      <c r="E4353" s="15" t="s">
        <v>653</v>
      </c>
      <c r="F4353" s="95">
        <v>770</v>
      </c>
      <c r="G4353" s="16" t="s">
        <v>37</v>
      </c>
      <c r="H4353" s="17">
        <v>498</v>
      </c>
      <c r="I4353" s="17">
        <f t="shared" si="362"/>
        <v>383460</v>
      </c>
      <c r="J4353" s="17">
        <v>439.5</v>
      </c>
      <c r="K4353" s="519">
        <f t="shared" si="363"/>
        <v>58.5</v>
      </c>
      <c r="L4353" s="519">
        <f t="shared" si="364"/>
        <v>45045</v>
      </c>
      <c r="M4353" s="557">
        <f t="shared" si="365"/>
        <v>0.11746987951807229</v>
      </c>
      <c r="N4353" s="15" t="s">
        <v>40</v>
      </c>
      <c r="O4353" s="15" t="s">
        <v>105</v>
      </c>
    </row>
    <row r="4354" spans="1:15">
      <c r="A4354" s="70">
        <v>2026</v>
      </c>
      <c r="B4354" s="16" t="s">
        <v>1</v>
      </c>
      <c r="C4354" s="70" t="s">
        <v>5654</v>
      </c>
      <c r="D4354" s="15" t="s">
        <v>1042</v>
      </c>
      <c r="E4354" s="15" t="s">
        <v>5658</v>
      </c>
      <c r="F4354" s="95">
        <v>74.62</v>
      </c>
      <c r="G4354" s="16" t="s">
        <v>37</v>
      </c>
      <c r="H4354" s="17">
        <v>498</v>
      </c>
      <c r="I4354" s="17">
        <f t="shared" si="362"/>
        <v>37160.76</v>
      </c>
      <c r="J4354" s="17">
        <v>439.5</v>
      </c>
      <c r="K4354" s="519">
        <f t="shared" si="363"/>
        <v>58.5</v>
      </c>
      <c r="L4354" s="519">
        <f t="shared" si="364"/>
        <v>4365.2700000000004</v>
      </c>
      <c r="M4354" s="557">
        <f t="shared" si="365"/>
        <v>0.11746987951807229</v>
      </c>
      <c r="N4354" s="15" t="s">
        <v>40</v>
      </c>
      <c r="O4354" s="15" t="s">
        <v>105</v>
      </c>
    </row>
    <row r="4355" spans="1:15">
      <c r="A4355" s="70">
        <v>2026</v>
      </c>
      <c r="B4355" s="16" t="s">
        <v>1</v>
      </c>
      <c r="C4355" s="70" t="s">
        <v>5654</v>
      </c>
      <c r="D4355" s="15" t="s">
        <v>1042</v>
      </c>
      <c r="E4355" s="15" t="s">
        <v>220</v>
      </c>
      <c r="F4355" s="95">
        <v>348</v>
      </c>
      <c r="G4355" s="16" t="s">
        <v>37</v>
      </c>
      <c r="H4355" s="17">
        <v>498</v>
      </c>
      <c r="I4355" s="17">
        <f t="shared" si="362"/>
        <v>173304</v>
      </c>
      <c r="J4355" s="17">
        <v>439.5</v>
      </c>
      <c r="K4355" s="519">
        <f t="shared" si="363"/>
        <v>58.5</v>
      </c>
      <c r="L4355" s="519">
        <f t="shared" si="364"/>
        <v>20358</v>
      </c>
      <c r="M4355" s="557">
        <f t="shared" si="365"/>
        <v>0.11746987951807229</v>
      </c>
      <c r="N4355" s="15" t="s">
        <v>40</v>
      </c>
      <c r="O4355" s="15" t="s">
        <v>105</v>
      </c>
    </row>
    <row r="4356" spans="1:15">
      <c r="A4356" s="70">
        <v>2026</v>
      </c>
      <c r="B4356" s="16" t="s">
        <v>1</v>
      </c>
      <c r="C4356" s="70" t="s">
        <v>5659</v>
      </c>
      <c r="D4356" s="15" t="s">
        <v>27</v>
      </c>
      <c r="E4356" s="15" t="s">
        <v>5660</v>
      </c>
      <c r="F4356" s="95">
        <v>100</v>
      </c>
      <c r="G4356" s="16" t="s">
        <v>19</v>
      </c>
      <c r="H4356" s="17">
        <v>20</v>
      </c>
      <c r="I4356" s="17">
        <f t="shared" si="362"/>
        <v>2000</v>
      </c>
      <c r="J4356" s="17">
        <v>19</v>
      </c>
      <c r="K4356" s="519">
        <f t="shared" si="363"/>
        <v>1</v>
      </c>
      <c r="L4356" s="519">
        <f t="shared" si="364"/>
        <v>100</v>
      </c>
      <c r="M4356" s="557">
        <f t="shared" si="365"/>
        <v>0.05</v>
      </c>
      <c r="N4356" s="15" t="s">
        <v>40</v>
      </c>
      <c r="O4356" s="15" t="s">
        <v>105</v>
      </c>
    </row>
    <row r="4357" spans="1:15">
      <c r="A4357" s="70">
        <v>2026</v>
      </c>
      <c r="B4357" s="16" t="s">
        <v>1</v>
      </c>
      <c r="C4357" s="70" t="s">
        <v>5661</v>
      </c>
      <c r="D4357" s="15" t="s">
        <v>27</v>
      </c>
      <c r="E4357" s="15" t="s">
        <v>5662</v>
      </c>
      <c r="F4357" s="95">
        <v>12</v>
      </c>
      <c r="G4357" s="16" t="s">
        <v>19</v>
      </c>
      <c r="H4357" s="17">
        <v>2000</v>
      </c>
      <c r="I4357" s="17">
        <f t="shared" si="362"/>
        <v>24000</v>
      </c>
      <c r="J4357" s="519">
        <v>1700</v>
      </c>
      <c r="K4357" s="519">
        <f t="shared" si="363"/>
        <v>300</v>
      </c>
      <c r="L4357" s="519">
        <f t="shared" si="364"/>
        <v>3600</v>
      </c>
      <c r="M4357" s="557">
        <f t="shared" si="365"/>
        <v>0.15</v>
      </c>
      <c r="N4357" s="15" t="s">
        <v>40</v>
      </c>
      <c r="O4357" s="15" t="s">
        <v>105</v>
      </c>
    </row>
    <row r="4358" spans="1:15">
      <c r="A4358" s="70">
        <v>2026</v>
      </c>
      <c r="B4358" s="16" t="s">
        <v>1</v>
      </c>
      <c r="C4358" s="70" t="s">
        <v>5663</v>
      </c>
      <c r="D4358" s="15" t="s">
        <v>44</v>
      </c>
      <c r="E4358" s="15" t="s">
        <v>5664</v>
      </c>
      <c r="F4358" s="95">
        <v>500</v>
      </c>
      <c r="G4358" s="16" t="s">
        <v>37</v>
      </c>
      <c r="H4358" s="17">
        <v>509.65</v>
      </c>
      <c r="I4358" s="17">
        <f t="shared" si="362"/>
        <v>254825</v>
      </c>
      <c r="J4358" s="17">
        <v>504</v>
      </c>
      <c r="K4358" s="519">
        <f t="shared" si="363"/>
        <v>5.6499999999999773</v>
      </c>
      <c r="L4358" s="519">
        <f t="shared" si="364"/>
        <v>2824.9999999999886</v>
      </c>
      <c r="M4358" s="557">
        <f t="shared" si="365"/>
        <v>1.1086039438830526E-2</v>
      </c>
      <c r="N4358" s="15" t="s">
        <v>40</v>
      </c>
      <c r="O4358" s="15" t="s">
        <v>105</v>
      </c>
    </row>
    <row r="4359" spans="1:15">
      <c r="A4359" s="70">
        <v>2026</v>
      </c>
      <c r="B4359" s="16" t="s">
        <v>1</v>
      </c>
      <c r="C4359" s="70" t="s">
        <v>5663</v>
      </c>
      <c r="D4359" s="15" t="s">
        <v>44</v>
      </c>
      <c r="E4359" s="15" t="s">
        <v>5665</v>
      </c>
      <c r="F4359" s="95">
        <v>200</v>
      </c>
      <c r="G4359" s="16" t="s">
        <v>37</v>
      </c>
      <c r="H4359" s="17">
        <v>516.45000000000005</v>
      </c>
      <c r="I4359" s="17">
        <f t="shared" si="362"/>
        <v>103290.00000000001</v>
      </c>
      <c r="J4359" s="17">
        <v>506</v>
      </c>
      <c r="K4359" s="519">
        <f t="shared" si="363"/>
        <v>10.450000000000045</v>
      </c>
      <c r="L4359" s="519">
        <f t="shared" si="364"/>
        <v>2090.0000000000091</v>
      </c>
      <c r="M4359" s="557">
        <f t="shared" si="365"/>
        <v>2.0234291799787092E-2</v>
      </c>
      <c r="N4359" s="15" t="s">
        <v>40</v>
      </c>
      <c r="O4359" s="15" t="s">
        <v>105</v>
      </c>
    </row>
    <row r="4360" spans="1:15">
      <c r="A4360" s="70">
        <v>2026</v>
      </c>
      <c r="B4360" s="16" t="s">
        <v>1</v>
      </c>
      <c r="C4360" s="70" t="s">
        <v>5663</v>
      </c>
      <c r="D4360" s="15" t="s">
        <v>44</v>
      </c>
      <c r="E4360" s="15" t="s">
        <v>5089</v>
      </c>
      <c r="F4360" s="95">
        <v>500</v>
      </c>
      <c r="G4360" s="16" t="s">
        <v>37</v>
      </c>
      <c r="H4360" s="17">
        <v>509.46</v>
      </c>
      <c r="I4360" s="17">
        <f t="shared" si="362"/>
        <v>254730</v>
      </c>
      <c r="J4360" s="17">
        <v>504</v>
      </c>
      <c r="K4360" s="519">
        <f t="shared" si="363"/>
        <v>5.4599999999999795</v>
      </c>
      <c r="L4360" s="519">
        <f t="shared" si="364"/>
        <v>2729.99999999999</v>
      </c>
      <c r="M4360" s="557">
        <f t="shared" si="365"/>
        <v>1.0717230008243983E-2</v>
      </c>
      <c r="N4360" s="15" t="s">
        <v>40</v>
      </c>
      <c r="O4360" s="15" t="s">
        <v>105</v>
      </c>
    </row>
    <row r="4361" spans="1:15">
      <c r="A4361" s="70">
        <v>2026</v>
      </c>
      <c r="B4361" s="16" t="s">
        <v>1</v>
      </c>
      <c r="C4361" s="70" t="s">
        <v>5666</v>
      </c>
      <c r="D4361" s="15" t="s">
        <v>1042</v>
      </c>
      <c r="E4361" s="15" t="s">
        <v>649</v>
      </c>
      <c r="F4361" s="95">
        <v>521</v>
      </c>
      <c r="G4361" s="16" t="s">
        <v>37</v>
      </c>
      <c r="H4361" s="17">
        <v>498</v>
      </c>
      <c r="I4361" s="17">
        <f t="shared" si="362"/>
        <v>259458</v>
      </c>
      <c r="J4361" s="519">
        <v>439.5</v>
      </c>
      <c r="K4361" s="519">
        <f t="shared" si="363"/>
        <v>58.5</v>
      </c>
      <c r="L4361" s="519">
        <f t="shared" si="364"/>
        <v>30478.5</v>
      </c>
      <c r="M4361" s="557">
        <f t="shared" si="365"/>
        <v>0.11746987951807229</v>
      </c>
      <c r="N4361" s="15" t="s">
        <v>40</v>
      </c>
      <c r="O4361" s="15" t="s">
        <v>105</v>
      </c>
    </row>
    <row r="4362" spans="1:15">
      <c r="A4362" s="70">
        <v>2026</v>
      </c>
      <c r="B4362" s="16" t="s">
        <v>1</v>
      </c>
      <c r="C4362" s="70" t="s">
        <v>5666</v>
      </c>
      <c r="D4362" s="15" t="s">
        <v>1042</v>
      </c>
      <c r="E4362" s="15" t="s">
        <v>42</v>
      </c>
      <c r="F4362" s="95">
        <v>900</v>
      </c>
      <c r="G4362" s="16" t="s">
        <v>37</v>
      </c>
      <c r="H4362" s="17">
        <v>498</v>
      </c>
      <c r="I4362" s="17">
        <f t="shared" si="362"/>
        <v>448200</v>
      </c>
      <c r="J4362" s="519">
        <v>439.5</v>
      </c>
      <c r="K4362" s="519">
        <f t="shared" si="363"/>
        <v>58.5</v>
      </c>
      <c r="L4362" s="519">
        <f t="shared" si="364"/>
        <v>52650</v>
      </c>
      <c r="M4362" s="557">
        <f t="shared" si="365"/>
        <v>0.11746987951807229</v>
      </c>
      <c r="N4362" s="15" t="s">
        <v>40</v>
      </c>
      <c r="O4362" s="15" t="s">
        <v>105</v>
      </c>
    </row>
    <row r="4363" spans="1:15">
      <c r="A4363" s="70">
        <v>2026</v>
      </c>
      <c r="B4363" s="16" t="s">
        <v>1</v>
      </c>
      <c r="C4363" s="70" t="s">
        <v>5666</v>
      </c>
      <c r="D4363" s="15" t="s">
        <v>1042</v>
      </c>
      <c r="E4363" s="15" t="s">
        <v>3239</v>
      </c>
      <c r="F4363" s="95">
        <v>430</v>
      </c>
      <c r="G4363" s="16" t="s">
        <v>37</v>
      </c>
      <c r="H4363" s="17">
        <v>498</v>
      </c>
      <c r="I4363" s="17">
        <f t="shared" si="362"/>
        <v>214140</v>
      </c>
      <c r="J4363" s="519">
        <v>439.5</v>
      </c>
      <c r="K4363" s="519">
        <f t="shared" si="363"/>
        <v>58.5</v>
      </c>
      <c r="L4363" s="519">
        <f t="shared" si="364"/>
        <v>25155</v>
      </c>
      <c r="M4363" s="557">
        <f t="shared" si="365"/>
        <v>0.11746987951807229</v>
      </c>
      <c r="N4363" s="15" t="s">
        <v>40</v>
      </c>
      <c r="O4363" s="15" t="s">
        <v>105</v>
      </c>
    </row>
    <row r="4364" spans="1:15">
      <c r="A4364" s="70">
        <v>2026</v>
      </c>
      <c r="B4364" s="16" t="s">
        <v>1</v>
      </c>
      <c r="C4364" s="70" t="s">
        <v>5666</v>
      </c>
      <c r="D4364" s="15" t="s">
        <v>1042</v>
      </c>
      <c r="E4364" s="15" t="s">
        <v>5667</v>
      </c>
      <c r="F4364" s="95">
        <v>400</v>
      </c>
      <c r="G4364" s="16" t="s">
        <v>37</v>
      </c>
      <c r="H4364" s="17">
        <v>498</v>
      </c>
      <c r="I4364" s="17">
        <f t="shared" si="362"/>
        <v>199200</v>
      </c>
      <c r="J4364" s="519">
        <v>439.5</v>
      </c>
      <c r="K4364" s="519">
        <f t="shared" si="363"/>
        <v>58.5</v>
      </c>
      <c r="L4364" s="519">
        <f t="shared" si="364"/>
        <v>23400</v>
      </c>
      <c r="M4364" s="557">
        <f t="shared" si="365"/>
        <v>0.11746987951807229</v>
      </c>
      <c r="N4364" s="15" t="s">
        <v>40</v>
      </c>
      <c r="O4364" s="15" t="s">
        <v>105</v>
      </c>
    </row>
    <row r="4365" spans="1:15">
      <c r="A4365" s="70">
        <v>2026</v>
      </c>
      <c r="B4365" s="16" t="s">
        <v>1</v>
      </c>
      <c r="C4365" s="70" t="s">
        <v>5666</v>
      </c>
      <c r="D4365" s="15" t="s">
        <v>1042</v>
      </c>
      <c r="E4365" s="15" t="s">
        <v>297</v>
      </c>
      <c r="F4365" s="95">
        <v>410</v>
      </c>
      <c r="G4365" s="16" t="s">
        <v>37</v>
      </c>
      <c r="H4365" s="17">
        <v>498</v>
      </c>
      <c r="I4365" s="17">
        <f t="shared" si="362"/>
        <v>204180</v>
      </c>
      <c r="J4365" s="519">
        <v>439.5</v>
      </c>
      <c r="K4365" s="519">
        <f t="shared" si="363"/>
        <v>58.5</v>
      </c>
      <c r="L4365" s="519">
        <f t="shared" si="364"/>
        <v>23985</v>
      </c>
      <c r="M4365" s="557">
        <f t="shared" si="365"/>
        <v>0.11746987951807229</v>
      </c>
      <c r="N4365" s="15" t="s">
        <v>40</v>
      </c>
      <c r="O4365" s="15" t="s">
        <v>105</v>
      </c>
    </row>
    <row r="4366" spans="1:15">
      <c r="A4366" s="70">
        <v>2026</v>
      </c>
      <c r="B4366" s="16" t="s">
        <v>1</v>
      </c>
      <c r="C4366" s="70" t="s">
        <v>5666</v>
      </c>
      <c r="D4366" s="15" t="s">
        <v>1042</v>
      </c>
      <c r="E4366" s="15" t="s">
        <v>1437</v>
      </c>
      <c r="F4366" s="95">
        <v>144</v>
      </c>
      <c r="G4366" s="16" t="s">
        <v>37</v>
      </c>
      <c r="H4366" s="17">
        <v>498</v>
      </c>
      <c r="I4366" s="17">
        <f t="shared" si="362"/>
        <v>71712</v>
      </c>
      <c r="J4366" s="519">
        <v>439.5</v>
      </c>
      <c r="K4366" s="519">
        <f t="shared" si="363"/>
        <v>58.5</v>
      </c>
      <c r="L4366" s="519">
        <f t="shared" si="364"/>
        <v>8424</v>
      </c>
      <c r="M4366" s="557">
        <f t="shared" si="365"/>
        <v>0.11746987951807229</v>
      </c>
      <c r="N4366" s="15" t="s">
        <v>40</v>
      </c>
      <c r="O4366" s="15" t="s">
        <v>105</v>
      </c>
    </row>
    <row r="4367" spans="1:15">
      <c r="A4367" s="70">
        <v>2026</v>
      </c>
      <c r="B4367" s="16" t="s">
        <v>1</v>
      </c>
      <c r="C4367" s="70" t="s">
        <v>5666</v>
      </c>
      <c r="D4367" s="15" t="s">
        <v>1042</v>
      </c>
      <c r="E4367" s="15" t="s">
        <v>437</v>
      </c>
      <c r="F4367" s="95">
        <v>338</v>
      </c>
      <c r="G4367" s="16" t="s">
        <v>37</v>
      </c>
      <c r="H4367" s="17">
        <v>498</v>
      </c>
      <c r="I4367" s="17">
        <f t="shared" si="362"/>
        <v>168324</v>
      </c>
      <c r="J4367" s="519">
        <v>439.5</v>
      </c>
      <c r="K4367" s="519">
        <f t="shared" si="363"/>
        <v>58.5</v>
      </c>
      <c r="L4367" s="519">
        <f t="shared" si="364"/>
        <v>19773</v>
      </c>
      <c r="M4367" s="557">
        <f t="shared" si="365"/>
        <v>0.11746987951807229</v>
      </c>
      <c r="N4367" s="15" t="s">
        <v>40</v>
      </c>
      <c r="O4367" s="15" t="s">
        <v>105</v>
      </c>
    </row>
    <row r="4368" spans="1:15">
      <c r="A4368" s="70">
        <v>2026</v>
      </c>
      <c r="B4368" s="16" t="s">
        <v>1</v>
      </c>
      <c r="C4368" s="70" t="s">
        <v>5666</v>
      </c>
      <c r="D4368" s="15" t="s">
        <v>1042</v>
      </c>
      <c r="E4368" s="15" t="s">
        <v>483</v>
      </c>
      <c r="F4368" s="95">
        <v>1055</v>
      </c>
      <c r="G4368" s="16" t="s">
        <v>37</v>
      </c>
      <c r="H4368" s="17">
        <v>498</v>
      </c>
      <c r="I4368" s="17">
        <f t="shared" si="362"/>
        <v>525390</v>
      </c>
      <c r="J4368" s="519">
        <v>439.5</v>
      </c>
      <c r="K4368" s="519">
        <f t="shared" si="363"/>
        <v>58.5</v>
      </c>
      <c r="L4368" s="519">
        <f t="shared" si="364"/>
        <v>61717.5</v>
      </c>
      <c r="M4368" s="557">
        <f t="shared" si="365"/>
        <v>0.11746987951807229</v>
      </c>
      <c r="N4368" s="15" t="s">
        <v>40</v>
      </c>
      <c r="O4368" s="15" t="s">
        <v>105</v>
      </c>
    </row>
    <row r="4369" spans="1:15">
      <c r="A4369" s="70">
        <v>2026</v>
      </c>
      <c r="B4369" s="16" t="s">
        <v>1</v>
      </c>
      <c r="C4369" s="70" t="s">
        <v>5666</v>
      </c>
      <c r="D4369" s="15" t="s">
        <v>1042</v>
      </c>
      <c r="E4369" s="15" t="s">
        <v>5668</v>
      </c>
      <c r="F4369" s="95">
        <v>1570</v>
      </c>
      <c r="G4369" s="16" t="s">
        <v>37</v>
      </c>
      <c r="H4369" s="17">
        <v>498</v>
      </c>
      <c r="I4369" s="17">
        <f t="shared" si="362"/>
        <v>781860</v>
      </c>
      <c r="J4369" s="519">
        <v>439.5</v>
      </c>
      <c r="K4369" s="519">
        <f t="shared" si="363"/>
        <v>58.5</v>
      </c>
      <c r="L4369" s="519">
        <f t="shared" si="364"/>
        <v>91845</v>
      </c>
      <c r="M4369" s="557">
        <f t="shared" si="365"/>
        <v>0.11746987951807229</v>
      </c>
      <c r="N4369" s="15" t="s">
        <v>40</v>
      </c>
      <c r="O4369" s="15" t="s">
        <v>105</v>
      </c>
    </row>
    <row r="4370" spans="1:15">
      <c r="A4370" s="70">
        <v>2026</v>
      </c>
      <c r="B4370" s="16" t="s">
        <v>1</v>
      </c>
      <c r="C4370" s="70" t="s">
        <v>5669</v>
      </c>
      <c r="D4370" s="15" t="s">
        <v>166</v>
      </c>
      <c r="E4370" s="15" t="s">
        <v>5670</v>
      </c>
      <c r="F4370" s="95">
        <v>20380</v>
      </c>
      <c r="G4370" s="16" t="s">
        <v>37</v>
      </c>
      <c r="H4370" s="17">
        <v>491.64</v>
      </c>
      <c r="I4370" s="17">
        <f t="shared" si="362"/>
        <v>10019623.199999999</v>
      </c>
      <c r="J4370" s="519">
        <v>475.49</v>
      </c>
      <c r="K4370" s="519">
        <f t="shared" si="363"/>
        <v>16.149999999999977</v>
      </c>
      <c r="L4370" s="519">
        <f t="shared" si="364"/>
        <v>329136.99999999953</v>
      </c>
      <c r="M4370" s="557">
        <f t="shared" si="365"/>
        <v>3.2849239280774503E-2</v>
      </c>
      <c r="N4370" s="15" t="s">
        <v>40</v>
      </c>
      <c r="O4370" s="15" t="s">
        <v>105</v>
      </c>
    </row>
    <row r="4371" spans="1:15">
      <c r="A4371" s="70">
        <v>2026</v>
      </c>
      <c r="B4371" s="16" t="s">
        <v>1</v>
      </c>
      <c r="C4371" s="70" t="s">
        <v>5671</v>
      </c>
      <c r="D4371" s="15" t="s">
        <v>1119</v>
      </c>
      <c r="E4371" s="15" t="s">
        <v>5672</v>
      </c>
      <c r="F4371" s="95">
        <v>96</v>
      </c>
      <c r="G4371" s="16" t="s">
        <v>19</v>
      </c>
      <c r="H4371" s="17">
        <v>750</v>
      </c>
      <c r="I4371" s="17">
        <f t="shared" ref="I4371:I4433" si="366">H4371*F4371</f>
        <v>72000</v>
      </c>
      <c r="J4371" s="519">
        <v>700</v>
      </c>
      <c r="K4371" s="519">
        <f t="shared" ref="K4371:K4409" si="367">H4371-J4371</f>
        <v>50</v>
      </c>
      <c r="L4371" s="519">
        <f t="shared" ref="L4371:L4409" si="368">K4371*F4371</f>
        <v>4800</v>
      </c>
      <c r="M4371" s="557">
        <f t="shared" ref="M4371:M4409" si="369">K4371/H4371</f>
        <v>6.6666666666666666E-2</v>
      </c>
      <c r="N4371" s="15" t="s">
        <v>22</v>
      </c>
      <c r="O4371" s="15" t="s">
        <v>39</v>
      </c>
    </row>
    <row r="4372" spans="1:15">
      <c r="A4372" s="70">
        <v>2026</v>
      </c>
      <c r="B4372" s="16" t="s">
        <v>1</v>
      </c>
      <c r="C4372" s="70" t="s">
        <v>5673</v>
      </c>
      <c r="D4372" s="15" t="s">
        <v>200</v>
      </c>
      <c r="E4372" s="15" t="s">
        <v>5674</v>
      </c>
      <c r="F4372" s="95">
        <v>1</v>
      </c>
      <c r="G4372" s="16" t="s">
        <v>302</v>
      </c>
      <c r="H4372" s="17">
        <v>49500</v>
      </c>
      <c r="I4372" s="17">
        <f t="shared" si="366"/>
        <v>49500</v>
      </c>
      <c r="J4372" s="519">
        <v>47500</v>
      </c>
      <c r="K4372" s="519">
        <f t="shared" si="367"/>
        <v>2000</v>
      </c>
      <c r="L4372" s="519">
        <f t="shared" si="368"/>
        <v>2000</v>
      </c>
      <c r="M4372" s="557">
        <f t="shared" si="369"/>
        <v>4.0404040404040407E-2</v>
      </c>
      <c r="N4372" s="15" t="s">
        <v>40</v>
      </c>
      <c r="O4372" s="15" t="s">
        <v>39</v>
      </c>
    </row>
    <row r="4373" spans="1:15">
      <c r="A4373" s="70">
        <v>2026</v>
      </c>
      <c r="B4373" s="16" t="s">
        <v>1</v>
      </c>
      <c r="C4373" s="70" t="s">
        <v>5673</v>
      </c>
      <c r="D4373" s="15" t="s">
        <v>200</v>
      </c>
      <c r="E4373" s="15" t="s">
        <v>5675</v>
      </c>
      <c r="F4373" s="95">
        <v>1</v>
      </c>
      <c r="G4373" s="16" t="s">
        <v>302</v>
      </c>
      <c r="H4373" s="17">
        <v>49500</v>
      </c>
      <c r="I4373" s="17">
        <f t="shared" si="366"/>
        <v>49500</v>
      </c>
      <c r="J4373" s="519">
        <v>47500</v>
      </c>
      <c r="K4373" s="519">
        <f t="shared" si="367"/>
        <v>2000</v>
      </c>
      <c r="L4373" s="519">
        <f t="shared" si="368"/>
        <v>2000</v>
      </c>
      <c r="M4373" s="557">
        <f t="shared" si="369"/>
        <v>4.0404040404040407E-2</v>
      </c>
      <c r="N4373" s="15" t="s">
        <v>40</v>
      </c>
      <c r="O4373" s="15" t="s">
        <v>39</v>
      </c>
    </row>
    <row r="4374" spans="1:15">
      <c r="A4374" s="70">
        <v>2026</v>
      </c>
      <c r="B4374" s="16" t="s">
        <v>1</v>
      </c>
      <c r="C4374" s="70" t="s">
        <v>5673</v>
      </c>
      <c r="D4374" s="15" t="s">
        <v>200</v>
      </c>
      <c r="E4374" s="15" t="s">
        <v>5676</v>
      </c>
      <c r="F4374" s="95">
        <v>1</v>
      </c>
      <c r="G4374" s="16" t="s">
        <v>302</v>
      </c>
      <c r="H4374" s="17">
        <v>49500</v>
      </c>
      <c r="I4374" s="17">
        <f t="shared" si="366"/>
        <v>49500</v>
      </c>
      <c r="J4374" s="519">
        <v>47500</v>
      </c>
      <c r="K4374" s="519">
        <f t="shared" si="367"/>
        <v>2000</v>
      </c>
      <c r="L4374" s="519">
        <f t="shared" si="368"/>
        <v>2000</v>
      </c>
      <c r="M4374" s="557">
        <f t="shared" si="369"/>
        <v>4.0404040404040407E-2</v>
      </c>
      <c r="N4374" s="15" t="s">
        <v>40</v>
      </c>
      <c r="O4374" s="15" t="s">
        <v>39</v>
      </c>
    </row>
    <row r="4375" spans="1:15">
      <c r="A4375" s="70">
        <v>2026</v>
      </c>
      <c r="B4375" s="16" t="s">
        <v>1</v>
      </c>
      <c r="C4375" s="70" t="s">
        <v>5673</v>
      </c>
      <c r="D4375" s="15" t="s">
        <v>200</v>
      </c>
      <c r="E4375" s="15" t="s">
        <v>5677</v>
      </c>
      <c r="F4375" s="95">
        <v>1</v>
      </c>
      <c r="G4375" s="16" t="s">
        <v>302</v>
      </c>
      <c r="H4375" s="17">
        <v>46500</v>
      </c>
      <c r="I4375" s="17">
        <f t="shared" si="366"/>
        <v>46500</v>
      </c>
      <c r="J4375" s="519">
        <v>45500</v>
      </c>
      <c r="K4375" s="519">
        <f t="shared" si="367"/>
        <v>1000</v>
      </c>
      <c r="L4375" s="519">
        <f t="shared" si="368"/>
        <v>1000</v>
      </c>
      <c r="M4375" s="557">
        <f t="shared" si="369"/>
        <v>2.1505376344086023E-2</v>
      </c>
      <c r="N4375" s="15" t="s">
        <v>40</v>
      </c>
      <c r="O4375" s="15" t="s">
        <v>39</v>
      </c>
    </row>
    <row r="4376" spans="1:15">
      <c r="A4376" s="70">
        <v>2026</v>
      </c>
      <c r="B4376" s="16" t="s">
        <v>1</v>
      </c>
      <c r="C4376" s="70" t="s">
        <v>5673</v>
      </c>
      <c r="D4376" s="15" t="s">
        <v>200</v>
      </c>
      <c r="E4376" s="15" t="s">
        <v>5678</v>
      </c>
      <c r="F4376" s="95">
        <v>1</v>
      </c>
      <c r="G4376" s="16" t="s">
        <v>302</v>
      </c>
      <c r="H4376" s="17">
        <v>49500</v>
      </c>
      <c r="I4376" s="17">
        <f t="shared" si="366"/>
        <v>49500</v>
      </c>
      <c r="J4376" s="519">
        <v>47500</v>
      </c>
      <c r="K4376" s="519">
        <f t="shared" si="367"/>
        <v>2000</v>
      </c>
      <c r="L4376" s="519">
        <f t="shared" si="368"/>
        <v>2000</v>
      </c>
      <c r="M4376" s="557">
        <f t="shared" si="369"/>
        <v>4.0404040404040407E-2</v>
      </c>
      <c r="N4376" s="15" t="s">
        <v>40</v>
      </c>
      <c r="O4376" s="15" t="s">
        <v>39</v>
      </c>
    </row>
    <row r="4377" spans="1:15">
      <c r="A4377" s="70">
        <v>2026</v>
      </c>
      <c r="B4377" s="16" t="s">
        <v>1</v>
      </c>
      <c r="C4377" s="70" t="s">
        <v>5673</v>
      </c>
      <c r="D4377" s="15" t="s">
        <v>200</v>
      </c>
      <c r="E4377" s="15" t="s">
        <v>5679</v>
      </c>
      <c r="F4377" s="95">
        <v>1</v>
      </c>
      <c r="G4377" s="16" t="s">
        <v>302</v>
      </c>
      <c r="H4377" s="17">
        <v>38700</v>
      </c>
      <c r="I4377" s="17">
        <f t="shared" si="366"/>
        <v>38700</v>
      </c>
      <c r="J4377" s="519">
        <v>37700</v>
      </c>
      <c r="K4377" s="519">
        <f t="shared" si="367"/>
        <v>1000</v>
      </c>
      <c r="L4377" s="519">
        <f t="shared" si="368"/>
        <v>1000</v>
      </c>
      <c r="M4377" s="557">
        <f t="shared" si="369"/>
        <v>2.5839793281653745E-2</v>
      </c>
      <c r="N4377" s="15" t="s">
        <v>40</v>
      </c>
      <c r="O4377" s="15" t="s">
        <v>39</v>
      </c>
    </row>
    <row r="4378" spans="1:15">
      <c r="A4378" s="70">
        <v>2026</v>
      </c>
      <c r="B4378" s="16" t="s">
        <v>1</v>
      </c>
      <c r="C4378" s="70" t="s">
        <v>5680</v>
      </c>
      <c r="D4378" s="15" t="s">
        <v>3161</v>
      </c>
      <c r="E4378" s="15" t="s">
        <v>233</v>
      </c>
      <c r="F4378" s="95">
        <v>12000</v>
      </c>
      <c r="G4378" s="16" t="s">
        <v>37</v>
      </c>
      <c r="H4378" s="17">
        <v>23.8</v>
      </c>
      <c r="I4378" s="17">
        <f t="shared" si="366"/>
        <v>285600</v>
      </c>
      <c r="J4378" s="519">
        <v>23.5</v>
      </c>
      <c r="K4378" s="519">
        <f t="shared" si="367"/>
        <v>0.30000000000000071</v>
      </c>
      <c r="L4378" s="519">
        <f t="shared" si="368"/>
        <v>3600.0000000000086</v>
      </c>
      <c r="M4378" s="557">
        <f t="shared" si="369"/>
        <v>1.2605042016806753E-2</v>
      </c>
      <c r="N4378" s="15" t="s">
        <v>22</v>
      </c>
      <c r="O4378" s="15" t="s">
        <v>39</v>
      </c>
    </row>
    <row r="4379" spans="1:15">
      <c r="A4379" s="70">
        <v>2026</v>
      </c>
      <c r="B4379" s="16" t="s">
        <v>1</v>
      </c>
      <c r="C4379" s="70" t="s">
        <v>5681</v>
      </c>
      <c r="D4379" s="15" t="s">
        <v>17</v>
      </c>
      <c r="E4379" s="15" t="s">
        <v>5682</v>
      </c>
      <c r="F4379" s="95">
        <v>108</v>
      </c>
      <c r="G4379" s="16" t="s">
        <v>19</v>
      </c>
      <c r="H4379" s="17">
        <v>500</v>
      </c>
      <c r="I4379" s="17">
        <f t="shared" si="366"/>
        <v>54000</v>
      </c>
      <c r="J4379" s="519">
        <v>450</v>
      </c>
      <c r="K4379" s="519">
        <f t="shared" si="367"/>
        <v>50</v>
      </c>
      <c r="L4379" s="519">
        <f t="shared" si="368"/>
        <v>5400</v>
      </c>
      <c r="M4379" s="557">
        <f t="shared" si="369"/>
        <v>0.1</v>
      </c>
      <c r="N4379" s="15" t="s">
        <v>40</v>
      </c>
      <c r="O4379" s="15" t="s">
        <v>39</v>
      </c>
    </row>
    <row r="4380" spans="1:15">
      <c r="A4380" s="70">
        <v>2026</v>
      </c>
      <c r="B4380" s="16" t="s">
        <v>1</v>
      </c>
      <c r="C4380" s="70" t="s">
        <v>5683</v>
      </c>
      <c r="D4380" s="15" t="s">
        <v>3931</v>
      </c>
      <c r="E4380" s="15" t="s">
        <v>5684</v>
      </c>
      <c r="F4380" s="95">
        <v>1</v>
      </c>
      <c r="G4380" s="16" t="s">
        <v>285</v>
      </c>
      <c r="H4380" s="17">
        <v>70550</v>
      </c>
      <c r="I4380" s="17">
        <f t="shared" si="366"/>
        <v>70550</v>
      </c>
      <c r="J4380" s="519">
        <v>63495</v>
      </c>
      <c r="K4380" s="519">
        <f t="shared" si="367"/>
        <v>7055</v>
      </c>
      <c r="L4380" s="519">
        <f t="shared" si="368"/>
        <v>7055</v>
      </c>
      <c r="M4380" s="557">
        <f t="shared" si="369"/>
        <v>0.1</v>
      </c>
      <c r="N4380" s="15" t="s">
        <v>40</v>
      </c>
      <c r="O4380" s="15" t="s">
        <v>39</v>
      </c>
    </row>
    <row r="4381" spans="1:15">
      <c r="A4381" s="70">
        <v>2026</v>
      </c>
      <c r="B4381" s="16" t="s">
        <v>1</v>
      </c>
      <c r="C4381" s="70" t="s">
        <v>5685</v>
      </c>
      <c r="D4381" s="15" t="s">
        <v>335</v>
      </c>
      <c r="E4381" s="15" t="s">
        <v>336</v>
      </c>
      <c r="F4381" s="95">
        <v>112000</v>
      </c>
      <c r="G4381" s="16" t="s">
        <v>337</v>
      </c>
      <c r="H4381" s="17">
        <v>49.25</v>
      </c>
      <c r="I4381" s="17">
        <f t="shared" si="366"/>
        <v>5516000</v>
      </c>
      <c r="J4381" s="519">
        <v>49</v>
      </c>
      <c r="K4381" s="519">
        <f t="shared" si="367"/>
        <v>0.25</v>
      </c>
      <c r="L4381" s="519">
        <f t="shared" si="368"/>
        <v>28000</v>
      </c>
      <c r="M4381" s="557">
        <f t="shared" si="369"/>
        <v>5.076142131979695E-3</v>
      </c>
      <c r="N4381" s="15" t="s">
        <v>40</v>
      </c>
      <c r="O4381" s="15" t="s">
        <v>39</v>
      </c>
    </row>
    <row r="4382" spans="1:15">
      <c r="A4382" s="70">
        <v>2026</v>
      </c>
      <c r="B4382" s="16" t="s">
        <v>1</v>
      </c>
      <c r="C4382" s="70" t="s">
        <v>5685</v>
      </c>
      <c r="D4382" s="15" t="s">
        <v>335</v>
      </c>
      <c r="E4382" s="15" t="s">
        <v>5686</v>
      </c>
      <c r="F4382" s="95">
        <v>2000</v>
      </c>
      <c r="G4382" s="16" t="s">
        <v>337</v>
      </c>
      <c r="H4382" s="17">
        <v>100.476</v>
      </c>
      <c r="I4382" s="17">
        <f t="shared" si="366"/>
        <v>200952</v>
      </c>
      <c r="J4382" s="519">
        <v>100</v>
      </c>
      <c r="K4382" s="519">
        <f t="shared" si="367"/>
        <v>0.47599999999999909</v>
      </c>
      <c r="L4382" s="519">
        <f t="shared" si="368"/>
        <v>951.99999999999818</v>
      </c>
      <c r="M4382" s="557">
        <f t="shared" si="369"/>
        <v>4.7374497392412025E-3</v>
      </c>
      <c r="N4382" s="15" t="s">
        <v>40</v>
      </c>
      <c r="O4382" s="15" t="s">
        <v>39</v>
      </c>
    </row>
    <row r="4383" spans="1:15">
      <c r="A4383" s="70">
        <v>2026</v>
      </c>
      <c r="B4383" s="16" t="s">
        <v>1</v>
      </c>
      <c r="C4383" s="70" t="s">
        <v>5687</v>
      </c>
      <c r="D4383" s="15" t="s">
        <v>329</v>
      </c>
      <c r="E4383" s="15" t="s">
        <v>379</v>
      </c>
      <c r="F4383" s="95">
        <v>132</v>
      </c>
      <c r="G4383" s="16" t="s">
        <v>2541</v>
      </c>
      <c r="H4383" s="17">
        <v>4585</v>
      </c>
      <c r="I4383" s="17">
        <f t="shared" si="366"/>
        <v>605220</v>
      </c>
      <c r="J4383" s="519">
        <v>4495</v>
      </c>
      <c r="K4383" s="519">
        <f t="shared" si="367"/>
        <v>90</v>
      </c>
      <c r="L4383" s="519">
        <f t="shared" si="368"/>
        <v>11880</v>
      </c>
      <c r="M4383" s="557">
        <f t="shared" si="369"/>
        <v>1.9629225736095966E-2</v>
      </c>
      <c r="N4383" s="15" t="s">
        <v>22</v>
      </c>
      <c r="O4383" s="15" t="s">
        <v>39</v>
      </c>
    </row>
    <row r="4384" spans="1:15">
      <c r="A4384" s="70">
        <v>2026</v>
      </c>
      <c r="B4384" s="16" t="s">
        <v>1</v>
      </c>
      <c r="C4384" s="70" t="s">
        <v>5687</v>
      </c>
      <c r="D4384" s="15" t="s">
        <v>329</v>
      </c>
      <c r="E4384" s="15" t="s">
        <v>2871</v>
      </c>
      <c r="F4384" s="95">
        <v>15</v>
      </c>
      <c r="G4384" s="16" t="s">
        <v>2541</v>
      </c>
      <c r="H4384" s="17">
        <v>7200</v>
      </c>
      <c r="I4384" s="17">
        <f t="shared" si="366"/>
        <v>108000</v>
      </c>
      <c r="J4384" s="519">
        <v>7050</v>
      </c>
      <c r="K4384" s="519">
        <f t="shared" si="367"/>
        <v>150</v>
      </c>
      <c r="L4384" s="519">
        <f t="shared" si="368"/>
        <v>2250</v>
      </c>
      <c r="M4384" s="557">
        <f t="shared" si="369"/>
        <v>2.0833333333333332E-2</v>
      </c>
      <c r="N4384" s="15" t="s">
        <v>22</v>
      </c>
      <c r="O4384" s="15" t="s">
        <v>39</v>
      </c>
    </row>
    <row r="4385" spans="1:15">
      <c r="A4385" s="70">
        <v>2026</v>
      </c>
      <c r="B4385" s="16" t="s">
        <v>1</v>
      </c>
      <c r="C4385" s="70" t="s">
        <v>5688</v>
      </c>
      <c r="D4385" s="15" t="s">
        <v>5689</v>
      </c>
      <c r="E4385" s="15" t="s">
        <v>52</v>
      </c>
      <c r="F4385" s="95">
        <v>2400</v>
      </c>
      <c r="G4385" s="16" t="s">
        <v>499</v>
      </c>
      <c r="H4385" s="17">
        <v>511.26</v>
      </c>
      <c r="I4385" s="17">
        <f t="shared" si="366"/>
        <v>1227024</v>
      </c>
      <c r="J4385" s="17">
        <v>490.41</v>
      </c>
      <c r="K4385" s="519">
        <f t="shared" si="367"/>
        <v>20.849999999999966</v>
      </c>
      <c r="L4385" s="519">
        <f t="shared" si="368"/>
        <v>50039.99999999992</v>
      </c>
      <c r="M4385" s="557">
        <f t="shared" si="369"/>
        <v>4.0781598403943131E-2</v>
      </c>
      <c r="N4385" s="15" t="s">
        <v>40</v>
      </c>
      <c r="O4385" s="15" t="s">
        <v>105</v>
      </c>
    </row>
    <row r="4386" spans="1:15">
      <c r="A4386" s="70">
        <v>2026</v>
      </c>
      <c r="B4386" s="16" t="s">
        <v>1</v>
      </c>
      <c r="C4386" s="70" t="s">
        <v>5688</v>
      </c>
      <c r="D4386" s="15" t="s">
        <v>5689</v>
      </c>
      <c r="E4386" s="15" t="s">
        <v>46</v>
      </c>
      <c r="F4386" s="95">
        <v>500</v>
      </c>
      <c r="G4386" s="16" t="s">
        <v>499</v>
      </c>
      <c r="H4386" s="17">
        <v>511.47</v>
      </c>
      <c r="I4386" s="17">
        <f t="shared" si="366"/>
        <v>255735</v>
      </c>
      <c r="J4386" s="17">
        <v>491.37</v>
      </c>
      <c r="K4386" s="519">
        <f t="shared" si="367"/>
        <v>20.100000000000023</v>
      </c>
      <c r="L4386" s="519">
        <f t="shared" si="368"/>
        <v>10050.000000000011</v>
      </c>
      <c r="M4386" s="557">
        <f t="shared" si="369"/>
        <v>3.9298492580210023E-2</v>
      </c>
      <c r="N4386" s="15" t="s">
        <v>40</v>
      </c>
      <c r="O4386" s="15" t="s">
        <v>105</v>
      </c>
    </row>
    <row r="4387" spans="1:15" ht="12.75" customHeight="1">
      <c r="A4387" s="70">
        <v>2026</v>
      </c>
      <c r="B4387" s="16" t="s">
        <v>1</v>
      </c>
      <c r="C4387" s="70" t="s">
        <v>5688</v>
      </c>
      <c r="D4387" s="15" t="s">
        <v>5689</v>
      </c>
      <c r="E4387" s="15" t="s">
        <v>45</v>
      </c>
      <c r="F4387" s="95">
        <v>500</v>
      </c>
      <c r="G4387" s="16" t="s">
        <v>499</v>
      </c>
      <c r="H4387" s="17">
        <v>511.31</v>
      </c>
      <c r="I4387" s="17">
        <f t="shared" si="366"/>
        <v>255655</v>
      </c>
      <c r="J4387" s="17">
        <v>490.83</v>
      </c>
      <c r="K4387" s="519">
        <f t="shared" si="367"/>
        <v>20.480000000000018</v>
      </c>
      <c r="L4387" s="519">
        <f t="shared" si="368"/>
        <v>10240.000000000009</v>
      </c>
      <c r="M4387" s="557">
        <f t="shared" si="369"/>
        <v>4.0053978995130191E-2</v>
      </c>
      <c r="N4387" s="15" t="s">
        <v>40</v>
      </c>
      <c r="O4387" s="15" t="s">
        <v>105</v>
      </c>
    </row>
    <row r="4388" spans="1:15">
      <c r="A4388" s="70">
        <v>2026</v>
      </c>
      <c r="B4388" s="16" t="s">
        <v>1</v>
      </c>
      <c r="C4388" s="70" t="s">
        <v>5688</v>
      </c>
      <c r="D4388" s="15" t="s">
        <v>5689</v>
      </c>
      <c r="E4388" s="15" t="s">
        <v>209</v>
      </c>
      <c r="F4388" s="95">
        <v>500</v>
      </c>
      <c r="G4388" s="16" t="s">
        <v>499</v>
      </c>
      <c r="H4388" s="17">
        <v>511.07</v>
      </c>
      <c r="I4388" s="17">
        <f t="shared" si="366"/>
        <v>255535</v>
      </c>
      <c r="J4388" s="17">
        <v>491.23</v>
      </c>
      <c r="K4388" s="519">
        <f t="shared" si="367"/>
        <v>19.839999999999975</v>
      </c>
      <c r="L4388" s="519">
        <f t="shared" si="368"/>
        <v>9919.9999999999873</v>
      </c>
      <c r="M4388" s="557">
        <f t="shared" si="369"/>
        <v>3.8820513823937967E-2</v>
      </c>
      <c r="N4388" s="15" t="s">
        <v>40</v>
      </c>
      <c r="O4388" s="15" t="s">
        <v>105</v>
      </c>
    </row>
    <row r="4389" spans="1:15">
      <c r="A4389" s="70">
        <v>2026</v>
      </c>
      <c r="B4389" s="16" t="s">
        <v>1</v>
      </c>
      <c r="C4389" s="70" t="s">
        <v>5688</v>
      </c>
      <c r="D4389" s="15" t="s">
        <v>5689</v>
      </c>
      <c r="E4389" s="15" t="s">
        <v>1662</v>
      </c>
      <c r="F4389" s="95">
        <v>500</v>
      </c>
      <c r="G4389" s="16" t="s">
        <v>499</v>
      </c>
      <c r="H4389" s="17">
        <v>509.65</v>
      </c>
      <c r="I4389" s="17">
        <f t="shared" si="366"/>
        <v>254825</v>
      </c>
      <c r="J4389" s="17">
        <v>488.2</v>
      </c>
      <c r="K4389" s="519">
        <f t="shared" si="367"/>
        <v>21.449999999999989</v>
      </c>
      <c r="L4389" s="519">
        <f t="shared" si="368"/>
        <v>10724.999999999995</v>
      </c>
      <c r="M4389" s="557">
        <f t="shared" si="369"/>
        <v>4.2087707250073561E-2</v>
      </c>
      <c r="N4389" s="15" t="s">
        <v>40</v>
      </c>
      <c r="O4389" s="15" t="s">
        <v>105</v>
      </c>
    </row>
    <row r="4390" spans="1:15">
      <c r="A4390" s="70">
        <v>2026</v>
      </c>
      <c r="B4390" s="16" t="s">
        <v>1</v>
      </c>
      <c r="C4390" s="70" t="s">
        <v>5688</v>
      </c>
      <c r="D4390" s="15" t="s">
        <v>5689</v>
      </c>
      <c r="E4390" s="15" t="s">
        <v>5089</v>
      </c>
      <c r="F4390" s="95">
        <v>500</v>
      </c>
      <c r="G4390" s="16" t="s">
        <v>499</v>
      </c>
      <c r="H4390" s="17">
        <v>509.46</v>
      </c>
      <c r="I4390" s="17">
        <f t="shared" si="366"/>
        <v>254730</v>
      </c>
      <c r="J4390" s="17">
        <v>488.25</v>
      </c>
      <c r="K4390" s="519">
        <f t="shared" si="367"/>
        <v>21.20999999999998</v>
      </c>
      <c r="L4390" s="519">
        <f t="shared" si="368"/>
        <v>10604.999999999989</v>
      </c>
      <c r="M4390" s="557">
        <f t="shared" si="369"/>
        <v>4.1632316570486362E-2</v>
      </c>
      <c r="N4390" s="15" t="s">
        <v>40</v>
      </c>
      <c r="O4390" s="15" t="s">
        <v>105</v>
      </c>
    </row>
    <row r="4391" spans="1:15">
      <c r="A4391" s="70">
        <v>2026</v>
      </c>
      <c r="B4391" s="16" t="s">
        <v>1</v>
      </c>
      <c r="C4391" s="70" t="s">
        <v>5688</v>
      </c>
      <c r="D4391" s="15" t="s">
        <v>5689</v>
      </c>
      <c r="E4391" s="15" t="s">
        <v>1248</v>
      </c>
      <c r="F4391" s="95">
        <v>1200</v>
      </c>
      <c r="G4391" s="16" t="s">
        <v>499</v>
      </c>
      <c r="H4391" s="17">
        <v>509.46</v>
      </c>
      <c r="I4391" s="17">
        <f t="shared" si="366"/>
        <v>611352</v>
      </c>
      <c r="J4391" s="17">
        <v>489.06</v>
      </c>
      <c r="K4391" s="519">
        <f t="shared" si="367"/>
        <v>20.399999999999977</v>
      </c>
      <c r="L4391" s="519">
        <f t="shared" si="368"/>
        <v>24479.999999999971</v>
      </c>
      <c r="M4391" s="557">
        <f t="shared" si="369"/>
        <v>4.00423978329996E-2</v>
      </c>
      <c r="N4391" s="15" t="s">
        <v>40</v>
      </c>
      <c r="O4391" s="15" t="s">
        <v>105</v>
      </c>
    </row>
    <row r="4392" spans="1:15">
      <c r="A4392" s="70">
        <v>2026</v>
      </c>
      <c r="B4392" s="16" t="s">
        <v>1</v>
      </c>
      <c r="C4392" s="70" t="s">
        <v>5690</v>
      </c>
      <c r="D4392" s="15" t="s">
        <v>27</v>
      </c>
      <c r="E4392" s="15" t="s">
        <v>2978</v>
      </c>
      <c r="F4392" s="95">
        <v>30</v>
      </c>
      <c r="G4392" s="16" t="s">
        <v>19</v>
      </c>
      <c r="H4392" s="17">
        <v>87</v>
      </c>
      <c r="I4392" s="17">
        <f t="shared" si="366"/>
        <v>2610</v>
      </c>
      <c r="J4392" s="17">
        <v>72</v>
      </c>
      <c r="K4392" s="519">
        <f t="shared" si="367"/>
        <v>15</v>
      </c>
      <c r="L4392" s="519">
        <f t="shared" si="368"/>
        <v>450</v>
      </c>
      <c r="M4392" s="557">
        <f t="shared" si="369"/>
        <v>0.17241379310344829</v>
      </c>
      <c r="N4392" s="15" t="s">
        <v>40</v>
      </c>
      <c r="O4392" s="15" t="s">
        <v>105</v>
      </c>
    </row>
    <row r="4393" spans="1:15">
      <c r="A4393" s="70">
        <v>2026</v>
      </c>
      <c r="B4393" s="16" t="s">
        <v>1</v>
      </c>
      <c r="C4393" s="70" t="s">
        <v>5691</v>
      </c>
      <c r="D4393" s="15" t="s">
        <v>27</v>
      </c>
      <c r="E4393" s="15" t="s">
        <v>546</v>
      </c>
      <c r="F4393" s="95">
        <v>50</v>
      </c>
      <c r="G4393" s="16" t="s">
        <v>19</v>
      </c>
      <c r="H4393" s="17">
        <v>243</v>
      </c>
      <c r="I4393" s="17">
        <f t="shared" si="366"/>
        <v>12150</v>
      </c>
      <c r="J4393" s="17">
        <v>230</v>
      </c>
      <c r="K4393" s="519">
        <f t="shared" si="367"/>
        <v>13</v>
      </c>
      <c r="L4393" s="519">
        <f t="shared" si="368"/>
        <v>650</v>
      </c>
      <c r="M4393" s="557">
        <f t="shared" si="369"/>
        <v>5.3497942386831275E-2</v>
      </c>
      <c r="N4393" s="15" t="s">
        <v>40</v>
      </c>
      <c r="O4393" s="15" t="s">
        <v>105</v>
      </c>
    </row>
    <row r="4394" spans="1:15">
      <c r="A4394" s="70">
        <v>2026</v>
      </c>
      <c r="B4394" s="16" t="s">
        <v>1</v>
      </c>
      <c r="C4394" s="70" t="s">
        <v>5691</v>
      </c>
      <c r="D4394" s="15" t="s">
        <v>27</v>
      </c>
      <c r="E4394" s="15" t="s">
        <v>1316</v>
      </c>
      <c r="F4394" s="95">
        <v>200</v>
      </c>
      <c r="G4394" s="16" t="s">
        <v>19</v>
      </c>
      <c r="H4394" s="17">
        <v>20</v>
      </c>
      <c r="I4394" s="17">
        <f t="shared" si="366"/>
        <v>4000</v>
      </c>
      <c r="J4394" s="17">
        <v>19</v>
      </c>
      <c r="K4394" s="519">
        <f t="shared" si="367"/>
        <v>1</v>
      </c>
      <c r="L4394" s="519">
        <f t="shared" si="368"/>
        <v>200</v>
      </c>
      <c r="M4394" s="557">
        <f t="shared" si="369"/>
        <v>0.05</v>
      </c>
      <c r="N4394" s="15" t="s">
        <v>40</v>
      </c>
      <c r="O4394" s="15" t="s">
        <v>105</v>
      </c>
    </row>
    <row r="4395" spans="1:15">
      <c r="A4395" s="70">
        <v>2026</v>
      </c>
      <c r="B4395" s="16" t="s">
        <v>1</v>
      </c>
      <c r="C4395" s="70" t="s">
        <v>5692</v>
      </c>
      <c r="D4395" s="70" t="s">
        <v>5693</v>
      </c>
      <c r="E4395" s="15" t="s">
        <v>1652</v>
      </c>
      <c r="F4395" s="95">
        <v>60</v>
      </c>
      <c r="G4395" s="16" t="s">
        <v>19</v>
      </c>
      <c r="H4395" s="17">
        <v>1500</v>
      </c>
      <c r="I4395" s="17">
        <f t="shared" si="366"/>
        <v>90000</v>
      </c>
      <c r="J4395" s="17">
        <v>1330</v>
      </c>
      <c r="K4395" s="519">
        <f t="shared" si="367"/>
        <v>170</v>
      </c>
      <c r="L4395" s="519">
        <f t="shared" si="368"/>
        <v>10200</v>
      </c>
      <c r="M4395" s="557">
        <f t="shared" si="369"/>
        <v>0.11333333333333333</v>
      </c>
      <c r="N4395" s="15" t="s">
        <v>40</v>
      </c>
      <c r="O4395" s="15" t="s">
        <v>105</v>
      </c>
    </row>
    <row r="4396" spans="1:15">
      <c r="A4396" s="70">
        <v>2026</v>
      </c>
      <c r="B4396" s="16" t="s">
        <v>1</v>
      </c>
      <c r="C4396" s="70" t="s">
        <v>5692</v>
      </c>
      <c r="D4396" s="70" t="s">
        <v>5693</v>
      </c>
      <c r="E4396" s="15" t="s">
        <v>564</v>
      </c>
      <c r="F4396" s="95">
        <v>60</v>
      </c>
      <c r="G4396" s="16" t="s">
        <v>19</v>
      </c>
      <c r="H4396" s="17">
        <v>1050</v>
      </c>
      <c r="I4396" s="17">
        <f t="shared" si="366"/>
        <v>63000</v>
      </c>
      <c r="J4396" s="17">
        <v>800</v>
      </c>
      <c r="K4396" s="519">
        <f t="shared" si="367"/>
        <v>250</v>
      </c>
      <c r="L4396" s="519">
        <f t="shared" si="368"/>
        <v>15000</v>
      </c>
      <c r="M4396" s="557">
        <f t="shared" si="369"/>
        <v>0.23809523809523808</v>
      </c>
      <c r="N4396" s="15" t="s">
        <v>40</v>
      </c>
      <c r="O4396" s="15" t="s">
        <v>105</v>
      </c>
    </row>
    <row r="4397" spans="1:15" ht="15">
      <c r="A4397" s="70">
        <v>2026</v>
      </c>
      <c r="B4397" s="16" t="s">
        <v>1</v>
      </c>
      <c r="C4397" s="70" t="s">
        <v>5694</v>
      </c>
      <c r="D4397" s="15" t="s">
        <v>2342</v>
      </c>
      <c r="E4397" t="s">
        <v>5695</v>
      </c>
      <c r="F4397" s="95">
        <v>7</v>
      </c>
      <c r="G4397" s="16" t="s">
        <v>302</v>
      </c>
      <c r="H4397" s="17">
        <v>63152.2</v>
      </c>
      <c r="I4397" s="17">
        <f t="shared" si="366"/>
        <v>442065.39999999997</v>
      </c>
      <c r="J4397" s="17">
        <v>59905.1</v>
      </c>
      <c r="K4397" s="519">
        <f t="shared" si="367"/>
        <v>3247.0999999999985</v>
      </c>
      <c r="L4397" s="519">
        <f t="shared" si="368"/>
        <v>22729.69999999999</v>
      </c>
      <c r="M4397" s="557">
        <f t="shared" si="369"/>
        <v>5.1417052770924822E-2</v>
      </c>
      <c r="N4397" s="15" t="s">
        <v>40</v>
      </c>
      <c r="O4397" s="15" t="s">
        <v>105</v>
      </c>
    </row>
    <row r="4398" spans="1:15">
      <c r="A4398" s="70">
        <v>2026</v>
      </c>
      <c r="B4398" s="16" t="s">
        <v>1</v>
      </c>
      <c r="C4398" s="70" t="s">
        <v>5696</v>
      </c>
      <c r="D4398" s="15" t="s">
        <v>1042</v>
      </c>
      <c r="E4398" s="15" t="s">
        <v>5697</v>
      </c>
      <c r="F4398" s="95">
        <v>40</v>
      </c>
      <c r="G4398" s="16" t="s">
        <v>499</v>
      </c>
      <c r="H4398" s="17">
        <v>498</v>
      </c>
      <c r="I4398" s="17">
        <f t="shared" si="366"/>
        <v>19920</v>
      </c>
      <c r="J4398" s="17">
        <v>439.5</v>
      </c>
      <c r="K4398" s="519">
        <f t="shared" si="367"/>
        <v>58.5</v>
      </c>
      <c r="L4398" s="519">
        <f t="shared" si="368"/>
        <v>2340</v>
      </c>
      <c r="M4398" s="557">
        <f t="shared" si="369"/>
        <v>0.11746987951807229</v>
      </c>
      <c r="N4398" s="15" t="s">
        <v>40</v>
      </c>
      <c r="O4398" s="15" t="s">
        <v>105</v>
      </c>
    </row>
    <row r="4399" spans="1:15">
      <c r="A4399" s="70">
        <v>2026</v>
      </c>
      <c r="B4399" s="16" t="s">
        <v>1</v>
      </c>
      <c r="C4399" s="70" t="s">
        <v>5696</v>
      </c>
      <c r="D4399" s="15" t="s">
        <v>1042</v>
      </c>
      <c r="E4399" s="15" t="s">
        <v>5698</v>
      </c>
      <c r="F4399" s="95">
        <v>342</v>
      </c>
      <c r="G4399" s="16" t="s">
        <v>499</v>
      </c>
      <c r="H4399" s="17">
        <v>498</v>
      </c>
      <c r="I4399" s="17">
        <f t="shared" si="366"/>
        <v>170316</v>
      </c>
      <c r="J4399" s="17">
        <v>439.5</v>
      </c>
      <c r="K4399" s="519">
        <f t="shared" si="367"/>
        <v>58.5</v>
      </c>
      <c r="L4399" s="519">
        <f t="shared" si="368"/>
        <v>20007</v>
      </c>
      <c r="M4399" s="557">
        <f t="shared" si="369"/>
        <v>0.11746987951807229</v>
      </c>
      <c r="N4399" s="15" t="s">
        <v>40</v>
      </c>
      <c r="O4399" s="15" t="s">
        <v>105</v>
      </c>
    </row>
    <row r="4400" spans="1:15">
      <c r="A4400" s="70">
        <v>2026</v>
      </c>
      <c r="B4400" s="16" t="s">
        <v>1</v>
      </c>
      <c r="C4400" s="70" t="s">
        <v>5699</v>
      </c>
      <c r="D4400" s="15" t="s">
        <v>5700</v>
      </c>
      <c r="E4400" s="15" t="s">
        <v>71</v>
      </c>
      <c r="F4400" s="95">
        <v>452.5</v>
      </c>
      <c r="G4400" s="16" t="s">
        <v>499</v>
      </c>
      <c r="H4400" s="17">
        <v>507.5</v>
      </c>
      <c r="I4400" s="17">
        <f t="shared" si="366"/>
        <v>229643.75</v>
      </c>
      <c r="J4400" s="17">
        <v>474</v>
      </c>
      <c r="K4400" s="519">
        <f t="shared" si="367"/>
        <v>33.5</v>
      </c>
      <c r="L4400" s="519">
        <f t="shared" si="368"/>
        <v>15158.75</v>
      </c>
      <c r="M4400" s="557">
        <f t="shared" si="369"/>
        <v>6.6009852216748766E-2</v>
      </c>
      <c r="N4400" s="15" t="s">
        <v>40</v>
      </c>
      <c r="O4400" s="15" t="s">
        <v>105</v>
      </c>
    </row>
    <row r="4401" spans="1:15">
      <c r="A4401" s="70">
        <v>2026</v>
      </c>
      <c r="B4401" s="16" t="s">
        <v>1</v>
      </c>
      <c r="C4401" s="70" t="s">
        <v>5699</v>
      </c>
      <c r="D4401" s="15" t="s">
        <v>5700</v>
      </c>
      <c r="E4401" s="15" t="s">
        <v>73</v>
      </c>
      <c r="F4401" s="95">
        <v>433</v>
      </c>
      <c r="G4401" s="16" t="s">
        <v>499</v>
      </c>
      <c r="H4401" s="17">
        <v>507.5</v>
      </c>
      <c r="I4401" s="17">
        <f t="shared" si="366"/>
        <v>219747.5</v>
      </c>
      <c r="J4401" s="17">
        <v>474</v>
      </c>
      <c r="K4401" s="519">
        <f t="shared" si="367"/>
        <v>33.5</v>
      </c>
      <c r="L4401" s="519">
        <f t="shared" si="368"/>
        <v>14505.5</v>
      </c>
      <c r="M4401" s="557">
        <f t="shared" si="369"/>
        <v>6.6009852216748766E-2</v>
      </c>
      <c r="N4401" s="15" t="s">
        <v>40</v>
      </c>
      <c r="O4401" s="15" t="s">
        <v>105</v>
      </c>
    </row>
    <row r="4402" spans="1:15">
      <c r="A4402" s="70">
        <v>2026</v>
      </c>
      <c r="B4402" s="16" t="s">
        <v>1</v>
      </c>
      <c r="C4402" s="70" t="s">
        <v>5699</v>
      </c>
      <c r="D4402" s="15" t="s">
        <v>5700</v>
      </c>
      <c r="E4402" s="15" t="s">
        <v>4254</v>
      </c>
      <c r="F4402" s="95">
        <v>230.8</v>
      </c>
      <c r="G4402" s="16" t="s">
        <v>499</v>
      </c>
      <c r="H4402" s="17">
        <v>507.5</v>
      </c>
      <c r="I4402" s="17">
        <f t="shared" si="366"/>
        <v>117131</v>
      </c>
      <c r="J4402" s="17">
        <v>474</v>
      </c>
      <c r="K4402" s="519">
        <f t="shared" si="367"/>
        <v>33.5</v>
      </c>
      <c r="L4402" s="519">
        <f t="shared" si="368"/>
        <v>7731.8</v>
      </c>
      <c r="M4402" s="557">
        <f t="shared" si="369"/>
        <v>6.6009852216748766E-2</v>
      </c>
      <c r="N4402" s="15" t="s">
        <v>40</v>
      </c>
      <c r="O4402" s="15" t="s">
        <v>105</v>
      </c>
    </row>
    <row r="4403" spans="1:15">
      <c r="A4403" s="70">
        <v>2026</v>
      </c>
      <c r="B4403" s="16" t="s">
        <v>1</v>
      </c>
      <c r="C4403" s="70" t="s">
        <v>5701</v>
      </c>
      <c r="D4403" s="15" t="s">
        <v>590</v>
      </c>
      <c r="E4403" s="15" t="s">
        <v>5702</v>
      </c>
      <c r="F4403" s="95">
        <v>10</v>
      </c>
      <c r="G4403" s="16" t="s">
        <v>302</v>
      </c>
      <c r="H4403" s="17">
        <v>34000</v>
      </c>
      <c r="I4403" s="17">
        <f t="shared" si="366"/>
        <v>340000</v>
      </c>
      <c r="J4403" s="519">
        <v>31000</v>
      </c>
      <c r="K4403" s="519">
        <f t="shared" si="367"/>
        <v>3000</v>
      </c>
      <c r="L4403" s="519">
        <f t="shared" si="368"/>
        <v>30000</v>
      </c>
      <c r="M4403" s="557">
        <f t="shared" si="369"/>
        <v>8.8235294117647065E-2</v>
      </c>
      <c r="N4403" s="15" t="s">
        <v>40</v>
      </c>
      <c r="O4403" s="15" t="s">
        <v>39</v>
      </c>
    </row>
    <row r="4404" spans="1:15" ht="14.25" customHeight="1">
      <c r="A4404" s="70">
        <v>2026</v>
      </c>
      <c r="B4404" s="16" t="s">
        <v>1</v>
      </c>
      <c r="C4404" s="70" t="s">
        <v>5703</v>
      </c>
      <c r="D4404" s="656" t="s">
        <v>5704</v>
      </c>
      <c r="E4404" s="15" t="s">
        <v>893</v>
      </c>
      <c r="F4404" s="95">
        <v>72</v>
      </c>
      <c r="G4404" s="16" t="s">
        <v>19</v>
      </c>
      <c r="H4404" s="657">
        <v>1650</v>
      </c>
      <c r="I4404" s="17">
        <f t="shared" si="366"/>
        <v>118800</v>
      </c>
      <c r="J4404" s="657">
        <v>1600.5</v>
      </c>
      <c r="K4404" s="519">
        <f t="shared" si="367"/>
        <v>49.5</v>
      </c>
      <c r="L4404" s="519">
        <f t="shared" si="368"/>
        <v>3564</v>
      </c>
      <c r="M4404" s="557">
        <f t="shared" si="369"/>
        <v>0.03</v>
      </c>
      <c r="N4404" s="15" t="s">
        <v>40</v>
      </c>
      <c r="O4404" s="15" t="s">
        <v>105</v>
      </c>
    </row>
    <row r="4405" spans="1:15">
      <c r="A4405" s="70">
        <v>2026</v>
      </c>
      <c r="B4405" s="16" t="s">
        <v>1</v>
      </c>
      <c r="C4405" s="70" t="s">
        <v>5703</v>
      </c>
      <c r="D4405" s="656" t="s">
        <v>5704</v>
      </c>
      <c r="E4405" s="15" t="s">
        <v>894</v>
      </c>
      <c r="F4405" s="95">
        <v>48</v>
      </c>
      <c r="G4405" s="16" t="s">
        <v>19</v>
      </c>
      <c r="H4405" s="657">
        <v>1470</v>
      </c>
      <c r="I4405" s="17">
        <f t="shared" si="366"/>
        <v>70560</v>
      </c>
      <c r="J4405" s="657">
        <v>1425.9</v>
      </c>
      <c r="K4405" s="519">
        <f t="shared" si="367"/>
        <v>44.099999999999909</v>
      </c>
      <c r="L4405" s="519">
        <f t="shared" si="368"/>
        <v>2116.7999999999956</v>
      </c>
      <c r="M4405" s="557">
        <f t="shared" ref="M4405" si="370">K4405/H4406</f>
        <v>8.9999999999999816E-2</v>
      </c>
      <c r="N4405" s="15" t="s">
        <v>40</v>
      </c>
      <c r="O4405" s="15" t="s">
        <v>105</v>
      </c>
    </row>
    <row r="4406" spans="1:15">
      <c r="A4406" s="70">
        <v>2026</v>
      </c>
      <c r="B4406" s="16" t="s">
        <v>1</v>
      </c>
      <c r="C4406" s="70" t="s">
        <v>5703</v>
      </c>
      <c r="D4406" s="656" t="s">
        <v>5704</v>
      </c>
      <c r="E4406" s="15" t="s">
        <v>3379</v>
      </c>
      <c r="F4406" s="95">
        <v>24</v>
      </c>
      <c r="G4406" s="16" t="s">
        <v>19</v>
      </c>
      <c r="H4406" s="657">
        <v>490</v>
      </c>
      <c r="I4406" s="17">
        <f t="shared" si="366"/>
        <v>11760</v>
      </c>
      <c r="J4406" s="657">
        <v>475.3</v>
      </c>
      <c r="K4406" s="519">
        <f t="shared" si="367"/>
        <v>14.699999999999989</v>
      </c>
      <c r="L4406" s="519">
        <f t="shared" si="368"/>
        <v>352.79999999999973</v>
      </c>
      <c r="M4406" s="557">
        <f t="shared" si="369"/>
        <v>2.9999999999999978E-2</v>
      </c>
      <c r="N4406" s="15" t="s">
        <v>40</v>
      </c>
      <c r="O4406" s="15" t="s">
        <v>105</v>
      </c>
    </row>
    <row r="4407" spans="1:15">
      <c r="A4407" s="70">
        <v>2026</v>
      </c>
      <c r="B4407" s="16" t="s">
        <v>1</v>
      </c>
      <c r="C4407" s="70" t="s">
        <v>5705</v>
      </c>
      <c r="D4407" s="656" t="s">
        <v>5706</v>
      </c>
      <c r="E4407" s="15" t="s">
        <v>5564</v>
      </c>
      <c r="F4407" s="95">
        <v>18900</v>
      </c>
      <c r="G4407" s="16" t="s">
        <v>499</v>
      </c>
      <c r="H4407" s="17">
        <v>498</v>
      </c>
      <c r="I4407" s="17">
        <f t="shared" si="366"/>
        <v>9412200</v>
      </c>
      <c r="J4407" s="519">
        <v>439.5</v>
      </c>
      <c r="K4407" s="519">
        <f t="shared" si="367"/>
        <v>58.5</v>
      </c>
      <c r="L4407" s="519">
        <f t="shared" si="368"/>
        <v>1105650</v>
      </c>
      <c r="M4407" s="557">
        <f t="shared" si="369"/>
        <v>0.11746987951807229</v>
      </c>
      <c r="N4407" s="15" t="s">
        <v>40</v>
      </c>
      <c r="O4407" s="15" t="s">
        <v>105</v>
      </c>
    </row>
    <row r="4408" spans="1:15">
      <c r="A4408" s="70">
        <v>2026</v>
      </c>
      <c r="B4408" s="16" t="s">
        <v>1</v>
      </c>
      <c r="C4408" s="70" t="s">
        <v>5705</v>
      </c>
      <c r="D4408" s="656" t="s">
        <v>5706</v>
      </c>
      <c r="E4408" s="15" t="s">
        <v>5565</v>
      </c>
      <c r="F4408" s="95">
        <v>2670</v>
      </c>
      <c r="G4408" s="16" t="s">
        <v>499</v>
      </c>
      <c r="H4408" s="17">
        <v>498</v>
      </c>
      <c r="I4408" s="17">
        <f t="shared" si="366"/>
        <v>1329660</v>
      </c>
      <c r="J4408" s="519">
        <v>439.5</v>
      </c>
      <c r="K4408" s="519">
        <f t="shared" si="367"/>
        <v>58.5</v>
      </c>
      <c r="L4408" s="519">
        <f t="shared" si="368"/>
        <v>156195</v>
      </c>
      <c r="M4408" s="557">
        <f t="shared" si="369"/>
        <v>0.11746987951807229</v>
      </c>
      <c r="N4408" s="15" t="s">
        <v>40</v>
      </c>
      <c r="O4408" s="15" t="s">
        <v>105</v>
      </c>
    </row>
    <row r="4409" spans="1:15">
      <c r="A4409" s="70">
        <v>2026</v>
      </c>
      <c r="B4409" s="16" t="s">
        <v>1</v>
      </c>
      <c r="C4409" s="70" t="s">
        <v>5705</v>
      </c>
      <c r="D4409" s="656" t="s">
        <v>5706</v>
      </c>
      <c r="E4409" s="15" t="s">
        <v>5562</v>
      </c>
      <c r="F4409" s="95">
        <v>13390</v>
      </c>
      <c r="G4409" s="16" t="s">
        <v>499</v>
      </c>
      <c r="H4409" s="17">
        <v>498</v>
      </c>
      <c r="I4409" s="17">
        <f t="shared" si="366"/>
        <v>6668220</v>
      </c>
      <c r="J4409" s="519">
        <v>439.5</v>
      </c>
      <c r="K4409" s="519">
        <f t="shared" si="367"/>
        <v>58.5</v>
      </c>
      <c r="L4409" s="519">
        <f t="shared" si="368"/>
        <v>783315</v>
      </c>
      <c r="M4409" s="557">
        <f t="shared" si="369"/>
        <v>0.11746987951807229</v>
      </c>
      <c r="N4409" s="15" t="s">
        <v>40</v>
      </c>
      <c r="O4409" s="15" t="s">
        <v>105</v>
      </c>
    </row>
    <row r="4410" spans="1:15">
      <c r="A4410" s="70">
        <v>2026</v>
      </c>
      <c r="B4410" s="16" t="s">
        <v>1</v>
      </c>
      <c r="C4410" s="70" t="s">
        <v>5707</v>
      </c>
      <c r="D4410" s="15" t="s">
        <v>4179</v>
      </c>
      <c r="E4410" s="15" t="s">
        <v>5708</v>
      </c>
      <c r="F4410" s="95">
        <v>1</v>
      </c>
      <c r="G4410" s="16" t="s">
        <v>285</v>
      </c>
      <c r="H4410" s="17">
        <v>167350.39999999999</v>
      </c>
      <c r="I4410" s="17">
        <f t="shared" si="366"/>
        <v>167350.39999999999</v>
      </c>
      <c r="J4410" s="519">
        <v>160000</v>
      </c>
      <c r="K4410" s="519">
        <f t="shared" ref="K4410:K4433" si="371">H4410-J4410</f>
        <v>7350.3999999999942</v>
      </c>
      <c r="L4410" s="519">
        <f t="shared" ref="L4410:L4433" si="372">K4410*F4410</f>
        <v>7350.3999999999942</v>
      </c>
      <c r="M4410" s="557">
        <f t="shared" ref="M4410:M4433" si="373">K4410/H4410</f>
        <v>4.3922213511291247E-2</v>
      </c>
      <c r="N4410" s="15" t="s">
        <v>40</v>
      </c>
      <c r="O4410" s="15" t="s">
        <v>4066</v>
      </c>
    </row>
    <row r="4411" spans="1:15">
      <c r="A4411" s="70">
        <v>2026</v>
      </c>
      <c r="B4411" s="16" t="s">
        <v>1</v>
      </c>
      <c r="C4411" s="70" t="s">
        <v>5707</v>
      </c>
      <c r="D4411" s="15" t="s">
        <v>4179</v>
      </c>
      <c r="E4411" s="15" t="s">
        <v>5709</v>
      </c>
      <c r="F4411" s="95">
        <v>1</v>
      </c>
      <c r="G4411" s="16" t="s">
        <v>285</v>
      </c>
      <c r="H4411" s="17">
        <v>1296713.72</v>
      </c>
      <c r="I4411" s="17">
        <f t="shared" si="366"/>
        <v>1296713.72</v>
      </c>
      <c r="J4411" s="519">
        <v>1250000</v>
      </c>
      <c r="K4411" s="519">
        <f t="shared" si="371"/>
        <v>46713.719999999972</v>
      </c>
      <c r="L4411" s="519">
        <f t="shared" si="372"/>
        <v>46713.719999999972</v>
      </c>
      <c r="M4411" s="557">
        <f t="shared" si="373"/>
        <v>3.6024697880114954E-2</v>
      </c>
      <c r="N4411" s="15" t="s">
        <v>40</v>
      </c>
      <c r="O4411" s="15" t="s">
        <v>4066</v>
      </c>
    </row>
    <row r="4412" spans="1:15">
      <c r="A4412" s="70">
        <v>2026</v>
      </c>
      <c r="B4412" s="16" t="s">
        <v>1</v>
      </c>
      <c r="C4412" s="70" t="s">
        <v>5710</v>
      </c>
      <c r="D4412" s="15" t="s">
        <v>4302</v>
      </c>
      <c r="E4412" s="15" t="s">
        <v>5711</v>
      </c>
      <c r="F4412" s="95">
        <v>1</v>
      </c>
      <c r="G4412" s="16" t="s">
        <v>302</v>
      </c>
      <c r="H4412" s="17">
        <v>83000</v>
      </c>
      <c r="I4412" s="17">
        <f t="shared" si="366"/>
        <v>83000</v>
      </c>
      <c r="J4412" s="519">
        <v>78850</v>
      </c>
      <c r="K4412" s="519">
        <f t="shared" si="371"/>
        <v>4150</v>
      </c>
      <c r="L4412" s="519">
        <f t="shared" si="372"/>
        <v>4150</v>
      </c>
      <c r="M4412" s="557">
        <f t="shared" si="373"/>
        <v>0.05</v>
      </c>
      <c r="N4412" s="15" t="s">
        <v>40</v>
      </c>
      <c r="O4412" s="15" t="s">
        <v>4066</v>
      </c>
    </row>
    <row r="4413" spans="1:15">
      <c r="A4413" s="70">
        <v>2026</v>
      </c>
      <c r="B4413" s="16" t="s">
        <v>1</v>
      </c>
      <c r="C4413" s="70" t="s">
        <v>5712</v>
      </c>
      <c r="D4413" s="15" t="s">
        <v>4974</v>
      </c>
      <c r="E4413" s="15" t="s">
        <v>5713</v>
      </c>
      <c r="F4413" s="95">
        <v>1</v>
      </c>
      <c r="G4413" s="16" t="s">
        <v>285</v>
      </c>
      <c r="H4413" s="17">
        <v>48000</v>
      </c>
      <c r="I4413" s="17">
        <f t="shared" si="366"/>
        <v>48000</v>
      </c>
      <c r="J4413" s="519">
        <v>38400</v>
      </c>
      <c r="K4413" s="519">
        <f t="shared" si="371"/>
        <v>9600</v>
      </c>
      <c r="L4413" s="519">
        <f t="shared" si="372"/>
        <v>9600</v>
      </c>
      <c r="M4413" s="557">
        <f t="shared" si="373"/>
        <v>0.2</v>
      </c>
      <c r="N4413" s="15" t="s">
        <v>40</v>
      </c>
      <c r="O4413" s="15" t="s">
        <v>4066</v>
      </c>
    </row>
    <row r="4414" spans="1:15">
      <c r="A4414" s="70">
        <v>2026</v>
      </c>
      <c r="B4414" s="16" t="s">
        <v>1</v>
      </c>
      <c r="C4414" s="70" t="s">
        <v>5714</v>
      </c>
      <c r="D4414" s="15" t="s">
        <v>522</v>
      </c>
      <c r="E4414" s="15" t="s">
        <v>5715</v>
      </c>
      <c r="F4414" s="95">
        <v>1</v>
      </c>
      <c r="G4414" s="16" t="s">
        <v>285</v>
      </c>
      <c r="H4414" s="17">
        <v>4426714.0999999996</v>
      </c>
      <c r="I4414" s="17">
        <f t="shared" si="366"/>
        <v>4426714.0999999996</v>
      </c>
      <c r="J4414" s="519">
        <v>4100000</v>
      </c>
      <c r="K4414" s="519">
        <f t="shared" si="371"/>
        <v>326714.09999999963</v>
      </c>
      <c r="L4414" s="519">
        <f t="shared" si="372"/>
        <v>326714.09999999963</v>
      </c>
      <c r="M4414" s="557">
        <f t="shared" si="373"/>
        <v>7.3805105235958124E-2</v>
      </c>
      <c r="N4414" s="15" t="s">
        <v>40</v>
      </c>
      <c r="O4414" s="15" t="s">
        <v>4066</v>
      </c>
    </row>
    <row r="4415" spans="1:15">
      <c r="A4415" s="70">
        <v>2026</v>
      </c>
      <c r="B4415" s="16" t="s">
        <v>1</v>
      </c>
      <c r="C4415" s="70" t="s">
        <v>5716</v>
      </c>
      <c r="D4415" s="15" t="s">
        <v>4659</v>
      </c>
      <c r="E4415" s="15" t="s">
        <v>5717</v>
      </c>
      <c r="F4415" s="95">
        <v>1</v>
      </c>
      <c r="G4415" s="16" t="s">
        <v>19</v>
      </c>
      <c r="H4415" s="17">
        <v>4000</v>
      </c>
      <c r="I4415" s="17">
        <f t="shared" si="366"/>
        <v>4000</v>
      </c>
      <c r="J4415" s="519">
        <v>3800</v>
      </c>
      <c r="K4415" s="519">
        <f t="shared" si="371"/>
        <v>200</v>
      </c>
      <c r="L4415" s="519">
        <f t="shared" si="372"/>
        <v>200</v>
      </c>
      <c r="M4415" s="557">
        <f t="shared" si="373"/>
        <v>0.05</v>
      </c>
      <c r="N4415" s="15" t="s">
        <v>40</v>
      </c>
      <c r="O4415" s="15" t="s">
        <v>4066</v>
      </c>
    </row>
    <row r="4416" spans="1:15">
      <c r="A4416" s="70">
        <v>2026</v>
      </c>
      <c r="B4416" s="16" t="s">
        <v>1</v>
      </c>
      <c r="C4416" s="70" t="s">
        <v>5716</v>
      </c>
      <c r="D4416" s="15" t="s">
        <v>4659</v>
      </c>
      <c r="E4416" s="15" t="s">
        <v>5718</v>
      </c>
      <c r="F4416" s="95">
        <v>1</v>
      </c>
      <c r="G4416" s="16" t="s">
        <v>19</v>
      </c>
      <c r="H4416" s="17">
        <v>4500</v>
      </c>
      <c r="I4416" s="17">
        <f t="shared" si="366"/>
        <v>4500</v>
      </c>
      <c r="J4416" s="519">
        <v>4275</v>
      </c>
      <c r="K4416" s="519">
        <f t="shared" si="371"/>
        <v>225</v>
      </c>
      <c r="L4416" s="519">
        <f t="shared" si="372"/>
        <v>225</v>
      </c>
      <c r="M4416" s="557">
        <f t="shared" si="373"/>
        <v>0.05</v>
      </c>
      <c r="N4416" s="15" t="s">
        <v>40</v>
      </c>
      <c r="O4416" s="15" t="s">
        <v>4066</v>
      </c>
    </row>
    <row r="4417" spans="1:15">
      <c r="A4417" s="70">
        <v>2026</v>
      </c>
      <c r="B4417" s="16" t="s">
        <v>1</v>
      </c>
      <c r="C4417" s="70" t="s">
        <v>5716</v>
      </c>
      <c r="D4417" s="15" t="s">
        <v>4659</v>
      </c>
      <c r="E4417" s="15" t="s">
        <v>5719</v>
      </c>
      <c r="F4417" s="95">
        <v>1</v>
      </c>
      <c r="G4417" s="16" t="s">
        <v>19</v>
      </c>
      <c r="H4417" s="17">
        <v>4500</v>
      </c>
      <c r="I4417" s="17">
        <f t="shared" si="366"/>
        <v>4500</v>
      </c>
      <c r="J4417" s="519">
        <v>4275</v>
      </c>
      <c r="K4417" s="519">
        <f t="shared" si="371"/>
        <v>225</v>
      </c>
      <c r="L4417" s="519">
        <f t="shared" si="372"/>
        <v>225</v>
      </c>
      <c r="M4417" s="557">
        <f t="shared" si="373"/>
        <v>0.05</v>
      </c>
      <c r="N4417" s="15" t="s">
        <v>40</v>
      </c>
      <c r="O4417" s="15" t="s">
        <v>4066</v>
      </c>
    </row>
    <row r="4418" spans="1:15">
      <c r="A4418" s="70">
        <v>2026</v>
      </c>
      <c r="B4418" s="16" t="s">
        <v>1</v>
      </c>
      <c r="C4418" s="70" t="s">
        <v>5720</v>
      </c>
      <c r="D4418" s="15" t="s">
        <v>3649</v>
      </c>
      <c r="E4418" s="15" t="s">
        <v>5721</v>
      </c>
      <c r="F4418" s="95">
        <v>1</v>
      </c>
      <c r="G4418" s="16" t="s">
        <v>19</v>
      </c>
      <c r="H4418" s="17">
        <v>38500</v>
      </c>
      <c r="I4418" s="17">
        <f t="shared" si="366"/>
        <v>38500</v>
      </c>
      <c r="J4418" s="519">
        <v>33600</v>
      </c>
      <c r="K4418" s="519">
        <f t="shared" si="371"/>
        <v>4900</v>
      </c>
      <c r="L4418" s="519">
        <f t="shared" si="372"/>
        <v>4900</v>
      </c>
      <c r="M4418" s="557">
        <f t="shared" si="373"/>
        <v>0.12727272727272726</v>
      </c>
      <c r="N4418" s="15" t="s">
        <v>40</v>
      </c>
      <c r="O4418" s="15" t="s">
        <v>4066</v>
      </c>
    </row>
    <row r="4419" spans="1:15">
      <c r="A4419" s="70">
        <v>2026</v>
      </c>
      <c r="B4419" s="16" t="s">
        <v>1</v>
      </c>
      <c r="C4419" s="70" t="s">
        <v>5722</v>
      </c>
      <c r="D4419" s="15" t="s">
        <v>5723</v>
      </c>
      <c r="E4419" s="15" t="s">
        <v>5724</v>
      </c>
      <c r="F4419" s="95">
        <v>1</v>
      </c>
      <c r="G4419" s="16" t="s">
        <v>19</v>
      </c>
      <c r="H4419" s="17">
        <v>22500</v>
      </c>
      <c r="I4419" s="17">
        <f t="shared" si="366"/>
        <v>22500</v>
      </c>
      <c r="J4419" s="519">
        <v>19625</v>
      </c>
      <c r="K4419" s="519">
        <f t="shared" si="371"/>
        <v>2875</v>
      </c>
      <c r="L4419" s="519">
        <f t="shared" si="372"/>
        <v>2875</v>
      </c>
      <c r="M4419" s="557">
        <f t="shared" si="373"/>
        <v>0.12777777777777777</v>
      </c>
      <c r="N4419" s="15" t="s">
        <v>40</v>
      </c>
      <c r="O4419" s="15" t="s">
        <v>4066</v>
      </c>
    </row>
    <row r="4420" spans="1:15">
      <c r="A4420" s="70">
        <v>2026</v>
      </c>
      <c r="B4420" s="16" t="s">
        <v>1</v>
      </c>
      <c r="C4420" s="70" t="s">
        <v>5725</v>
      </c>
      <c r="D4420" s="15" t="s">
        <v>4637</v>
      </c>
      <c r="E4420" s="15" t="s">
        <v>5726</v>
      </c>
      <c r="F4420" s="95">
        <v>2</v>
      </c>
      <c r="G4420" s="16" t="s">
        <v>302</v>
      </c>
      <c r="H4420" s="17">
        <v>327075</v>
      </c>
      <c r="I4420" s="17">
        <f t="shared" si="366"/>
        <v>654150</v>
      </c>
      <c r="J4420" s="519">
        <v>310721.5</v>
      </c>
      <c r="K4420" s="519">
        <f t="shared" si="371"/>
        <v>16353.5</v>
      </c>
      <c r="L4420" s="519">
        <f t="shared" si="372"/>
        <v>32707</v>
      </c>
      <c r="M4420" s="557">
        <f t="shared" si="373"/>
        <v>4.999923564931591E-2</v>
      </c>
      <c r="N4420" s="15" t="s">
        <v>22</v>
      </c>
      <c r="O4420" s="15" t="s">
        <v>4066</v>
      </c>
    </row>
    <row r="4421" spans="1:15">
      <c r="A4421" s="70">
        <v>2026</v>
      </c>
      <c r="B4421" s="16" t="s">
        <v>1</v>
      </c>
      <c r="C4421" s="70" t="s">
        <v>5727</v>
      </c>
      <c r="D4421" s="15" t="s">
        <v>4637</v>
      </c>
      <c r="E4421" s="15" t="s">
        <v>5728</v>
      </c>
      <c r="F4421" s="95">
        <v>1</v>
      </c>
      <c r="G4421" s="16" t="s">
        <v>302</v>
      </c>
      <c r="H4421" s="17">
        <v>787000</v>
      </c>
      <c r="I4421" s="17">
        <f t="shared" si="366"/>
        <v>787000</v>
      </c>
      <c r="J4421" s="519">
        <v>747650</v>
      </c>
      <c r="K4421" s="519">
        <f t="shared" si="371"/>
        <v>39350</v>
      </c>
      <c r="L4421" s="519">
        <f t="shared" si="372"/>
        <v>39350</v>
      </c>
      <c r="M4421" s="557">
        <f t="shared" si="373"/>
        <v>0.05</v>
      </c>
      <c r="N4421" s="15" t="s">
        <v>22</v>
      </c>
      <c r="O4421" s="15" t="s">
        <v>4066</v>
      </c>
    </row>
    <row r="4422" spans="1:15">
      <c r="A4422" s="70">
        <v>2026</v>
      </c>
      <c r="B4422" s="16" t="s">
        <v>1</v>
      </c>
      <c r="C4422" s="70" t="s">
        <v>5729</v>
      </c>
      <c r="D4422" s="15" t="s">
        <v>5730</v>
      </c>
      <c r="E4422" s="15" t="s">
        <v>5731</v>
      </c>
      <c r="F4422" s="95">
        <v>1</v>
      </c>
      <c r="G4422" s="16" t="s">
        <v>285</v>
      </c>
      <c r="H4422" s="17">
        <v>7500</v>
      </c>
      <c r="I4422" s="17">
        <f t="shared" si="366"/>
        <v>7500</v>
      </c>
      <c r="J4422" s="519">
        <v>7000</v>
      </c>
      <c r="K4422" s="519">
        <f t="shared" si="371"/>
        <v>500</v>
      </c>
      <c r="L4422" s="519">
        <f t="shared" si="372"/>
        <v>500</v>
      </c>
      <c r="M4422" s="557">
        <f t="shared" si="373"/>
        <v>6.6666666666666666E-2</v>
      </c>
      <c r="N4422" s="15" t="s">
        <v>40</v>
      </c>
      <c r="O4422" s="15" t="s">
        <v>4066</v>
      </c>
    </row>
    <row r="4423" spans="1:15">
      <c r="A4423" s="70">
        <v>2026</v>
      </c>
      <c r="B4423" s="16" t="s">
        <v>1</v>
      </c>
      <c r="C4423" s="70" t="s">
        <v>5732</v>
      </c>
      <c r="D4423" s="15" t="s">
        <v>27</v>
      </c>
      <c r="E4423" s="15" t="s">
        <v>5733</v>
      </c>
      <c r="F4423" s="95">
        <v>1</v>
      </c>
      <c r="G4423" s="16" t="s">
        <v>3857</v>
      </c>
      <c r="H4423" s="17">
        <v>1892960</v>
      </c>
      <c r="I4423" s="17">
        <f t="shared" si="366"/>
        <v>1892960</v>
      </c>
      <c r="J4423" s="519">
        <v>1869350</v>
      </c>
      <c r="K4423" s="519">
        <f t="shared" si="371"/>
        <v>23610</v>
      </c>
      <c r="L4423" s="519">
        <f t="shared" si="372"/>
        <v>23610</v>
      </c>
      <c r="M4423" s="557">
        <f t="shared" si="373"/>
        <v>1.2472529794607388E-2</v>
      </c>
      <c r="N4423" s="15" t="s">
        <v>22</v>
      </c>
      <c r="O4423" s="15" t="s">
        <v>4066</v>
      </c>
    </row>
    <row r="4424" spans="1:15">
      <c r="A4424" s="70">
        <v>2026</v>
      </c>
      <c r="B4424" s="16" t="s">
        <v>1</v>
      </c>
      <c r="C4424" s="70" t="s">
        <v>5734</v>
      </c>
      <c r="D4424" s="15" t="s">
        <v>4857</v>
      </c>
      <c r="E4424" s="15" t="s">
        <v>5735</v>
      </c>
      <c r="F4424" s="95">
        <v>1</v>
      </c>
      <c r="G4424" s="16" t="s">
        <v>285</v>
      </c>
      <c r="H4424" s="17">
        <v>828300</v>
      </c>
      <c r="I4424" s="17">
        <f t="shared" si="366"/>
        <v>828300</v>
      </c>
      <c r="J4424" s="519">
        <v>816000</v>
      </c>
      <c r="K4424" s="519">
        <f t="shared" si="371"/>
        <v>12300</v>
      </c>
      <c r="L4424" s="519">
        <f t="shared" si="372"/>
        <v>12300</v>
      </c>
      <c r="M4424" s="557">
        <f t="shared" si="373"/>
        <v>1.4849692140528795E-2</v>
      </c>
      <c r="N4424" s="15" t="s">
        <v>40</v>
      </c>
      <c r="O4424" s="15" t="s">
        <v>4066</v>
      </c>
    </row>
    <row r="4425" spans="1:15">
      <c r="A4425" s="70">
        <v>2026</v>
      </c>
      <c r="B4425" s="16" t="s">
        <v>1</v>
      </c>
      <c r="C4425" s="70" t="s">
        <v>5736</v>
      </c>
      <c r="D4425" s="15" t="s">
        <v>4857</v>
      </c>
      <c r="E4425" s="15" t="s">
        <v>5737</v>
      </c>
      <c r="F4425" s="95">
        <v>1</v>
      </c>
      <c r="G4425" s="16" t="s">
        <v>285</v>
      </c>
      <c r="H4425" s="17">
        <v>1404600</v>
      </c>
      <c r="I4425" s="17">
        <f t="shared" si="366"/>
        <v>1404600</v>
      </c>
      <c r="J4425" s="519">
        <v>1400000</v>
      </c>
      <c r="K4425" s="519">
        <f t="shared" si="371"/>
        <v>4600</v>
      </c>
      <c r="L4425" s="519">
        <f t="shared" si="372"/>
        <v>4600</v>
      </c>
      <c r="M4425" s="557">
        <f t="shared" si="373"/>
        <v>3.2749537234799944E-3</v>
      </c>
      <c r="N4425" s="15" t="s">
        <v>40</v>
      </c>
      <c r="O4425" s="15" t="s">
        <v>4066</v>
      </c>
    </row>
    <row r="4426" spans="1:15">
      <c r="A4426" s="70">
        <v>2026</v>
      </c>
      <c r="B4426" s="16" t="s">
        <v>1</v>
      </c>
      <c r="C4426" s="70" t="s">
        <v>5736</v>
      </c>
      <c r="D4426" s="15" t="s">
        <v>4857</v>
      </c>
      <c r="E4426" s="15" t="s">
        <v>5738</v>
      </c>
      <c r="F4426" s="95">
        <v>1</v>
      </c>
      <c r="G4426" s="16" t="s">
        <v>285</v>
      </c>
      <c r="H4426" s="17">
        <v>433196</v>
      </c>
      <c r="I4426" s="17">
        <f t="shared" si="366"/>
        <v>433196</v>
      </c>
      <c r="J4426" s="519">
        <v>430000</v>
      </c>
      <c r="K4426" s="519">
        <f t="shared" si="371"/>
        <v>3196</v>
      </c>
      <c r="L4426" s="519">
        <f t="shared" si="372"/>
        <v>3196</v>
      </c>
      <c r="M4426" s="557">
        <f t="shared" si="373"/>
        <v>7.3777227859906369E-3</v>
      </c>
      <c r="N4426" s="15" t="s">
        <v>40</v>
      </c>
      <c r="O4426" s="15" t="s">
        <v>4066</v>
      </c>
    </row>
    <row r="4427" spans="1:15">
      <c r="A4427" s="70">
        <v>2026</v>
      </c>
      <c r="B4427" s="16" t="s">
        <v>1</v>
      </c>
      <c r="C4427" s="70" t="s">
        <v>5736</v>
      </c>
      <c r="D4427" s="15" t="s">
        <v>4857</v>
      </c>
      <c r="E4427" s="15" t="s">
        <v>5739</v>
      </c>
      <c r="F4427" s="95">
        <v>1</v>
      </c>
      <c r="G4427" s="16" t="s">
        <v>285</v>
      </c>
      <c r="H4427" s="17">
        <v>95415</v>
      </c>
      <c r="I4427" s="17">
        <f t="shared" si="366"/>
        <v>95415</v>
      </c>
      <c r="J4427" s="519">
        <v>93000</v>
      </c>
      <c r="K4427" s="519">
        <f t="shared" si="371"/>
        <v>2415</v>
      </c>
      <c r="L4427" s="519">
        <f t="shared" si="372"/>
        <v>2415</v>
      </c>
      <c r="M4427" s="557">
        <f t="shared" si="373"/>
        <v>2.5310485772677253E-2</v>
      </c>
      <c r="N4427" s="15" t="s">
        <v>40</v>
      </c>
      <c r="O4427" s="15" t="s">
        <v>4066</v>
      </c>
    </row>
    <row r="4428" spans="1:15">
      <c r="A4428" s="70">
        <v>2026</v>
      </c>
      <c r="B4428" s="16" t="s">
        <v>1</v>
      </c>
      <c r="C4428" s="70" t="s">
        <v>5736</v>
      </c>
      <c r="D4428" s="15" t="s">
        <v>4857</v>
      </c>
      <c r="E4428" s="15" t="s">
        <v>5740</v>
      </c>
      <c r="F4428" s="95">
        <v>1</v>
      </c>
      <c r="G4428" s="16" t="s">
        <v>285</v>
      </c>
      <c r="H4428" s="17">
        <v>470060</v>
      </c>
      <c r="I4428" s="17">
        <f t="shared" si="366"/>
        <v>470060</v>
      </c>
      <c r="J4428" s="519">
        <v>467000</v>
      </c>
      <c r="K4428" s="519">
        <f t="shared" si="371"/>
        <v>3060</v>
      </c>
      <c r="L4428" s="519">
        <f t="shared" si="372"/>
        <v>3060</v>
      </c>
      <c r="M4428" s="557">
        <f t="shared" si="373"/>
        <v>6.5098072586478326E-3</v>
      </c>
      <c r="N4428" s="15" t="s">
        <v>40</v>
      </c>
      <c r="O4428" s="15" t="s">
        <v>4066</v>
      </c>
    </row>
    <row r="4429" spans="1:15">
      <c r="A4429" s="70">
        <v>2026</v>
      </c>
      <c r="B4429" s="16" t="s">
        <v>1</v>
      </c>
      <c r="C4429" s="70" t="s">
        <v>5741</v>
      </c>
      <c r="D4429" s="15" t="s">
        <v>4857</v>
      </c>
      <c r="E4429" s="15" t="s">
        <v>5742</v>
      </c>
      <c r="F4429" s="95">
        <v>1</v>
      </c>
      <c r="G4429" s="16" t="s">
        <v>285</v>
      </c>
      <c r="H4429" s="17">
        <v>384000</v>
      </c>
      <c r="I4429" s="17">
        <f t="shared" si="366"/>
        <v>384000</v>
      </c>
      <c r="J4429" s="519">
        <v>380000</v>
      </c>
      <c r="K4429" s="519">
        <f t="shared" si="371"/>
        <v>4000</v>
      </c>
      <c r="L4429" s="519">
        <f t="shared" si="372"/>
        <v>4000</v>
      </c>
      <c r="M4429" s="557">
        <f t="shared" si="373"/>
        <v>1.0416666666666666E-2</v>
      </c>
      <c r="N4429" s="15" t="s">
        <v>40</v>
      </c>
      <c r="O4429" s="15" t="s">
        <v>4066</v>
      </c>
    </row>
    <row r="4430" spans="1:15">
      <c r="A4430" s="70">
        <v>2026</v>
      </c>
      <c r="B4430" s="16" t="s">
        <v>1</v>
      </c>
      <c r="C4430" s="70" t="s">
        <v>5743</v>
      </c>
      <c r="D4430" s="15" t="s">
        <v>149</v>
      </c>
      <c r="E4430" s="15" t="s">
        <v>5744</v>
      </c>
      <c r="F4430" s="95">
        <v>2</v>
      </c>
      <c r="G4430" s="16" t="s">
        <v>19</v>
      </c>
      <c r="H4430" s="17">
        <v>8200</v>
      </c>
      <c r="I4430" s="17">
        <f t="shared" si="366"/>
        <v>16400</v>
      </c>
      <c r="J4430" s="519">
        <v>7000</v>
      </c>
      <c r="K4430" s="519">
        <f t="shared" si="371"/>
        <v>1200</v>
      </c>
      <c r="L4430" s="519">
        <f t="shared" si="372"/>
        <v>2400</v>
      </c>
      <c r="M4430" s="557">
        <f t="shared" si="373"/>
        <v>0.14634146341463414</v>
      </c>
      <c r="N4430" s="15" t="s">
        <v>22</v>
      </c>
      <c r="O4430" s="15" t="s">
        <v>4066</v>
      </c>
    </row>
    <row r="4431" spans="1:15">
      <c r="A4431" s="70">
        <v>2026</v>
      </c>
      <c r="B4431" s="16" t="s">
        <v>1</v>
      </c>
      <c r="C4431" s="70" t="s">
        <v>5745</v>
      </c>
      <c r="D4431" s="15" t="s">
        <v>113</v>
      </c>
      <c r="E4431" s="15" t="s">
        <v>5746</v>
      </c>
      <c r="F4431" s="95">
        <v>1</v>
      </c>
      <c r="G4431" s="16" t="s">
        <v>302</v>
      </c>
      <c r="H4431" s="17">
        <v>510000</v>
      </c>
      <c r="I4431" s="17">
        <f t="shared" si="366"/>
        <v>510000</v>
      </c>
      <c r="J4431" s="519">
        <v>500000</v>
      </c>
      <c r="K4431" s="519">
        <f t="shared" si="371"/>
        <v>10000</v>
      </c>
      <c r="L4431" s="519">
        <f t="shared" si="372"/>
        <v>10000</v>
      </c>
      <c r="M4431" s="557">
        <f t="shared" si="373"/>
        <v>1.9607843137254902E-2</v>
      </c>
      <c r="N4431" s="15" t="s">
        <v>40</v>
      </c>
      <c r="O4431" s="15" t="s">
        <v>4066</v>
      </c>
    </row>
    <row r="4432" spans="1:15">
      <c r="A4432" s="70">
        <v>2026</v>
      </c>
      <c r="B4432" s="16" t="s">
        <v>1</v>
      </c>
      <c r="C4432" s="70" t="s">
        <v>5747</v>
      </c>
      <c r="D4432" s="15" t="s">
        <v>1927</v>
      </c>
      <c r="E4432" s="15" t="s">
        <v>5748</v>
      </c>
      <c r="F4432" s="95">
        <v>2</v>
      </c>
      <c r="G4432" s="16" t="s">
        <v>798</v>
      </c>
      <c r="H4432" s="17">
        <v>1200</v>
      </c>
      <c r="I4432" s="17">
        <f t="shared" si="366"/>
        <v>2400</v>
      </c>
      <c r="J4432" s="519">
        <v>1000</v>
      </c>
      <c r="K4432" s="519">
        <f t="shared" si="371"/>
        <v>200</v>
      </c>
      <c r="L4432" s="519">
        <f t="shared" si="372"/>
        <v>400</v>
      </c>
      <c r="M4432" s="557">
        <f t="shared" si="373"/>
        <v>0.16666666666666666</v>
      </c>
      <c r="N4432" s="15" t="s">
        <v>40</v>
      </c>
      <c r="O4432" s="15" t="s">
        <v>4066</v>
      </c>
    </row>
    <row r="4433" spans="1:15">
      <c r="A4433" s="70">
        <v>2026</v>
      </c>
      <c r="B4433" s="16" t="s">
        <v>1</v>
      </c>
      <c r="C4433" s="70" t="s">
        <v>5749</v>
      </c>
      <c r="D4433" s="15" t="s">
        <v>118</v>
      </c>
      <c r="E4433" s="15" t="s">
        <v>5750</v>
      </c>
      <c r="F4433" s="95">
        <v>1</v>
      </c>
      <c r="G4433" s="16" t="s">
        <v>302</v>
      </c>
      <c r="H4433" s="17">
        <v>1050</v>
      </c>
      <c r="I4433" s="17">
        <f t="shared" si="366"/>
        <v>1050</v>
      </c>
      <c r="J4433" s="519">
        <v>525</v>
      </c>
      <c r="K4433" s="519">
        <f t="shared" si="371"/>
        <v>525</v>
      </c>
      <c r="L4433" s="519">
        <f t="shared" si="372"/>
        <v>525</v>
      </c>
      <c r="M4433" s="557">
        <f t="shared" si="373"/>
        <v>0.5</v>
      </c>
      <c r="N4433" s="15" t="s">
        <v>40</v>
      </c>
      <c r="O4433" s="15" t="s">
        <v>4066</v>
      </c>
    </row>
    <row r="4434" spans="1:15">
      <c r="A4434" s="70">
        <v>2026</v>
      </c>
      <c r="B4434" s="16" t="s">
        <v>1</v>
      </c>
      <c r="C4434" s="70" t="s">
        <v>5751</v>
      </c>
      <c r="D4434" s="15" t="s">
        <v>3010</v>
      </c>
      <c r="E4434" s="15" t="s">
        <v>5752</v>
      </c>
      <c r="F4434" s="95">
        <v>12</v>
      </c>
      <c r="G4434" s="16" t="s">
        <v>3703</v>
      </c>
      <c r="H4434" s="17">
        <v>130</v>
      </c>
      <c r="I4434" s="17">
        <f t="shared" ref="I4434:I4462" si="374">H4434*F4434</f>
        <v>1560</v>
      </c>
      <c r="J4434" s="519">
        <v>117</v>
      </c>
      <c r="K4434" s="519">
        <f t="shared" ref="K4434:K4479" si="375">H4434-J4434</f>
        <v>13</v>
      </c>
      <c r="L4434" s="519">
        <f t="shared" ref="L4434:L4479" si="376">K4434*F4434</f>
        <v>156</v>
      </c>
      <c r="M4434" s="557">
        <f t="shared" ref="M4434:M4491" si="377">K4434/H4434</f>
        <v>0.1</v>
      </c>
      <c r="N4434" s="15" t="s">
        <v>40</v>
      </c>
      <c r="O4434" s="15" t="s">
        <v>4066</v>
      </c>
    </row>
    <row r="4435" spans="1:15">
      <c r="A4435" s="70">
        <v>2026</v>
      </c>
      <c r="B4435" s="16" t="s">
        <v>1</v>
      </c>
      <c r="C4435" s="70" t="s">
        <v>5751</v>
      </c>
      <c r="D4435" s="15" t="s">
        <v>3010</v>
      </c>
      <c r="E4435" s="15" t="s">
        <v>5753</v>
      </c>
      <c r="F4435" s="95">
        <v>12</v>
      </c>
      <c r="G4435" s="16" t="s">
        <v>3703</v>
      </c>
      <c r="H4435" s="17">
        <v>1390</v>
      </c>
      <c r="I4435" s="17">
        <f t="shared" si="374"/>
        <v>16680</v>
      </c>
      <c r="J4435" s="519">
        <v>1251</v>
      </c>
      <c r="K4435" s="519">
        <f t="shared" si="375"/>
        <v>139</v>
      </c>
      <c r="L4435" s="519">
        <f t="shared" si="376"/>
        <v>1668</v>
      </c>
      <c r="M4435" s="557">
        <f t="shared" si="377"/>
        <v>0.1</v>
      </c>
      <c r="N4435" s="15" t="s">
        <v>40</v>
      </c>
      <c r="O4435" s="15" t="s">
        <v>4066</v>
      </c>
    </row>
    <row r="4436" spans="1:15">
      <c r="A4436" s="70">
        <v>2026</v>
      </c>
      <c r="B4436" s="16" t="s">
        <v>1</v>
      </c>
      <c r="C4436" s="70" t="s">
        <v>5751</v>
      </c>
      <c r="D4436" s="15" t="s">
        <v>3010</v>
      </c>
      <c r="E4436" s="15" t="s">
        <v>5754</v>
      </c>
      <c r="F4436" s="95">
        <v>12</v>
      </c>
      <c r="G4436" s="16" t="s">
        <v>3703</v>
      </c>
      <c r="H4436" s="17">
        <v>650</v>
      </c>
      <c r="I4436" s="17">
        <f t="shared" si="374"/>
        <v>7800</v>
      </c>
      <c r="J4436" s="519">
        <v>585</v>
      </c>
      <c r="K4436" s="519">
        <f t="shared" si="375"/>
        <v>65</v>
      </c>
      <c r="L4436" s="519">
        <f t="shared" si="376"/>
        <v>780</v>
      </c>
      <c r="M4436" s="557">
        <f t="shared" si="377"/>
        <v>0.1</v>
      </c>
      <c r="N4436" s="15" t="s">
        <v>40</v>
      </c>
      <c r="O4436" s="15" t="s">
        <v>4066</v>
      </c>
    </row>
    <row r="4437" spans="1:15">
      <c r="A4437" s="70">
        <v>2026</v>
      </c>
      <c r="B4437" s="16" t="s">
        <v>1</v>
      </c>
      <c r="C4437" s="70" t="s">
        <v>5755</v>
      </c>
      <c r="D4437" s="15" t="s">
        <v>1390</v>
      </c>
      <c r="E4437" s="15" t="s">
        <v>5756</v>
      </c>
      <c r="F4437" s="95">
        <v>1</v>
      </c>
      <c r="G4437" s="16" t="s">
        <v>19</v>
      </c>
      <c r="H4437" s="17">
        <v>5700</v>
      </c>
      <c r="I4437" s="17">
        <f t="shared" si="374"/>
        <v>5700</v>
      </c>
      <c r="J4437" s="519">
        <v>5270.09</v>
      </c>
      <c r="K4437" s="519">
        <f t="shared" si="375"/>
        <v>429.90999999999985</v>
      </c>
      <c r="L4437" s="519">
        <f t="shared" si="376"/>
        <v>429.90999999999985</v>
      </c>
      <c r="M4437" s="557">
        <f t="shared" si="377"/>
        <v>7.5422807017543836E-2</v>
      </c>
      <c r="N4437" s="15" t="s">
        <v>22</v>
      </c>
      <c r="O4437" s="15" t="s">
        <v>4066</v>
      </c>
    </row>
    <row r="4438" spans="1:15">
      <c r="A4438" s="70">
        <v>2026</v>
      </c>
      <c r="B4438" s="16" t="s">
        <v>1</v>
      </c>
      <c r="C4438" s="70" t="s">
        <v>5757</v>
      </c>
      <c r="D4438" s="15" t="s">
        <v>5636</v>
      </c>
      <c r="E4438" s="15" t="s">
        <v>5758</v>
      </c>
      <c r="F4438" s="95">
        <v>1</v>
      </c>
      <c r="G4438" s="16" t="s">
        <v>19</v>
      </c>
      <c r="H4438" s="17">
        <v>6000</v>
      </c>
      <c r="I4438" s="17">
        <f t="shared" si="374"/>
        <v>6000</v>
      </c>
      <c r="J4438" s="519">
        <v>3300</v>
      </c>
      <c r="K4438" s="519">
        <f t="shared" si="375"/>
        <v>2700</v>
      </c>
      <c r="L4438" s="519">
        <f t="shared" si="376"/>
        <v>2700</v>
      </c>
      <c r="M4438" s="557">
        <f t="shared" si="377"/>
        <v>0.45</v>
      </c>
      <c r="N4438" s="15" t="s">
        <v>40</v>
      </c>
      <c r="O4438" s="15" t="s">
        <v>4066</v>
      </c>
    </row>
    <row r="4439" spans="1:15">
      <c r="A4439" s="70">
        <v>2026</v>
      </c>
      <c r="B4439" s="16" t="s">
        <v>1</v>
      </c>
      <c r="C4439" s="70" t="s">
        <v>5757</v>
      </c>
      <c r="D4439" s="15" t="s">
        <v>5636</v>
      </c>
      <c r="E4439" s="15" t="s">
        <v>5759</v>
      </c>
      <c r="F4439" s="95">
        <v>1</v>
      </c>
      <c r="G4439" s="16" t="s">
        <v>19</v>
      </c>
      <c r="H4439" s="17">
        <v>6000</v>
      </c>
      <c r="I4439" s="17">
        <f t="shared" si="374"/>
        <v>6000</v>
      </c>
      <c r="J4439" s="519">
        <v>3300</v>
      </c>
      <c r="K4439" s="519">
        <f t="shared" si="375"/>
        <v>2700</v>
      </c>
      <c r="L4439" s="519">
        <f t="shared" si="376"/>
        <v>2700</v>
      </c>
      <c r="M4439" s="557">
        <f t="shared" si="377"/>
        <v>0.45</v>
      </c>
      <c r="N4439" s="15" t="s">
        <v>40</v>
      </c>
      <c r="O4439" s="15" t="s">
        <v>4066</v>
      </c>
    </row>
    <row r="4440" spans="1:15">
      <c r="A4440" s="70">
        <v>2026</v>
      </c>
      <c r="B4440" s="16" t="s">
        <v>1</v>
      </c>
      <c r="C4440" s="70" t="s">
        <v>5757</v>
      </c>
      <c r="D4440" s="15" t="s">
        <v>5636</v>
      </c>
      <c r="E4440" s="15" t="s">
        <v>5760</v>
      </c>
      <c r="F4440" s="95">
        <v>1</v>
      </c>
      <c r="G4440" s="16" t="s">
        <v>19</v>
      </c>
      <c r="H4440" s="17">
        <v>4400</v>
      </c>
      <c r="I4440" s="17">
        <f t="shared" si="374"/>
        <v>4400</v>
      </c>
      <c r="J4440" s="519">
        <v>3080</v>
      </c>
      <c r="K4440" s="519">
        <f t="shared" si="375"/>
        <v>1320</v>
      </c>
      <c r="L4440" s="519">
        <f t="shared" si="376"/>
        <v>1320</v>
      </c>
      <c r="M4440" s="557">
        <f t="shared" si="377"/>
        <v>0.3</v>
      </c>
      <c r="N4440" s="15" t="s">
        <v>40</v>
      </c>
      <c r="O4440" s="15" t="s">
        <v>4066</v>
      </c>
    </row>
    <row r="4441" spans="1:15">
      <c r="A4441" s="70">
        <v>2026</v>
      </c>
      <c r="B4441" s="16" t="s">
        <v>1</v>
      </c>
      <c r="C4441" s="70" t="s">
        <v>5757</v>
      </c>
      <c r="D4441" s="15" t="s">
        <v>5636</v>
      </c>
      <c r="E4441" s="15" t="s">
        <v>5760</v>
      </c>
      <c r="F4441" s="95">
        <v>1</v>
      </c>
      <c r="G4441" s="16" t="s">
        <v>19</v>
      </c>
      <c r="H4441" s="17">
        <v>4400</v>
      </c>
      <c r="I4441" s="17">
        <f t="shared" si="374"/>
        <v>4400</v>
      </c>
      <c r="J4441" s="519">
        <v>3080</v>
      </c>
      <c r="K4441" s="519">
        <f t="shared" si="375"/>
        <v>1320</v>
      </c>
      <c r="L4441" s="519">
        <f t="shared" si="376"/>
        <v>1320</v>
      </c>
      <c r="M4441" s="557">
        <f t="shared" si="377"/>
        <v>0.3</v>
      </c>
      <c r="N4441" s="15" t="s">
        <v>40</v>
      </c>
      <c r="O4441" s="15" t="s">
        <v>4066</v>
      </c>
    </row>
    <row r="4442" spans="1:15">
      <c r="A4442" s="70">
        <v>2026</v>
      </c>
      <c r="B4442" s="16" t="s">
        <v>1</v>
      </c>
      <c r="C4442" s="70" t="s">
        <v>5761</v>
      </c>
      <c r="D4442" s="15" t="s">
        <v>1390</v>
      </c>
      <c r="E4442" s="15" t="s">
        <v>5762</v>
      </c>
      <c r="F4442" s="95">
        <v>1</v>
      </c>
      <c r="G4442" s="16" t="s">
        <v>19</v>
      </c>
      <c r="H4442" s="17">
        <v>6214.95</v>
      </c>
      <c r="I4442" s="17">
        <f t="shared" si="374"/>
        <v>6214.95</v>
      </c>
      <c r="J4442" s="519">
        <v>6028.5</v>
      </c>
      <c r="K4442" s="519">
        <f t="shared" si="375"/>
        <v>186.44999999999982</v>
      </c>
      <c r="L4442" s="519">
        <f t="shared" si="376"/>
        <v>186.44999999999982</v>
      </c>
      <c r="M4442" s="557">
        <f t="shared" si="377"/>
        <v>3.0000241353510457E-2</v>
      </c>
      <c r="N4442" s="15" t="s">
        <v>40</v>
      </c>
      <c r="O4442" s="15" t="s">
        <v>4066</v>
      </c>
    </row>
    <row r="4443" spans="1:15">
      <c r="A4443" s="70">
        <v>2026</v>
      </c>
      <c r="B4443" s="16" t="s">
        <v>1</v>
      </c>
      <c r="C4443" s="70" t="s">
        <v>5763</v>
      </c>
      <c r="D4443" s="15" t="s">
        <v>345</v>
      </c>
      <c r="E4443" s="15" t="s">
        <v>5764</v>
      </c>
      <c r="F4443" s="95">
        <v>1</v>
      </c>
      <c r="G4443" s="16" t="s">
        <v>285</v>
      </c>
      <c r="H4443" s="17">
        <v>198000</v>
      </c>
      <c r="I4443" s="17">
        <f t="shared" si="374"/>
        <v>198000</v>
      </c>
      <c r="J4443" s="519">
        <v>193000</v>
      </c>
      <c r="K4443" s="519">
        <f t="shared" si="375"/>
        <v>5000</v>
      </c>
      <c r="L4443" s="519">
        <f t="shared" si="376"/>
        <v>5000</v>
      </c>
      <c r="M4443" s="557">
        <f t="shared" si="377"/>
        <v>2.5252525252525252E-2</v>
      </c>
      <c r="N4443" s="15" t="s">
        <v>40</v>
      </c>
      <c r="O4443" s="15" t="s">
        <v>4066</v>
      </c>
    </row>
    <row r="4444" spans="1:15">
      <c r="A4444" s="70">
        <v>2026</v>
      </c>
      <c r="B4444" s="16" t="s">
        <v>1</v>
      </c>
      <c r="C4444" s="70" t="s">
        <v>5765</v>
      </c>
      <c r="D4444" s="15" t="s">
        <v>4179</v>
      </c>
      <c r="E4444" s="15" t="s">
        <v>5766</v>
      </c>
      <c r="F4444" s="95">
        <v>1</v>
      </c>
      <c r="G4444" s="16" t="s">
        <v>285</v>
      </c>
      <c r="H4444" s="17">
        <v>93475.199999999997</v>
      </c>
      <c r="I4444" s="17">
        <f t="shared" si="374"/>
        <v>93475.199999999997</v>
      </c>
      <c r="J4444" s="519">
        <v>90000</v>
      </c>
      <c r="K4444" s="519">
        <f t="shared" si="375"/>
        <v>3475.1999999999971</v>
      </c>
      <c r="L4444" s="519">
        <f t="shared" si="376"/>
        <v>3475.1999999999971</v>
      </c>
      <c r="M4444" s="557">
        <f t="shared" si="377"/>
        <v>3.7177775495532472E-2</v>
      </c>
      <c r="N4444" s="15" t="s">
        <v>40</v>
      </c>
      <c r="O4444" s="15" t="s">
        <v>4066</v>
      </c>
    </row>
    <row r="4445" spans="1:15">
      <c r="A4445" s="70">
        <v>2026</v>
      </c>
      <c r="B4445" s="16" t="s">
        <v>1</v>
      </c>
      <c r="C4445" s="70" t="s">
        <v>5767</v>
      </c>
      <c r="D4445" s="15" t="s">
        <v>4179</v>
      </c>
      <c r="E4445" s="15" t="s">
        <v>5768</v>
      </c>
      <c r="F4445" s="95">
        <v>1</v>
      </c>
      <c r="G4445" s="16" t="s">
        <v>285</v>
      </c>
      <c r="H4445" s="17">
        <v>26297.599999999999</v>
      </c>
      <c r="I4445" s="17">
        <f t="shared" si="374"/>
        <v>26297.599999999999</v>
      </c>
      <c r="J4445" s="519">
        <v>25000</v>
      </c>
      <c r="K4445" s="519">
        <f t="shared" si="375"/>
        <v>1297.5999999999985</v>
      </c>
      <c r="L4445" s="519">
        <f t="shared" si="376"/>
        <v>1297.5999999999985</v>
      </c>
      <c r="M4445" s="557">
        <f t="shared" si="377"/>
        <v>4.9342905816500311E-2</v>
      </c>
      <c r="N4445" s="15" t="s">
        <v>40</v>
      </c>
      <c r="O4445" s="15" t="s">
        <v>4066</v>
      </c>
    </row>
    <row r="4446" spans="1:15">
      <c r="A4446" s="70">
        <v>2026</v>
      </c>
      <c r="B4446" s="16" t="s">
        <v>1</v>
      </c>
      <c r="C4446" s="70" t="s">
        <v>5767</v>
      </c>
      <c r="D4446" s="15" t="s">
        <v>4179</v>
      </c>
      <c r="E4446" s="15" t="s">
        <v>5769</v>
      </c>
      <c r="F4446" s="95">
        <v>1</v>
      </c>
      <c r="G4446" s="16" t="s">
        <v>285</v>
      </c>
      <c r="H4446" s="17">
        <v>132275.91</v>
      </c>
      <c r="I4446" s="17">
        <f t="shared" si="374"/>
        <v>132275.91</v>
      </c>
      <c r="J4446" s="519">
        <v>130000</v>
      </c>
      <c r="K4446" s="519">
        <f t="shared" si="375"/>
        <v>2275.9100000000035</v>
      </c>
      <c r="L4446" s="519">
        <f t="shared" si="376"/>
        <v>2275.9100000000035</v>
      </c>
      <c r="M4446" s="557">
        <f t="shared" si="377"/>
        <v>1.7205778436905128E-2</v>
      </c>
      <c r="N4446" s="15" t="s">
        <v>40</v>
      </c>
      <c r="O4446" s="15" t="s">
        <v>4066</v>
      </c>
    </row>
    <row r="4447" spans="1:15">
      <c r="A4447" s="70">
        <v>2026</v>
      </c>
      <c r="B4447" s="16" t="s">
        <v>1</v>
      </c>
      <c r="C4447" s="70" t="s">
        <v>5770</v>
      </c>
      <c r="D4447" s="15" t="s">
        <v>118</v>
      </c>
      <c r="E4447" s="15" t="s">
        <v>5771</v>
      </c>
      <c r="F4447" s="95">
        <v>2</v>
      </c>
      <c r="G4447" s="16" t="s">
        <v>19</v>
      </c>
      <c r="H4447" s="17">
        <v>2132</v>
      </c>
      <c r="I4447" s="17">
        <f t="shared" si="374"/>
        <v>4264</v>
      </c>
      <c r="J4447" s="519">
        <v>1599</v>
      </c>
      <c r="K4447" s="519">
        <f t="shared" si="375"/>
        <v>533</v>
      </c>
      <c r="L4447" s="519">
        <f t="shared" si="376"/>
        <v>1066</v>
      </c>
      <c r="M4447" s="557">
        <f t="shared" si="377"/>
        <v>0.25</v>
      </c>
      <c r="N4447" s="15" t="s">
        <v>40</v>
      </c>
      <c r="O4447" s="15" t="s">
        <v>4066</v>
      </c>
    </row>
    <row r="4448" spans="1:15">
      <c r="A4448" s="70">
        <v>2026</v>
      </c>
      <c r="B4448" s="16" t="s">
        <v>1</v>
      </c>
      <c r="C4448" s="656" t="s">
        <v>5772</v>
      </c>
      <c r="D4448" s="656" t="s">
        <v>1042</v>
      </c>
      <c r="E4448" s="15" t="s">
        <v>42</v>
      </c>
      <c r="F4448" s="95">
        <v>1560</v>
      </c>
      <c r="G4448" s="16" t="s">
        <v>499</v>
      </c>
      <c r="H4448" s="17">
        <v>498</v>
      </c>
      <c r="I4448" s="17">
        <f t="shared" ref="I4448" si="378">H4448*F4448</f>
        <v>776880</v>
      </c>
      <c r="J4448" s="519">
        <v>497.5</v>
      </c>
      <c r="K4448" s="519">
        <f t="shared" ref="K4448" si="379">H4448-J4448</f>
        <v>0.5</v>
      </c>
      <c r="L4448" s="519">
        <f t="shared" ref="L4448" si="380">K4448*F4448</f>
        <v>780</v>
      </c>
      <c r="M4448" s="557">
        <f t="shared" ref="M4448" si="381">K4448/H4448</f>
        <v>1.004016064257028E-3</v>
      </c>
      <c r="N4448" s="15" t="s">
        <v>40</v>
      </c>
      <c r="O4448" s="15" t="s">
        <v>105</v>
      </c>
    </row>
    <row r="4449" spans="1:15">
      <c r="A4449" s="70">
        <v>2026</v>
      </c>
      <c r="B4449" s="16" t="s">
        <v>1</v>
      </c>
      <c r="C4449" s="656" t="s">
        <v>5772</v>
      </c>
      <c r="D4449" s="656" t="s">
        <v>1042</v>
      </c>
      <c r="E4449" s="15" t="s">
        <v>653</v>
      </c>
      <c r="F4449" s="95">
        <v>200</v>
      </c>
      <c r="G4449" s="16" t="s">
        <v>499</v>
      </c>
      <c r="H4449" s="17">
        <v>498</v>
      </c>
      <c r="I4449" s="17">
        <f t="shared" si="374"/>
        <v>99600</v>
      </c>
      <c r="J4449" s="519">
        <v>497.5</v>
      </c>
      <c r="K4449" s="519">
        <f t="shared" si="375"/>
        <v>0.5</v>
      </c>
      <c r="L4449" s="519">
        <f t="shared" si="376"/>
        <v>100</v>
      </c>
      <c r="M4449" s="557">
        <f t="shared" si="377"/>
        <v>1.004016064257028E-3</v>
      </c>
      <c r="N4449" s="15" t="s">
        <v>40</v>
      </c>
      <c r="O4449" s="15" t="s">
        <v>105</v>
      </c>
    </row>
    <row r="4450" spans="1:15">
      <c r="A4450" s="70">
        <v>2026</v>
      </c>
      <c r="B4450" s="16" t="s">
        <v>1</v>
      </c>
      <c r="C4450" s="656" t="s">
        <v>5772</v>
      </c>
      <c r="D4450" s="656" t="s">
        <v>1042</v>
      </c>
      <c r="E4450" s="15" t="s">
        <v>5773</v>
      </c>
      <c r="F4450" s="95">
        <v>490</v>
      </c>
      <c r="G4450" s="16" t="s">
        <v>499</v>
      </c>
      <c r="H4450" s="17">
        <v>498</v>
      </c>
      <c r="I4450" s="17">
        <f t="shared" si="374"/>
        <v>244020</v>
      </c>
      <c r="J4450" s="519">
        <v>497.5</v>
      </c>
      <c r="K4450" s="519">
        <f t="shared" si="375"/>
        <v>0.5</v>
      </c>
      <c r="L4450" s="519">
        <f t="shared" si="376"/>
        <v>245</v>
      </c>
      <c r="M4450" s="557">
        <f t="shared" si="377"/>
        <v>1.004016064257028E-3</v>
      </c>
      <c r="N4450" s="15" t="s">
        <v>40</v>
      </c>
      <c r="O4450" s="15" t="s">
        <v>105</v>
      </c>
    </row>
    <row r="4451" spans="1:15">
      <c r="A4451" s="70">
        <v>2026</v>
      </c>
      <c r="B4451" s="16" t="s">
        <v>1</v>
      </c>
      <c r="C4451" s="656" t="s">
        <v>5772</v>
      </c>
      <c r="D4451" s="656" t="s">
        <v>1042</v>
      </c>
      <c r="E4451" s="15" t="s">
        <v>5667</v>
      </c>
      <c r="F4451" s="95">
        <v>400</v>
      </c>
      <c r="G4451" s="16" t="s">
        <v>499</v>
      </c>
      <c r="H4451" s="17">
        <v>498</v>
      </c>
      <c r="I4451" s="17">
        <f t="shared" si="374"/>
        <v>199200</v>
      </c>
      <c r="J4451" s="519">
        <v>497.5</v>
      </c>
      <c r="K4451" s="519">
        <f t="shared" si="375"/>
        <v>0.5</v>
      </c>
      <c r="L4451" s="519">
        <f t="shared" si="376"/>
        <v>200</v>
      </c>
      <c r="M4451" s="557">
        <f t="shared" si="377"/>
        <v>1.004016064257028E-3</v>
      </c>
      <c r="N4451" s="15" t="s">
        <v>40</v>
      </c>
      <c r="O4451" s="15" t="s">
        <v>105</v>
      </c>
    </row>
    <row r="4452" spans="1:15">
      <c r="A4452" s="70">
        <v>2026</v>
      </c>
      <c r="B4452" s="16" t="s">
        <v>1</v>
      </c>
      <c r="C4452" s="656" t="s">
        <v>5772</v>
      </c>
      <c r="D4452" s="656" t="s">
        <v>1042</v>
      </c>
      <c r="E4452" s="15" t="s">
        <v>5774</v>
      </c>
      <c r="F4452" s="95">
        <v>2492</v>
      </c>
      <c r="G4452" s="16" t="s">
        <v>499</v>
      </c>
      <c r="H4452" s="17">
        <v>498</v>
      </c>
      <c r="I4452" s="17">
        <f t="shared" si="374"/>
        <v>1241016</v>
      </c>
      <c r="J4452" s="519">
        <v>497.5</v>
      </c>
      <c r="K4452" s="519">
        <f t="shared" si="375"/>
        <v>0.5</v>
      </c>
      <c r="L4452" s="519">
        <f t="shared" si="376"/>
        <v>1246</v>
      </c>
      <c r="M4452" s="557">
        <f t="shared" si="377"/>
        <v>1.004016064257028E-3</v>
      </c>
      <c r="N4452" s="15" t="s">
        <v>40</v>
      </c>
      <c r="O4452" s="15" t="s">
        <v>105</v>
      </c>
    </row>
    <row r="4453" spans="1:15">
      <c r="A4453" s="70">
        <v>2026</v>
      </c>
      <c r="B4453" s="16" t="s">
        <v>1</v>
      </c>
      <c r="C4453" s="656" t="s">
        <v>5775</v>
      </c>
      <c r="D4453" s="656" t="s">
        <v>708</v>
      </c>
      <c r="E4453" s="15" t="s">
        <v>46</v>
      </c>
      <c r="F4453" s="95">
        <v>500</v>
      </c>
      <c r="G4453" s="16" t="s">
        <v>499</v>
      </c>
      <c r="H4453" s="17">
        <v>511.47</v>
      </c>
      <c r="I4453" s="17">
        <f t="shared" si="374"/>
        <v>255735</v>
      </c>
      <c r="J4453" s="519">
        <v>501.47</v>
      </c>
      <c r="K4453" s="519">
        <f t="shared" si="375"/>
        <v>10</v>
      </c>
      <c r="L4453" s="519">
        <f t="shared" si="376"/>
        <v>5000</v>
      </c>
      <c r="M4453" s="557">
        <f t="shared" si="377"/>
        <v>1.9551488845875611E-2</v>
      </c>
      <c r="N4453" s="15" t="s">
        <v>40</v>
      </c>
      <c r="O4453" s="15" t="s">
        <v>105</v>
      </c>
    </row>
    <row r="4454" spans="1:15">
      <c r="A4454" s="70">
        <v>2026</v>
      </c>
      <c r="B4454" s="16" t="s">
        <v>1</v>
      </c>
      <c r="C4454" s="656" t="s">
        <v>5775</v>
      </c>
      <c r="D4454" s="656" t="s">
        <v>708</v>
      </c>
      <c r="E4454" s="15" t="s">
        <v>45</v>
      </c>
      <c r="F4454" s="95">
        <v>600</v>
      </c>
      <c r="G4454" s="16" t="s">
        <v>499</v>
      </c>
      <c r="H4454" s="17">
        <v>511.31</v>
      </c>
      <c r="I4454" s="17">
        <f t="shared" si="374"/>
        <v>306786</v>
      </c>
      <c r="J4454" s="519">
        <v>501.31</v>
      </c>
      <c r="K4454" s="519">
        <f t="shared" si="375"/>
        <v>10</v>
      </c>
      <c r="L4454" s="519">
        <f t="shared" si="376"/>
        <v>6000</v>
      </c>
      <c r="M4454" s="557">
        <f t="shared" si="377"/>
        <v>1.9557606931215898E-2</v>
      </c>
      <c r="N4454" s="15" t="s">
        <v>40</v>
      </c>
      <c r="O4454" s="15" t="s">
        <v>105</v>
      </c>
    </row>
    <row r="4455" spans="1:15">
      <c r="A4455" s="70">
        <v>2026</v>
      </c>
      <c r="B4455" s="16" t="s">
        <v>1</v>
      </c>
      <c r="C4455" s="656" t="s">
        <v>5775</v>
      </c>
      <c r="D4455" s="656" t="s">
        <v>708</v>
      </c>
      <c r="E4455" s="15" t="s">
        <v>206</v>
      </c>
      <c r="F4455" s="95">
        <v>1500</v>
      </c>
      <c r="G4455" s="16" t="s">
        <v>499</v>
      </c>
      <c r="H4455" s="17">
        <v>511.08</v>
      </c>
      <c r="I4455" s="17">
        <f t="shared" si="374"/>
        <v>766620</v>
      </c>
      <c r="J4455" s="519">
        <v>501.08</v>
      </c>
      <c r="K4455" s="519">
        <f t="shared" si="375"/>
        <v>10</v>
      </c>
      <c r="L4455" s="519">
        <f t="shared" si="376"/>
        <v>15000</v>
      </c>
      <c r="M4455" s="557">
        <f t="shared" si="377"/>
        <v>1.956640839007592E-2</v>
      </c>
      <c r="N4455" s="15" t="s">
        <v>40</v>
      </c>
      <c r="O4455" s="15" t="s">
        <v>105</v>
      </c>
    </row>
    <row r="4456" spans="1:15">
      <c r="A4456" s="70">
        <v>2026</v>
      </c>
      <c r="B4456" s="16" t="s">
        <v>1</v>
      </c>
      <c r="C4456" s="656" t="s">
        <v>5775</v>
      </c>
      <c r="D4456" s="656" t="s">
        <v>708</v>
      </c>
      <c r="E4456" s="15" t="s">
        <v>209</v>
      </c>
      <c r="F4456" s="95">
        <v>500</v>
      </c>
      <c r="G4456" s="16" t="s">
        <v>499</v>
      </c>
      <c r="H4456" s="17">
        <v>511.07</v>
      </c>
      <c r="I4456" s="17">
        <f t="shared" si="374"/>
        <v>255535</v>
      </c>
      <c r="J4456" s="519">
        <v>501.07</v>
      </c>
      <c r="K4456" s="519">
        <f t="shared" si="375"/>
        <v>10</v>
      </c>
      <c r="L4456" s="519">
        <f t="shared" si="376"/>
        <v>5000</v>
      </c>
      <c r="M4456" s="557">
        <f t="shared" si="377"/>
        <v>1.956679124190424E-2</v>
      </c>
      <c r="N4456" s="15" t="s">
        <v>40</v>
      </c>
      <c r="O4456" s="15" t="s">
        <v>105</v>
      </c>
    </row>
    <row r="4457" spans="1:15">
      <c r="A4457" s="70">
        <v>2026</v>
      </c>
      <c r="B4457" s="16" t="s">
        <v>1</v>
      </c>
      <c r="C4457" s="656" t="s">
        <v>5775</v>
      </c>
      <c r="D4457" s="656" t="s">
        <v>708</v>
      </c>
      <c r="E4457" s="15" t="s">
        <v>52</v>
      </c>
      <c r="F4457" s="95">
        <v>600</v>
      </c>
      <c r="G4457" s="16" t="s">
        <v>499</v>
      </c>
      <c r="H4457" s="17">
        <v>511.06</v>
      </c>
      <c r="I4457" s="17">
        <f t="shared" si="374"/>
        <v>306636</v>
      </c>
      <c r="J4457" s="519">
        <v>501.06</v>
      </c>
      <c r="K4457" s="519">
        <f t="shared" si="375"/>
        <v>10</v>
      </c>
      <c r="L4457" s="519">
        <f t="shared" si="376"/>
        <v>6000</v>
      </c>
      <c r="M4457" s="557">
        <f t="shared" si="377"/>
        <v>1.9567174108715221E-2</v>
      </c>
      <c r="N4457" s="15" t="s">
        <v>40</v>
      </c>
      <c r="O4457" s="15" t="s">
        <v>105</v>
      </c>
    </row>
    <row r="4458" spans="1:15">
      <c r="A4458" s="70">
        <v>2026</v>
      </c>
      <c r="B4458" s="16" t="s">
        <v>1</v>
      </c>
      <c r="C4458" s="656" t="s">
        <v>5775</v>
      </c>
      <c r="D4458" s="656" t="s">
        <v>708</v>
      </c>
      <c r="E4458" s="15" t="s">
        <v>207</v>
      </c>
      <c r="F4458" s="95">
        <v>500</v>
      </c>
      <c r="G4458" s="16" t="s">
        <v>499</v>
      </c>
      <c r="H4458" s="17">
        <v>511.54</v>
      </c>
      <c r="I4458" s="17">
        <f t="shared" si="374"/>
        <v>255770</v>
      </c>
      <c r="J4458" s="519">
        <v>501.54</v>
      </c>
      <c r="K4458" s="519">
        <f t="shared" si="375"/>
        <v>10</v>
      </c>
      <c r="L4458" s="519">
        <f t="shared" si="376"/>
        <v>5000</v>
      </c>
      <c r="M4458" s="557">
        <f t="shared" si="377"/>
        <v>1.9548813387027408E-2</v>
      </c>
      <c r="N4458" s="15" t="s">
        <v>40</v>
      </c>
      <c r="O4458" s="15" t="s">
        <v>105</v>
      </c>
    </row>
    <row r="4459" spans="1:15">
      <c r="A4459" s="70">
        <v>2026</v>
      </c>
      <c r="B4459" s="16" t="s">
        <v>1</v>
      </c>
      <c r="C4459" s="656" t="s">
        <v>5775</v>
      </c>
      <c r="D4459" s="656" t="s">
        <v>708</v>
      </c>
      <c r="E4459" s="15" t="s">
        <v>1248</v>
      </c>
      <c r="F4459" s="95">
        <v>1000</v>
      </c>
      <c r="G4459" s="16" t="s">
        <v>499</v>
      </c>
      <c r="H4459" s="17">
        <v>509.46</v>
      </c>
      <c r="I4459" s="17">
        <f t="shared" si="374"/>
        <v>509460</v>
      </c>
      <c r="J4459" s="519">
        <v>499.46</v>
      </c>
      <c r="K4459" s="519">
        <f t="shared" si="375"/>
        <v>10</v>
      </c>
      <c r="L4459" s="519">
        <f t="shared" si="376"/>
        <v>10000</v>
      </c>
      <c r="M4459" s="557">
        <f t="shared" si="377"/>
        <v>1.9628626388725319E-2</v>
      </c>
      <c r="N4459" s="15" t="s">
        <v>40</v>
      </c>
      <c r="O4459" s="15" t="s">
        <v>105</v>
      </c>
    </row>
    <row r="4460" spans="1:15">
      <c r="A4460" s="70">
        <v>2026</v>
      </c>
      <c r="B4460" s="16" t="s">
        <v>1</v>
      </c>
      <c r="C4460" s="656" t="s">
        <v>5775</v>
      </c>
      <c r="D4460" s="656" t="s">
        <v>708</v>
      </c>
      <c r="E4460" s="15" t="s">
        <v>1134</v>
      </c>
      <c r="F4460" s="95">
        <v>500</v>
      </c>
      <c r="G4460" s="16" t="s">
        <v>499</v>
      </c>
      <c r="H4460" s="17">
        <v>517.77</v>
      </c>
      <c r="I4460" s="17">
        <f t="shared" si="374"/>
        <v>258885</v>
      </c>
      <c r="J4460" s="519">
        <v>507.77</v>
      </c>
      <c r="K4460" s="519">
        <f t="shared" si="375"/>
        <v>10</v>
      </c>
      <c r="L4460" s="519">
        <f t="shared" si="376"/>
        <v>5000</v>
      </c>
      <c r="M4460" s="557">
        <f t="shared" si="377"/>
        <v>1.931359483940746E-2</v>
      </c>
      <c r="N4460" s="15" t="s">
        <v>40</v>
      </c>
      <c r="O4460" s="15" t="s">
        <v>105</v>
      </c>
    </row>
    <row r="4461" spans="1:15">
      <c r="A4461" s="70">
        <v>2026</v>
      </c>
      <c r="B4461" s="16" t="s">
        <v>1</v>
      </c>
      <c r="C4461" s="656" t="s">
        <v>5775</v>
      </c>
      <c r="D4461" s="656" t="s">
        <v>708</v>
      </c>
      <c r="E4461" s="15" t="s">
        <v>1663</v>
      </c>
      <c r="F4461" s="95">
        <v>1490</v>
      </c>
      <c r="G4461" s="16" t="s">
        <v>499</v>
      </c>
      <c r="H4461" s="17">
        <v>508.93</v>
      </c>
      <c r="I4461" s="17">
        <f t="shared" si="374"/>
        <v>758305.7</v>
      </c>
      <c r="J4461" s="519">
        <v>498.93</v>
      </c>
      <c r="K4461" s="519">
        <f t="shared" si="375"/>
        <v>10</v>
      </c>
      <c r="L4461" s="519">
        <f t="shared" si="376"/>
        <v>14900</v>
      </c>
      <c r="M4461" s="557">
        <f t="shared" si="377"/>
        <v>1.9649067651739925E-2</v>
      </c>
      <c r="N4461" s="15" t="s">
        <v>40</v>
      </c>
      <c r="O4461" s="15" t="s">
        <v>105</v>
      </c>
    </row>
    <row r="4462" spans="1:15">
      <c r="A4462" s="70">
        <v>2026</v>
      </c>
      <c r="B4462" s="16" t="s">
        <v>1</v>
      </c>
      <c r="C4462" s="656" t="s">
        <v>5775</v>
      </c>
      <c r="D4462" s="656" t="s">
        <v>708</v>
      </c>
      <c r="E4462" s="15" t="s">
        <v>1135</v>
      </c>
      <c r="F4462" s="95">
        <v>500</v>
      </c>
      <c r="G4462" s="16" t="s">
        <v>499</v>
      </c>
      <c r="H4462" s="17">
        <v>509.76</v>
      </c>
      <c r="I4462" s="17">
        <f t="shared" si="374"/>
        <v>254880</v>
      </c>
      <c r="J4462" s="519">
        <v>499.76</v>
      </c>
      <c r="K4462" s="519">
        <f t="shared" si="375"/>
        <v>10</v>
      </c>
      <c r="L4462" s="519">
        <f t="shared" si="376"/>
        <v>5000</v>
      </c>
      <c r="M4462" s="557">
        <f t="shared" si="377"/>
        <v>1.9617074701820465E-2</v>
      </c>
      <c r="N4462" s="15" t="s">
        <v>40</v>
      </c>
      <c r="O4462" s="15" t="s">
        <v>105</v>
      </c>
    </row>
    <row r="4463" spans="1:15">
      <c r="A4463" s="70">
        <v>2026</v>
      </c>
      <c r="B4463" s="16" t="s">
        <v>1</v>
      </c>
      <c r="C4463" s="70" t="s">
        <v>5776</v>
      </c>
      <c r="D4463" s="15" t="s">
        <v>5777</v>
      </c>
      <c r="E4463" s="15" t="s">
        <v>5778</v>
      </c>
      <c r="F4463" s="95">
        <v>1</v>
      </c>
      <c r="G4463" s="16" t="s">
        <v>285</v>
      </c>
      <c r="H4463" s="17">
        <v>8500</v>
      </c>
      <c r="I4463" s="17">
        <f t="shared" ref="I4463:I4507" si="382">H4463*F4463</f>
        <v>8500</v>
      </c>
      <c r="J4463" s="519">
        <v>7000</v>
      </c>
      <c r="K4463" s="519">
        <f t="shared" si="375"/>
        <v>1500</v>
      </c>
      <c r="L4463" s="519">
        <f t="shared" si="376"/>
        <v>1500</v>
      </c>
      <c r="M4463" s="557">
        <f t="shared" si="377"/>
        <v>0.17647058823529413</v>
      </c>
      <c r="N4463" s="15" t="s">
        <v>40</v>
      </c>
      <c r="O4463" s="15" t="s">
        <v>4066</v>
      </c>
    </row>
    <row r="4464" spans="1:15">
      <c r="A4464" s="70">
        <v>2026</v>
      </c>
      <c r="B4464" s="16" t="s">
        <v>1</v>
      </c>
      <c r="C4464" s="70" t="s">
        <v>5779</v>
      </c>
      <c r="D4464" s="15" t="s">
        <v>2342</v>
      </c>
      <c r="E4464" s="15" t="s">
        <v>4895</v>
      </c>
      <c r="F4464" s="95">
        <v>1</v>
      </c>
      <c r="G4464" s="16" t="s">
        <v>285</v>
      </c>
      <c r="H4464" s="17">
        <v>3500</v>
      </c>
      <c r="I4464" s="17">
        <f t="shared" si="382"/>
        <v>3500</v>
      </c>
      <c r="J4464" s="519">
        <v>0</v>
      </c>
      <c r="K4464" s="519">
        <f t="shared" si="375"/>
        <v>3500</v>
      </c>
      <c r="L4464" s="519">
        <f t="shared" si="376"/>
        <v>3500</v>
      </c>
      <c r="M4464" s="557">
        <f t="shared" si="377"/>
        <v>1</v>
      </c>
      <c r="N4464" s="15" t="s">
        <v>40</v>
      </c>
      <c r="O4464" s="15" t="s">
        <v>105</v>
      </c>
    </row>
    <row r="4465" spans="1:15">
      <c r="A4465" s="70">
        <v>2026</v>
      </c>
      <c r="B4465" s="16" t="s">
        <v>1</v>
      </c>
      <c r="C4465" s="70" t="s">
        <v>5780</v>
      </c>
      <c r="D4465" s="15" t="s">
        <v>5781</v>
      </c>
      <c r="E4465" s="15" t="s">
        <v>5782</v>
      </c>
      <c r="F4465" s="95">
        <v>1</v>
      </c>
      <c r="G4465" s="16" t="s">
        <v>285</v>
      </c>
      <c r="H4465" s="17">
        <v>25666</v>
      </c>
      <c r="I4465" s="17">
        <f t="shared" si="382"/>
        <v>25666</v>
      </c>
      <c r="J4465" s="519">
        <v>14381</v>
      </c>
      <c r="K4465" s="519">
        <f t="shared" si="375"/>
        <v>11285</v>
      </c>
      <c r="L4465" s="519">
        <f t="shared" si="376"/>
        <v>11285</v>
      </c>
      <c r="M4465" s="557">
        <f t="shared" si="377"/>
        <v>0.43968674511026262</v>
      </c>
      <c r="N4465" s="15" t="s">
        <v>22</v>
      </c>
      <c r="O4465" s="15" t="s">
        <v>105</v>
      </c>
    </row>
    <row r="4466" spans="1:15">
      <c r="A4466" s="70">
        <v>2026</v>
      </c>
      <c r="B4466" s="16" t="s">
        <v>1</v>
      </c>
      <c r="C4466" s="70" t="s">
        <v>5783</v>
      </c>
      <c r="D4466" s="15" t="s">
        <v>5302</v>
      </c>
      <c r="E4466" s="15" t="s">
        <v>5782</v>
      </c>
      <c r="F4466" s="95">
        <v>1</v>
      </c>
      <c r="G4466" s="16" t="s">
        <v>285</v>
      </c>
      <c r="H4466" s="17">
        <v>65312</v>
      </c>
      <c r="I4466" s="17">
        <f t="shared" si="382"/>
        <v>65312</v>
      </c>
      <c r="J4466" s="519">
        <v>42466</v>
      </c>
      <c r="K4466" s="519">
        <f t="shared" si="375"/>
        <v>22846</v>
      </c>
      <c r="L4466" s="519">
        <f t="shared" si="376"/>
        <v>22846</v>
      </c>
      <c r="M4466" s="557">
        <f t="shared" si="377"/>
        <v>0.34979789318961291</v>
      </c>
      <c r="N4466" s="15" t="s">
        <v>22</v>
      </c>
      <c r="O4466" s="15" t="s">
        <v>105</v>
      </c>
    </row>
    <row r="4467" spans="1:15">
      <c r="A4467" s="70">
        <v>2026</v>
      </c>
      <c r="B4467" s="16" t="s">
        <v>1</v>
      </c>
      <c r="C4467" s="70" t="s">
        <v>5784</v>
      </c>
      <c r="D4467" s="15" t="s">
        <v>5785</v>
      </c>
      <c r="E4467" s="15" t="s">
        <v>5782</v>
      </c>
      <c r="F4467" s="95">
        <v>1</v>
      </c>
      <c r="G4467" s="16" t="s">
        <v>285</v>
      </c>
      <c r="H4467" s="17">
        <v>26778</v>
      </c>
      <c r="I4467" s="17">
        <f t="shared" si="382"/>
        <v>26778</v>
      </c>
      <c r="J4467" s="519">
        <v>13220</v>
      </c>
      <c r="K4467" s="519">
        <f t="shared" si="375"/>
        <v>13558</v>
      </c>
      <c r="L4467" s="519">
        <f t="shared" si="376"/>
        <v>13558</v>
      </c>
      <c r="M4467" s="557">
        <f t="shared" si="377"/>
        <v>0.50631115094480539</v>
      </c>
      <c r="N4467" s="15" t="s">
        <v>22</v>
      </c>
      <c r="O4467" s="15" t="s">
        <v>105</v>
      </c>
    </row>
    <row r="4468" spans="1:15">
      <c r="A4468" s="70">
        <v>2026</v>
      </c>
      <c r="B4468" s="16" t="s">
        <v>1</v>
      </c>
      <c r="C4468" s="70" t="s">
        <v>5786</v>
      </c>
      <c r="D4468" s="15" t="s">
        <v>3171</v>
      </c>
      <c r="E4468" s="15" t="s">
        <v>5782</v>
      </c>
      <c r="F4468" s="95">
        <v>1</v>
      </c>
      <c r="G4468" s="16" t="s">
        <v>285</v>
      </c>
      <c r="H4468" s="17">
        <v>118163</v>
      </c>
      <c r="I4468" s="17">
        <f t="shared" si="382"/>
        <v>118163</v>
      </c>
      <c r="J4468" s="519">
        <v>114371</v>
      </c>
      <c r="K4468" s="519">
        <f t="shared" si="375"/>
        <v>3792</v>
      </c>
      <c r="L4468" s="519">
        <f t="shared" si="376"/>
        <v>3792</v>
      </c>
      <c r="M4468" s="557">
        <f t="shared" si="377"/>
        <v>3.2091263762768378E-2</v>
      </c>
      <c r="N4468" s="15" t="s">
        <v>40</v>
      </c>
      <c r="O4468" s="15" t="s">
        <v>105</v>
      </c>
    </row>
    <row r="4469" spans="1:15">
      <c r="A4469" s="70">
        <v>2026</v>
      </c>
      <c r="B4469" s="16" t="s">
        <v>1</v>
      </c>
      <c r="C4469" s="70" t="s">
        <v>4558</v>
      </c>
      <c r="D4469" s="15" t="s">
        <v>4334</v>
      </c>
      <c r="E4469" s="15" t="s">
        <v>5787</v>
      </c>
      <c r="F4469" s="95">
        <v>1</v>
      </c>
      <c r="G4469" s="16" t="s">
        <v>285</v>
      </c>
      <c r="H4469" s="17">
        <v>182872</v>
      </c>
      <c r="I4469" s="17">
        <f t="shared" si="382"/>
        <v>182872</v>
      </c>
      <c r="J4469" s="519">
        <v>142249</v>
      </c>
      <c r="K4469" s="519">
        <f t="shared" si="375"/>
        <v>40623</v>
      </c>
      <c r="L4469" s="519">
        <f t="shared" si="376"/>
        <v>40623</v>
      </c>
      <c r="M4469" s="557">
        <f t="shared" si="377"/>
        <v>0.22213898245767533</v>
      </c>
      <c r="N4469" s="15" t="s">
        <v>40</v>
      </c>
      <c r="O4469" s="15" t="s">
        <v>105</v>
      </c>
    </row>
    <row r="4470" spans="1:15">
      <c r="A4470" s="70">
        <v>2026</v>
      </c>
      <c r="B4470" s="16" t="s">
        <v>895</v>
      </c>
      <c r="C4470" s="70" t="s">
        <v>5788</v>
      </c>
      <c r="D4470" s="656" t="s">
        <v>192</v>
      </c>
      <c r="E4470" s="15" t="s">
        <v>5093</v>
      </c>
      <c r="F4470" s="95">
        <v>2</v>
      </c>
      <c r="G4470" s="16" t="s">
        <v>19</v>
      </c>
      <c r="I4470" s="17">
        <f t="shared" si="382"/>
        <v>0</v>
      </c>
      <c r="J4470" s="519">
        <v>21810</v>
      </c>
      <c r="K4470" s="519">
        <f t="shared" si="375"/>
        <v>-21810</v>
      </c>
      <c r="L4470" s="519">
        <f t="shared" si="376"/>
        <v>-43620</v>
      </c>
      <c r="M4470" s="557" t="e">
        <f t="shared" si="377"/>
        <v>#DIV/0!</v>
      </c>
      <c r="O4470" s="15" t="s">
        <v>105</v>
      </c>
    </row>
    <row r="4471" spans="1:15">
      <c r="A4471" s="70">
        <v>2026</v>
      </c>
      <c r="B4471" s="16" t="s">
        <v>895</v>
      </c>
      <c r="C4471" s="70" t="s">
        <v>5788</v>
      </c>
      <c r="D4471" s="656" t="s">
        <v>192</v>
      </c>
      <c r="E4471" s="15" t="s">
        <v>4049</v>
      </c>
      <c r="F4471" s="95">
        <v>3</v>
      </c>
      <c r="G4471" s="16" t="s">
        <v>19</v>
      </c>
      <c r="I4471" s="17">
        <f t="shared" si="382"/>
        <v>0</v>
      </c>
      <c r="J4471" s="519">
        <v>24960</v>
      </c>
      <c r="K4471" s="519">
        <f t="shared" si="375"/>
        <v>-24960</v>
      </c>
      <c r="L4471" s="519">
        <f t="shared" si="376"/>
        <v>-74880</v>
      </c>
      <c r="M4471" s="557" t="e">
        <f t="shared" si="377"/>
        <v>#DIV/0!</v>
      </c>
      <c r="O4471" s="15" t="s">
        <v>105</v>
      </c>
    </row>
    <row r="4472" spans="1:15">
      <c r="A4472" s="70">
        <v>2026</v>
      </c>
      <c r="B4472" s="16" t="s">
        <v>895</v>
      </c>
      <c r="C4472" s="656" t="s">
        <v>5789</v>
      </c>
      <c r="D4472" s="656" t="s">
        <v>5790</v>
      </c>
      <c r="E4472" s="15" t="s">
        <v>973</v>
      </c>
      <c r="F4472" s="95">
        <v>5</v>
      </c>
      <c r="G4472" s="16" t="s">
        <v>29</v>
      </c>
      <c r="I4472" s="17">
        <f t="shared" si="382"/>
        <v>0</v>
      </c>
      <c r="J4472" s="519">
        <v>9450</v>
      </c>
      <c r="K4472" s="519">
        <f t="shared" si="375"/>
        <v>-9450</v>
      </c>
      <c r="L4472" s="519">
        <f t="shared" si="376"/>
        <v>-47250</v>
      </c>
      <c r="M4472" s="557" t="e">
        <f t="shared" si="377"/>
        <v>#DIV/0!</v>
      </c>
      <c r="O4472" s="15" t="s">
        <v>105</v>
      </c>
    </row>
    <row r="4473" spans="1:15">
      <c r="A4473" s="70">
        <v>2026</v>
      </c>
      <c r="B4473" s="16" t="s">
        <v>895</v>
      </c>
      <c r="C4473" s="656" t="s">
        <v>5791</v>
      </c>
      <c r="D4473" s="656" t="s">
        <v>892</v>
      </c>
      <c r="E4473" s="15" t="s">
        <v>3844</v>
      </c>
      <c r="F4473" s="95">
        <v>30</v>
      </c>
      <c r="G4473" s="16" t="s">
        <v>19</v>
      </c>
      <c r="H4473" s="17">
        <v>1250</v>
      </c>
      <c r="I4473" s="17">
        <f t="shared" si="382"/>
        <v>37500</v>
      </c>
      <c r="J4473" s="519">
        <v>1200</v>
      </c>
      <c r="K4473" s="519">
        <f t="shared" si="375"/>
        <v>50</v>
      </c>
      <c r="L4473" s="519">
        <f t="shared" si="376"/>
        <v>1500</v>
      </c>
      <c r="M4473" s="557">
        <f t="shared" si="377"/>
        <v>0.04</v>
      </c>
      <c r="O4473" s="15" t="s">
        <v>105</v>
      </c>
    </row>
    <row r="4474" spans="1:15">
      <c r="A4474" s="70">
        <v>2026</v>
      </c>
      <c r="B4474" s="16" t="s">
        <v>895</v>
      </c>
      <c r="C4474" s="70" t="s">
        <v>5792</v>
      </c>
      <c r="D4474" s="15" t="s">
        <v>5793</v>
      </c>
      <c r="E4474" s="15" t="s">
        <v>5794</v>
      </c>
      <c r="F4474" s="95">
        <v>1</v>
      </c>
      <c r="G4474" s="16" t="s">
        <v>19</v>
      </c>
      <c r="H4474" s="17">
        <f>7500*34</f>
        <v>255000</v>
      </c>
      <c r="I4474" s="17">
        <f t="shared" si="382"/>
        <v>255000</v>
      </c>
      <c r="J4474" s="519">
        <f>7000*34</f>
        <v>238000</v>
      </c>
      <c r="K4474" s="519">
        <f t="shared" si="375"/>
        <v>17000</v>
      </c>
      <c r="L4474" s="519">
        <f t="shared" si="376"/>
        <v>17000</v>
      </c>
      <c r="M4474" s="557">
        <f t="shared" si="377"/>
        <v>6.6666666666666666E-2</v>
      </c>
      <c r="N4474" s="15" t="s">
        <v>40</v>
      </c>
      <c r="O4474" s="15" t="s">
        <v>39</v>
      </c>
    </row>
    <row r="4475" spans="1:15">
      <c r="A4475" s="70">
        <v>2026</v>
      </c>
      <c r="B4475" s="16" t="s">
        <v>895</v>
      </c>
      <c r="C4475" s="656" t="s">
        <v>5795</v>
      </c>
      <c r="D4475" s="656" t="s">
        <v>270</v>
      </c>
      <c r="E4475" s="15" t="s">
        <v>71</v>
      </c>
      <c r="F4475" s="95">
        <v>362</v>
      </c>
      <c r="G4475" s="16" t="s">
        <v>499</v>
      </c>
      <c r="H4475" s="17">
        <v>530</v>
      </c>
      <c r="I4475" s="17">
        <f t="shared" si="382"/>
        <v>191860</v>
      </c>
      <c r="J4475" s="519">
        <v>474</v>
      </c>
      <c r="K4475" s="519">
        <f t="shared" si="375"/>
        <v>56</v>
      </c>
      <c r="L4475" s="519">
        <f t="shared" si="376"/>
        <v>20272</v>
      </c>
      <c r="M4475" s="557">
        <f t="shared" si="377"/>
        <v>0.10566037735849057</v>
      </c>
      <c r="O4475" s="15" t="s">
        <v>105</v>
      </c>
    </row>
    <row r="4476" spans="1:15">
      <c r="A4476" s="70">
        <v>2026</v>
      </c>
      <c r="B4476" s="16" t="s">
        <v>895</v>
      </c>
      <c r="C4476" s="656" t="s">
        <v>5795</v>
      </c>
      <c r="D4476" s="656" t="s">
        <v>270</v>
      </c>
      <c r="E4476" s="15" t="s">
        <v>73</v>
      </c>
      <c r="F4476" s="95">
        <v>433</v>
      </c>
      <c r="G4476" s="16" t="s">
        <v>499</v>
      </c>
      <c r="H4476" s="17">
        <v>530</v>
      </c>
      <c r="I4476" s="17">
        <f t="shared" si="382"/>
        <v>229490</v>
      </c>
      <c r="J4476" s="519">
        <v>474</v>
      </c>
      <c r="K4476" s="519">
        <f t="shared" si="375"/>
        <v>56</v>
      </c>
      <c r="L4476" s="519">
        <f t="shared" si="376"/>
        <v>24248</v>
      </c>
      <c r="M4476" s="557">
        <f t="shared" si="377"/>
        <v>0.10566037735849057</v>
      </c>
      <c r="O4476" s="15" t="s">
        <v>105</v>
      </c>
    </row>
    <row r="4477" spans="1:15">
      <c r="A4477" s="70">
        <v>2026</v>
      </c>
      <c r="B4477" s="16" t="s">
        <v>895</v>
      </c>
      <c r="C4477" s="656" t="s">
        <v>5795</v>
      </c>
      <c r="D4477" s="656" t="s">
        <v>270</v>
      </c>
      <c r="E4477" s="15" t="s">
        <v>4254</v>
      </c>
      <c r="F4477" s="95">
        <v>230.8</v>
      </c>
      <c r="G4477" s="16" t="s">
        <v>499</v>
      </c>
      <c r="H4477" s="17">
        <v>530</v>
      </c>
      <c r="I4477" s="17">
        <f t="shared" si="382"/>
        <v>122324</v>
      </c>
      <c r="J4477" s="519">
        <v>474</v>
      </c>
      <c r="K4477" s="519">
        <f t="shared" si="375"/>
        <v>56</v>
      </c>
      <c r="L4477" s="519">
        <f t="shared" si="376"/>
        <v>12924.800000000001</v>
      </c>
      <c r="M4477" s="557">
        <f t="shared" si="377"/>
        <v>0.10566037735849057</v>
      </c>
      <c r="O4477" s="15" t="s">
        <v>105</v>
      </c>
    </row>
    <row r="4478" spans="1:15">
      <c r="A4478" s="70">
        <v>2026</v>
      </c>
      <c r="B4478" s="16" t="s">
        <v>895</v>
      </c>
      <c r="C4478" s="70" t="s">
        <v>5796</v>
      </c>
      <c r="D4478" s="15" t="s">
        <v>590</v>
      </c>
      <c r="E4478" s="15" t="s">
        <v>5797</v>
      </c>
      <c r="F4478" s="95">
        <v>9</v>
      </c>
      <c r="G4478" s="16" t="s">
        <v>302</v>
      </c>
      <c r="H4478" s="17">
        <v>101300</v>
      </c>
      <c r="I4478" s="17">
        <f t="shared" si="382"/>
        <v>911700</v>
      </c>
      <c r="J4478" s="519">
        <v>94300</v>
      </c>
      <c r="K4478" s="519">
        <f t="shared" si="375"/>
        <v>7000</v>
      </c>
      <c r="L4478" s="519">
        <f t="shared" si="376"/>
        <v>63000</v>
      </c>
      <c r="M4478" s="557">
        <f t="shared" si="377"/>
        <v>6.9101678183613027E-2</v>
      </c>
      <c r="N4478" s="15" t="s">
        <v>22</v>
      </c>
      <c r="O4478" s="15" t="s">
        <v>39</v>
      </c>
    </row>
    <row r="4479" spans="1:15">
      <c r="A4479" s="70">
        <v>2026</v>
      </c>
      <c r="B4479" s="16" t="s">
        <v>895</v>
      </c>
      <c r="C4479" s="70" t="s">
        <v>5798</v>
      </c>
      <c r="D4479" s="15" t="s">
        <v>698</v>
      </c>
      <c r="E4479" s="15" t="s">
        <v>5799</v>
      </c>
      <c r="F4479" s="95">
        <v>4</v>
      </c>
      <c r="G4479" s="16" t="s">
        <v>302</v>
      </c>
      <c r="H4479" s="17">
        <v>8814</v>
      </c>
      <c r="I4479" s="17">
        <f t="shared" si="382"/>
        <v>35256</v>
      </c>
      <c r="J4479" s="519">
        <v>8014</v>
      </c>
      <c r="K4479" s="519">
        <f t="shared" si="375"/>
        <v>800</v>
      </c>
      <c r="L4479" s="519">
        <f t="shared" si="376"/>
        <v>3200</v>
      </c>
      <c r="M4479" s="557">
        <f t="shared" si="377"/>
        <v>9.0764692534604036E-2</v>
      </c>
      <c r="N4479" s="15" t="s">
        <v>40</v>
      </c>
      <c r="O4479" s="15" t="s">
        <v>39</v>
      </c>
    </row>
    <row r="4480" spans="1:15">
      <c r="A4480" s="70">
        <v>2026</v>
      </c>
      <c r="B4480" s="16" t="s">
        <v>895</v>
      </c>
      <c r="C4480" s="70" t="s">
        <v>5800</v>
      </c>
      <c r="D4480" s="15" t="s">
        <v>698</v>
      </c>
      <c r="E4480" s="15" t="s">
        <v>5801</v>
      </c>
      <c r="F4480" s="95">
        <v>6</v>
      </c>
      <c r="G4480" s="16" t="s">
        <v>302</v>
      </c>
      <c r="H4480" s="17">
        <v>25776</v>
      </c>
      <c r="I4480" s="17">
        <f t="shared" si="382"/>
        <v>154656</v>
      </c>
      <c r="J4480" s="519">
        <f>149856/F4480</f>
        <v>24976</v>
      </c>
      <c r="K4480" s="519">
        <f t="shared" ref="K4480:K4490" si="383">H4480-J4480</f>
        <v>800</v>
      </c>
      <c r="L4480" s="519">
        <f t="shared" ref="L4480:L4490" si="384">K4480*F4480</f>
        <v>4800</v>
      </c>
      <c r="M4480" s="557">
        <f t="shared" si="377"/>
        <v>3.1036623215394164E-2</v>
      </c>
      <c r="N4480" s="15" t="s">
        <v>40</v>
      </c>
      <c r="O4480" s="15" t="s">
        <v>39</v>
      </c>
    </row>
    <row r="4481" spans="1:15">
      <c r="A4481" s="70">
        <v>2026</v>
      </c>
      <c r="B4481" s="16" t="s">
        <v>895</v>
      </c>
      <c r="C4481" s="70" t="s">
        <v>5800</v>
      </c>
      <c r="D4481" s="15" t="s">
        <v>698</v>
      </c>
      <c r="E4481" s="15" t="s">
        <v>5802</v>
      </c>
      <c r="F4481" s="95">
        <v>4</v>
      </c>
      <c r="G4481" s="16" t="s">
        <v>302</v>
      </c>
      <c r="H4481" s="17">
        <v>13912</v>
      </c>
      <c r="I4481" s="17">
        <f t="shared" si="382"/>
        <v>55648</v>
      </c>
      <c r="J4481" s="519">
        <f>52448/F4481</f>
        <v>13112</v>
      </c>
      <c r="K4481" s="519">
        <f t="shared" si="383"/>
        <v>800</v>
      </c>
      <c r="L4481" s="519">
        <f t="shared" si="384"/>
        <v>3200</v>
      </c>
      <c r="M4481" s="557">
        <f t="shared" si="377"/>
        <v>5.7504312823461759E-2</v>
      </c>
      <c r="N4481" s="15" t="s">
        <v>40</v>
      </c>
      <c r="O4481" s="15" t="s">
        <v>39</v>
      </c>
    </row>
    <row r="4482" spans="1:15">
      <c r="A4482" s="70">
        <v>2026</v>
      </c>
      <c r="B4482" s="16" t="s">
        <v>895</v>
      </c>
      <c r="C4482" s="70" t="s">
        <v>5800</v>
      </c>
      <c r="D4482" s="15" t="s">
        <v>698</v>
      </c>
      <c r="E4482" s="15" t="s">
        <v>5803</v>
      </c>
      <c r="F4482" s="95">
        <v>12</v>
      </c>
      <c r="G4482" s="16" t="s">
        <v>302</v>
      </c>
      <c r="H4482" s="17">
        <v>27422</v>
      </c>
      <c r="I4482" s="17">
        <f t="shared" si="382"/>
        <v>329064</v>
      </c>
      <c r="J4482" s="519">
        <f>319464/F4482</f>
        <v>26622</v>
      </c>
      <c r="K4482" s="519">
        <f t="shared" si="383"/>
        <v>800</v>
      </c>
      <c r="L4482" s="519">
        <f t="shared" si="384"/>
        <v>9600</v>
      </c>
      <c r="M4482" s="557">
        <f t="shared" si="377"/>
        <v>2.9173656188461818E-2</v>
      </c>
      <c r="N4482" s="15" t="s">
        <v>40</v>
      </c>
      <c r="O4482" s="15" t="s">
        <v>39</v>
      </c>
    </row>
    <row r="4483" spans="1:15">
      <c r="A4483" s="70">
        <v>2026</v>
      </c>
      <c r="B4483" s="16" t="s">
        <v>895</v>
      </c>
      <c r="C4483" s="70" t="s">
        <v>5804</v>
      </c>
      <c r="D4483" s="15" t="s">
        <v>329</v>
      </c>
      <c r="E4483" s="15" t="s">
        <v>5805</v>
      </c>
      <c r="F4483" s="95">
        <v>25</v>
      </c>
      <c r="G4483" s="16" t="s">
        <v>1368</v>
      </c>
      <c r="H4483" s="17">
        <v>8300</v>
      </c>
      <c r="I4483" s="17">
        <f t="shared" si="382"/>
        <v>207500</v>
      </c>
      <c r="J4483" s="519">
        <v>8100</v>
      </c>
      <c r="K4483" s="519">
        <f t="shared" si="383"/>
        <v>200</v>
      </c>
      <c r="L4483" s="519">
        <f t="shared" si="384"/>
        <v>5000</v>
      </c>
      <c r="M4483" s="557">
        <f t="shared" si="377"/>
        <v>2.4096385542168676E-2</v>
      </c>
      <c r="N4483" s="15" t="s">
        <v>40</v>
      </c>
      <c r="O4483" s="15" t="s">
        <v>39</v>
      </c>
    </row>
    <row r="4484" spans="1:15">
      <c r="A4484" s="70">
        <v>2026</v>
      </c>
      <c r="B4484" s="16" t="s">
        <v>895</v>
      </c>
      <c r="C4484" s="70" t="s">
        <v>5806</v>
      </c>
      <c r="D4484" s="668" t="s">
        <v>892</v>
      </c>
      <c r="E4484" s="15" t="s">
        <v>3844</v>
      </c>
      <c r="F4484" s="95">
        <v>30</v>
      </c>
      <c r="G4484" s="16" t="s">
        <v>19</v>
      </c>
      <c r="H4484" s="17">
        <v>1250</v>
      </c>
      <c r="I4484" s="17">
        <f t="shared" si="382"/>
        <v>37500</v>
      </c>
      <c r="J4484" s="519">
        <v>1200</v>
      </c>
      <c r="K4484" s="519">
        <f t="shared" si="383"/>
        <v>50</v>
      </c>
      <c r="L4484" s="519">
        <f t="shared" si="384"/>
        <v>1500</v>
      </c>
      <c r="M4484" s="557">
        <f t="shared" si="377"/>
        <v>0.04</v>
      </c>
      <c r="O4484" s="15" t="s">
        <v>105</v>
      </c>
    </row>
    <row r="4485" spans="1:15">
      <c r="A4485" s="70">
        <v>2026</v>
      </c>
      <c r="B4485" s="16" t="s">
        <v>895</v>
      </c>
      <c r="C4485" s="70" t="s">
        <v>5807</v>
      </c>
      <c r="D4485" s="15" t="s">
        <v>590</v>
      </c>
      <c r="E4485" s="15" t="s">
        <v>5797</v>
      </c>
      <c r="F4485" s="95">
        <v>1</v>
      </c>
      <c r="G4485" s="16" t="s">
        <v>302</v>
      </c>
      <c r="H4485" s="17">
        <v>101300</v>
      </c>
      <c r="I4485" s="17">
        <f t="shared" si="382"/>
        <v>101300</v>
      </c>
      <c r="J4485" s="519">
        <v>94300</v>
      </c>
      <c r="K4485" s="519">
        <f t="shared" si="383"/>
        <v>7000</v>
      </c>
      <c r="L4485" s="519">
        <f t="shared" si="384"/>
        <v>7000</v>
      </c>
      <c r="M4485" s="557">
        <f t="shared" si="377"/>
        <v>6.9101678183613027E-2</v>
      </c>
      <c r="N4485" s="15" t="s">
        <v>22</v>
      </c>
      <c r="O4485" s="15" t="s">
        <v>39</v>
      </c>
    </row>
    <row r="4486" spans="1:15">
      <c r="A4486" s="70">
        <v>2026</v>
      </c>
      <c r="B4486" s="16" t="s">
        <v>895</v>
      </c>
      <c r="C4486" s="668" t="s">
        <v>5808</v>
      </c>
      <c r="D4486" s="668" t="s">
        <v>1042</v>
      </c>
      <c r="E4486" s="15" t="s">
        <v>5809</v>
      </c>
      <c r="F4486" s="95">
        <v>725</v>
      </c>
      <c r="G4486" s="16" t="s">
        <v>37</v>
      </c>
      <c r="I4486" s="17">
        <f t="shared" si="382"/>
        <v>0</v>
      </c>
      <c r="J4486" s="519">
        <v>530</v>
      </c>
      <c r="K4486" s="519">
        <f t="shared" si="383"/>
        <v>-530</v>
      </c>
      <c r="L4486" s="519">
        <f t="shared" si="384"/>
        <v>-384250</v>
      </c>
      <c r="M4486" s="557" t="e">
        <f t="shared" si="377"/>
        <v>#DIV/0!</v>
      </c>
      <c r="O4486" s="15" t="s">
        <v>105</v>
      </c>
    </row>
    <row r="4487" spans="1:15">
      <c r="A4487" s="70">
        <v>2026</v>
      </c>
      <c r="B4487" s="16" t="s">
        <v>895</v>
      </c>
      <c r="C4487" s="668" t="s">
        <v>5808</v>
      </c>
      <c r="D4487" s="668" t="s">
        <v>1042</v>
      </c>
      <c r="E4487" s="15" t="s">
        <v>5810</v>
      </c>
      <c r="F4487" s="95">
        <v>495</v>
      </c>
      <c r="G4487" s="16" t="s">
        <v>37</v>
      </c>
      <c r="I4487" s="17">
        <f t="shared" si="382"/>
        <v>0</v>
      </c>
      <c r="J4487" s="519">
        <v>530</v>
      </c>
      <c r="K4487" s="519">
        <f t="shared" si="383"/>
        <v>-530</v>
      </c>
      <c r="L4487" s="519">
        <f t="shared" si="384"/>
        <v>-262350</v>
      </c>
      <c r="M4487" s="557" t="e">
        <f t="shared" si="377"/>
        <v>#DIV/0!</v>
      </c>
      <c r="O4487" s="15" t="s">
        <v>105</v>
      </c>
    </row>
    <row r="4488" spans="1:15">
      <c r="A4488" s="70">
        <v>2026</v>
      </c>
      <c r="B4488" s="16" t="s">
        <v>895</v>
      </c>
      <c r="C4488" s="668" t="s">
        <v>5811</v>
      </c>
      <c r="D4488" s="668" t="s">
        <v>1042</v>
      </c>
      <c r="E4488" s="15" t="s">
        <v>609</v>
      </c>
      <c r="F4488" s="95">
        <v>275</v>
      </c>
      <c r="G4488" s="16" t="s">
        <v>37</v>
      </c>
      <c r="I4488" s="17">
        <f t="shared" si="382"/>
        <v>0</v>
      </c>
      <c r="J4488" s="519">
        <v>504</v>
      </c>
      <c r="K4488" s="519">
        <f t="shared" si="383"/>
        <v>-504</v>
      </c>
      <c r="L4488" s="519">
        <f t="shared" si="384"/>
        <v>-138600</v>
      </c>
      <c r="M4488" s="557" t="e">
        <f t="shared" si="377"/>
        <v>#DIV/0!</v>
      </c>
      <c r="O4488" s="15" t="s">
        <v>105</v>
      </c>
    </row>
    <row r="4489" spans="1:15">
      <c r="A4489" s="70">
        <v>2026</v>
      </c>
      <c r="B4489" s="16" t="s">
        <v>895</v>
      </c>
      <c r="C4489" s="668" t="s">
        <v>5811</v>
      </c>
      <c r="D4489" s="668" t="s">
        <v>1042</v>
      </c>
      <c r="E4489" s="15" t="s">
        <v>5698</v>
      </c>
      <c r="F4489" s="95">
        <v>390</v>
      </c>
      <c r="G4489" s="16" t="s">
        <v>37</v>
      </c>
      <c r="I4489" s="17">
        <f t="shared" si="382"/>
        <v>0</v>
      </c>
      <c r="J4489" s="519">
        <v>504</v>
      </c>
      <c r="K4489" s="519">
        <f t="shared" si="383"/>
        <v>-504</v>
      </c>
      <c r="L4489" s="519">
        <f t="shared" si="384"/>
        <v>-196560</v>
      </c>
      <c r="M4489" s="557" t="e">
        <f t="shared" si="377"/>
        <v>#DIV/0!</v>
      </c>
      <c r="O4489" s="15" t="s">
        <v>105</v>
      </c>
    </row>
    <row r="4490" spans="1:15">
      <c r="A4490" s="70">
        <v>2026</v>
      </c>
      <c r="B4490" s="16" t="s">
        <v>895</v>
      </c>
      <c r="C4490" s="70" t="s">
        <v>5881</v>
      </c>
      <c r="D4490" s="15" t="s">
        <v>698</v>
      </c>
      <c r="E4490" s="15" t="s">
        <v>5877</v>
      </c>
      <c r="F4490" s="95">
        <v>6</v>
      </c>
      <c r="G4490" s="16" t="s">
        <v>302</v>
      </c>
      <c r="H4490" s="17">
        <v>34046</v>
      </c>
      <c r="I4490" s="17">
        <f t="shared" si="382"/>
        <v>204276</v>
      </c>
      <c r="J4490" s="519">
        <v>30846</v>
      </c>
      <c r="K4490" s="519">
        <f t="shared" si="383"/>
        <v>3200</v>
      </c>
      <c r="L4490" s="519">
        <f t="shared" si="384"/>
        <v>19200</v>
      </c>
      <c r="M4490" s="557">
        <f t="shared" si="377"/>
        <v>9.399048346354931E-2</v>
      </c>
      <c r="N4490" s="15" t="s">
        <v>40</v>
      </c>
      <c r="O4490" s="15" t="s">
        <v>39</v>
      </c>
    </row>
    <row r="4491" spans="1:15">
      <c r="A4491" s="70">
        <v>2026</v>
      </c>
      <c r="B4491" s="16" t="s">
        <v>895</v>
      </c>
      <c r="C4491" s="70" t="s">
        <v>5881</v>
      </c>
      <c r="D4491" s="15" t="s">
        <v>698</v>
      </c>
      <c r="E4491" s="15" t="s">
        <v>5878</v>
      </c>
      <c r="F4491" s="95">
        <v>6</v>
      </c>
      <c r="G4491" s="16" t="s">
        <v>302</v>
      </c>
      <c r="H4491" s="17">
        <v>40149</v>
      </c>
      <c r="I4491" s="17">
        <f t="shared" si="382"/>
        <v>240894</v>
      </c>
      <c r="J4491" s="519">
        <v>36949</v>
      </c>
      <c r="K4491" s="519">
        <f>H4491-J4491</f>
        <v>3200</v>
      </c>
      <c r="L4491" s="519">
        <f>K4491*F4491</f>
        <v>19200</v>
      </c>
      <c r="M4491" s="557">
        <f t="shared" si="377"/>
        <v>7.9703105930409232E-2</v>
      </c>
      <c r="N4491" s="15" t="s">
        <v>40</v>
      </c>
      <c r="O4491" s="15" t="s">
        <v>39</v>
      </c>
    </row>
    <row r="4492" spans="1:15">
      <c r="A4492" s="70">
        <v>2026</v>
      </c>
      <c r="B4492" s="16" t="s">
        <v>895</v>
      </c>
      <c r="C4492" s="70" t="s">
        <v>5881</v>
      </c>
      <c r="D4492" s="15" t="s">
        <v>698</v>
      </c>
      <c r="E4492" s="15" t="s">
        <v>5879</v>
      </c>
      <c r="F4492" s="95">
        <v>6</v>
      </c>
      <c r="G4492" s="16" t="s">
        <v>302</v>
      </c>
      <c r="H4492" s="17">
        <v>35554</v>
      </c>
      <c r="I4492" s="17">
        <f t="shared" si="382"/>
        <v>213324</v>
      </c>
      <c r="J4492" s="519">
        <v>32354</v>
      </c>
      <c r="K4492" s="519">
        <f t="shared" ref="K4492:K4507" si="385">H4492-J4492</f>
        <v>3200</v>
      </c>
      <c r="L4492" s="519">
        <f t="shared" ref="L4492:L4507" si="386">K4492*F4492</f>
        <v>19200</v>
      </c>
      <c r="M4492" s="557">
        <f t="shared" ref="M4492:M4507" si="387">K4492/H4492</f>
        <v>9.000393767227316E-2</v>
      </c>
      <c r="N4492" s="15" t="s">
        <v>40</v>
      </c>
      <c r="O4492" s="15" t="s">
        <v>39</v>
      </c>
    </row>
    <row r="4493" spans="1:15">
      <c r="A4493" s="70">
        <v>2026</v>
      </c>
      <c r="B4493" s="16" t="s">
        <v>895</v>
      </c>
      <c r="C4493" s="70" t="s">
        <v>5881</v>
      </c>
      <c r="D4493" s="15" t="s">
        <v>698</v>
      </c>
      <c r="E4493" s="15" t="s">
        <v>5880</v>
      </c>
      <c r="F4493" s="95">
        <v>6</v>
      </c>
      <c r="G4493" s="16" t="s">
        <v>302</v>
      </c>
      <c r="H4493" s="17">
        <v>32422</v>
      </c>
      <c r="I4493" s="17">
        <f t="shared" si="382"/>
        <v>194532</v>
      </c>
      <c r="J4493" s="519">
        <v>29222</v>
      </c>
      <c r="K4493" s="519">
        <f t="shared" si="385"/>
        <v>3200</v>
      </c>
      <c r="L4493" s="519">
        <f t="shared" si="386"/>
        <v>19200</v>
      </c>
      <c r="M4493" s="557">
        <f t="shared" si="387"/>
        <v>9.869841465671457E-2</v>
      </c>
      <c r="N4493" s="15" t="s">
        <v>40</v>
      </c>
      <c r="O4493" s="15" t="s">
        <v>39</v>
      </c>
    </row>
    <row r="4494" spans="1:15">
      <c r="A4494" s="70">
        <v>2026</v>
      </c>
      <c r="B4494" s="16" t="s">
        <v>895</v>
      </c>
      <c r="C4494" s="70" t="s">
        <v>5882</v>
      </c>
      <c r="D4494" s="15" t="s">
        <v>5883</v>
      </c>
      <c r="E4494" s="15" t="s">
        <v>5884</v>
      </c>
      <c r="F4494" s="95">
        <v>12</v>
      </c>
      <c r="G4494" s="16" t="s">
        <v>302</v>
      </c>
      <c r="H4494" s="17">
        <v>140000</v>
      </c>
      <c r="I4494" s="17">
        <f t="shared" si="382"/>
        <v>1680000</v>
      </c>
      <c r="J4494" s="519">
        <v>102500</v>
      </c>
      <c r="K4494" s="519">
        <f t="shared" si="385"/>
        <v>37500</v>
      </c>
      <c r="L4494" s="519">
        <f t="shared" si="386"/>
        <v>450000</v>
      </c>
      <c r="M4494" s="557">
        <f t="shared" si="387"/>
        <v>0.26785714285714285</v>
      </c>
      <c r="N4494" s="15" t="s">
        <v>22</v>
      </c>
      <c r="O4494" s="15" t="s">
        <v>39</v>
      </c>
    </row>
    <row r="4495" spans="1:15">
      <c r="A4495" s="70">
        <v>2026</v>
      </c>
      <c r="B4495" s="16" t="s">
        <v>895</v>
      </c>
      <c r="C4495" s="70" t="s">
        <v>5885</v>
      </c>
      <c r="D4495" s="15" t="s">
        <v>329</v>
      </c>
      <c r="E4495" s="15" t="s">
        <v>702</v>
      </c>
      <c r="F4495" s="95">
        <v>200</v>
      </c>
      <c r="G4495" s="16" t="s">
        <v>2541</v>
      </c>
      <c r="H4495" s="17">
        <v>2980</v>
      </c>
      <c r="I4495" s="17">
        <f t="shared" si="382"/>
        <v>596000</v>
      </c>
      <c r="J4495" s="519">
        <v>2950</v>
      </c>
      <c r="K4495" s="519">
        <f t="shared" si="385"/>
        <v>30</v>
      </c>
      <c r="L4495" s="519">
        <f t="shared" si="386"/>
        <v>6000</v>
      </c>
      <c r="M4495" s="557">
        <f t="shared" si="387"/>
        <v>1.0067114093959731E-2</v>
      </c>
      <c r="N4495" s="15" t="s">
        <v>22</v>
      </c>
      <c r="O4495" s="15" t="s">
        <v>39</v>
      </c>
    </row>
    <row r="4496" spans="1:15">
      <c r="A4496" s="70">
        <v>2026</v>
      </c>
      <c r="B4496" s="16" t="s">
        <v>895</v>
      </c>
      <c r="C4496" s="70" t="s">
        <v>5885</v>
      </c>
      <c r="D4496" s="15" t="s">
        <v>329</v>
      </c>
      <c r="E4496" s="15" t="s">
        <v>2543</v>
      </c>
      <c r="F4496" s="95">
        <v>20</v>
      </c>
      <c r="G4496" s="16" t="s">
        <v>2541</v>
      </c>
      <c r="H4496" s="17">
        <v>1065</v>
      </c>
      <c r="I4496" s="17">
        <f t="shared" si="382"/>
        <v>21300</v>
      </c>
      <c r="J4496" s="519">
        <v>1050</v>
      </c>
      <c r="K4496" s="519">
        <f t="shared" si="385"/>
        <v>15</v>
      </c>
      <c r="L4496" s="519">
        <f t="shared" si="386"/>
        <v>300</v>
      </c>
      <c r="M4496" s="557">
        <f t="shared" si="387"/>
        <v>1.4084507042253521E-2</v>
      </c>
      <c r="N4496" s="15" t="s">
        <v>22</v>
      </c>
      <c r="O4496" s="15" t="s">
        <v>39</v>
      </c>
    </row>
    <row r="4497" spans="1:15">
      <c r="A4497" s="70">
        <v>2026</v>
      </c>
      <c r="B4497" s="16" t="s">
        <v>895</v>
      </c>
      <c r="C4497" s="70" t="s">
        <v>5885</v>
      </c>
      <c r="D4497" s="15" t="s">
        <v>329</v>
      </c>
      <c r="E4497" s="15" t="s">
        <v>2871</v>
      </c>
      <c r="F4497" s="95">
        <v>50</v>
      </c>
      <c r="G4497" s="16" t="s">
        <v>2541</v>
      </c>
      <c r="H4497" s="17">
        <v>6965</v>
      </c>
      <c r="I4497" s="17">
        <f t="shared" si="382"/>
        <v>348250</v>
      </c>
      <c r="J4497" s="519">
        <v>6900</v>
      </c>
      <c r="K4497" s="519">
        <f t="shared" si="385"/>
        <v>65</v>
      </c>
      <c r="L4497" s="519">
        <f t="shared" si="386"/>
        <v>3250</v>
      </c>
      <c r="M4497" s="557">
        <f t="shared" si="387"/>
        <v>9.3323761665470208E-3</v>
      </c>
      <c r="N4497" s="15" t="s">
        <v>22</v>
      </c>
      <c r="O4497" s="15" t="s">
        <v>39</v>
      </c>
    </row>
    <row r="4498" spans="1:15">
      <c r="A4498" s="70">
        <v>2026</v>
      </c>
      <c r="B4498" s="16" t="s">
        <v>895</v>
      </c>
      <c r="C4498" s="70" t="s">
        <v>5886</v>
      </c>
      <c r="D4498" s="15" t="s">
        <v>200</v>
      </c>
      <c r="E4498" s="15" t="s">
        <v>5887</v>
      </c>
      <c r="F4498" s="95">
        <v>1</v>
      </c>
      <c r="G4498" s="16" t="s">
        <v>302</v>
      </c>
      <c r="H4498" s="17">
        <v>45500</v>
      </c>
      <c r="I4498" s="17">
        <f t="shared" si="382"/>
        <v>45500</v>
      </c>
      <c r="J4498" s="519">
        <v>43500</v>
      </c>
      <c r="K4498" s="519">
        <f t="shared" si="385"/>
        <v>2000</v>
      </c>
      <c r="L4498" s="519">
        <f t="shared" si="386"/>
        <v>2000</v>
      </c>
      <c r="M4498" s="557">
        <f t="shared" si="387"/>
        <v>4.3956043956043959E-2</v>
      </c>
      <c r="N4498" s="15" t="s">
        <v>40</v>
      </c>
      <c r="O4498" s="15" t="s">
        <v>39</v>
      </c>
    </row>
    <row r="4499" spans="1:15">
      <c r="A4499" s="70">
        <v>2026</v>
      </c>
      <c r="B4499" s="16" t="s">
        <v>895</v>
      </c>
      <c r="I4499" s="17">
        <f t="shared" si="382"/>
        <v>0</v>
      </c>
      <c r="K4499" s="519">
        <f t="shared" si="385"/>
        <v>0</v>
      </c>
      <c r="L4499" s="519">
        <f t="shared" si="386"/>
        <v>0</v>
      </c>
      <c r="M4499" s="557" t="e">
        <f t="shared" si="387"/>
        <v>#DIV/0!</v>
      </c>
    </row>
    <row r="4500" spans="1:15">
      <c r="A4500" s="70">
        <v>2026</v>
      </c>
      <c r="B4500" s="16" t="s">
        <v>895</v>
      </c>
      <c r="I4500" s="17">
        <f t="shared" si="382"/>
        <v>0</v>
      </c>
      <c r="K4500" s="519">
        <f t="shared" si="385"/>
        <v>0</v>
      </c>
      <c r="L4500" s="519">
        <f t="shared" si="386"/>
        <v>0</v>
      </c>
      <c r="M4500" s="557" t="e">
        <f t="shared" si="387"/>
        <v>#DIV/0!</v>
      </c>
    </row>
    <row r="4501" spans="1:15">
      <c r="A4501" s="70">
        <v>2026</v>
      </c>
      <c r="B4501" s="16" t="s">
        <v>895</v>
      </c>
      <c r="I4501" s="17">
        <f t="shared" si="382"/>
        <v>0</v>
      </c>
      <c r="K4501" s="519">
        <f t="shared" si="385"/>
        <v>0</v>
      </c>
      <c r="L4501" s="519">
        <f t="shared" si="386"/>
        <v>0</v>
      </c>
      <c r="M4501" s="557" t="e">
        <f t="shared" si="387"/>
        <v>#DIV/0!</v>
      </c>
    </row>
    <row r="4502" spans="1:15">
      <c r="A4502" s="70">
        <v>2026</v>
      </c>
      <c r="B4502" s="16" t="s">
        <v>895</v>
      </c>
      <c r="I4502" s="17">
        <f t="shared" si="382"/>
        <v>0</v>
      </c>
      <c r="K4502" s="519">
        <f t="shared" si="385"/>
        <v>0</v>
      </c>
      <c r="L4502" s="519">
        <f t="shared" si="386"/>
        <v>0</v>
      </c>
      <c r="M4502" s="557" t="e">
        <f t="shared" si="387"/>
        <v>#DIV/0!</v>
      </c>
    </row>
    <row r="4503" spans="1:15">
      <c r="A4503" s="70">
        <v>2026</v>
      </c>
      <c r="B4503" s="16" t="s">
        <v>895</v>
      </c>
      <c r="I4503" s="17">
        <f t="shared" si="382"/>
        <v>0</v>
      </c>
      <c r="K4503" s="519">
        <f t="shared" si="385"/>
        <v>0</v>
      </c>
      <c r="L4503" s="519">
        <f t="shared" si="386"/>
        <v>0</v>
      </c>
      <c r="M4503" s="557" t="e">
        <f t="shared" si="387"/>
        <v>#DIV/0!</v>
      </c>
    </row>
    <row r="4504" spans="1:15">
      <c r="A4504" s="70">
        <v>2026</v>
      </c>
      <c r="B4504" s="16" t="s">
        <v>895</v>
      </c>
      <c r="I4504" s="17">
        <f t="shared" si="382"/>
        <v>0</v>
      </c>
      <c r="K4504" s="519">
        <f t="shared" si="385"/>
        <v>0</v>
      </c>
      <c r="L4504" s="519">
        <f t="shared" si="386"/>
        <v>0</v>
      </c>
      <c r="M4504" s="557" t="e">
        <f t="shared" si="387"/>
        <v>#DIV/0!</v>
      </c>
    </row>
    <row r="4505" spans="1:15">
      <c r="A4505" s="70">
        <v>2026</v>
      </c>
      <c r="B4505" s="16" t="s">
        <v>895</v>
      </c>
      <c r="I4505" s="17">
        <f t="shared" si="382"/>
        <v>0</v>
      </c>
      <c r="K4505" s="519">
        <f t="shared" si="385"/>
        <v>0</v>
      </c>
      <c r="L4505" s="519">
        <f t="shared" si="386"/>
        <v>0</v>
      </c>
      <c r="M4505" s="557" t="e">
        <f t="shared" si="387"/>
        <v>#DIV/0!</v>
      </c>
    </row>
    <row r="4506" spans="1:15">
      <c r="A4506" s="70">
        <v>2026</v>
      </c>
      <c r="B4506" s="16" t="s">
        <v>895</v>
      </c>
      <c r="I4506" s="17">
        <f t="shared" si="382"/>
        <v>0</v>
      </c>
      <c r="K4506" s="519">
        <f t="shared" si="385"/>
        <v>0</v>
      </c>
      <c r="L4506" s="519">
        <f t="shared" si="386"/>
        <v>0</v>
      </c>
      <c r="M4506" s="557" t="e">
        <f t="shared" si="387"/>
        <v>#DIV/0!</v>
      </c>
    </row>
    <row r="4507" spans="1:15">
      <c r="A4507" s="70">
        <v>2026</v>
      </c>
      <c r="B4507" s="16" t="s">
        <v>895</v>
      </c>
      <c r="I4507" s="17">
        <f t="shared" si="382"/>
        <v>0</v>
      </c>
      <c r="K4507" s="519">
        <f t="shared" si="385"/>
        <v>0</v>
      </c>
      <c r="L4507" s="519">
        <f t="shared" si="386"/>
        <v>0</v>
      </c>
      <c r="M4507" s="557" t="e">
        <f t="shared" si="387"/>
        <v>#DIV/0!</v>
      </c>
    </row>
    <row r="4508" spans="1:15">
      <c r="A4508" s="70">
        <v>2026</v>
      </c>
      <c r="B4508" s="16" t="s">
        <v>895</v>
      </c>
      <c r="I4508" s="17">
        <f t="shared" ref="I4508:I4518" si="388">H4508*F4508</f>
        <v>0</v>
      </c>
      <c r="K4508" s="519">
        <f t="shared" ref="K4508:K4518" si="389">H4508-J4508</f>
        <v>0</v>
      </c>
      <c r="L4508" s="519">
        <f t="shared" ref="L4508:L4518" si="390">K4508*F4508</f>
        <v>0</v>
      </c>
      <c r="M4508" s="557" t="e">
        <f t="shared" ref="M4508:M4518" si="391">K4508/H4508</f>
        <v>#DIV/0!</v>
      </c>
    </row>
    <row r="4509" spans="1:15">
      <c r="A4509" s="70">
        <v>2026</v>
      </c>
      <c r="B4509" s="16" t="s">
        <v>895</v>
      </c>
      <c r="I4509" s="17">
        <f t="shared" si="388"/>
        <v>0</v>
      </c>
      <c r="K4509" s="519">
        <f t="shared" si="389"/>
        <v>0</v>
      </c>
      <c r="L4509" s="519">
        <f t="shared" si="390"/>
        <v>0</v>
      </c>
      <c r="M4509" s="557" t="e">
        <f t="shared" si="391"/>
        <v>#DIV/0!</v>
      </c>
    </row>
    <row r="4510" spans="1:15">
      <c r="A4510" s="70">
        <v>2026</v>
      </c>
      <c r="B4510" s="16" t="s">
        <v>895</v>
      </c>
      <c r="I4510" s="17">
        <f t="shared" si="388"/>
        <v>0</v>
      </c>
      <c r="K4510" s="519">
        <f t="shared" si="389"/>
        <v>0</v>
      </c>
      <c r="L4510" s="519">
        <f t="shared" si="390"/>
        <v>0</v>
      </c>
      <c r="M4510" s="557" t="e">
        <f t="shared" si="391"/>
        <v>#DIV/0!</v>
      </c>
    </row>
    <row r="4511" spans="1:15">
      <c r="A4511" s="70">
        <v>2026</v>
      </c>
      <c r="B4511" s="16" t="s">
        <v>895</v>
      </c>
      <c r="I4511" s="17">
        <f t="shared" si="388"/>
        <v>0</v>
      </c>
      <c r="K4511" s="519">
        <f t="shared" si="389"/>
        <v>0</v>
      </c>
      <c r="L4511" s="519">
        <f t="shared" si="390"/>
        <v>0</v>
      </c>
      <c r="M4511" s="557" t="e">
        <f t="shared" si="391"/>
        <v>#DIV/0!</v>
      </c>
    </row>
    <row r="4512" spans="1:15">
      <c r="A4512" s="70">
        <v>2026</v>
      </c>
      <c r="B4512" s="16" t="s">
        <v>895</v>
      </c>
      <c r="I4512" s="17">
        <f t="shared" si="388"/>
        <v>0</v>
      </c>
      <c r="K4512" s="519">
        <f t="shared" si="389"/>
        <v>0</v>
      </c>
      <c r="L4512" s="519">
        <f t="shared" si="390"/>
        <v>0</v>
      </c>
      <c r="M4512" s="557" t="e">
        <f t="shared" si="391"/>
        <v>#DIV/0!</v>
      </c>
    </row>
    <row r="4513" spans="1:13">
      <c r="A4513" s="70">
        <v>2026</v>
      </c>
      <c r="B4513" s="16" t="s">
        <v>895</v>
      </c>
      <c r="I4513" s="17">
        <f t="shared" si="388"/>
        <v>0</v>
      </c>
      <c r="K4513" s="519">
        <f t="shared" si="389"/>
        <v>0</v>
      </c>
      <c r="L4513" s="519">
        <f t="shared" si="390"/>
        <v>0</v>
      </c>
      <c r="M4513" s="557" t="e">
        <f t="shared" si="391"/>
        <v>#DIV/0!</v>
      </c>
    </row>
    <row r="4514" spans="1:13">
      <c r="I4514" s="17">
        <f t="shared" si="388"/>
        <v>0</v>
      </c>
      <c r="K4514" s="519">
        <f t="shared" si="389"/>
        <v>0</v>
      </c>
      <c r="L4514" s="519">
        <f t="shared" si="390"/>
        <v>0</v>
      </c>
      <c r="M4514" s="557" t="e">
        <f t="shared" si="391"/>
        <v>#DIV/0!</v>
      </c>
    </row>
    <row r="4515" spans="1:13">
      <c r="I4515" s="17">
        <f t="shared" si="388"/>
        <v>0</v>
      </c>
      <c r="K4515" s="519">
        <f t="shared" si="389"/>
        <v>0</v>
      </c>
      <c r="L4515" s="519">
        <f t="shared" si="390"/>
        <v>0</v>
      </c>
      <c r="M4515" s="557" t="e">
        <f t="shared" si="391"/>
        <v>#DIV/0!</v>
      </c>
    </row>
    <row r="4516" spans="1:13">
      <c r="I4516" s="17">
        <f t="shared" si="388"/>
        <v>0</v>
      </c>
      <c r="K4516" s="519">
        <f t="shared" si="389"/>
        <v>0</v>
      </c>
      <c r="L4516" s="519">
        <f t="shared" si="390"/>
        <v>0</v>
      </c>
      <c r="M4516" s="557" t="e">
        <f t="shared" si="391"/>
        <v>#DIV/0!</v>
      </c>
    </row>
    <row r="4517" spans="1:13">
      <c r="I4517" s="17">
        <f t="shared" si="388"/>
        <v>0</v>
      </c>
      <c r="K4517" s="519">
        <f t="shared" si="389"/>
        <v>0</v>
      </c>
      <c r="L4517" s="519">
        <f t="shared" si="390"/>
        <v>0</v>
      </c>
      <c r="M4517" s="557" t="e">
        <f t="shared" si="391"/>
        <v>#DIV/0!</v>
      </c>
    </row>
    <row r="4518" spans="1:13">
      <c r="I4518" s="17">
        <f t="shared" si="388"/>
        <v>0</v>
      </c>
      <c r="K4518" s="519">
        <f t="shared" si="389"/>
        <v>0</v>
      </c>
      <c r="L4518" s="519">
        <f t="shared" si="390"/>
        <v>0</v>
      </c>
      <c r="M4518" s="557" t="e">
        <f t="shared" si="391"/>
        <v>#DIV/0!</v>
      </c>
    </row>
  </sheetData>
  <sortState xmlns:xlrd2="http://schemas.microsoft.com/office/spreadsheetml/2017/richdata2" ref="A3:O3568">
    <sortCondition ref="A2:A3568"/>
  </sortState>
  <dataValidations count="3">
    <dataValidation type="list" allowBlank="1" showInputMessage="1" showErrorMessage="1" sqref="O3:O411 O3569 O3586 O3588:O3607 O3612 O3799 O3806:O4251 O4293:O4370 O4410:O4447 O4471:P4471 O4463:O4470 O4472:O4498" xr:uid="{00000000-0002-0000-0000-000000000000}">
      <formula1>"Pawina,Tanida,Yuwanit"</formula1>
    </dataValidation>
    <dataValidation type="list" allowBlank="1" showInputMessage="1" showErrorMessage="1" sqref="O1 E2461:E2464 E2466:E2470 O412:O3568 O3570:O3585 O3800:O3805 O3587 O3608:O3611 O3613:O3798 O4252:O4292 O4404:P4404 O4405:O4409 O4371:O4403 O4448:O4462 O4499:O1048576" xr:uid="{00000000-0002-0000-0000-000001000000}">
      <formula1>"Pawina,Tanida,Saniya"</formula1>
    </dataValidation>
    <dataValidation type="list" allowBlank="1" showInputMessage="1" showErrorMessage="1" sqref="N3:N4518" xr:uid="{00000000-0002-0000-0000-000002000000}">
      <formula1>$P$3:$P$7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Set!$B$2:$B$13</xm:f>
          </x14:formula1>
          <xm:sqref>M2581:M3214 N1:N2 N4519:N1048576 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FF"/>
  </sheetPr>
  <dimension ref="A1:Z48"/>
  <sheetViews>
    <sheetView zoomScale="90" zoomScaleNormal="90" workbookViewId="0">
      <selection activeCell="M25" sqref="M25"/>
    </sheetView>
  </sheetViews>
  <sheetFormatPr defaultColWidth="9.140625" defaultRowHeight="20.25"/>
  <cols>
    <col min="1" max="1" width="15.42578125" style="20" customWidth="1"/>
    <col min="2" max="2" width="22.140625" style="20" hidden="1" customWidth="1"/>
    <col min="3" max="3" width="19.85546875" style="20" hidden="1" customWidth="1"/>
    <col min="4" max="4" width="12.140625" style="20" hidden="1" customWidth="1"/>
    <col min="5" max="5" width="20.85546875" style="20" hidden="1" customWidth="1"/>
    <col min="6" max="8" width="30.28515625" style="20" customWidth="1"/>
    <col min="9" max="9" width="15.7109375" style="20" customWidth="1"/>
    <col min="10" max="10" width="39.7109375" style="20" customWidth="1"/>
    <col min="11" max="11" width="3.85546875" style="20" customWidth="1"/>
    <col min="12" max="12" width="24.5703125" style="20" customWidth="1"/>
    <col min="13" max="13" width="13.28515625" style="20" customWidth="1"/>
    <col min="14" max="15" width="11.5703125" style="20" customWidth="1"/>
    <col min="16" max="17" width="9.140625" style="127"/>
    <col min="18" max="18" width="13.5703125" style="127" bestFit="1" customWidth="1"/>
    <col min="19" max="19" width="13.85546875" style="127" bestFit="1" customWidth="1"/>
    <col min="20" max="20" width="10.28515625" style="127" customWidth="1"/>
    <col min="21" max="21" width="21" style="127" customWidth="1"/>
    <col min="22" max="22" width="22.28515625" style="127" bestFit="1" customWidth="1"/>
    <col min="23" max="23" width="12.28515625" style="127" customWidth="1"/>
    <col min="24" max="24" width="24" style="127" bestFit="1" customWidth="1"/>
    <col min="25" max="25" width="17.28515625" style="127" bestFit="1" customWidth="1"/>
    <col min="26" max="26" width="9.140625" style="127"/>
    <col min="27" max="16384" width="9.140625" style="20"/>
  </cols>
  <sheetData>
    <row r="1" spans="1:24">
      <c r="A1" s="669" t="s">
        <v>1603</v>
      </c>
      <c r="B1" s="671">
        <v>2021</v>
      </c>
      <c r="C1" s="671"/>
      <c r="D1" s="671"/>
      <c r="E1" s="669" t="s">
        <v>5812</v>
      </c>
      <c r="F1" s="672" t="s">
        <v>5813</v>
      </c>
      <c r="G1" s="672"/>
      <c r="H1" s="672"/>
      <c r="I1" s="672"/>
      <c r="J1" s="669" t="s">
        <v>5812</v>
      </c>
      <c r="K1" s="124"/>
      <c r="L1" s="563" t="s">
        <v>0</v>
      </c>
      <c r="M1" s="563">
        <v>2026</v>
      </c>
      <c r="N1" s="124"/>
      <c r="O1" s="124"/>
    </row>
    <row r="2" spans="1:24" ht="21" thickBot="1">
      <c r="A2" s="670"/>
      <c r="B2" s="345" t="s">
        <v>5814</v>
      </c>
      <c r="C2" s="345" t="s">
        <v>5815</v>
      </c>
      <c r="D2" s="345" t="s">
        <v>5816</v>
      </c>
      <c r="E2" s="670"/>
      <c r="F2" s="571" t="s">
        <v>5814</v>
      </c>
      <c r="G2" s="571" t="s">
        <v>5817</v>
      </c>
      <c r="H2" s="571" t="s">
        <v>5818</v>
      </c>
      <c r="I2" s="571" t="s">
        <v>5816</v>
      </c>
      <c r="J2" s="670"/>
      <c r="K2" s="124"/>
      <c r="L2" s="124"/>
      <c r="M2" s="124"/>
      <c r="N2" s="124"/>
      <c r="O2" s="124"/>
      <c r="P2" s="128" t="s">
        <v>5819</v>
      </c>
      <c r="Q2" s="127" t="s">
        <v>1603</v>
      </c>
      <c r="R2" s="126" t="s">
        <v>5820</v>
      </c>
      <c r="S2" s="126" t="s">
        <v>5821</v>
      </c>
      <c r="T2" s="126" t="s">
        <v>10</v>
      </c>
      <c r="U2" s="126" t="s">
        <v>5822</v>
      </c>
      <c r="V2" s="129" t="s">
        <v>5823</v>
      </c>
      <c r="W2" s="145"/>
      <c r="X2" s="131" t="s">
        <v>5824</v>
      </c>
    </row>
    <row r="3" spans="1:24">
      <c r="A3" s="572" t="s">
        <v>15</v>
      </c>
      <c r="B3" s="573">
        <v>35429481.369999997</v>
      </c>
      <c r="C3" s="573">
        <v>2064228.3806</v>
      </c>
      <c r="D3" s="574">
        <f>IF(B3="","",(C3/B3)*100)</f>
        <v>5.8263014325349127</v>
      </c>
      <c r="E3" s="575" t="str">
        <f t="shared" ref="E3:E15" si="0">IF(D3="","",IF(D3&gt;=3,$A$47,$A$48))</f>
        <v>ได้ตามเป้าหมาย</v>
      </c>
      <c r="F3" s="576">
        <f>มูลค่าซื้อ!D3</f>
        <v>121522603.11000003</v>
      </c>
      <c r="G3" s="573">
        <f>SUMIFS(Data!$L$3:$L$9021,Data!$B$3:$B$9021,'สรุป-รายเดือน'!$A3,Data!$A$3:$A$9021,'สรุป-รายเดือน'!$M$1)</f>
        <v>8059232.1658249516</v>
      </c>
      <c r="H3" s="573">
        <f>F3*0.03</f>
        <v>3645678.0933000008</v>
      </c>
      <c r="I3" s="577">
        <f t="shared" ref="I3:I14" si="1">(G3/F3)*100</f>
        <v>6.6318791398254389</v>
      </c>
      <c r="J3" s="578" t="str">
        <f t="shared" ref="J3" si="2">IF(I3="","",IF(I3&gt;=3,$A$47,$A$48))</f>
        <v>ได้ตามเป้าหมาย</v>
      </c>
      <c r="K3" s="124"/>
      <c r="L3" s="343">
        <f>G3-H3</f>
        <v>4413554.0725249508</v>
      </c>
      <c r="M3" s="344">
        <f>L3/F3</f>
        <v>3.6318791398254384E-2</v>
      </c>
      <c r="N3" s="124"/>
      <c r="O3" s="124"/>
      <c r="P3" s="133"/>
      <c r="R3" s="130"/>
      <c r="S3" s="130"/>
      <c r="T3" s="130"/>
      <c r="U3" s="131"/>
      <c r="V3" s="132" t="s">
        <v>5825</v>
      </c>
      <c r="W3" s="145"/>
      <c r="X3" s="131"/>
    </row>
    <row r="4" spans="1:24">
      <c r="A4" s="579" t="s">
        <v>178</v>
      </c>
      <c r="B4" s="580">
        <v>46183144.210000001</v>
      </c>
      <c r="C4" s="580">
        <v>490222.25</v>
      </c>
      <c r="D4" s="581">
        <f t="shared" ref="D4:D14" si="3">IF(B4="","",(C4/B4)*100)</f>
        <v>1.0614743937114888</v>
      </c>
      <c r="E4" s="582" t="str">
        <f t="shared" si="0"/>
        <v>ไม่ได้ตามเป้าหมาย</v>
      </c>
      <c r="F4" s="583">
        <f>มูลค่าซื้อ!D4</f>
        <v>69378145.067432016</v>
      </c>
      <c r="G4" s="580">
        <f>SUMIFS(Data!$L$3:$L$9021,Data!$B$3:$B$9021,'สรุป-รายเดือน'!$A4,Data!$A$3:$A$9021,'สรุป-รายเดือน'!$M$1)</f>
        <v>1780587.7068000003</v>
      </c>
      <c r="H4" s="580">
        <f t="shared" ref="H4:H14" si="4">F4*0.03</f>
        <v>2081344.3520229603</v>
      </c>
      <c r="I4" s="584">
        <f t="shared" si="1"/>
        <v>2.5664965603640164</v>
      </c>
      <c r="J4" s="585" t="str">
        <f t="shared" ref="J4" si="5">IF(I4="","",IF(I4&gt;=3,$A$47,$A$48))</f>
        <v>ไม่ได้ตามเป้าหมาย</v>
      </c>
      <c r="K4" s="124"/>
      <c r="L4" s="343">
        <f>G4-H4</f>
        <v>-300756.64522296004</v>
      </c>
      <c r="M4" s="344">
        <f t="shared" ref="M4:M11" si="6">L4/H4</f>
        <v>-0.14450114654532775</v>
      </c>
      <c r="N4" s="124"/>
      <c r="O4" s="124"/>
      <c r="P4" s="133"/>
      <c r="R4" s="130">
        <v>0</v>
      </c>
      <c r="S4" s="130">
        <v>15</v>
      </c>
      <c r="T4" s="130">
        <f>S4-R4</f>
        <v>15</v>
      </c>
      <c r="U4" s="146">
        <v>515000</v>
      </c>
      <c r="V4" s="147">
        <f>(U4*4.25%)*30/360</f>
        <v>1823.9583333333333</v>
      </c>
      <c r="W4" s="148">
        <f>V4/U4</f>
        <v>3.5416666666666665E-3</v>
      </c>
      <c r="X4" s="149">
        <f>U4-V4</f>
        <v>513176.04166666669</v>
      </c>
    </row>
    <row r="5" spans="1:24" ht="21" thickBot="1">
      <c r="A5" s="586" t="s">
        <v>327</v>
      </c>
      <c r="B5" s="587">
        <v>54764338.978</v>
      </c>
      <c r="C5" s="587">
        <v>1120405.398</v>
      </c>
      <c r="D5" s="588">
        <f t="shared" si="3"/>
        <v>2.0458667426810186</v>
      </c>
      <c r="E5" s="589" t="str">
        <f t="shared" si="0"/>
        <v>ไม่ได้ตามเป้าหมาย</v>
      </c>
      <c r="F5" s="590">
        <v>126764333.7</v>
      </c>
      <c r="G5" s="587">
        <f>SUMIFS(Data!$L$3:$L$9021,Data!$B$3:$B$9021,'สรุป-รายเดือน'!$A5,Data!$A$3:$A$9021,'สรุป-รายเดือน'!$M$1)</f>
        <v>3857396.54</v>
      </c>
      <c r="H5" s="587">
        <f t="shared" si="4"/>
        <v>3802930.0109999999</v>
      </c>
      <c r="I5" s="591">
        <f t="shared" si="1"/>
        <v>3.0429667615568432</v>
      </c>
      <c r="J5" s="592" t="str">
        <f t="shared" ref="J5:J6" si="7">IF(I5="","",IF(I5&gt;=3,$A$47,$A$48))</f>
        <v>ได้ตามเป้าหมาย</v>
      </c>
      <c r="K5" s="124"/>
      <c r="L5" s="343">
        <f t="shared" ref="L5:L11" si="8">G5-H5</f>
        <v>54466.529000000097</v>
      </c>
      <c r="M5" s="344">
        <f t="shared" si="6"/>
        <v>1.4322253852281084E-2</v>
      </c>
      <c r="N5" s="124"/>
      <c r="O5" s="124"/>
      <c r="P5" s="133"/>
      <c r="R5" s="130">
        <v>0</v>
      </c>
      <c r="S5" s="130">
        <v>30</v>
      </c>
      <c r="T5" s="130">
        <f t="shared" ref="T5:T6" si="9">S5-R5</f>
        <v>30</v>
      </c>
      <c r="U5" s="146">
        <v>2595435.5</v>
      </c>
      <c r="V5" s="147">
        <f t="shared" ref="V5" si="10">(U5*4.25%)*30/360</f>
        <v>9192.167395833334</v>
      </c>
      <c r="W5" s="148">
        <f t="shared" ref="W5:W6" si="11">V5/U5</f>
        <v>3.5416666666666669E-3</v>
      </c>
      <c r="X5" s="149">
        <f t="shared" ref="X5:X6" si="12">U5-V5</f>
        <v>2586243.3326041666</v>
      </c>
    </row>
    <row r="6" spans="1:24">
      <c r="A6" s="593" t="s">
        <v>464</v>
      </c>
      <c r="B6" s="594">
        <v>32497323.889999978</v>
      </c>
      <c r="C6" s="594">
        <v>356214.94669999985</v>
      </c>
      <c r="D6" s="595">
        <f t="shared" si="3"/>
        <v>1.0961362477284282</v>
      </c>
      <c r="E6" s="596" t="str">
        <f t="shared" si="0"/>
        <v>ไม่ได้ตามเป้าหมาย</v>
      </c>
      <c r="F6" s="597">
        <v>57832810.302154012</v>
      </c>
      <c r="G6" s="594">
        <f>SUMIFS(Data!$L$3:$L$9021,Data!$B$3:$B$9021,'สรุป-รายเดือน'!$A6,Data!$A$3:$A$9021,'สรุป-รายเดือน'!$M$1)</f>
        <v>739724.92499999993</v>
      </c>
      <c r="H6" s="594">
        <f>F6*0.03</f>
        <v>1734984.3090646204</v>
      </c>
      <c r="I6" s="598">
        <f>(G6/F6)*100</f>
        <v>1.2790748385479178</v>
      </c>
      <c r="J6" s="599" t="str">
        <f t="shared" si="7"/>
        <v>ไม่ได้ตามเป้าหมาย</v>
      </c>
      <c r="K6" s="124"/>
      <c r="L6" s="343">
        <f t="shared" si="8"/>
        <v>-995259.38406462048</v>
      </c>
      <c r="M6" s="344">
        <f t="shared" si="6"/>
        <v>-0.57364172048402751</v>
      </c>
      <c r="N6" s="124"/>
      <c r="O6" s="124"/>
      <c r="P6" s="133"/>
      <c r="R6" s="130">
        <v>30</v>
      </c>
      <c r="S6" s="130">
        <v>60</v>
      </c>
      <c r="T6" s="130">
        <f t="shared" si="9"/>
        <v>30</v>
      </c>
      <c r="U6" s="146">
        <v>3340000</v>
      </c>
      <c r="V6" s="147">
        <f>(U6*4.25%)*30/360</f>
        <v>11829.166666666666</v>
      </c>
      <c r="W6" s="148">
        <f t="shared" si="11"/>
        <v>3.5416666666666665E-3</v>
      </c>
      <c r="X6" s="149">
        <f t="shared" si="12"/>
        <v>3328170.8333333335</v>
      </c>
    </row>
    <row r="7" spans="1:24">
      <c r="A7" s="600" t="s">
        <v>562</v>
      </c>
      <c r="B7" s="601">
        <v>43171990.919999987</v>
      </c>
      <c r="C7" s="601">
        <v>1477519.7523999996</v>
      </c>
      <c r="D7" s="602">
        <f t="shared" si="3"/>
        <v>3.4224035559025361</v>
      </c>
      <c r="E7" s="603" t="str">
        <f t="shared" si="0"/>
        <v>ได้ตามเป้าหมาย</v>
      </c>
      <c r="F7" s="604">
        <v>66134404.932516001</v>
      </c>
      <c r="G7" s="601">
        <f>SUMIFS(Data!$L$3:$L$9021,Data!$B$3:$B$9021,'สรุป-รายเดือน'!$A7,Data!$A$3:$A$9021,'สรุป-รายเดือน'!$M$1)</f>
        <v>1641950.5981999994</v>
      </c>
      <c r="H7" s="601">
        <f t="shared" si="4"/>
        <v>1984032.14797548</v>
      </c>
      <c r="I7" s="605">
        <f t="shared" si="1"/>
        <v>2.4827479734269282</v>
      </c>
      <c r="J7" s="606" t="str">
        <f>IF(I7="","",IF(I7&gt;=3,$A$47,$A$48))</f>
        <v>ไม่ได้ตามเป้าหมาย</v>
      </c>
      <c r="K7" s="124"/>
      <c r="L7" s="343">
        <f t="shared" si="8"/>
        <v>-342081.54977548053</v>
      </c>
      <c r="M7" s="344">
        <f t="shared" si="6"/>
        <v>-0.17241734219102392</v>
      </c>
      <c r="N7" s="124"/>
      <c r="O7" s="124"/>
      <c r="P7" s="133"/>
      <c r="R7" s="130"/>
      <c r="S7" s="130"/>
      <c r="T7" s="130"/>
      <c r="U7" s="146"/>
      <c r="V7" s="147"/>
      <c r="W7" s="148"/>
      <c r="X7" s="149"/>
    </row>
    <row r="8" spans="1:24" ht="21" thickBot="1">
      <c r="A8" s="607" t="s">
        <v>696</v>
      </c>
      <c r="B8" s="608">
        <v>58552221.140000015</v>
      </c>
      <c r="C8" s="608">
        <v>612132.272</v>
      </c>
      <c r="D8" s="609">
        <f t="shared" si="3"/>
        <v>1.0454467142012844</v>
      </c>
      <c r="E8" s="610" t="str">
        <f t="shared" si="0"/>
        <v>ไม่ได้ตามเป้าหมาย</v>
      </c>
      <c r="F8" s="611">
        <v>92229828.093115032</v>
      </c>
      <c r="G8" s="608">
        <f>SUMIFS(Data!$L$3:$L$9021,Data!$B$3:$B$9021,'สรุป-รายเดือน'!$A8,Data!$A$3:$A$9021,'สรุป-รายเดือน'!$M$1)</f>
        <v>6009822.4700000007</v>
      </c>
      <c r="H8" s="608">
        <f t="shared" si="4"/>
        <v>2766894.8427934507</v>
      </c>
      <c r="I8" s="612">
        <f t="shared" si="1"/>
        <v>6.5161375601096179</v>
      </c>
      <c r="J8" s="613" t="str">
        <f>IF(I8="","",IF(I8&gt;=3,$A$47,$A$48))</f>
        <v>ได้ตามเป้าหมาย</v>
      </c>
      <c r="K8" s="124"/>
      <c r="L8" s="343">
        <f t="shared" si="8"/>
        <v>3242927.62720655</v>
      </c>
      <c r="M8" s="344">
        <f t="shared" si="6"/>
        <v>1.1720458533698728</v>
      </c>
      <c r="N8" s="124"/>
      <c r="O8" s="124"/>
      <c r="P8" s="133"/>
      <c r="R8" s="130"/>
      <c r="S8" s="130"/>
      <c r="T8" s="130"/>
      <c r="U8" s="146"/>
      <c r="V8" s="147"/>
      <c r="W8" s="148"/>
      <c r="X8" s="149"/>
    </row>
    <row r="9" spans="1:24">
      <c r="A9" s="614" t="s">
        <v>1</v>
      </c>
      <c r="B9" s="615">
        <v>63322615.910000063</v>
      </c>
      <c r="C9" s="615">
        <v>266870.84999999998</v>
      </c>
      <c r="D9" s="616">
        <f t="shared" si="3"/>
        <v>0.42144634450873192</v>
      </c>
      <c r="E9" s="617" t="str">
        <f t="shared" si="0"/>
        <v>ไม่ได้ตามเป้าหมาย</v>
      </c>
      <c r="F9" s="618">
        <v>111347407.98870601</v>
      </c>
      <c r="G9" s="615">
        <f>SUMIFS(Data!$L$3:$L$9021,Data!$B$3:$B$9021,'สรุป-รายเดือน'!$A9,Data!$A$3:$A$9021,'สรุป-รายเดือน'!$M$1)</f>
        <v>4132770.9149999996</v>
      </c>
      <c r="H9" s="615">
        <f t="shared" si="4"/>
        <v>3340422.2396611799</v>
      </c>
      <c r="I9" s="619">
        <f t="shared" si="1"/>
        <v>3.7116004670887244</v>
      </c>
      <c r="J9" s="620" t="str">
        <f>IF(I9="","",IF(I9&gt;=3,$A$47,$A$48))</f>
        <v>ได้ตามเป้าหมาย</v>
      </c>
      <c r="K9" s="124"/>
      <c r="L9" s="343">
        <f t="shared" si="8"/>
        <v>792348.67533881962</v>
      </c>
      <c r="M9" s="344">
        <f t="shared" si="6"/>
        <v>0.2372001556962415</v>
      </c>
      <c r="N9" s="124"/>
      <c r="O9" s="124"/>
      <c r="P9" s="133"/>
      <c r="R9" s="130"/>
      <c r="S9" s="130"/>
      <c r="T9" s="130"/>
      <c r="U9" s="146"/>
      <c r="V9" s="147"/>
      <c r="W9" s="148"/>
      <c r="X9" s="149"/>
    </row>
    <row r="10" spans="1:24">
      <c r="A10" s="621" t="s">
        <v>895</v>
      </c>
      <c r="B10" s="622">
        <v>67114434.699999988</v>
      </c>
      <c r="C10" s="622">
        <v>846288.39920000092</v>
      </c>
      <c r="D10" s="623">
        <f t="shared" si="3"/>
        <v>1.2609633128594333</v>
      </c>
      <c r="E10" s="624" t="str">
        <f t="shared" si="0"/>
        <v>ไม่ได้ตามเป้าหมาย</v>
      </c>
      <c r="F10" s="625">
        <f>SUMIFS(มูลค่าซื้อ!$D$15:$D$1012,มูลค่าซื้อ!$C$15:$C$1012,'สรุป-รายเดือน'!$A10,มูลค่าซื้อ!$B$15:$B$1012,'สรุป-รายเดือน'!$M$1)</f>
        <v>0</v>
      </c>
      <c r="G10" s="622">
        <f>SUMIFS(Data!$L$3:$L$9021,Data!$B$3:$B$9021,'สรุป-รายเดือน'!$A10,Data!$A$3:$A$9021,'สรุป-รายเดือน'!$M$1)</f>
        <v>-435915.19999999995</v>
      </c>
      <c r="H10" s="622">
        <f t="shared" si="4"/>
        <v>0</v>
      </c>
      <c r="I10" s="626" t="e">
        <f t="shared" si="1"/>
        <v>#DIV/0!</v>
      </c>
      <c r="J10" s="627" t="e">
        <f>IF(I10="","",IF(I10&gt;=3,$A$47,$A$48))</f>
        <v>#DIV/0!</v>
      </c>
      <c r="K10" s="124"/>
      <c r="L10" s="343">
        <f t="shared" si="8"/>
        <v>-435915.19999999995</v>
      </c>
      <c r="M10" s="344" t="e">
        <f t="shared" si="6"/>
        <v>#DIV/0!</v>
      </c>
      <c r="N10" s="124"/>
      <c r="O10" s="124"/>
      <c r="P10" s="133"/>
      <c r="R10" s="162"/>
      <c r="S10" s="162"/>
      <c r="T10" s="162"/>
      <c r="U10" s="163"/>
      <c r="V10" s="164"/>
      <c r="W10" s="165"/>
      <c r="X10" s="166"/>
    </row>
    <row r="11" spans="1:24" ht="21" thickBot="1">
      <c r="A11" s="628" t="s">
        <v>998</v>
      </c>
      <c r="B11" s="629">
        <v>78087740.5</v>
      </c>
      <c r="C11" s="629">
        <v>587687.38600000017</v>
      </c>
      <c r="D11" s="630">
        <f t="shared" si="3"/>
        <v>0.75259878469655572</v>
      </c>
      <c r="E11" s="631" t="str">
        <f t="shared" si="0"/>
        <v>ไม่ได้ตามเป้าหมาย</v>
      </c>
      <c r="F11" s="632">
        <f>SUMIFS(มูลค่าซื้อ!$D$15:$D$1012,มูลค่าซื้อ!$C$15:$C$1012,'สรุป-รายเดือน'!$A11,มูลค่าซื้อ!$B$15:$B$1012,'สรุป-รายเดือน'!$M$1)</f>
        <v>0</v>
      </c>
      <c r="G11" s="629">
        <f>SUMIFS(Data!$L$3:$L$9021,Data!$B$3:$B$9021,'สรุป-รายเดือน'!$A11,Data!$A$3:$A$9021,'สรุป-รายเดือน'!$M$1)</f>
        <v>0</v>
      </c>
      <c r="H11" s="629">
        <f>F11*0.03</f>
        <v>0</v>
      </c>
      <c r="I11" s="633" t="e">
        <f t="shared" si="1"/>
        <v>#DIV/0!</v>
      </c>
      <c r="J11" s="634" t="e">
        <f t="shared" ref="J11:J14" si="13">IF(I11="","",IF(I11&gt;=3,$A$47,$A$48))</f>
        <v>#DIV/0!</v>
      </c>
      <c r="K11" s="124"/>
      <c r="L11" s="343">
        <f t="shared" si="8"/>
        <v>0</v>
      </c>
      <c r="M11" s="344" t="e">
        <f t="shared" si="6"/>
        <v>#DIV/0!</v>
      </c>
      <c r="N11" s="124"/>
      <c r="O11" s="124"/>
      <c r="P11" s="133"/>
      <c r="R11" s="167"/>
      <c r="S11" s="167"/>
      <c r="T11" s="167"/>
      <c r="U11" s="168"/>
      <c r="V11" s="169"/>
      <c r="W11" s="170"/>
      <c r="X11" s="171"/>
    </row>
    <row r="12" spans="1:24">
      <c r="A12" s="635" t="s">
        <v>1083</v>
      </c>
      <c r="B12" s="636">
        <v>51614276.292736001</v>
      </c>
      <c r="C12" s="636">
        <v>729979.1795000009</v>
      </c>
      <c r="D12" s="637">
        <f t="shared" si="3"/>
        <v>1.4142970354942968</v>
      </c>
      <c r="E12" s="638" t="str">
        <f t="shared" si="0"/>
        <v>ไม่ได้ตามเป้าหมาย</v>
      </c>
      <c r="F12" s="639">
        <f>SUMIFS(มูลค่าซื้อ!$D$15:$D$1012,มูลค่าซื้อ!$C$15:$C$1012,'สรุป-รายเดือน'!$A12,มูลค่าซื้อ!$B$15:$B$1012,'สรุป-รายเดือน'!$M$1)</f>
        <v>0</v>
      </c>
      <c r="G12" s="636">
        <f>SUMIFS(Data!$L$3:$L$9021,Data!$B$3:$B$9021,'สรุป-รายเดือน'!$A12,Data!$A$3:$A$9021,'สรุป-รายเดือน'!$M$1)</f>
        <v>0</v>
      </c>
      <c r="H12" s="636">
        <f t="shared" si="4"/>
        <v>0</v>
      </c>
      <c r="I12" s="637" t="e">
        <f t="shared" si="1"/>
        <v>#DIV/0!</v>
      </c>
      <c r="J12" s="638" t="e">
        <f t="shared" si="13"/>
        <v>#DIV/0!</v>
      </c>
      <c r="K12" s="124"/>
      <c r="L12" s="343">
        <f t="shared" ref="L12:L14" si="14">G12-H12</f>
        <v>0</v>
      </c>
      <c r="M12" s="344" t="e">
        <f t="shared" ref="M12:M14" si="15">L12/H12</f>
        <v>#DIV/0!</v>
      </c>
      <c r="N12" s="124"/>
      <c r="O12" s="124"/>
      <c r="P12" s="133"/>
      <c r="R12" s="167"/>
      <c r="S12" s="167"/>
      <c r="T12" s="167"/>
      <c r="U12" s="171"/>
      <c r="V12" s="169"/>
      <c r="W12" s="170"/>
      <c r="X12" s="171"/>
    </row>
    <row r="13" spans="1:24">
      <c r="A13" s="640" t="s">
        <v>1295</v>
      </c>
      <c r="B13" s="641">
        <v>153062315.63240001</v>
      </c>
      <c r="C13" s="641">
        <v>976139.59999999916</v>
      </c>
      <c r="D13" s="642">
        <f t="shared" si="3"/>
        <v>0.63773999234686307</v>
      </c>
      <c r="E13" s="643" t="str">
        <f t="shared" si="0"/>
        <v>ไม่ได้ตามเป้าหมาย</v>
      </c>
      <c r="F13" s="644">
        <f>SUMIFS(มูลค่าซื้อ!$D$15:$D$1012,มูลค่าซื้อ!$C$15:$C$1012,'สรุป-รายเดือน'!$A13,มูลค่าซื้อ!$B$15:$B$1012,'สรุป-รายเดือน'!$M$1)</f>
        <v>0</v>
      </c>
      <c r="G13" s="641">
        <f>SUMIFS(Data!$L$3:$L$9021,Data!$B$3:$B$9021,'สรุป-รายเดือน'!$A13,Data!$A$3:$A$9021,'สรุป-รายเดือน'!$M$1)</f>
        <v>0</v>
      </c>
      <c r="H13" s="641">
        <f t="shared" si="4"/>
        <v>0</v>
      </c>
      <c r="I13" s="642" t="e">
        <f t="shared" si="1"/>
        <v>#DIV/0!</v>
      </c>
      <c r="J13" s="643" t="e">
        <f t="shared" si="13"/>
        <v>#DIV/0!</v>
      </c>
      <c r="K13" s="124"/>
      <c r="L13" s="343">
        <f>G13-H13</f>
        <v>0</v>
      </c>
      <c r="M13" s="344" t="e">
        <f t="shared" si="15"/>
        <v>#DIV/0!</v>
      </c>
      <c r="N13" s="124"/>
      <c r="O13" s="124"/>
      <c r="P13" s="133"/>
      <c r="R13" s="167"/>
      <c r="S13" s="167"/>
      <c r="T13" s="167"/>
      <c r="U13" s="168"/>
      <c r="V13" s="169"/>
      <c r="W13" s="170"/>
      <c r="X13" s="171"/>
    </row>
    <row r="14" spans="1:24" ht="21" thickBot="1">
      <c r="A14" s="645" t="s">
        <v>1400</v>
      </c>
      <c r="B14" s="646">
        <v>19994699.57</v>
      </c>
      <c r="C14" s="646">
        <v>66880.267299999949</v>
      </c>
      <c r="D14" s="647">
        <f t="shared" si="3"/>
        <v>0.33448998353717174</v>
      </c>
      <c r="E14" s="643" t="str">
        <f t="shared" si="0"/>
        <v>ไม่ได้ตามเป้าหมาย</v>
      </c>
      <c r="F14" s="644">
        <f>SUMIFS(มูลค่าซื้อ!$D$15:$D$1012,มูลค่าซื้อ!$C$15:$C$1012,'สรุป-รายเดือน'!$A14,มูลค่าซื้อ!$B$15:$B$1012,'สรุป-รายเดือน'!$M$1)</f>
        <v>0</v>
      </c>
      <c r="G14" s="641">
        <f>SUMIFS(Data!$L$3:$L$9021,Data!$B$3:$B$9021,'สรุป-รายเดือน'!$A14,Data!$A$3:$A$9021,'สรุป-รายเดือน'!$M$1)</f>
        <v>0</v>
      </c>
      <c r="H14" s="641">
        <f t="shared" si="4"/>
        <v>0</v>
      </c>
      <c r="I14" s="642" t="e">
        <f t="shared" si="1"/>
        <v>#DIV/0!</v>
      </c>
      <c r="J14" s="643" t="e">
        <f t="shared" si="13"/>
        <v>#DIV/0!</v>
      </c>
      <c r="K14" s="124"/>
      <c r="L14" s="343">
        <f t="shared" si="14"/>
        <v>0</v>
      </c>
      <c r="M14" s="344" t="e">
        <f t="shared" si="15"/>
        <v>#DIV/0!</v>
      </c>
      <c r="N14" s="124"/>
      <c r="O14" s="124"/>
      <c r="P14" s="133"/>
      <c r="R14" s="167"/>
      <c r="S14" s="167"/>
      <c r="T14" s="167"/>
      <c r="U14" s="168"/>
      <c r="V14" s="169"/>
      <c r="W14" s="170"/>
      <c r="X14" s="171"/>
    </row>
    <row r="15" spans="1:24" ht="21" thickBot="1">
      <c r="A15" s="648" t="s">
        <v>5826</v>
      </c>
      <c r="B15" s="649">
        <f>SUM(B3:B14)</f>
        <v>703794583.11313617</v>
      </c>
      <c r="C15" s="649">
        <f>SUM(C3:C14)</f>
        <v>9594568.6817000005</v>
      </c>
      <c r="D15" s="650">
        <f>IF(B15="","",(C15/B15)*100)</f>
        <v>1.3632626496299216</v>
      </c>
      <c r="E15" s="651" t="str">
        <f t="shared" si="0"/>
        <v>ไม่ได้ตามเป้าหมาย</v>
      </c>
      <c r="F15" s="649">
        <f>SUM(F3:F14)</f>
        <v>645209533.19392312</v>
      </c>
      <c r="G15" s="649">
        <f>SUM(G3:G14)</f>
        <v>25785570.120824952</v>
      </c>
      <c r="H15" s="649">
        <f>SUM(H3:H14)</f>
        <v>19356285.995817691</v>
      </c>
      <c r="I15" s="652">
        <f>IF(F15="","",(G15/F15)*100)</f>
        <v>3.9964645272956441</v>
      </c>
      <c r="J15" s="653" t="str">
        <f>IF(I15="","",IF(I15&gt;=3,$A$47,$A$48))</f>
        <v>ได้ตามเป้าหมาย</v>
      </c>
      <c r="K15" s="124"/>
      <c r="L15" s="124"/>
      <c r="M15" s="124"/>
      <c r="N15" s="124"/>
      <c r="O15" s="124"/>
      <c r="R15" s="167"/>
      <c r="S15" s="167"/>
      <c r="T15" s="167"/>
      <c r="U15" s="168"/>
      <c r="V15" s="169"/>
      <c r="W15" s="170"/>
      <c r="X15" s="171"/>
    </row>
    <row r="16" spans="1:24">
      <c r="A16" s="21"/>
      <c r="B16" s="22"/>
      <c r="C16" s="22"/>
      <c r="D16" s="23"/>
      <c r="E16" s="24"/>
      <c r="F16" s="22"/>
      <c r="G16" s="22"/>
      <c r="H16" s="22"/>
      <c r="I16" s="25"/>
      <c r="J16" s="21"/>
      <c r="K16" s="21"/>
      <c r="L16" s="21"/>
      <c r="M16" s="21"/>
      <c r="N16" s="21"/>
      <c r="O16" s="21"/>
      <c r="R16" s="167"/>
      <c r="S16" s="167"/>
      <c r="T16" s="167"/>
      <c r="U16" s="376"/>
      <c r="V16" s="169"/>
      <c r="W16" s="170"/>
      <c r="X16" s="171"/>
    </row>
    <row r="17" spans="1:24">
      <c r="A17" s="21"/>
      <c r="B17" s="22"/>
      <c r="C17" s="22"/>
      <c r="D17" s="23"/>
      <c r="E17" s="24"/>
      <c r="F17" s="22"/>
      <c r="G17" s="22"/>
      <c r="H17" s="22"/>
      <c r="I17" s="25"/>
      <c r="J17" s="21"/>
      <c r="K17" s="21"/>
      <c r="L17" s="21"/>
      <c r="M17" s="21"/>
      <c r="N17" s="21"/>
      <c r="O17" s="21"/>
      <c r="R17" s="167"/>
      <c r="S17" s="167"/>
      <c r="T17" s="167"/>
      <c r="U17" s="171"/>
      <c r="V17" s="169"/>
      <c r="W17" s="170"/>
      <c r="X17" s="171"/>
    </row>
    <row r="18" spans="1:24">
      <c r="A18" s="21"/>
      <c r="B18" s="22"/>
      <c r="C18" s="22"/>
      <c r="D18" s="23"/>
      <c r="E18" s="24"/>
      <c r="F18" s="22"/>
      <c r="G18" s="22"/>
      <c r="H18" s="22"/>
      <c r="I18" s="25"/>
      <c r="J18" s="21"/>
      <c r="K18" s="21"/>
      <c r="L18" s="21"/>
      <c r="M18" s="21"/>
      <c r="N18" s="21"/>
      <c r="O18" s="21"/>
    </row>
    <row r="19" spans="1:24">
      <c r="A19" s="21"/>
      <c r="B19" s="22"/>
      <c r="C19" s="22"/>
      <c r="D19" s="23"/>
      <c r="E19" s="24"/>
      <c r="F19" s="22"/>
      <c r="G19" s="22"/>
      <c r="H19" s="22"/>
      <c r="I19" s="25"/>
      <c r="J19" s="21"/>
      <c r="K19" s="21"/>
      <c r="L19" s="21"/>
      <c r="M19" s="21"/>
      <c r="N19" s="21"/>
      <c r="O19" s="21"/>
    </row>
    <row r="20" spans="1:24">
      <c r="A20" s="21"/>
      <c r="B20" s="22"/>
      <c r="C20" s="22"/>
      <c r="D20" s="23"/>
      <c r="E20" s="24"/>
      <c r="F20" s="22"/>
      <c r="G20" s="22"/>
      <c r="H20" s="22"/>
      <c r="I20" s="25"/>
      <c r="J20" s="21"/>
      <c r="K20" s="21"/>
      <c r="L20" s="21"/>
      <c r="M20" s="21"/>
      <c r="N20" s="21"/>
      <c r="O20" s="21"/>
    </row>
    <row r="21" spans="1:24">
      <c r="A21" s="21"/>
      <c r="B21" s="22"/>
      <c r="C21" s="22"/>
      <c r="D21" s="23"/>
      <c r="E21" s="24"/>
      <c r="F21" s="22"/>
      <c r="G21" s="22"/>
      <c r="H21" s="22"/>
      <c r="I21" s="25"/>
      <c r="J21" s="21"/>
      <c r="K21" s="21"/>
      <c r="L21" s="21"/>
      <c r="M21" s="21"/>
      <c r="N21" s="21"/>
      <c r="O21" s="21"/>
    </row>
    <row r="35" spans="1:19" ht="15" customHeight="1"/>
    <row r="36" spans="1:19" ht="28.5" customHeight="1" thickBot="1">
      <c r="A36" s="357" t="s">
        <v>5827</v>
      </c>
      <c r="B36" s="357"/>
      <c r="C36" s="357"/>
      <c r="D36" s="357"/>
      <c r="E36" s="357"/>
      <c r="F36" s="357"/>
      <c r="G36" s="356" t="s">
        <v>5828</v>
      </c>
      <c r="H36" s="358"/>
      <c r="S36" s="173"/>
    </row>
    <row r="37" spans="1:19" s="127" customFormat="1" ht="28.5" customHeight="1" thickBot="1">
      <c r="A37" s="357"/>
      <c r="B37" s="357"/>
      <c r="C37" s="357"/>
      <c r="D37" s="357"/>
      <c r="E37" s="357"/>
      <c r="F37" s="357"/>
      <c r="G37" s="356" t="s">
        <v>5829</v>
      </c>
      <c r="H37" s="174"/>
      <c r="I37" s="20"/>
      <c r="J37" s="20"/>
      <c r="K37" s="20"/>
      <c r="L37" s="20"/>
      <c r="M37" s="20"/>
      <c r="N37" s="20"/>
      <c r="O37" s="20"/>
    </row>
    <row r="38" spans="1:19" s="127" customFormat="1" ht="28.5" customHeight="1" thickBot="1">
      <c r="A38" s="357"/>
      <c r="B38" s="357"/>
      <c r="C38" s="357"/>
      <c r="D38" s="357"/>
      <c r="E38" s="357"/>
      <c r="F38" s="357"/>
      <c r="G38" s="356" t="s">
        <v>5830</v>
      </c>
      <c r="H38" s="174"/>
      <c r="I38" s="20"/>
      <c r="J38" s="20"/>
      <c r="K38" s="20"/>
      <c r="L38" s="20"/>
      <c r="M38" s="20"/>
      <c r="N38" s="20"/>
      <c r="O38" s="20"/>
    </row>
    <row r="39" spans="1:19" s="127" customFormat="1" ht="21.75" customHeight="1">
      <c r="A39" s="357"/>
      <c r="B39" s="357"/>
      <c r="C39" s="357"/>
      <c r="D39" s="357"/>
      <c r="E39" s="357"/>
      <c r="F39" s="357"/>
      <c r="G39" s="20"/>
      <c r="H39" s="20"/>
      <c r="I39" s="20"/>
      <c r="J39" s="20"/>
      <c r="K39" s="20"/>
      <c r="L39" s="20"/>
      <c r="M39" s="20"/>
      <c r="N39" s="20"/>
      <c r="O39" s="20"/>
    </row>
    <row r="47" spans="1:19" s="127" customFormat="1">
      <c r="A47" s="19" t="s">
        <v>5831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spans="1:19" s="127" customFormat="1">
      <c r="A48" s="19" t="s">
        <v>5832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</sheetData>
  <dataConsolidate/>
  <mergeCells count="5">
    <mergeCell ref="A1:A2"/>
    <mergeCell ref="B1:D1"/>
    <mergeCell ref="E1:E2"/>
    <mergeCell ref="F1:I1"/>
    <mergeCell ref="J1:J2"/>
  </mergeCells>
  <printOptions horizontalCentered="1"/>
  <pageMargins left="0" right="0" top="0" bottom="0" header="0" footer="0"/>
  <pageSetup paperSize="9" scale="7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6CFC-D1F8-4913-8E5B-72DEBC3270D2}">
  <dimension ref="A2:E16"/>
  <sheetViews>
    <sheetView workbookViewId="0">
      <selection activeCell="K17" sqref="K17"/>
    </sheetView>
  </sheetViews>
  <sheetFormatPr defaultRowHeight="26.25"/>
  <cols>
    <col min="1" max="1" width="12.5703125" style="663" customWidth="1"/>
    <col min="2" max="2" width="24" style="663" customWidth="1"/>
    <col min="3" max="3" width="24" style="663" bestFit="1" customWidth="1"/>
    <col min="4" max="4" width="17" style="663" customWidth="1"/>
    <col min="5" max="5" width="14.7109375" style="663" customWidth="1"/>
    <col min="6" max="16384" width="9.140625" style="663"/>
  </cols>
  <sheetData>
    <row r="2" spans="1:5" ht="37.5">
      <c r="A2" s="673" t="s">
        <v>5833</v>
      </c>
      <c r="B2" s="673"/>
      <c r="C2" s="673"/>
      <c r="D2" s="673"/>
      <c r="E2" s="673"/>
    </row>
    <row r="3" spans="1:5" ht="27" thickBot="1">
      <c r="A3" s="664"/>
    </row>
    <row r="4" spans="1:5" ht="41.25" thickBot="1">
      <c r="A4" s="659" t="s">
        <v>5834</v>
      </c>
      <c r="B4" s="659" t="s">
        <v>5835</v>
      </c>
      <c r="C4" s="659" t="s">
        <v>5836</v>
      </c>
      <c r="D4" s="659" t="s">
        <v>5837</v>
      </c>
      <c r="E4" s="659" t="s">
        <v>5838</v>
      </c>
    </row>
    <row r="5" spans="1:5" ht="27" thickBot="1">
      <c r="A5" s="660" t="s">
        <v>15</v>
      </c>
      <c r="B5" s="661">
        <v>121.5</v>
      </c>
      <c r="C5" s="661">
        <v>8.06</v>
      </c>
      <c r="D5" s="662">
        <v>6.6299999999999998E-2</v>
      </c>
      <c r="E5" s="665"/>
    </row>
    <row r="6" spans="1:5" ht="27" thickBot="1">
      <c r="A6" s="660" t="s">
        <v>178</v>
      </c>
      <c r="B6" s="661">
        <v>69.400000000000006</v>
      </c>
      <c r="C6" s="661">
        <v>1.78</v>
      </c>
      <c r="D6" s="662">
        <v>2.5700000000000001E-2</v>
      </c>
      <c r="E6" s="665"/>
    </row>
    <row r="7" spans="1:5" ht="27" thickBot="1">
      <c r="A7" s="660" t="s">
        <v>327</v>
      </c>
      <c r="B7" s="661">
        <v>126.8</v>
      </c>
      <c r="C7" s="661">
        <v>3.86</v>
      </c>
      <c r="D7" s="662">
        <v>3.04E-2</v>
      </c>
      <c r="E7" s="665"/>
    </row>
    <row r="8" spans="1:5" ht="27" thickBot="1">
      <c r="A8" s="660" t="s">
        <v>464</v>
      </c>
      <c r="B8" s="661">
        <v>57.8</v>
      </c>
      <c r="C8" s="661">
        <v>0.74</v>
      </c>
      <c r="D8" s="662">
        <v>1.2800000000000001E-2</v>
      </c>
      <c r="E8" s="665"/>
    </row>
    <row r="9" spans="1:5" ht="27" thickBot="1">
      <c r="A9" s="660" t="s">
        <v>562</v>
      </c>
      <c r="B9" s="661">
        <v>66.099999999999994</v>
      </c>
      <c r="C9" s="661">
        <v>1.64</v>
      </c>
      <c r="D9" s="662">
        <v>2.4799999999999999E-2</v>
      </c>
      <c r="E9" s="665"/>
    </row>
    <row r="10" spans="1:5" ht="27" thickBot="1">
      <c r="A10" s="660" t="s">
        <v>696</v>
      </c>
      <c r="B10" s="661">
        <v>92.2</v>
      </c>
      <c r="C10" s="661">
        <v>6.01</v>
      </c>
      <c r="D10" s="662">
        <v>6.5199999999999994E-2</v>
      </c>
      <c r="E10" s="665"/>
    </row>
    <row r="11" spans="1:5" ht="27" thickBot="1">
      <c r="A11" s="660" t="s">
        <v>1</v>
      </c>
      <c r="B11" s="661">
        <v>111.3</v>
      </c>
      <c r="C11" s="661">
        <v>4.13</v>
      </c>
      <c r="D11" s="662">
        <v>3.7100000000000001E-2</v>
      </c>
      <c r="E11" s="665"/>
    </row>
    <row r="12" spans="1:5" ht="27" thickBot="1">
      <c r="A12" s="660" t="s">
        <v>895</v>
      </c>
      <c r="B12" s="658"/>
      <c r="C12" s="658"/>
      <c r="D12" s="658"/>
      <c r="E12" s="658"/>
    </row>
    <row r="13" spans="1:5" ht="27" thickBot="1">
      <c r="A13" s="660" t="s">
        <v>998</v>
      </c>
      <c r="B13" s="658"/>
      <c r="C13" s="658"/>
      <c r="D13" s="658"/>
      <c r="E13" s="658"/>
    </row>
    <row r="14" spans="1:5" ht="27" thickBot="1">
      <c r="A14" s="660" t="s">
        <v>1083</v>
      </c>
      <c r="B14" s="658"/>
      <c r="C14" s="658"/>
      <c r="D14" s="658"/>
      <c r="E14" s="658"/>
    </row>
    <row r="15" spans="1:5" ht="27" thickBot="1">
      <c r="A15" s="660" t="s">
        <v>1295</v>
      </c>
      <c r="B15" s="658"/>
      <c r="C15" s="658"/>
      <c r="D15" s="658"/>
      <c r="E15" s="658"/>
    </row>
    <row r="16" spans="1:5">
      <c r="A16" s="658" t="s">
        <v>5839</v>
      </c>
      <c r="B16" s="666">
        <f>SUM(B5:B15)</f>
        <v>645.1</v>
      </c>
      <c r="C16" s="666">
        <f>SUM(C5:C15)</f>
        <v>26.219999999999995</v>
      </c>
      <c r="D16" s="667">
        <f>C16/B16</f>
        <v>4.0644861261819862E-2</v>
      </c>
      <c r="E16" s="665"/>
    </row>
  </sheetData>
  <mergeCells count="1">
    <mergeCell ref="A2:E2"/>
  </mergeCells>
  <phoneticPr fontId="5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B2:E10"/>
  <sheetViews>
    <sheetView workbookViewId="0">
      <selection activeCell="M20" sqref="M20"/>
    </sheetView>
  </sheetViews>
  <sheetFormatPr defaultRowHeight="15"/>
  <cols>
    <col min="3" max="3" width="16.85546875" bestFit="1" customWidth="1"/>
    <col min="4" max="4" width="17" bestFit="1" customWidth="1"/>
    <col min="5" max="5" width="13.140625" bestFit="1" customWidth="1"/>
  </cols>
  <sheetData>
    <row r="2" spans="2:5">
      <c r="B2" s="561" t="s">
        <v>0</v>
      </c>
      <c r="C2" s="561" t="s">
        <v>5840</v>
      </c>
      <c r="D2" s="561" t="s">
        <v>5841</v>
      </c>
      <c r="E2" s="561" t="s">
        <v>5842</v>
      </c>
    </row>
    <row r="3" spans="2:5">
      <c r="B3" s="561">
        <v>2023</v>
      </c>
      <c r="C3" s="562">
        <f>SUMIF(มูลค่าซื้อ!$B$15:$B$29,'สรุป-รายปี'!$B3,มูลค่าซื้อ!$D$15:$D$1012)</f>
        <v>0</v>
      </c>
      <c r="D3" s="562">
        <f>SUMIF(Data!$A$3:$A$9021,'สรุป-รายปี'!$B3,Data!$L$3:$L$9021)</f>
        <v>12809342.135100003</v>
      </c>
      <c r="E3" s="564" t="e">
        <f>D3/C3</f>
        <v>#DIV/0!</v>
      </c>
    </row>
    <row r="4" spans="2:5">
      <c r="B4" s="561">
        <v>2024</v>
      </c>
      <c r="C4" s="562">
        <f>SUMIF(มูลค่าซื้อ!$B$15:$B$29,'สรุป-รายปี'!$B4,มูลค่าซื้อ!$D$15:$D$1012)</f>
        <v>193845782.42199999</v>
      </c>
      <c r="D4" s="562">
        <f>SUMIF(Data!$A$3:$A$9021,'สรุป-รายปี'!$B4,Data!$L$3:$L$9021)</f>
        <v>19695501.67902917</v>
      </c>
      <c r="E4" s="564">
        <f>D4/C4</f>
        <v>0.10160397318396278</v>
      </c>
    </row>
    <row r="5" spans="2:5">
      <c r="B5" s="561">
        <v>2025</v>
      </c>
      <c r="C5" s="562">
        <f>SUMIF(มูลค่าซื้อ!$B$15:$B$29,'สรุป-รายปี'!$B5,มูลค่าซื้อ!$D$15:$D$1012)</f>
        <v>1573084681.4899998</v>
      </c>
      <c r="D5" s="562">
        <f>SUMIF(Data!$A$3:$A$9021,'สรุป-รายปี'!$B5,Data!$L$3:$L$9021)</f>
        <v>38838937.043333329</v>
      </c>
      <c r="E5" s="564">
        <f t="shared" ref="E5:E10" si="0">D5/C5</f>
        <v>2.4689667060101134E-2</v>
      </c>
    </row>
    <row r="6" spans="2:5">
      <c r="B6" s="561">
        <v>2026</v>
      </c>
      <c r="C6" s="562"/>
      <c r="D6" s="562"/>
      <c r="E6" s="564" t="e">
        <f t="shared" si="0"/>
        <v>#DIV/0!</v>
      </c>
    </row>
    <row r="7" spans="2:5">
      <c r="B7" s="561">
        <v>2027</v>
      </c>
      <c r="C7" s="562"/>
      <c r="D7" s="562"/>
      <c r="E7" s="564" t="e">
        <f t="shared" si="0"/>
        <v>#DIV/0!</v>
      </c>
    </row>
    <row r="8" spans="2:5">
      <c r="B8" s="561">
        <v>2028</v>
      </c>
      <c r="C8" s="562"/>
      <c r="D8" s="562"/>
      <c r="E8" s="564" t="e">
        <f t="shared" si="0"/>
        <v>#DIV/0!</v>
      </c>
    </row>
    <row r="9" spans="2:5">
      <c r="B9" s="561">
        <v>2029</v>
      </c>
      <c r="C9" s="562"/>
      <c r="D9" s="562"/>
      <c r="E9" s="564" t="e">
        <f t="shared" si="0"/>
        <v>#DIV/0!</v>
      </c>
    </row>
    <row r="10" spans="2:5">
      <c r="B10" s="561">
        <v>2030</v>
      </c>
      <c r="C10" s="562"/>
      <c r="D10" s="562"/>
      <c r="E10" s="564" t="e">
        <f t="shared" si="0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50"/>
  <sheetViews>
    <sheetView workbookViewId="0">
      <selection activeCell="G8" sqref="G8"/>
    </sheetView>
  </sheetViews>
  <sheetFormatPr defaultRowHeight="18"/>
  <cols>
    <col min="1" max="1" width="9.140625" style="567"/>
    <col min="2" max="2" width="9.28515625" style="567" bestFit="1" customWidth="1"/>
    <col min="3" max="3" width="9.140625" style="567"/>
    <col min="4" max="4" width="18.85546875" style="567" bestFit="1" customWidth="1"/>
    <col min="5" max="16384" width="9.140625" style="567"/>
  </cols>
  <sheetData>
    <row r="2" spans="2:4">
      <c r="B2" s="566" t="s">
        <v>0</v>
      </c>
      <c r="C2" s="566" t="s">
        <v>5834</v>
      </c>
      <c r="D2" s="566" t="s">
        <v>5814</v>
      </c>
    </row>
    <row r="3" spans="2:4">
      <c r="B3" s="568">
        <v>2026</v>
      </c>
      <c r="C3" s="568" t="s">
        <v>15</v>
      </c>
      <c r="D3" s="570">
        <v>121522603.11000003</v>
      </c>
    </row>
    <row r="4" spans="2:4">
      <c r="B4" s="568">
        <v>2026</v>
      </c>
      <c r="C4" s="568" t="s">
        <v>178</v>
      </c>
      <c r="D4" s="570">
        <v>69378145.067432016</v>
      </c>
    </row>
    <row r="5" spans="2:4">
      <c r="B5" s="568">
        <v>2026</v>
      </c>
      <c r="C5" s="568" t="s">
        <v>327</v>
      </c>
      <c r="D5" s="570">
        <v>126764333.7</v>
      </c>
    </row>
    <row r="6" spans="2:4">
      <c r="B6" s="568">
        <v>2026</v>
      </c>
      <c r="C6" s="568" t="s">
        <v>464</v>
      </c>
      <c r="D6" s="570">
        <v>59523810.302153997</v>
      </c>
    </row>
    <row r="7" spans="2:4">
      <c r="B7" s="568">
        <v>2026</v>
      </c>
      <c r="C7" s="568" t="s">
        <v>562</v>
      </c>
      <c r="D7" s="570"/>
    </row>
    <row r="8" spans="2:4">
      <c r="B8" s="568">
        <v>2026</v>
      </c>
      <c r="C8" s="568" t="s">
        <v>696</v>
      </c>
      <c r="D8" s="570"/>
    </row>
    <row r="9" spans="2:4">
      <c r="B9" s="568">
        <v>2026</v>
      </c>
      <c r="C9" s="568" t="s">
        <v>1</v>
      </c>
      <c r="D9" s="570"/>
    </row>
    <row r="10" spans="2:4">
      <c r="B10" s="568">
        <v>2026</v>
      </c>
      <c r="C10" s="568" t="s">
        <v>895</v>
      </c>
      <c r="D10" s="570"/>
    </row>
    <row r="11" spans="2:4">
      <c r="B11" s="568">
        <v>2026</v>
      </c>
      <c r="C11" s="568" t="s">
        <v>998</v>
      </c>
      <c r="D11" s="570"/>
    </row>
    <row r="12" spans="2:4">
      <c r="B12" s="568">
        <v>2026</v>
      </c>
      <c r="C12" s="568" t="s">
        <v>1083</v>
      </c>
      <c r="D12" s="570"/>
    </row>
    <row r="13" spans="2:4">
      <c r="B13" s="568">
        <v>2026</v>
      </c>
      <c r="C13" s="568" t="s">
        <v>1295</v>
      </c>
      <c r="D13" s="570"/>
    </row>
    <row r="14" spans="2:4">
      <c r="B14" s="568">
        <v>2026</v>
      </c>
      <c r="C14" s="568" t="s">
        <v>1400</v>
      </c>
      <c r="D14" s="570"/>
    </row>
    <row r="15" spans="2:4">
      <c r="B15" s="568">
        <v>2025</v>
      </c>
      <c r="C15" s="568" t="s">
        <v>15</v>
      </c>
      <c r="D15" s="569">
        <v>66670984.950000003</v>
      </c>
    </row>
    <row r="16" spans="2:4">
      <c r="B16" s="568">
        <v>2025</v>
      </c>
      <c r="C16" s="568" t="s">
        <v>178</v>
      </c>
      <c r="D16" s="569">
        <v>90191461.689999998</v>
      </c>
    </row>
    <row r="17" spans="2:4">
      <c r="B17" s="568">
        <v>2025</v>
      </c>
      <c r="C17" s="568" t="s">
        <v>327</v>
      </c>
      <c r="D17" s="569">
        <v>179733599.42000002</v>
      </c>
    </row>
    <row r="18" spans="2:4">
      <c r="B18" s="568">
        <v>2025</v>
      </c>
      <c r="C18" s="568" t="s">
        <v>464</v>
      </c>
      <c r="D18" s="569">
        <v>90835578.210000008</v>
      </c>
    </row>
    <row r="19" spans="2:4">
      <c r="B19" s="568">
        <v>2025</v>
      </c>
      <c r="C19" s="568" t="s">
        <v>562</v>
      </c>
      <c r="D19" s="569">
        <v>138990424.55000001</v>
      </c>
    </row>
    <row r="20" spans="2:4">
      <c r="B20" s="568">
        <v>2025</v>
      </c>
      <c r="C20" s="568" t="s">
        <v>696</v>
      </c>
      <c r="D20" s="569">
        <v>52302144.910000004</v>
      </c>
    </row>
    <row r="21" spans="2:4">
      <c r="B21" s="568">
        <v>2025</v>
      </c>
      <c r="C21" s="568" t="s">
        <v>1</v>
      </c>
      <c r="D21" s="569">
        <v>228043667.86000001</v>
      </c>
    </row>
    <row r="22" spans="2:4">
      <c r="B22" s="568">
        <v>2025</v>
      </c>
      <c r="C22" s="568" t="s">
        <v>895</v>
      </c>
      <c r="D22" s="569">
        <v>79172244.650000006</v>
      </c>
    </row>
    <row r="23" spans="2:4">
      <c r="B23" s="568">
        <v>2025</v>
      </c>
      <c r="C23" s="568" t="s">
        <v>998</v>
      </c>
      <c r="D23" s="569">
        <v>86561617.040000007</v>
      </c>
    </row>
    <row r="24" spans="2:4">
      <c r="B24" s="568">
        <v>2025</v>
      </c>
      <c r="C24" s="568" t="s">
        <v>1083</v>
      </c>
      <c r="D24" s="569">
        <v>75043726.460000008</v>
      </c>
    </row>
    <row r="25" spans="2:4">
      <c r="B25" s="568">
        <v>2025</v>
      </c>
      <c r="C25" s="568" t="s">
        <v>1295</v>
      </c>
      <c r="D25" s="569">
        <v>80914510.799999997</v>
      </c>
    </row>
    <row r="26" spans="2:4">
      <c r="B26" s="568">
        <v>2025</v>
      </c>
      <c r="C26" s="568" t="s">
        <v>1400</v>
      </c>
      <c r="D26" s="569">
        <v>404624720.95000005</v>
      </c>
    </row>
    <row r="27" spans="2:4">
      <c r="B27" s="568">
        <v>2024</v>
      </c>
      <c r="C27" s="568" t="s">
        <v>15</v>
      </c>
      <c r="D27" s="569">
        <v>72323606.942000002</v>
      </c>
    </row>
    <row r="28" spans="2:4">
      <c r="B28" s="568">
        <v>2024</v>
      </c>
      <c r="C28" s="568" t="s">
        <v>178</v>
      </c>
      <c r="D28" s="569">
        <v>52459506.450000003</v>
      </c>
    </row>
    <row r="29" spans="2:4">
      <c r="B29" s="568">
        <v>2024</v>
      </c>
      <c r="C29" s="568" t="s">
        <v>327</v>
      </c>
      <c r="D29" s="569">
        <v>69062669.030000001</v>
      </c>
    </row>
    <row r="30" spans="2:4">
      <c r="B30" s="568">
        <v>2024</v>
      </c>
      <c r="C30" s="568" t="s">
        <v>464</v>
      </c>
      <c r="D30" s="569">
        <v>103984185.92</v>
      </c>
    </row>
    <row r="31" spans="2:4">
      <c r="B31" s="568">
        <v>2024</v>
      </c>
      <c r="C31" s="568" t="s">
        <v>562</v>
      </c>
      <c r="D31" s="569">
        <v>151591513.83500001</v>
      </c>
    </row>
    <row r="32" spans="2:4">
      <c r="B32" s="568">
        <v>2024</v>
      </c>
      <c r="C32" s="568" t="s">
        <v>696</v>
      </c>
      <c r="D32" s="569">
        <v>84822886.772300005</v>
      </c>
    </row>
    <row r="33" spans="2:4">
      <c r="B33" s="568">
        <v>2024</v>
      </c>
      <c r="C33" s="568" t="s">
        <v>1</v>
      </c>
      <c r="D33" s="569">
        <v>57886384.159999996</v>
      </c>
    </row>
    <row r="34" spans="2:4">
      <c r="B34" s="568">
        <v>2024</v>
      </c>
      <c r="C34" s="568" t="s">
        <v>895</v>
      </c>
      <c r="D34" s="569">
        <v>58525284.899999999</v>
      </c>
    </row>
    <row r="35" spans="2:4">
      <c r="B35" s="568">
        <v>2024</v>
      </c>
      <c r="C35" s="568" t="s">
        <v>998</v>
      </c>
      <c r="D35" s="569">
        <v>56947030.740000002</v>
      </c>
    </row>
    <row r="36" spans="2:4">
      <c r="B36" s="568">
        <v>2024</v>
      </c>
      <c r="C36" s="568" t="s">
        <v>1083</v>
      </c>
      <c r="D36" s="569">
        <v>44863769.053599998</v>
      </c>
    </row>
    <row r="37" spans="2:4">
      <c r="B37" s="568">
        <v>2024</v>
      </c>
      <c r="C37" s="568" t="s">
        <v>1295</v>
      </c>
      <c r="D37" s="569">
        <v>111629200.67470001</v>
      </c>
    </row>
    <row r="38" spans="2:4">
      <c r="B38" s="568">
        <v>2024</v>
      </c>
      <c r="C38" s="568" t="s">
        <v>1400</v>
      </c>
      <c r="D38" s="569">
        <v>96899045.157999992</v>
      </c>
    </row>
    <row r="39" spans="2:4">
      <c r="B39" s="568">
        <v>2023</v>
      </c>
      <c r="C39" s="568" t="s">
        <v>15</v>
      </c>
      <c r="D39" s="569">
        <v>34465867.070500001</v>
      </c>
    </row>
    <row r="40" spans="2:4">
      <c r="B40" s="568">
        <v>2023</v>
      </c>
      <c r="C40" s="568" t="s">
        <v>178</v>
      </c>
      <c r="D40" s="569">
        <v>47912353.529599994</v>
      </c>
    </row>
    <row r="41" spans="2:4">
      <c r="B41" s="568">
        <v>2023</v>
      </c>
      <c r="C41" s="568" t="s">
        <v>327</v>
      </c>
      <c r="D41" s="569">
        <v>53399571.169199996</v>
      </c>
    </row>
    <row r="42" spans="2:4">
      <c r="B42" s="568">
        <v>2023</v>
      </c>
      <c r="C42" s="568" t="s">
        <v>464</v>
      </c>
      <c r="D42" s="569">
        <v>70672335.071400002</v>
      </c>
    </row>
    <row r="43" spans="2:4">
      <c r="B43" s="568">
        <v>2023</v>
      </c>
      <c r="C43" s="568" t="s">
        <v>562</v>
      </c>
      <c r="D43" s="569">
        <v>83562807.234300002</v>
      </c>
    </row>
    <row r="44" spans="2:4">
      <c r="B44" s="568">
        <v>2023</v>
      </c>
      <c r="C44" s="568" t="s">
        <v>696</v>
      </c>
      <c r="D44" s="569">
        <v>81883828.677200004</v>
      </c>
    </row>
    <row r="45" spans="2:4">
      <c r="B45" s="568">
        <v>2023</v>
      </c>
      <c r="C45" s="568" t="s">
        <v>1</v>
      </c>
      <c r="D45" s="569">
        <v>38105637.637600005</v>
      </c>
    </row>
    <row r="46" spans="2:4">
      <c r="B46" s="568">
        <v>2023</v>
      </c>
      <c r="C46" s="568" t="s">
        <v>895</v>
      </c>
      <c r="D46" s="569">
        <v>76858132.790600002</v>
      </c>
    </row>
    <row r="47" spans="2:4">
      <c r="B47" s="568">
        <v>2023</v>
      </c>
      <c r="C47" s="568" t="s">
        <v>998</v>
      </c>
      <c r="D47" s="569">
        <v>27694438.207600001</v>
      </c>
    </row>
    <row r="48" spans="2:4">
      <c r="B48" s="568">
        <v>2023</v>
      </c>
      <c r="C48" s="568" t="s">
        <v>1083</v>
      </c>
      <c r="D48" s="569">
        <v>77329521.450200006</v>
      </c>
    </row>
    <row r="49" spans="2:4">
      <c r="B49" s="568">
        <v>2023</v>
      </c>
      <c r="C49" s="568" t="s">
        <v>1295</v>
      </c>
      <c r="D49" s="569">
        <v>40070360.4388</v>
      </c>
    </row>
    <row r="50" spans="2:4">
      <c r="B50" s="568">
        <v>2023</v>
      </c>
      <c r="C50" s="568" t="s">
        <v>1400</v>
      </c>
      <c r="D50" s="569">
        <v>37586871.849799998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00"/>
  <sheetViews>
    <sheetView workbookViewId="0">
      <pane xSplit="2" ySplit="3" topLeftCell="C1316" activePane="bottomRight" state="frozen"/>
      <selection pane="topRight" activeCell="C1" sqref="C1"/>
      <selection pane="bottomLeft" activeCell="A3" sqref="A3"/>
      <selection pane="bottomRight" activeCell="R1328" sqref="R1328"/>
    </sheetView>
  </sheetViews>
  <sheetFormatPr defaultColWidth="9.140625" defaultRowHeight="12.75"/>
  <cols>
    <col min="1" max="1" width="6.140625" style="7" bestFit="1" customWidth="1"/>
    <col min="2" max="2" width="13.7109375" style="311" customWidth="1"/>
    <col min="3" max="3" width="39.85546875" style="27" bestFit="1" customWidth="1"/>
    <col min="4" max="4" width="52.5703125" style="27" bestFit="1" customWidth="1"/>
    <col min="5" max="5" width="14.140625" style="269" customWidth="1"/>
    <col min="6" max="6" width="7.42578125" style="7" customWidth="1"/>
    <col min="7" max="7" width="16.42578125" style="312" customWidth="1"/>
    <col min="8" max="8" width="29.140625" style="312" customWidth="1"/>
    <col min="9" max="9" width="20.28515625" style="312" bestFit="1" customWidth="1"/>
    <col min="10" max="10" width="18.7109375" style="27" bestFit="1" customWidth="1"/>
    <col min="11" max="11" width="18.85546875" style="27" customWidth="1"/>
    <col min="12" max="12" width="12.140625" style="27" customWidth="1"/>
    <col min="13" max="13" width="19.7109375" style="27" customWidth="1"/>
    <col min="14" max="14" width="15.7109375" style="27" bestFit="1" customWidth="1"/>
    <col min="15" max="15" width="14" style="27" customWidth="1"/>
    <col min="16" max="16384" width="9.140625" style="27"/>
  </cols>
  <sheetData>
    <row r="1" spans="1:15">
      <c r="K1" s="346">
        <f>SUM(K4:K1248)</f>
        <v>28850082.160000004</v>
      </c>
    </row>
    <row r="3" spans="1:15" s="179" customFormat="1">
      <c r="A3" s="175" t="s">
        <v>5834</v>
      </c>
      <c r="B3" s="176" t="s">
        <v>2</v>
      </c>
      <c r="C3" s="176" t="s">
        <v>3</v>
      </c>
      <c r="D3" s="176" t="s">
        <v>4</v>
      </c>
      <c r="E3" s="177" t="s">
        <v>5</v>
      </c>
      <c r="F3" s="176" t="s">
        <v>6</v>
      </c>
      <c r="G3" s="178" t="s">
        <v>7</v>
      </c>
      <c r="H3" s="178" t="s">
        <v>8</v>
      </c>
      <c r="I3" s="178" t="s">
        <v>9</v>
      </c>
      <c r="J3" s="178" t="s">
        <v>10</v>
      </c>
      <c r="K3" s="178" t="s">
        <v>11</v>
      </c>
      <c r="L3" s="176" t="s">
        <v>12</v>
      </c>
      <c r="M3" s="176" t="s">
        <v>13</v>
      </c>
      <c r="N3" s="176" t="s">
        <v>14</v>
      </c>
    </row>
    <row r="4" spans="1:15">
      <c r="A4" s="180" t="s">
        <v>15</v>
      </c>
      <c r="B4" s="181" t="s">
        <v>3065</v>
      </c>
      <c r="C4" s="12" t="s">
        <v>501</v>
      </c>
      <c r="D4" s="12" t="s">
        <v>503</v>
      </c>
      <c r="E4" s="182">
        <v>80000</v>
      </c>
      <c r="F4" s="157" t="s">
        <v>231</v>
      </c>
      <c r="G4" s="183">
        <v>75.5</v>
      </c>
      <c r="H4" s="183">
        <f>G4*E4</f>
        <v>6040000</v>
      </c>
      <c r="I4" s="184">
        <v>75</v>
      </c>
      <c r="J4" s="184">
        <f t="shared" ref="J4:J49" si="0">G4-I4</f>
        <v>0.5</v>
      </c>
      <c r="K4" s="185">
        <f>J4*E4</f>
        <v>40000</v>
      </c>
      <c r="L4" s="186">
        <f>J4/G4</f>
        <v>6.6225165562913907E-3</v>
      </c>
      <c r="M4" s="12" t="s">
        <v>22</v>
      </c>
      <c r="N4" s="12" t="s">
        <v>39</v>
      </c>
      <c r="O4" s="12" t="s">
        <v>22</v>
      </c>
    </row>
    <row r="5" spans="1:15">
      <c r="A5" s="172" t="s">
        <v>15</v>
      </c>
      <c r="B5" s="181" t="s">
        <v>3066</v>
      </c>
      <c r="C5" s="12" t="s">
        <v>1227</v>
      </c>
      <c r="D5" s="12" t="s">
        <v>1230</v>
      </c>
      <c r="E5" s="182">
        <v>500</v>
      </c>
      <c r="F5" s="172" t="s">
        <v>19</v>
      </c>
      <c r="G5" s="18">
        <v>89</v>
      </c>
      <c r="H5" s="183">
        <f t="shared" ref="H5:H65" si="1">G5*E5</f>
        <v>44500</v>
      </c>
      <c r="I5" s="184">
        <v>87</v>
      </c>
      <c r="J5" s="184">
        <f t="shared" si="0"/>
        <v>2</v>
      </c>
      <c r="K5" s="185">
        <f t="shared" ref="K5:K49" si="2">J5*E5</f>
        <v>1000</v>
      </c>
      <c r="L5" s="186">
        <f t="shared" ref="L5:L49" si="3">J5/G5</f>
        <v>2.247191011235955E-2</v>
      </c>
      <c r="M5" s="12" t="s">
        <v>40</v>
      </c>
      <c r="N5" s="12" t="s">
        <v>39</v>
      </c>
      <c r="O5" s="12" t="s">
        <v>20</v>
      </c>
    </row>
    <row r="6" spans="1:15">
      <c r="A6" s="172" t="s">
        <v>15</v>
      </c>
      <c r="B6" s="181" t="s">
        <v>3066</v>
      </c>
      <c r="C6" s="12" t="s">
        <v>1227</v>
      </c>
      <c r="D6" s="12" t="s">
        <v>3067</v>
      </c>
      <c r="E6" s="182">
        <v>40</v>
      </c>
      <c r="F6" s="172" t="s">
        <v>19</v>
      </c>
      <c r="G6" s="18">
        <v>4980</v>
      </c>
      <c r="H6" s="183">
        <f t="shared" si="1"/>
        <v>199200</v>
      </c>
      <c r="I6" s="184">
        <v>4960</v>
      </c>
      <c r="J6" s="184">
        <f t="shared" si="0"/>
        <v>20</v>
      </c>
      <c r="K6" s="185">
        <f t="shared" si="2"/>
        <v>800</v>
      </c>
      <c r="L6" s="186">
        <f t="shared" si="3"/>
        <v>4.0160642570281121E-3</v>
      </c>
      <c r="M6" s="12" t="s">
        <v>40</v>
      </c>
      <c r="N6" s="12" t="s">
        <v>39</v>
      </c>
      <c r="O6" s="27" t="s">
        <v>30</v>
      </c>
    </row>
    <row r="7" spans="1:15">
      <c r="A7" s="172" t="s">
        <v>15</v>
      </c>
      <c r="B7" s="181" t="s">
        <v>3066</v>
      </c>
      <c r="C7" s="12" t="s">
        <v>1227</v>
      </c>
      <c r="D7" s="12" t="s">
        <v>3068</v>
      </c>
      <c r="E7" s="182">
        <v>4</v>
      </c>
      <c r="F7" s="172" t="s">
        <v>19</v>
      </c>
      <c r="G7" s="18">
        <v>475</v>
      </c>
      <c r="H7" s="183">
        <f t="shared" si="1"/>
        <v>1900</v>
      </c>
      <c r="I7" s="184">
        <v>465</v>
      </c>
      <c r="J7" s="184">
        <f t="shared" si="0"/>
        <v>10</v>
      </c>
      <c r="K7" s="185">
        <f t="shared" si="2"/>
        <v>40</v>
      </c>
      <c r="L7" s="186">
        <f t="shared" si="3"/>
        <v>2.1052631578947368E-2</v>
      </c>
      <c r="M7" s="12" t="s">
        <v>40</v>
      </c>
      <c r="N7" s="12" t="s">
        <v>39</v>
      </c>
      <c r="O7" s="27" t="s">
        <v>33</v>
      </c>
    </row>
    <row r="8" spans="1:15">
      <c r="A8" s="172" t="s">
        <v>15</v>
      </c>
      <c r="B8" s="181" t="s">
        <v>3066</v>
      </c>
      <c r="C8" s="12" t="s">
        <v>1227</v>
      </c>
      <c r="D8" s="12" t="s">
        <v>3069</v>
      </c>
      <c r="E8" s="182">
        <v>4</v>
      </c>
      <c r="F8" s="172" t="s">
        <v>19</v>
      </c>
      <c r="G8" s="18">
        <v>6850</v>
      </c>
      <c r="H8" s="183">
        <f t="shared" si="1"/>
        <v>27400</v>
      </c>
      <c r="I8" s="184">
        <v>6680</v>
      </c>
      <c r="J8" s="184">
        <f t="shared" si="0"/>
        <v>170</v>
      </c>
      <c r="K8" s="185">
        <f t="shared" si="2"/>
        <v>680</v>
      </c>
      <c r="L8" s="186">
        <f t="shared" si="3"/>
        <v>2.4817518248175182E-2</v>
      </c>
      <c r="M8" s="12" t="s">
        <v>40</v>
      </c>
      <c r="N8" s="12" t="s">
        <v>39</v>
      </c>
      <c r="O8" s="27" t="s">
        <v>40</v>
      </c>
    </row>
    <row r="9" spans="1:15">
      <c r="A9" s="172" t="s">
        <v>15</v>
      </c>
      <c r="B9" s="181" t="s">
        <v>3070</v>
      </c>
      <c r="C9" s="12" t="s">
        <v>1042</v>
      </c>
      <c r="D9" s="12" t="s">
        <v>889</v>
      </c>
      <c r="E9" s="182">
        <v>580</v>
      </c>
      <c r="F9" s="172" t="s">
        <v>37</v>
      </c>
      <c r="G9" s="18">
        <v>378</v>
      </c>
      <c r="H9" s="183">
        <f t="shared" si="1"/>
        <v>219240</v>
      </c>
      <c r="I9" s="184">
        <v>348</v>
      </c>
      <c r="J9" s="184">
        <f t="shared" si="0"/>
        <v>30</v>
      </c>
      <c r="K9" s="185">
        <f t="shared" si="2"/>
        <v>17400</v>
      </c>
      <c r="L9" s="186">
        <f t="shared" si="3"/>
        <v>7.9365079365079361E-2</v>
      </c>
      <c r="M9" s="12" t="s">
        <v>22</v>
      </c>
      <c r="N9" s="12" t="s">
        <v>105</v>
      </c>
    </row>
    <row r="10" spans="1:15">
      <c r="A10" s="172" t="s">
        <v>15</v>
      </c>
      <c r="B10" s="181" t="s">
        <v>3071</v>
      </c>
      <c r="C10" s="12" t="s">
        <v>590</v>
      </c>
      <c r="D10" s="12" t="s">
        <v>3072</v>
      </c>
      <c r="E10" s="182">
        <v>8</v>
      </c>
      <c r="F10" s="172" t="s">
        <v>63</v>
      </c>
      <c r="G10" s="18">
        <v>129000</v>
      </c>
      <c r="H10" s="183">
        <f t="shared" si="1"/>
        <v>1032000</v>
      </c>
      <c r="I10" s="184">
        <v>125000</v>
      </c>
      <c r="J10" s="184">
        <f t="shared" si="0"/>
        <v>4000</v>
      </c>
      <c r="K10" s="185">
        <f t="shared" si="2"/>
        <v>32000</v>
      </c>
      <c r="L10" s="186">
        <f t="shared" si="3"/>
        <v>3.1007751937984496E-2</v>
      </c>
      <c r="M10" s="12" t="s">
        <v>22</v>
      </c>
      <c r="N10" s="12" t="s">
        <v>39</v>
      </c>
    </row>
    <row r="11" spans="1:15">
      <c r="A11" s="172" t="s">
        <v>15</v>
      </c>
      <c r="B11" s="181" t="s">
        <v>3073</v>
      </c>
      <c r="C11" s="12" t="s">
        <v>329</v>
      </c>
      <c r="D11" s="12" t="s">
        <v>379</v>
      </c>
      <c r="E11" s="182">
        <v>20</v>
      </c>
      <c r="F11" s="172" t="s">
        <v>331</v>
      </c>
      <c r="G11" s="18">
        <v>3195</v>
      </c>
      <c r="H11" s="183">
        <f t="shared" si="1"/>
        <v>63900</v>
      </c>
      <c r="I11" s="184">
        <v>3190</v>
      </c>
      <c r="J11" s="184">
        <f t="shared" si="0"/>
        <v>5</v>
      </c>
      <c r="K11" s="185">
        <f t="shared" si="2"/>
        <v>100</v>
      </c>
      <c r="L11" s="186">
        <f t="shared" si="3"/>
        <v>1.5649452269170579E-3</v>
      </c>
      <c r="M11" s="12" t="s">
        <v>22</v>
      </c>
      <c r="N11" s="12" t="s">
        <v>39</v>
      </c>
    </row>
    <row r="12" spans="1:15">
      <c r="A12" s="172" t="s">
        <v>15</v>
      </c>
      <c r="B12" s="181" t="s">
        <v>3073</v>
      </c>
      <c r="C12" s="12" t="s">
        <v>329</v>
      </c>
      <c r="D12" s="12" t="s">
        <v>702</v>
      </c>
      <c r="E12" s="182">
        <v>2</v>
      </c>
      <c r="F12" s="172" t="s">
        <v>331</v>
      </c>
      <c r="G12" s="18">
        <v>4730</v>
      </c>
      <c r="H12" s="183">
        <f t="shared" si="1"/>
        <v>9460</v>
      </c>
      <c r="I12" s="184">
        <v>4695</v>
      </c>
      <c r="J12" s="184">
        <f t="shared" si="0"/>
        <v>35</v>
      </c>
      <c r="K12" s="185">
        <f t="shared" si="2"/>
        <v>70</v>
      </c>
      <c r="L12" s="186">
        <f t="shared" si="3"/>
        <v>7.3995771670190271E-3</v>
      </c>
      <c r="M12" s="12" t="s">
        <v>22</v>
      </c>
      <c r="N12" s="12" t="s">
        <v>39</v>
      </c>
    </row>
    <row r="13" spans="1:15">
      <c r="A13" s="172" t="s">
        <v>15</v>
      </c>
      <c r="B13" s="181" t="s">
        <v>3074</v>
      </c>
      <c r="C13" s="12" t="s">
        <v>94</v>
      </c>
      <c r="D13" s="12" t="s">
        <v>1038</v>
      </c>
      <c r="E13" s="182">
        <v>200</v>
      </c>
      <c r="F13" s="172" t="s">
        <v>19</v>
      </c>
      <c r="G13" s="18">
        <v>15.5</v>
      </c>
      <c r="H13" s="183">
        <f t="shared" si="1"/>
        <v>3100</v>
      </c>
      <c r="I13" s="184">
        <v>14.76</v>
      </c>
      <c r="J13" s="184">
        <f t="shared" si="0"/>
        <v>0.74000000000000021</v>
      </c>
      <c r="K13" s="185">
        <f t="shared" si="2"/>
        <v>148.00000000000006</v>
      </c>
      <c r="L13" s="186">
        <f t="shared" si="3"/>
        <v>4.7741935483870984E-2</v>
      </c>
      <c r="M13" s="12" t="s">
        <v>22</v>
      </c>
      <c r="N13" s="12" t="s">
        <v>105</v>
      </c>
    </row>
    <row r="14" spans="1:15">
      <c r="A14" s="172" t="s">
        <v>15</v>
      </c>
      <c r="B14" s="181" t="s">
        <v>3074</v>
      </c>
      <c r="C14" s="12" t="s">
        <v>94</v>
      </c>
      <c r="D14" s="12" t="s">
        <v>1147</v>
      </c>
      <c r="E14" s="182">
        <v>50</v>
      </c>
      <c r="F14" s="172" t="s">
        <v>615</v>
      </c>
      <c r="G14" s="18">
        <v>155</v>
      </c>
      <c r="H14" s="183">
        <f t="shared" si="1"/>
        <v>7750</v>
      </c>
      <c r="I14" s="184">
        <v>152</v>
      </c>
      <c r="J14" s="184">
        <f t="shared" si="0"/>
        <v>3</v>
      </c>
      <c r="K14" s="185">
        <f t="shared" si="2"/>
        <v>150</v>
      </c>
      <c r="L14" s="186">
        <f t="shared" si="3"/>
        <v>1.935483870967742E-2</v>
      </c>
      <c r="M14" s="12" t="s">
        <v>22</v>
      </c>
      <c r="N14" s="12" t="s">
        <v>105</v>
      </c>
    </row>
    <row r="15" spans="1:15">
      <c r="A15" s="172" t="s">
        <v>15</v>
      </c>
      <c r="B15" s="181" t="s">
        <v>3075</v>
      </c>
      <c r="C15" s="12" t="s">
        <v>229</v>
      </c>
      <c r="D15" s="12" t="s">
        <v>2255</v>
      </c>
      <c r="E15" s="182">
        <v>3000</v>
      </c>
      <c r="F15" s="172" t="s">
        <v>37</v>
      </c>
      <c r="G15" s="18">
        <v>30</v>
      </c>
      <c r="H15" s="183">
        <f>G15*E15</f>
        <v>90000</v>
      </c>
      <c r="I15" s="184">
        <v>28</v>
      </c>
      <c r="J15" s="184">
        <f t="shared" si="0"/>
        <v>2</v>
      </c>
      <c r="K15" s="185">
        <f t="shared" si="2"/>
        <v>6000</v>
      </c>
      <c r="L15" s="186">
        <f t="shared" si="3"/>
        <v>6.6666666666666666E-2</v>
      </c>
      <c r="M15" s="12" t="s">
        <v>22</v>
      </c>
      <c r="N15" s="12" t="s">
        <v>39</v>
      </c>
    </row>
    <row r="16" spans="1:15">
      <c r="A16" s="172" t="s">
        <v>15</v>
      </c>
      <c r="B16" s="181" t="s">
        <v>3075</v>
      </c>
      <c r="C16" s="12" t="s">
        <v>229</v>
      </c>
      <c r="D16" s="12" t="s">
        <v>274</v>
      </c>
      <c r="E16" s="182">
        <v>3000</v>
      </c>
      <c r="F16" s="172" t="s">
        <v>37</v>
      </c>
      <c r="G16" s="18">
        <v>30</v>
      </c>
      <c r="H16" s="183">
        <f t="shared" si="1"/>
        <v>90000</v>
      </c>
      <c r="I16" s="184">
        <v>28</v>
      </c>
      <c r="J16" s="184">
        <f t="shared" si="0"/>
        <v>2</v>
      </c>
      <c r="K16" s="185">
        <f t="shared" si="2"/>
        <v>6000</v>
      </c>
      <c r="L16" s="186">
        <f t="shared" si="3"/>
        <v>6.6666666666666666E-2</v>
      </c>
      <c r="M16" s="12" t="s">
        <v>22</v>
      </c>
      <c r="N16" s="12" t="s">
        <v>39</v>
      </c>
    </row>
    <row r="17" spans="1:14">
      <c r="A17" s="172" t="s">
        <v>15</v>
      </c>
      <c r="B17" s="181" t="s">
        <v>3075</v>
      </c>
      <c r="C17" s="12" t="s">
        <v>229</v>
      </c>
      <c r="D17" s="12" t="s">
        <v>996</v>
      </c>
      <c r="E17" s="182">
        <v>3000</v>
      </c>
      <c r="F17" s="172" t="s">
        <v>37</v>
      </c>
      <c r="G17" s="18">
        <v>30</v>
      </c>
      <c r="H17" s="183">
        <f t="shared" si="1"/>
        <v>90000</v>
      </c>
      <c r="I17" s="184">
        <v>28</v>
      </c>
      <c r="J17" s="184">
        <f t="shared" si="0"/>
        <v>2</v>
      </c>
      <c r="K17" s="185">
        <f t="shared" si="2"/>
        <v>6000</v>
      </c>
      <c r="L17" s="186">
        <f t="shared" si="3"/>
        <v>6.6666666666666666E-2</v>
      </c>
      <c r="M17" s="12" t="s">
        <v>22</v>
      </c>
      <c r="N17" s="12" t="s">
        <v>39</v>
      </c>
    </row>
    <row r="18" spans="1:14">
      <c r="A18" s="172" t="s">
        <v>15</v>
      </c>
      <c r="B18" s="181" t="s">
        <v>3075</v>
      </c>
      <c r="C18" s="12" t="s">
        <v>229</v>
      </c>
      <c r="D18" s="12" t="s">
        <v>233</v>
      </c>
      <c r="E18" s="182">
        <v>6000</v>
      </c>
      <c r="F18" s="172" t="s">
        <v>37</v>
      </c>
      <c r="G18" s="18">
        <v>30</v>
      </c>
      <c r="H18" s="183">
        <f t="shared" si="1"/>
        <v>180000</v>
      </c>
      <c r="I18" s="184">
        <v>28</v>
      </c>
      <c r="J18" s="184">
        <f t="shared" si="0"/>
        <v>2</v>
      </c>
      <c r="K18" s="185">
        <f t="shared" si="2"/>
        <v>12000</v>
      </c>
      <c r="L18" s="186">
        <f t="shared" si="3"/>
        <v>6.6666666666666666E-2</v>
      </c>
      <c r="M18" s="12" t="s">
        <v>22</v>
      </c>
      <c r="N18" s="12" t="s">
        <v>39</v>
      </c>
    </row>
    <row r="19" spans="1:14">
      <c r="A19" s="172" t="s">
        <v>15</v>
      </c>
      <c r="B19" s="181" t="s">
        <v>3076</v>
      </c>
      <c r="C19" s="12" t="s">
        <v>270</v>
      </c>
      <c r="D19" s="12" t="s">
        <v>962</v>
      </c>
      <c r="E19" s="182">
        <v>578</v>
      </c>
      <c r="F19" s="172" t="s">
        <v>37</v>
      </c>
      <c r="G19" s="18">
        <v>375</v>
      </c>
      <c r="H19" s="183">
        <f t="shared" si="1"/>
        <v>216750</v>
      </c>
      <c r="I19" s="184">
        <v>355</v>
      </c>
      <c r="J19" s="184">
        <f t="shared" si="0"/>
        <v>20</v>
      </c>
      <c r="K19" s="185">
        <f t="shared" si="2"/>
        <v>11560</v>
      </c>
      <c r="L19" s="186">
        <f t="shared" si="3"/>
        <v>5.3333333333333337E-2</v>
      </c>
      <c r="M19" s="12" t="s">
        <v>22</v>
      </c>
      <c r="N19" s="12" t="s">
        <v>105</v>
      </c>
    </row>
    <row r="20" spans="1:14">
      <c r="A20" s="172" t="s">
        <v>15</v>
      </c>
      <c r="B20" s="181" t="s">
        <v>3077</v>
      </c>
      <c r="C20" s="12" t="s">
        <v>2602</v>
      </c>
      <c r="D20" s="12" t="s">
        <v>2815</v>
      </c>
      <c r="E20" s="182">
        <v>1</v>
      </c>
      <c r="F20" s="172" t="s">
        <v>302</v>
      </c>
      <c r="G20" s="18">
        <v>7650</v>
      </c>
      <c r="H20" s="183">
        <f t="shared" si="1"/>
        <v>7650</v>
      </c>
      <c r="I20" s="184">
        <v>5870</v>
      </c>
      <c r="J20" s="184">
        <f t="shared" si="0"/>
        <v>1780</v>
      </c>
      <c r="K20" s="185">
        <f t="shared" si="2"/>
        <v>1780</v>
      </c>
      <c r="L20" s="186">
        <f t="shared" si="3"/>
        <v>0.23267973856209151</v>
      </c>
      <c r="M20" s="12" t="s">
        <v>22</v>
      </c>
      <c r="N20" s="12" t="s">
        <v>105</v>
      </c>
    </row>
    <row r="21" spans="1:14">
      <c r="A21" s="172" t="s">
        <v>15</v>
      </c>
      <c r="B21" s="181" t="s">
        <v>3078</v>
      </c>
      <c r="C21" s="12" t="s">
        <v>1181</v>
      </c>
      <c r="D21" s="12" t="s">
        <v>2514</v>
      </c>
      <c r="E21" s="182">
        <v>1</v>
      </c>
      <c r="F21" s="172" t="s">
        <v>285</v>
      </c>
      <c r="G21" s="18">
        <v>3500</v>
      </c>
      <c r="H21" s="183">
        <f t="shared" si="1"/>
        <v>3500</v>
      </c>
      <c r="I21" s="184">
        <v>0</v>
      </c>
      <c r="J21" s="184">
        <f t="shared" si="0"/>
        <v>3500</v>
      </c>
      <c r="K21" s="185">
        <f t="shared" si="2"/>
        <v>3500</v>
      </c>
      <c r="L21" s="186">
        <f t="shared" si="3"/>
        <v>1</v>
      </c>
      <c r="M21" s="12" t="s">
        <v>40</v>
      </c>
      <c r="N21" s="12" t="s">
        <v>105</v>
      </c>
    </row>
    <row r="22" spans="1:14">
      <c r="A22" s="172" t="s">
        <v>15</v>
      </c>
      <c r="B22" s="181" t="s">
        <v>3079</v>
      </c>
      <c r="C22" s="12" t="s">
        <v>94</v>
      </c>
      <c r="D22" s="12" t="s">
        <v>3080</v>
      </c>
      <c r="E22" s="182">
        <v>4</v>
      </c>
      <c r="F22" s="172" t="s">
        <v>29</v>
      </c>
      <c r="G22" s="18">
        <v>1150</v>
      </c>
      <c r="H22" s="183">
        <f t="shared" si="1"/>
        <v>4600</v>
      </c>
      <c r="I22" s="184">
        <v>1100</v>
      </c>
      <c r="J22" s="184">
        <f t="shared" si="0"/>
        <v>50</v>
      </c>
      <c r="K22" s="185">
        <f t="shared" si="2"/>
        <v>200</v>
      </c>
      <c r="L22" s="186">
        <f t="shared" si="3"/>
        <v>4.3478260869565216E-2</v>
      </c>
      <c r="M22" s="12" t="s">
        <v>22</v>
      </c>
      <c r="N22" s="12" t="s">
        <v>105</v>
      </c>
    </row>
    <row r="23" spans="1:14">
      <c r="A23" s="172" t="s">
        <v>15</v>
      </c>
      <c r="B23" s="181" t="s">
        <v>3081</v>
      </c>
      <c r="C23" s="12" t="s">
        <v>27</v>
      </c>
      <c r="D23" s="12" t="s">
        <v>3082</v>
      </c>
      <c r="E23" s="182">
        <v>4</v>
      </c>
      <c r="F23" s="172" t="s">
        <v>29</v>
      </c>
      <c r="G23" s="18">
        <v>1350</v>
      </c>
      <c r="H23" s="183">
        <f t="shared" si="1"/>
        <v>5400</v>
      </c>
      <c r="I23" s="184">
        <v>1100</v>
      </c>
      <c r="J23" s="184">
        <f t="shared" si="0"/>
        <v>250</v>
      </c>
      <c r="K23" s="185">
        <f t="shared" si="2"/>
        <v>1000</v>
      </c>
      <c r="L23" s="186">
        <f t="shared" si="3"/>
        <v>0.18518518518518517</v>
      </c>
      <c r="M23" s="12" t="s">
        <v>22</v>
      </c>
      <c r="N23" s="12" t="s">
        <v>105</v>
      </c>
    </row>
    <row r="24" spans="1:14">
      <c r="A24" s="172" t="s">
        <v>15</v>
      </c>
      <c r="B24" s="181" t="s">
        <v>3083</v>
      </c>
      <c r="C24" s="12" t="s">
        <v>192</v>
      </c>
      <c r="D24" s="12" t="s">
        <v>3084</v>
      </c>
      <c r="E24" s="182">
        <v>2</v>
      </c>
      <c r="F24" s="172" t="s">
        <v>302</v>
      </c>
      <c r="G24" s="18">
        <v>16875</v>
      </c>
      <c r="H24" s="183">
        <f t="shared" si="1"/>
        <v>33750</v>
      </c>
      <c r="I24" s="184">
        <v>16805</v>
      </c>
      <c r="J24" s="184">
        <f t="shared" si="0"/>
        <v>70</v>
      </c>
      <c r="K24" s="185">
        <f t="shared" si="2"/>
        <v>140</v>
      </c>
      <c r="L24" s="186">
        <f t="shared" si="3"/>
        <v>4.1481481481481482E-3</v>
      </c>
      <c r="M24" s="12" t="s">
        <v>40</v>
      </c>
      <c r="N24" s="12" t="s">
        <v>105</v>
      </c>
    </row>
    <row r="25" spans="1:14">
      <c r="A25" s="172" t="s">
        <v>15</v>
      </c>
      <c r="B25" s="181" t="s">
        <v>3085</v>
      </c>
      <c r="C25" s="12" t="s">
        <v>1042</v>
      </c>
      <c r="D25" s="187" t="s">
        <v>889</v>
      </c>
      <c r="E25" s="182">
        <v>5790</v>
      </c>
      <c r="F25" s="172" t="s">
        <v>37</v>
      </c>
      <c r="G25" s="188">
        <v>374</v>
      </c>
      <c r="H25" s="183">
        <f>G25*E25</f>
        <v>2165460</v>
      </c>
      <c r="I25" s="189">
        <v>348</v>
      </c>
      <c r="J25" s="184">
        <f t="shared" si="0"/>
        <v>26</v>
      </c>
      <c r="K25" s="185">
        <f t="shared" si="2"/>
        <v>150540</v>
      </c>
      <c r="L25" s="186">
        <f t="shared" si="3"/>
        <v>6.9518716577540107E-2</v>
      </c>
      <c r="M25" s="12" t="s">
        <v>22</v>
      </c>
      <c r="N25" s="12" t="s">
        <v>105</v>
      </c>
    </row>
    <row r="26" spans="1:14">
      <c r="A26" s="172" t="s">
        <v>15</v>
      </c>
      <c r="B26" s="181" t="s">
        <v>3086</v>
      </c>
      <c r="C26" s="12" t="s">
        <v>94</v>
      </c>
      <c r="D26" s="12" t="s">
        <v>613</v>
      </c>
      <c r="E26" s="182">
        <v>500</v>
      </c>
      <c r="F26" s="172" t="s">
        <v>19</v>
      </c>
      <c r="G26" s="18">
        <v>26</v>
      </c>
      <c r="H26" s="183">
        <f t="shared" si="1"/>
        <v>13000</v>
      </c>
      <c r="I26" s="189">
        <v>24.6</v>
      </c>
      <c r="J26" s="184">
        <f t="shared" si="0"/>
        <v>1.3999999999999986</v>
      </c>
      <c r="K26" s="185">
        <f t="shared" si="2"/>
        <v>699.99999999999932</v>
      </c>
      <c r="L26" s="186">
        <f t="shared" si="3"/>
        <v>5.3846153846153794E-2</v>
      </c>
      <c r="M26" s="12" t="s">
        <v>22</v>
      </c>
      <c r="N26" s="12" t="s">
        <v>105</v>
      </c>
    </row>
    <row r="27" spans="1:14">
      <c r="A27" s="172" t="s">
        <v>15</v>
      </c>
      <c r="B27" s="181" t="s">
        <v>3086</v>
      </c>
      <c r="C27" s="12" t="s">
        <v>94</v>
      </c>
      <c r="D27" s="12" t="s">
        <v>550</v>
      </c>
      <c r="E27" s="182">
        <v>400</v>
      </c>
      <c r="F27" s="172" t="s">
        <v>19</v>
      </c>
      <c r="G27" s="18">
        <v>50</v>
      </c>
      <c r="H27" s="183">
        <f t="shared" si="1"/>
        <v>20000</v>
      </c>
      <c r="I27" s="189">
        <v>47.56</v>
      </c>
      <c r="J27" s="184">
        <f t="shared" si="0"/>
        <v>2.4399999999999977</v>
      </c>
      <c r="K27" s="185">
        <f t="shared" si="2"/>
        <v>975.99999999999909</v>
      </c>
      <c r="L27" s="186">
        <f t="shared" si="3"/>
        <v>4.8799999999999955E-2</v>
      </c>
      <c r="M27" s="12" t="s">
        <v>22</v>
      </c>
      <c r="N27" s="12" t="s">
        <v>105</v>
      </c>
    </row>
    <row r="28" spans="1:14">
      <c r="A28" s="172" t="s">
        <v>15</v>
      </c>
      <c r="B28" s="181" t="s">
        <v>3086</v>
      </c>
      <c r="C28" s="12" t="s">
        <v>94</v>
      </c>
      <c r="D28" s="12" t="s">
        <v>546</v>
      </c>
      <c r="E28" s="182">
        <v>100</v>
      </c>
      <c r="F28" s="172" t="s">
        <v>19</v>
      </c>
      <c r="G28" s="18">
        <v>190</v>
      </c>
      <c r="H28" s="183">
        <f t="shared" si="1"/>
        <v>19000</v>
      </c>
      <c r="I28" s="189">
        <v>182.25</v>
      </c>
      <c r="J28" s="184">
        <f t="shared" si="0"/>
        <v>7.75</v>
      </c>
      <c r="K28" s="185">
        <f t="shared" si="2"/>
        <v>775</v>
      </c>
      <c r="L28" s="186">
        <f t="shared" si="3"/>
        <v>4.0789473684210528E-2</v>
      </c>
      <c r="M28" s="12" t="s">
        <v>22</v>
      </c>
      <c r="N28" s="12" t="s">
        <v>105</v>
      </c>
    </row>
    <row r="29" spans="1:14">
      <c r="A29" s="172" t="s">
        <v>15</v>
      </c>
      <c r="B29" s="181" t="s">
        <v>3087</v>
      </c>
      <c r="C29" s="12" t="s">
        <v>1042</v>
      </c>
      <c r="D29" s="187" t="s">
        <v>889</v>
      </c>
      <c r="E29" s="182">
        <v>1350</v>
      </c>
      <c r="F29" s="172" t="s">
        <v>37</v>
      </c>
      <c r="G29" s="18">
        <v>378</v>
      </c>
      <c r="H29" s="183">
        <f t="shared" si="1"/>
        <v>510300</v>
      </c>
      <c r="I29" s="189">
        <v>348</v>
      </c>
      <c r="J29" s="184">
        <f t="shared" si="0"/>
        <v>30</v>
      </c>
      <c r="K29" s="185">
        <f t="shared" si="2"/>
        <v>40500</v>
      </c>
      <c r="L29" s="186">
        <f t="shared" si="3"/>
        <v>7.9365079365079361E-2</v>
      </c>
      <c r="M29" s="12" t="s">
        <v>22</v>
      </c>
      <c r="N29" s="12" t="s">
        <v>105</v>
      </c>
    </row>
    <row r="30" spans="1:14">
      <c r="A30" s="172" t="s">
        <v>15</v>
      </c>
      <c r="B30" s="181" t="s">
        <v>3088</v>
      </c>
      <c r="C30" s="12" t="s">
        <v>2011</v>
      </c>
      <c r="D30" s="12" t="s">
        <v>2514</v>
      </c>
      <c r="E30" s="182">
        <v>1</v>
      </c>
      <c r="F30" s="172" t="s">
        <v>285</v>
      </c>
      <c r="G30" s="18">
        <v>3500</v>
      </c>
      <c r="H30" s="183">
        <f t="shared" si="1"/>
        <v>3500</v>
      </c>
      <c r="I30" s="184">
        <v>0</v>
      </c>
      <c r="J30" s="184">
        <f t="shared" si="0"/>
        <v>3500</v>
      </c>
      <c r="K30" s="185">
        <f t="shared" si="2"/>
        <v>3500</v>
      </c>
      <c r="L30" s="186">
        <f t="shared" si="3"/>
        <v>1</v>
      </c>
      <c r="M30" s="12" t="s">
        <v>40</v>
      </c>
      <c r="N30" s="12" t="s">
        <v>105</v>
      </c>
    </row>
    <row r="31" spans="1:14">
      <c r="A31" s="172" t="s">
        <v>15</v>
      </c>
      <c r="B31" s="181" t="s">
        <v>3089</v>
      </c>
      <c r="C31" s="12" t="s">
        <v>1375</v>
      </c>
      <c r="D31" s="12" t="s">
        <v>502</v>
      </c>
      <c r="E31" s="182">
        <v>80000</v>
      </c>
      <c r="F31" s="172" t="s">
        <v>37</v>
      </c>
      <c r="G31" s="18">
        <v>58</v>
      </c>
      <c r="H31" s="183">
        <f t="shared" si="1"/>
        <v>4640000</v>
      </c>
      <c r="I31" s="184">
        <v>57</v>
      </c>
      <c r="J31" s="184">
        <f t="shared" si="0"/>
        <v>1</v>
      </c>
      <c r="K31" s="185">
        <f t="shared" si="2"/>
        <v>80000</v>
      </c>
      <c r="L31" s="186">
        <f t="shared" si="3"/>
        <v>1.7241379310344827E-2</v>
      </c>
      <c r="M31" s="12" t="s">
        <v>22</v>
      </c>
      <c r="N31" s="12" t="s">
        <v>39</v>
      </c>
    </row>
    <row r="32" spans="1:14">
      <c r="A32" s="172" t="s">
        <v>15</v>
      </c>
      <c r="B32" s="181" t="s">
        <v>3089</v>
      </c>
      <c r="C32" s="12" t="s">
        <v>1375</v>
      </c>
      <c r="D32" s="12" t="s">
        <v>813</v>
      </c>
      <c r="E32" s="182">
        <v>40000</v>
      </c>
      <c r="F32" s="172" t="s">
        <v>37</v>
      </c>
      <c r="G32" s="18">
        <v>55.5</v>
      </c>
      <c r="H32" s="183">
        <f t="shared" si="1"/>
        <v>2220000</v>
      </c>
      <c r="I32" s="184">
        <v>54.5</v>
      </c>
      <c r="J32" s="184">
        <f t="shared" si="0"/>
        <v>1</v>
      </c>
      <c r="K32" s="185">
        <f t="shared" si="2"/>
        <v>40000</v>
      </c>
      <c r="L32" s="186">
        <f t="shared" si="3"/>
        <v>1.8018018018018018E-2</v>
      </c>
      <c r="M32" s="12" t="s">
        <v>22</v>
      </c>
      <c r="N32" s="12" t="s">
        <v>39</v>
      </c>
    </row>
    <row r="33" spans="1:14">
      <c r="A33" s="172" t="s">
        <v>15</v>
      </c>
      <c r="B33" s="181" t="s">
        <v>3090</v>
      </c>
      <c r="C33" s="12" t="s">
        <v>270</v>
      </c>
      <c r="D33" s="12" t="s">
        <v>755</v>
      </c>
      <c r="E33" s="182">
        <v>1092.5999999999999</v>
      </c>
      <c r="F33" s="172" t="s">
        <v>37</v>
      </c>
      <c r="G33" s="18">
        <v>380</v>
      </c>
      <c r="H33" s="183">
        <f t="shared" si="1"/>
        <v>415187.99999999994</v>
      </c>
      <c r="I33" s="184">
        <v>355</v>
      </c>
      <c r="J33" s="184">
        <f t="shared" si="0"/>
        <v>25</v>
      </c>
      <c r="K33" s="185">
        <f t="shared" si="2"/>
        <v>27314.999999999996</v>
      </c>
      <c r="L33" s="186">
        <f t="shared" si="3"/>
        <v>6.5789473684210523E-2</v>
      </c>
      <c r="M33" s="12" t="s">
        <v>22</v>
      </c>
      <c r="N33" s="12" t="s">
        <v>105</v>
      </c>
    </row>
    <row r="34" spans="1:14">
      <c r="A34" s="172" t="s">
        <v>15</v>
      </c>
      <c r="B34" s="181" t="s">
        <v>3091</v>
      </c>
      <c r="C34" s="12" t="s">
        <v>708</v>
      </c>
      <c r="D34" s="12" t="s">
        <v>3092</v>
      </c>
      <c r="E34" s="182">
        <v>17400</v>
      </c>
      <c r="F34" s="172" t="s">
        <v>37</v>
      </c>
      <c r="G34" s="18">
        <v>7</v>
      </c>
      <c r="H34" s="183">
        <f>G34*E34</f>
        <v>121800</v>
      </c>
      <c r="I34" s="189">
        <v>0</v>
      </c>
      <c r="J34" s="184">
        <f t="shared" si="0"/>
        <v>7</v>
      </c>
      <c r="K34" s="185">
        <f t="shared" si="2"/>
        <v>121800</v>
      </c>
      <c r="L34" s="186">
        <f t="shared" si="3"/>
        <v>1</v>
      </c>
      <c r="M34" s="12" t="s">
        <v>40</v>
      </c>
      <c r="N34" s="12" t="s">
        <v>105</v>
      </c>
    </row>
    <row r="35" spans="1:14">
      <c r="A35" s="172" t="s">
        <v>15</v>
      </c>
      <c r="B35" s="181"/>
      <c r="C35" s="12" t="s">
        <v>1470</v>
      </c>
      <c r="D35" s="12" t="s">
        <v>3093</v>
      </c>
      <c r="E35" s="182">
        <v>1</v>
      </c>
      <c r="F35" s="172" t="s">
        <v>285</v>
      </c>
      <c r="G35" s="18">
        <v>10124405</v>
      </c>
      <c r="H35" s="183">
        <f t="shared" ref="H35" si="4">G35*E35</f>
        <v>10124405</v>
      </c>
      <c r="I35" s="189">
        <v>9820672.8499999996</v>
      </c>
      <c r="J35" s="184">
        <f t="shared" si="0"/>
        <v>303732.15000000037</v>
      </c>
      <c r="K35" s="185">
        <f t="shared" si="2"/>
        <v>303732.15000000037</v>
      </c>
      <c r="L35" s="186">
        <f t="shared" si="3"/>
        <v>3.0000000000000037E-2</v>
      </c>
      <c r="M35" s="12" t="s">
        <v>33</v>
      </c>
      <c r="N35" s="12" t="s">
        <v>21</v>
      </c>
    </row>
    <row r="36" spans="1:14">
      <c r="A36" s="172" t="s">
        <v>15</v>
      </c>
      <c r="B36" s="181" t="s">
        <v>3094</v>
      </c>
      <c r="C36" s="12" t="s">
        <v>1470</v>
      </c>
      <c r="D36" s="12" t="s">
        <v>1848</v>
      </c>
      <c r="E36" s="182">
        <v>200</v>
      </c>
      <c r="F36" s="172" t="s">
        <v>98</v>
      </c>
      <c r="G36" s="18">
        <v>4700</v>
      </c>
      <c r="H36" s="183">
        <f t="shared" si="1"/>
        <v>940000</v>
      </c>
      <c r="I36" s="189">
        <v>4400</v>
      </c>
      <c r="J36" s="184">
        <f t="shared" si="0"/>
        <v>300</v>
      </c>
      <c r="K36" s="185">
        <f t="shared" si="2"/>
        <v>60000</v>
      </c>
      <c r="L36" s="186">
        <f t="shared" si="3"/>
        <v>6.3829787234042548E-2</v>
      </c>
      <c r="M36" s="12" t="s">
        <v>40</v>
      </c>
      <c r="N36" s="12" t="s">
        <v>21</v>
      </c>
    </row>
    <row r="37" spans="1:14">
      <c r="A37" s="172" t="s">
        <v>15</v>
      </c>
      <c r="B37" s="181" t="s">
        <v>3095</v>
      </c>
      <c r="C37" s="12" t="s">
        <v>96</v>
      </c>
      <c r="D37" s="12" t="s">
        <v>902</v>
      </c>
      <c r="E37" s="182">
        <v>5</v>
      </c>
      <c r="F37" s="172" t="s">
        <v>98</v>
      </c>
      <c r="G37" s="18">
        <v>240</v>
      </c>
      <c r="H37" s="183">
        <f t="shared" si="1"/>
        <v>1200</v>
      </c>
      <c r="I37" s="189">
        <v>168</v>
      </c>
      <c r="J37" s="184">
        <f t="shared" si="0"/>
        <v>72</v>
      </c>
      <c r="K37" s="185">
        <f t="shared" si="2"/>
        <v>360</v>
      </c>
      <c r="L37" s="186">
        <f t="shared" si="3"/>
        <v>0.3</v>
      </c>
      <c r="M37" s="12" t="s">
        <v>22</v>
      </c>
      <c r="N37" s="12" t="s">
        <v>21</v>
      </c>
    </row>
    <row r="38" spans="1:14">
      <c r="A38" s="172" t="s">
        <v>15</v>
      </c>
      <c r="B38" s="181" t="s">
        <v>3096</v>
      </c>
      <c r="C38" s="12" t="s">
        <v>323</v>
      </c>
      <c r="D38" s="12" t="s">
        <v>324</v>
      </c>
      <c r="E38" s="182">
        <v>144</v>
      </c>
      <c r="F38" s="172" t="s">
        <v>29</v>
      </c>
      <c r="G38" s="18">
        <v>405</v>
      </c>
      <c r="H38" s="183">
        <f t="shared" si="1"/>
        <v>58320</v>
      </c>
      <c r="I38" s="189">
        <v>385</v>
      </c>
      <c r="J38" s="184">
        <f t="shared" si="0"/>
        <v>20</v>
      </c>
      <c r="K38" s="185">
        <f t="shared" si="2"/>
        <v>2880</v>
      </c>
      <c r="L38" s="186">
        <f t="shared" si="3"/>
        <v>4.9382716049382713E-2</v>
      </c>
      <c r="M38" s="12" t="s">
        <v>20</v>
      </c>
      <c r="N38" s="12" t="s">
        <v>21</v>
      </c>
    </row>
    <row r="39" spans="1:14">
      <c r="A39" s="172" t="s">
        <v>15</v>
      </c>
      <c r="B39" s="181" t="s">
        <v>3097</v>
      </c>
      <c r="C39" s="12" t="s">
        <v>1560</v>
      </c>
      <c r="D39" s="12" t="s">
        <v>3098</v>
      </c>
      <c r="E39" s="182">
        <v>1</v>
      </c>
      <c r="F39" s="172" t="s">
        <v>19</v>
      </c>
      <c r="G39" s="18">
        <v>4230</v>
      </c>
      <c r="H39" s="183">
        <f t="shared" si="1"/>
        <v>4230</v>
      </c>
      <c r="I39" s="189">
        <v>2800</v>
      </c>
      <c r="J39" s="184">
        <f t="shared" si="0"/>
        <v>1430</v>
      </c>
      <c r="K39" s="185">
        <f t="shared" si="2"/>
        <v>1430</v>
      </c>
      <c r="L39" s="186">
        <f t="shared" si="3"/>
        <v>0.33806146572104018</v>
      </c>
      <c r="M39" s="12" t="s">
        <v>22</v>
      </c>
      <c r="N39" s="12" t="s">
        <v>21</v>
      </c>
    </row>
    <row r="40" spans="1:14">
      <c r="A40" s="172" t="s">
        <v>15</v>
      </c>
      <c r="B40" s="181" t="s">
        <v>3099</v>
      </c>
      <c r="C40" s="12" t="s">
        <v>118</v>
      </c>
      <c r="D40" s="12" t="s">
        <v>3100</v>
      </c>
      <c r="E40" s="182">
        <v>5</v>
      </c>
      <c r="F40" s="172" t="s">
        <v>19</v>
      </c>
      <c r="G40" s="18">
        <v>780</v>
      </c>
      <c r="H40" s="183">
        <f t="shared" si="1"/>
        <v>3900</v>
      </c>
      <c r="I40" s="189">
        <v>720</v>
      </c>
      <c r="J40" s="184">
        <f t="shared" si="0"/>
        <v>60</v>
      </c>
      <c r="K40" s="185">
        <f t="shared" si="2"/>
        <v>300</v>
      </c>
      <c r="L40" s="186">
        <f t="shared" si="3"/>
        <v>7.6923076923076927E-2</v>
      </c>
      <c r="M40" s="12" t="s">
        <v>22</v>
      </c>
      <c r="N40" s="12" t="s">
        <v>21</v>
      </c>
    </row>
    <row r="41" spans="1:14">
      <c r="A41" s="172" t="s">
        <v>15</v>
      </c>
      <c r="B41" s="181" t="s">
        <v>3099</v>
      </c>
      <c r="C41" s="12" t="s">
        <v>118</v>
      </c>
      <c r="D41" s="12" t="s">
        <v>3101</v>
      </c>
      <c r="E41" s="182">
        <v>4</v>
      </c>
      <c r="F41" s="172" t="s">
        <v>19</v>
      </c>
      <c r="G41" s="18">
        <v>780</v>
      </c>
      <c r="H41" s="183">
        <f t="shared" si="1"/>
        <v>3120</v>
      </c>
      <c r="I41" s="189">
        <v>720</v>
      </c>
      <c r="J41" s="184">
        <f t="shared" si="0"/>
        <v>60</v>
      </c>
      <c r="K41" s="185">
        <f t="shared" si="2"/>
        <v>240</v>
      </c>
      <c r="L41" s="186">
        <f t="shared" si="3"/>
        <v>7.6923076923076927E-2</v>
      </c>
      <c r="M41" s="12" t="s">
        <v>22</v>
      </c>
      <c r="N41" s="12" t="s">
        <v>21</v>
      </c>
    </row>
    <row r="42" spans="1:14">
      <c r="A42" s="172" t="s">
        <v>15</v>
      </c>
      <c r="B42" s="181" t="s">
        <v>3099</v>
      </c>
      <c r="C42" s="12" t="s">
        <v>118</v>
      </c>
      <c r="D42" s="12" t="s">
        <v>3102</v>
      </c>
      <c r="E42" s="182">
        <v>8</v>
      </c>
      <c r="F42" s="172" t="s">
        <v>19</v>
      </c>
      <c r="G42" s="18">
        <v>780</v>
      </c>
      <c r="H42" s="183">
        <f t="shared" si="1"/>
        <v>6240</v>
      </c>
      <c r="I42" s="189">
        <v>720</v>
      </c>
      <c r="J42" s="184">
        <f t="shared" si="0"/>
        <v>60</v>
      </c>
      <c r="K42" s="185">
        <f t="shared" si="2"/>
        <v>480</v>
      </c>
      <c r="L42" s="186">
        <f t="shared" si="3"/>
        <v>7.6923076923076927E-2</v>
      </c>
      <c r="M42" s="12" t="s">
        <v>22</v>
      </c>
      <c r="N42" s="12" t="s">
        <v>21</v>
      </c>
    </row>
    <row r="43" spans="1:14">
      <c r="A43" s="172" t="s">
        <v>15</v>
      </c>
      <c r="B43" s="181" t="s">
        <v>3099</v>
      </c>
      <c r="C43" s="12" t="s">
        <v>118</v>
      </c>
      <c r="D43" s="12" t="s">
        <v>3103</v>
      </c>
      <c r="E43" s="182">
        <v>3</v>
      </c>
      <c r="F43" s="172" t="s">
        <v>19</v>
      </c>
      <c r="G43" s="18">
        <v>780</v>
      </c>
      <c r="H43" s="183">
        <f>G43*E43</f>
        <v>2340</v>
      </c>
      <c r="I43" s="189">
        <v>720</v>
      </c>
      <c r="J43" s="184">
        <f t="shared" si="0"/>
        <v>60</v>
      </c>
      <c r="K43" s="185">
        <f t="shared" si="2"/>
        <v>180</v>
      </c>
      <c r="L43" s="186">
        <f t="shared" si="3"/>
        <v>7.6923076923076927E-2</v>
      </c>
      <c r="M43" s="12" t="s">
        <v>22</v>
      </c>
      <c r="N43" s="12" t="s">
        <v>21</v>
      </c>
    </row>
    <row r="44" spans="1:14">
      <c r="A44" s="172" t="s">
        <v>15</v>
      </c>
      <c r="B44" s="181" t="s">
        <v>3099</v>
      </c>
      <c r="C44" s="12" t="s">
        <v>118</v>
      </c>
      <c r="D44" s="12" t="s">
        <v>3104</v>
      </c>
      <c r="E44" s="182">
        <v>3</v>
      </c>
      <c r="F44" s="172" t="s">
        <v>19</v>
      </c>
      <c r="G44" s="18">
        <v>882</v>
      </c>
      <c r="H44" s="183">
        <f t="shared" si="1"/>
        <v>2646</v>
      </c>
      <c r="I44" s="189">
        <v>820</v>
      </c>
      <c r="J44" s="184">
        <f t="shared" si="0"/>
        <v>62</v>
      </c>
      <c r="K44" s="185">
        <f t="shared" si="2"/>
        <v>186</v>
      </c>
      <c r="L44" s="186">
        <f t="shared" si="3"/>
        <v>7.029478458049887E-2</v>
      </c>
      <c r="M44" s="12" t="s">
        <v>22</v>
      </c>
      <c r="N44" s="12" t="s">
        <v>21</v>
      </c>
    </row>
    <row r="45" spans="1:14">
      <c r="A45" s="172" t="s">
        <v>15</v>
      </c>
      <c r="B45" s="181" t="s">
        <v>3099</v>
      </c>
      <c r="C45" s="12" t="s">
        <v>118</v>
      </c>
      <c r="D45" s="12" t="s">
        <v>3105</v>
      </c>
      <c r="E45" s="182">
        <v>3</v>
      </c>
      <c r="F45" s="172" t="s">
        <v>19</v>
      </c>
      <c r="G45" s="18">
        <v>882</v>
      </c>
      <c r="H45" s="183">
        <f t="shared" si="1"/>
        <v>2646</v>
      </c>
      <c r="I45" s="189">
        <v>820</v>
      </c>
      <c r="J45" s="184">
        <f t="shared" si="0"/>
        <v>62</v>
      </c>
      <c r="K45" s="185">
        <f t="shared" si="2"/>
        <v>186</v>
      </c>
      <c r="L45" s="186">
        <f t="shared" si="3"/>
        <v>7.029478458049887E-2</v>
      </c>
      <c r="M45" s="12" t="s">
        <v>22</v>
      </c>
      <c r="N45" s="12" t="s">
        <v>21</v>
      </c>
    </row>
    <row r="46" spans="1:14">
      <c r="A46" s="172" t="s">
        <v>15</v>
      </c>
      <c r="B46" s="181" t="s">
        <v>3106</v>
      </c>
      <c r="C46" s="12" t="s">
        <v>17</v>
      </c>
      <c r="D46" s="12" t="s">
        <v>116</v>
      </c>
      <c r="E46" s="182">
        <v>20</v>
      </c>
      <c r="F46" s="172" t="s">
        <v>98</v>
      </c>
      <c r="G46" s="18">
        <v>2150</v>
      </c>
      <c r="H46" s="183">
        <f t="shared" si="1"/>
        <v>43000</v>
      </c>
      <c r="I46" s="189">
        <v>2135</v>
      </c>
      <c r="J46" s="184">
        <f t="shared" si="0"/>
        <v>15</v>
      </c>
      <c r="K46" s="185">
        <f t="shared" si="2"/>
        <v>300</v>
      </c>
      <c r="L46" s="186">
        <f t="shared" si="3"/>
        <v>6.9767441860465115E-3</v>
      </c>
      <c r="M46" s="12" t="s">
        <v>22</v>
      </c>
      <c r="N46" s="12" t="s">
        <v>21</v>
      </c>
    </row>
    <row r="47" spans="1:14">
      <c r="A47" s="172" t="s">
        <v>15</v>
      </c>
      <c r="B47" s="181" t="s">
        <v>3106</v>
      </c>
      <c r="C47" s="12" t="s">
        <v>17</v>
      </c>
      <c r="D47" s="12" t="s">
        <v>32</v>
      </c>
      <c r="E47" s="182">
        <v>576</v>
      </c>
      <c r="F47" s="172" t="s">
        <v>29</v>
      </c>
      <c r="G47" s="18">
        <v>32</v>
      </c>
      <c r="H47" s="183">
        <f t="shared" si="1"/>
        <v>18432</v>
      </c>
      <c r="I47" s="189">
        <v>25</v>
      </c>
      <c r="J47" s="184">
        <f t="shared" si="0"/>
        <v>7</v>
      </c>
      <c r="K47" s="185">
        <f t="shared" si="2"/>
        <v>4032</v>
      </c>
      <c r="L47" s="186">
        <f t="shared" si="3"/>
        <v>0.21875</v>
      </c>
      <c r="M47" s="12" t="s">
        <v>22</v>
      </c>
      <c r="N47" s="12" t="s">
        <v>21</v>
      </c>
    </row>
    <row r="48" spans="1:14">
      <c r="A48" s="172" t="s">
        <v>15</v>
      </c>
      <c r="B48" s="181" t="s">
        <v>3107</v>
      </c>
      <c r="C48" s="12" t="s">
        <v>1560</v>
      </c>
      <c r="D48" s="12" t="s">
        <v>3108</v>
      </c>
      <c r="E48" s="182">
        <v>2</v>
      </c>
      <c r="F48" s="172" t="s">
        <v>63</v>
      </c>
      <c r="G48" s="18">
        <v>1600</v>
      </c>
      <c r="H48" s="183">
        <f t="shared" si="1"/>
        <v>3200</v>
      </c>
      <c r="I48" s="189">
        <v>1500</v>
      </c>
      <c r="J48" s="184">
        <f t="shared" si="0"/>
        <v>100</v>
      </c>
      <c r="K48" s="185">
        <f t="shared" si="2"/>
        <v>200</v>
      </c>
      <c r="L48" s="186">
        <f t="shared" si="3"/>
        <v>6.25E-2</v>
      </c>
      <c r="M48" s="12" t="s">
        <v>22</v>
      </c>
      <c r="N48" s="12" t="s">
        <v>21</v>
      </c>
    </row>
    <row r="49" spans="1:14">
      <c r="A49" s="172" t="s">
        <v>15</v>
      </c>
      <c r="B49" s="181" t="s">
        <v>3107</v>
      </c>
      <c r="C49" s="12" t="s">
        <v>1560</v>
      </c>
      <c r="D49" s="12" t="s">
        <v>3109</v>
      </c>
      <c r="E49" s="182">
        <v>4</v>
      </c>
      <c r="F49" s="172" t="s">
        <v>19</v>
      </c>
      <c r="G49" s="18">
        <v>600</v>
      </c>
      <c r="H49" s="183">
        <f t="shared" si="1"/>
        <v>2400</v>
      </c>
      <c r="I49" s="189">
        <v>350</v>
      </c>
      <c r="J49" s="184">
        <f t="shared" si="0"/>
        <v>250</v>
      </c>
      <c r="K49" s="185">
        <f t="shared" si="2"/>
        <v>1000</v>
      </c>
      <c r="L49" s="186">
        <f t="shared" si="3"/>
        <v>0.41666666666666669</v>
      </c>
      <c r="M49" s="12" t="s">
        <v>22</v>
      </c>
      <c r="N49" s="12" t="s">
        <v>21</v>
      </c>
    </row>
    <row r="50" spans="1:14">
      <c r="A50" s="172" t="s">
        <v>15</v>
      </c>
      <c r="B50" s="181" t="s">
        <v>3110</v>
      </c>
      <c r="C50" s="12" t="s">
        <v>1948</v>
      </c>
      <c r="D50" s="12" t="s">
        <v>3111</v>
      </c>
      <c r="E50" s="182">
        <v>300</v>
      </c>
      <c r="F50" s="172" t="s">
        <v>19</v>
      </c>
      <c r="G50" s="18">
        <v>34</v>
      </c>
      <c r="H50" s="183">
        <f t="shared" si="1"/>
        <v>10200</v>
      </c>
      <c r="I50" s="189">
        <v>20</v>
      </c>
      <c r="J50" s="184">
        <f>G50-I50</f>
        <v>14</v>
      </c>
      <c r="K50" s="185">
        <f>J50*E50</f>
        <v>4200</v>
      </c>
      <c r="L50" s="186">
        <f>J50/G50</f>
        <v>0.41176470588235292</v>
      </c>
      <c r="M50" s="12" t="s">
        <v>22</v>
      </c>
      <c r="N50" s="12" t="s">
        <v>21</v>
      </c>
    </row>
    <row r="51" spans="1:14">
      <c r="A51" s="172" t="s">
        <v>15</v>
      </c>
      <c r="B51" s="181" t="s">
        <v>3112</v>
      </c>
      <c r="C51" s="12" t="s">
        <v>1896</v>
      </c>
      <c r="D51" s="12" t="s">
        <v>1897</v>
      </c>
      <c r="E51" s="182">
        <v>60</v>
      </c>
      <c r="F51" s="172" t="s">
        <v>19</v>
      </c>
      <c r="G51" s="18">
        <v>80</v>
      </c>
      <c r="H51" s="183">
        <f t="shared" si="1"/>
        <v>4800</v>
      </c>
      <c r="I51" s="189">
        <v>70</v>
      </c>
      <c r="J51" s="184">
        <f>G51-I51</f>
        <v>10</v>
      </c>
      <c r="K51" s="185">
        <f>J51*E51</f>
        <v>600</v>
      </c>
      <c r="L51" s="186">
        <f>J51/G51</f>
        <v>0.125</v>
      </c>
      <c r="M51" s="12" t="s">
        <v>40</v>
      </c>
      <c r="N51" s="12" t="s">
        <v>21</v>
      </c>
    </row>
    <row r="52" spans="1:14">
      <c r="A52" s="172" t="s">
        <v>15</v>
      </c>
      <c r="B52" s="181" t="s">
        <v>3113</v>
      </c>
      <c r="C52" s="12" t="s">
        <v>926</v>
      </c>
      <c r="D52" s="12" t="s">
        <v>123</v>
      </c>
      <c r="E52" s="182">
        <v>300</v>
      </c>
      <c r="F52" s="172" t="s">
        <v>19</v>
      </c>
      <c r="G52" s="18">
        <v>95</v>
      </c>
      <c r="H52" s="183">
        <f t="shared" si="1"/>
        <v>28500</v>
      </c>
      <c r="I52" s="189">
        <v>75</v>
      </c>
      <c r="J52" s="184">
        <f>G52-I52</f>
        <v>20</v>
      </c>
      <c r="K52" s="185">
        <f>J52*E52</f>
        <v>6000</v>
      </c>
      <c r="L52" s="186">
        <f>J52/G52</f>
        <v>0.21052631578947367</v>
      </c>
      <c r="M52" s="12" t="s">
        <v>22</v>
      </c>
      <c r="N52" s="12" t="s">
        <v>21</v>
      </c>
    </row>
    <row r="53" spans="1:14">
      <c r="A53" s="172" t="s">
        <v>15</v>
      </c>
      <c r="B53" s="181" t="s">
        <v>3113</v>
      </c>
      <c r="C53" s="12" t="s">
        <v>926</v>
      </c>
      <c r="D53" s="12" t="s">
        <v>122</v>
      </c>
      <c r="E53" s="182">
        <v>400</v>
      </c>
      <c r="F53" s="172" t="s">
        <v>19</v>
      </c>
      <c r="G53" s="18">
        <v>165</v>
      </c>
      <c r="H53" s="183">
        <f>G53*E53</f>
        <v>66000</v>
      </c>
      <c r="I53" s="189">
        <v>145</v>
      </c>
      <c r="J53" s="184">
        <f>G53-I53</f>
        <v>20</v>
      </c>
      <c r="K53" s="185">
        <f>J53*E53</f>
        <v>8000</v>
      </c>
      <c r="L53" s="186">
        <f>J53/G53</f>
        <v>0.12121212121212122</v>
      </c>
      <c r="M53" s="12" t="s">
        <v>22</v>
      </c>
      <c r="N53" s="12" t="s">
        <v>21</v>
      </c>
    </row>
    <row r="54" spans="1:14">
      <c r="A54" s="172" t="s">
        <v>15</v>
      </c>
      <c r="B54" s="181" t="s">
        <v>3113</v>
      </c>
      <c r="C54" s="12" t="s">
        <v>926</v>
      </c>
      <c r="D54" s="12" t="s">
        <v>1532</v>
      </c>
      <c r="E54" s="182">
        <v>150</v>
      </c>
      <c r="F54" s="172" t="s">
        <v>19</v>
      </c>
      <c r="G54" s="18">
        <v>60</v>
      </c>
      <c r="H54" s="183">
        <f t="shared" si="1"/>
        <v>9000</v>
      </c>
      <c r="I54" s="189">
        <v>48</v>
      </c>
      <c r="J54" s="184">
        <f>G54-I54</f>
        <v>12</v>
      </c>
      <c r="K54" s="185">
        <f>J54*E54</f>
        <v>1800</v>
      </c>
      <c r="L54" s="186">
        <f>J54/G54</f>
        <v>0.2</v>
      </c>
      <c r="M54" s="12" t="s">
        <v>22</v>
      </c>
      <c r="N54" s="12" t="s">
        <v>21</v>
      </c>
    </row>
    <row r="55" spans="1:14">
      <c r="A55" s="172" t="s">
        <v>15</v>
      </c>
      <c r="B55" s="181" t="s">
        <v>3113</v>
      </c>
      <c r="C55" s="12" t="s">
        <v>926</v>
      </c>
      <c r="D55" s="12" t="s">
        <v>123</v>
      </c>
      <c r="E55" s="182">
        <v>50</v>
      </c>
      <c r="F55" s="172" t="s">
        <v>19</v>
      </c>
      <c r="G55" s="18">
        <v>95</v>
      </c>
      <c r="H55" s="183">
        <f t="shared" si="1"/>
        <v>4750</v>
      </c>
      <c r="I55" s="189">
        <v>75</v>
      </c>
      <c r="J55" s="184">
        <f t="shared" ref="J55:J169" si="5">G55-I55</f>
        <v>20</v>
      </c>
      <c r="K55" s="185">
        <f t="shared" ref="K55:K169" si="6">J55*E55</f>
        <v>1000</v>
      </c>
      <c r="L55" s="186">
        <f t="shared" ref="L55:L169" si="7">J55/G55</f>
        <v>0.21052631578947367</v>
      </c>
      <c r="M55" s="12" t="s">
        <v>22</v>
      </c>
      <c r="N55" s="12" t="s">
        <v>21</v>
      </c>
    </row>
    <row r="56" spans="1:14">
      <c r="A56" s="172" t="s">
        <v>15</v>
      </c>
      <c r="B56" s="181" t="s">
        <v>3113</v>
      </c>
      <c r="C56" s="12" t="s">
        <v>926</v>
      </c>
      <c r="D56" s="12" t="s">
        <v>122</v>
      </c>
      <c r="E56" s="182">
        <v>100</v>
      </c>
      <c r="F56" s="172" t="s">
        <v>19</v>
      </c>
      <c r="G56" s="18">
        <v>165</v>
      </c>
      <c r="H56" s="183">
        <f t="shared" si="1"/>
        <v>16500</v>
      </c>
      <c r="I56" s="189">
        <v>145</v>
      </c>
      <c r="J56" s="184">
        <f t="shared" si="5"/>
        <v>20</v>
      </c>
      <c r="K56" s="185">
        <f t="shared" si="6"/>
        <v>2000</v>
      </c>
      <c r="L56" s="186">
        <f t="shared" si="7"/>
        <v>0.12121212121212122</v>
      </c>
      <c r="M56" s="12" t="s">
        <v>22</v>
      </c>
      <c r="N56" s="12" t="s">
        <v>21</v>
      </c>
    </row>
    <row r="57" spans="1:14">
      <c r="A57" s="172" t="s">
        <v>15</v>
      </c>
      <c r="B57" s="181" t="s">
        <v>3114</v>
      </c>
      <c r="C57" s="12" t="s">
        <v>78</v>
      </c>
      <c r="D57" s="12" t="s">
        <v>3115</v>
      </c>
      <c r="E57" s="182">
        <v>1000</v>
      </c>
      <c r="F57" s="172" t="s">
        <v>19</v>
      </c>
      <c r="G57" s="18">
        <v>3</v>
      </c>
      <c r="H57" s="183">
        <f t="shared" si="1"/>
        <v>3000</v>
      </c>
      <c r="I57" s="189">
        <v>2</v>
      </c>
      <c r="J57" s="184">
        <f t="shared" si="5"/>
        <v>1</v>
      </c>
      <c r="K57" s="185">
        <f t="shared" si="6"/>
        <v>1000</v>
      </c>
      <c r="L57" s="186">
        <f t="shared" si="7"/>
        <v>0.33333333333333331</v>
      </c>
      <c r="M57" s="12" t="s">
        <v>22</v>
      </c>
      <c r="N57" s="12" t="s">
        <v>21</v>
      </c>
    </row>
    <row r="58" spans="1:14">
      <c r="A58" s="172" t="s">
        <v>15</v>
      </c>
      <c r="B58" s="181" t="s">
        <v>3114</v>
      </c>
      <c r="C58" s="12" t="s">
        <v>78</v>
      </c>
      <c r="D58" s="12" t="s">
        <v>3116</v>
      </c>
      <c r="E58" s="182">
        <v>500</v>
      </c>
      <c r="F58" s="172" t="s">
        <v>19</v>
      </c>
      <c r="G58" s="18">
        <v>3</v>
      </c>
      <c r="H58" s="183">
        <f t="shared" si="1"/>
        <v>1500</v>
      </c>
      <c r="I58" s="189">
        <v>2</v>
      </c>
      <c r="J58" s="184">
        <f t="shared" si="5"/>
        <v>1</v>
      </c>
      <c r="K58" s="185">
        <f t="shared" si="6"/>
        <v>500</v>
      </c>
      <c r="L58" s="186">
        <f t="shared" si="7"/>
        <v>0.33333333333333331</v>
      </c>
      <c r="M58" s="12" t="s">
        <v>22</v>
      </c>
      <c r="N58" s="12" t="s">
        <v>21</v>
      </c>
    </row>
    <row r="59" spans="1:14">
      <c r="A59" s="172" t="s">
        <v>15</v>
      </c>
      <c r="B59" s="181" t="s">
        <v>3114</v>
      </c>
      <c r="C59" s="12" t="s">
        <v>78</v>
      </c>
      <c r="D59" s="12" t="s">
        <v>3117</v>
      </c>
      <c r="E59" s="182">
        <v>1000</v>
      </c>
      <c r="F59" s="172" t="s">
        <v>19</v>
      </c>
      <c r="G59" s="18">
        <v>3</v>
      </c>
      <c r="H59" s="183">
        <f t="shared" si="1"/>
        <v>3000</v>
      </c>
      <c r="I59" s="189">
        <v>2</v>
      </c>
      <c r="J59" s="184">
        <f t="shared" si="5"/>
        <v>1</v>
      </c>
      <c r="K59" s="185">
        <f t="shared" si="6"/>
        <v>1000</v>
      </c>
      <c r="L59" s="186">
        <f t="shared" si="7"/>
        <v>0.33333333333333331</v>
      </c>
      <c r="M59" s="12" t="s">
        <v>22</v>
      </c>
      <c r="N59" s="12" t="s">
        <v>21</v>
      </c>
    </row>
    <row r="60" spans="1:14">
      <c r="A60" s="172" t="s">
        <v>15</v>
      </c>
      <c r="B60" s="181" t="s">
        <v>3114</v>
      </c>
      <c r="C60" s="12" t="s">
        <v>78</v>
      </c>
      <c r="D60" s="27" t="s">
        <v>3118</v>
      </c>
      <c r="E60" s="182">
        <v>1000</v>
      </c>
      <c r="F60" s="172" t="s">
        <v>19</v>
      </c>
      <c r="G60" s="18">
        <v>3</v>
      </c>
      <c r="H60" s="183">
        <f t="shared" si="1"/>
        <v>3000</v>
      </c>
      <c r="I60" s="189">
        <v>2</v>
      </c>
      <c r="J60" s="184">
        <f t="shared" si="5"/>
        <v>1</v>
      </c>
      <c r="K60" s="185">
        <f t="shared" si="6"/>
        <v>1000</v>
      </c>
      <c r="L60" s="186">
        <f t="shared" si="7"/>
        <v>0.33333333333333331</v>
      </c>
      <c r="M60" s="12" t="s">
        <v>22</v>
      </c>
      <c r="N60" s="12" t="s">
        <v>21</v>
      </c>
    </row>
    <row r="61" spans="1:14">
      <c r="A61" s="172" t="s">
        <v>15</v>
      </c>
      <c r="B61" s="181" t="s">
        <v>3114</v>
      </c>
      <c r="C61" s="12" t="s">
        <v>78</v>
      </c>
      <c r="D61" s="12" t="s">
        <v>3119</v>
      </c>
      <c r="E61" s="182">
        <v>1000</v>
      </c>
      <c r="F61" s="172" t="s">
        <v>19</v>
      </c>
      <c r="G61" s="18">
        <v>3</v>
      </c>
      <c r="H61" s="183">
        <f t="shared" si="1"/>
        <v>3000</v>
      </c>
      <c r="I61" s="189">
        <v>2</v>
      </c>
      <c r="J61" s="184">
        <f t="shared" si="5"/>
        <v>1</v>
      </c>
      <c r="K61" s="185">
        <f t="shared" si="6"/>
        <v>1000</v>
      </c>
      <c r="L61" s="186">
        <f t="shared" si="7"/>
        <v>0.33333333333333331</v>
      </c>
      <c r="M61" s="12" t="s">
        <v>22</v>
      </c>
      <c r="N61" s="12" t="s">
        <v>21</v>
      </c>
    </row>
    <row r="62" spans="1:14">
      <c r="A62" s="172" t="s">
        <v>15</v>
      </c>
      <c r="B62" s="190" t="s">
        <v>3120</v>
      </c>
      <c r="C62" s="12" t="s">
        <v>2291</v>
      </c>
      <c r="D62" s="191" t="s">
        <v>3121</v>
      </c>
      <c r="E62" s="182">
        <v>1</v>
      </c>
      <c r="F62" s="172" t="s">
        <v>285</v>
      </c>
      <c r="G62" s="18">
        <v>417075</v>
      </c>
      <c r="H62" s="183">
        <f>G62*E62</f>
        <v>417075</v>
      </c>
      <c r="I62" s="189">
        <v>351120</v>
      </c>
      <c r="J62" s="184">
        <f>G62-I62</f>
        <v>65955</v>
      </c>
      <c r="K62" s="185">
        <f>J62*E62</f>
        <v>65955</v>
      </c>
      <c r="L62" s="186">
        <f>J62/G62</f>
        <v>0.15813702571479948</v>
      </c>
      <c r="M62" s="12" t="s">
        <v>22</v>
      </c>
      <c r="N62" s="12" t="s">
        <v>21</v>
      </c>
    </row>
    <row r="63" spans="1:14">
      <c r="A63" s="172" t="s">
        <v>15</v>
      </c>
      <c r="B63" s="192" t="s">
        <v>3122</v>
      </c>
      <c r="C63" s="12" t="s">
        <v>2291</v>
      </c>
      <c r="D63" s="27" t="s">
        <v>3123</v>
      </c>
      <c r="E63" s="182">
        <v>1</v>
      </c>
      <c r="F63" s="172" t="s">
        <v>285</v>
      </c>
      <c r="G63" s="18">
        <v>391020</v>
      </c>
      <c r="H63" s="183">
        <f t="shared" ref="H63" si="8">G63*E63</f>
        <v>391020</v>
      </c>
      <c r="I63" s="189">
        <v>333660</v>
      </c>
      <c r="J63" s="184">
        <f>G63-I63</f>
        <v>57360</v>
      </c>
      <c r="K63" s="185">
        <f>J63*E63</f>
        <v>57360</v>
      </c>
      <c r="L63" s="186">
        <f>J63/G63</f>
        <v>0.14669326377167408</v>
      </c>
      <c r="M63" s="12" t="s">
        <v>22</v>
      </c>
      <c r="N63" s="12" t="s">
        <v>21</v>
      </c>
    </row>
    <row r="64" spans="1:14">
      <c r="A64" s="172" t="s">
        <v>15</v>
      </c>
      <c r="B64" s="181" t="s">
        <v>3124</v>
      </c>
      <c r="C64" s="12" t="s">
        <v>586</v>
      </c>
      <c r="D64" s="12" t="s">
        <v>3125</v>
      </c>
      <c r="E64" s="182">
        <v>200</v>
      </c>
      <c r="F64" s="172" t="s">
        <v>37</v>
      </c>
      <c r="G64" s="18">
        <v>95</v>
      </c>
      <c r="H64" s="183">
        <f t="shared" si="1"/>
        <v>19000</v>
      </c>
      <c r="I64" s="189">
        <v>55</v>
      </c>
      <c r="J64" s="184">
        <f>G64-I64</f>
        <v>40</v>
      </c>
      <c r="K64" s="185">
        <f>J64*E64</f>
        <v>8000</v>
      </c>
      <c r="L64" s="186">
        <f>J64/G64</f>
        <v>0.42105263157894735</v>
      </c>
      <c r="M64" s="12" t="s">
        <v>22</v>
      </c>
      <c r="N64" s="12" t="s">
        <v>21</v>
      </c>
    </row>
    <row r="65" spans="1:15">
      <c r="A65" s="172" t="s">
        <v>15</v>
      </c>
      <c r="B65" s="181" t="s">
        <v>3126</v>
      </c>
      <c r="C65" s="12" t="s">
        <v>27</v>
      </c>
      <c r="D65" s="27" t="s">
        <v>772</v>
      </c>
      <c r="E65" s="182">
        <v>5</v>
      </c>
      <c r="F65" s="172" t="s">
        <v>29</v>
      </c>
      <c r="G65" s="18">
        <v>2300</v>
      </c>
      <c r="H65" s="183">
        <f t="shared" si="1"/>
        <v>11500</v>
      </c>
      <c r="I65" s="189">
        <v>2200</v>
      </c>
      <c r="J65" s="184">
        <f t="shared" si="5"/>
        <v>100</v>
      </c>
      <c r="K65" s="185">
        <f t="shared" si="6"/>
        <v>500</v>
      </c>
      <c r="L65" s="186">
        <f t="shared" si="7"/>
        <v>4.3478260869565216E-2</v>
      </c>
      <c r="M65" s="12" t="s">
        <v>22</v>
      </c>
      <c r="N65" s="12" t="s">
        <v>21</v>
      </c>
    </row>
    <row r="66" spans="1:15">
      <c r="A66" s="172" t="s">
        <v>15</v>
      </c>
      <c r="B66" s="181" t="s">
        <v>3126</v>
      </c>
      <c r="C66" s="12" t="s">
        <v>27</v>
      </c>
      <c r="D66" s="12" t="s">
        <v>3127</v>
      </c>
      <c r="E66" s="182">
        <v>5</v>
      </c>
      <c r="F66" s="172" t="s">
        <v>29</v>
      </c>
      <c r="G66" s="18">
        <v>4320</v>
      </c>
      <c r="H66" s="183">
        <f>G66*E66</f>
        <v>21600</v>
      </c>
      <c r="I66" s="189">
        <v>3800</v>
      </c>
      <c r="J66" s="184">
        <f t="shared" si="5"/>
        <v>520</v>
      </c>
      <c r="K66" s="185">
        <f t="shared" si="6"/>
        <v>2600</v>
      </c>
      <c r="L66" s="186">
        <f t="shared" si="7"/>
        <v>0.12037037037037036</v>
      </c>
      <c r="M66" s="12" t="s">
        <v>22</v>
      </c>
      <c r="N66" s="12" t="s">
        <v>21</v>
      </c>
    </row>
    <row r="67" spans="1:15">
      <c r="A67" s="172" t="s">
        <v>15</v>
      </c>
      <c r="B67" s="181" t="s">
        <v>3126</v>
      </c>
      <c r="C67" s="12" t="s">
        <v>27</v>
      </c>
      <c r="D67" s="12" t="s">
        <v>28</v>
      </c>
      <c r="E67" s="182">
        <v>5</v>
      </c>
      <c r="F67" s="172" t="s">
        <v>29</v>
      </c>
      <c r="G67" s="18">
        <v>1320</v>
      </c>
      <c r="H67" s="183">
        <f t="shared" ref="H67:H72" si="9">G67*E67</f>
        <v>6600</v>
      </c>
      <c r="I67" s="189">
        <v>1300</v>
      </c>
      <c r="J67" s="184">
        <f t="shared" si="5"/>
        <v>20</v>
      </c>
      <c r="K67" s="185">
        <f t="shared" si="6"/>
        <v>100</v>
      </c>
      <c r="L67" s="186">
        <f t="shared" si="7"/>
        <v>1.5151515151515152E-2</v>
      </c>
      <c r="M67" s="12" t="s">
        <v>22</v>
      </c>
      <c r="N67" s="12" t="s">
        <v>21</v>
      </c>
    </row>
    <row r="68" spans="1:15">
      <c r="A68" s="172" t="s">
        <v>15</v>
      </c>
      <c r="B68" s="181" t="s">
        <v>3128</v>
      </c>
      <c r="C68" s="12" t="s">
        <v>1670</v>
      </c>
      <c r="D68" s="27" t="s">
        <v>2207</v>
      </c>
      <c r="E68" s="182">
        <v>2</v>
      </c>
      <c r="F68" s="172" t="s">
        <v>19</v>
      </c>
      <c r="G68" s="18">
        <v>1850</v>
      </c>
      <c r="H68" s="183">
        <f t="shared" si="9"/>
        <v>3700</v>
      </c>
      <c r="I68" s="189">
        <v>1800</v>
      </c>
      <c r="J68" s="184">
        <f t="shared" si="5"/>
        <v>50</v>
      </c>
      <c r="K68" s="185">
        <f t="shared" si="6"/>
        <v>100</v>
      </c>
      <c r="L68" s="186">
        <f t="shared" si="7"/>
        <v>2.7027027027027029E-2</v>
      </c>
      <c r="M68" s="12" t="s">
        <v>22</v>
      </c>
      <c r="N68" s="12" t="s">
        <v>21</v>
      </c>
    </row>
    <row r="69" spans="1:15">
      <c r="A69" s="172" t="s">
        <v>15</v>
      </c>
      <c r="B69" s="181" t="s">
        <v>3128</v>
      </c>
      <c r="C69" s="12" t="s">
        <v>1670</v>
      </c>
      <c r="D69" s="12" t="s">
        <v>2208</v>
      </c>
      <c r="E69" s="182">
        <v>2</v>
      </c>
      <c r="F69" s="172" t="s">
        <v>19</v>
      </c>
      <c r="G69" s="18">
        <v>1850</v>
      </c>
      <c r="H69" s="183">
        <f t="shared" si="9"/>
        <v>3700</v>
      </c>
      <c r="I69" s="189">
        <v>1500</v>
      </c>
      <c r="J69" s="184">
        <f t="shared" si="5"/>
        <v>350</v>
      </c>
      <c r="K69" s="185">
        <f t="shared" si="6"/>
        <v>700</v>
      </c>
      <c r="L69" s="186">
        <f t="shared" si="7"/>
        <v>0.1891891891891892</v>
      </c>
      <c r="M69" s="12" t="s">
        <v>22</v>
      </c>
      <c r="N69" s="12" t="s">
        <v>21</v>
      </c>
    </row>
    <row r="70" spans="1:15">
      <c r="A70" s="172" t="s">
        <v>15</v>
      </c>
      <c r="B70" s="181" t="s">
        <v>3128</v>
      </c>
      <c r="C70" s="12" t="s">
        <v>1670</v>
      </c>
      <c r="D70" s="12" t="s">
        <v>2276</v>
      </c>
      <c r="E70" s="182">
        <v>8</v>
      </c>
      <c r="F70" s="172" t="s">
        <v>19</v>
      </c>
      <c r="G70" s="18">
        <v>6500</v>
      </c>
      <c r="H70" s="183">
        <f t="shared" si="9"/>
        <v>52000</v>
      </c>
      <c r="I70" s="189">
        <v>1925</v>
      </c>
      <c r="J70" s="184">
        <f t="shared" si="5"/>
        <v>4575</v>
      </c>
      <c r="K70" s="185">
        <f t="shared" si="6"/>
        <v>36600</v>
      </c>
      <c r="L70" s="186">
        <f t="shared" si="7"/>
        <v>0.7038461538461539</v>
      </c>
      <c r="M70" s="12" t="s">
        <v>22</v>
      </c>
      <c r="N70" s="12" t="s">
        <v>21</v>
      </c>
      <c r="O70" s="193"/>
    </row>
    <row r="71" spans="1:15">
      <c r="A71" s="172" t="s">
        <v>15</v>
      </c>
      <c r="B71" s="181" t="s">
        <v>3128</v>
      </c>
      <c r="C71" s="12" t="s">
        <v>1670</v>
      </c>
      <c r="D71" s="12" t="s">
        <v>2277</v>
      </c>
      <c r="E71" s="182">
        <v>8</v>
      </c>
      <c r="F71" s="172" t="s">
        <v>19</v>
      </c>
      <c r="G71" s="18">
        <v>5000</v>
      </c>
      <c r="H71" s="183">
        <f t="shared" si="9"/>
        <v>40000</v>
      </c>
      <c r="I71" s="189">
        <v>1725</v>
      </c>
      <c r="J71" s="184">
        <f t="shared" si="5"/>
        <v>3275</v>
      </c>
      <c r="K71" s="185">
        <f t="shared" si="6"/>
        <v>26200</v>
      </c>
      <c r="L71" s="186">
        <f t="shared" si="7"/>
        <v>0.65500000000000003</v>
      </c>
      <c r="M71" s="12" t="s">
        <v>22</v>
      </c>
      <c r="N71" s="12" t="s">
        <v>21</v>
      </c>
      <c r="O71" s="193"/>
    </row>
    <row r="72" spans="1:15">
      <c r="A72" s="172" t="s">
        <v>15</v>
      </c>
      <c r="B72" s="181" t="s">
        <v>3129</v>
      </c>
      <c r="C72" s="12" t="s">
        <v>265</v>
      </c>
      <c r="D72" s="12" t="s">
        <v>3130</v>
      </c>
      <c r="E72" s="182">
        <v>500</v>
      </c>
      <c r="F72" s="172" t="s">
        <v>37</v>
      </c>
      <c r="G72" s="18">
        <v>35</v>
      </c>
      <c r="H72" s="183">
        <f t="shared" si="9"/>
        <v>17500</v>
      </c>
      <c r="I72" s="189">
        <v>33</v>
      </c>
      <c r="J72" s="184">
        <f t="shared" si="5"/>
        <v>2</v>
      </c>
      <c r="K72" s="185">
        <f t="shared" si="6"/>
        <v>1000</v>
      </c>
      <c r="L72" s="186">
        <f t="shared" si="7"/>
        <v>5.7142857142857141E-2</v>
      </c>
      <c r="M72" s="12" t="s">
        <v>20</v>
      </c>
      <c r="N72" s="12" t="s">
        <v>21</v>
      </c>
    </row>
    <row r="73" spans="1:15">
      <c r="A73" s="172" t="s">
        <v>15</v>
      </c>
      <c r="B73" s="181" t="s">
        <v>3131</v>
      </c>
      <c r="C73" s="12" t="s">
        <v>398</v>
      </c>
      <c r="D73" s="12" t="s">
        <v>3132</v>
      </c>
      <c r="E73" s="182">
        <v>1</v>
      </c>
      <c r="F73" s="172" t="s">
        <v>285</v>
      </c>
      <c r="G73" s="18">
        <v>143000</v>
      </c>
      <c r="H73" s="183">
        <f>G73*E73</f>
        <v>143000</v>
      </c>
      <c r="I73" s="189">
        <v>135000</v>
      </c>
      <c r="J73" s="184">
        <f t="shared" si="5"/>
        <v>8000</v>
      </c>
      <c r="K73" s="185">
        <f t="shared" si="6"/>
        <v>8000</v>
      </c>
      <c r="L73" s="186">
        <f t="shared" si="7"/>
        <v>5.5944055944055944E-2</v>
      </c>
      <c r="M73" s="12" t="s">
        <v>40</v>
      </c>
      <c r="N73" s="12" t="s">
        <v>21</v>
      </c>
    </row>
    <row r="74" spans="1:15">
      <c r="A74" s="172" t="s">
        <v>15</v>
      </c>
      <c r="B74" s="181" t="s">
        <v>3133</v>
      </c>
      <c r="C74" s="12" t="s">
        <v>1948</v>
      </c>
      <c r="D74" s="12" t="s">
        <v>3134</v>
      </c>
      <c r="E74" s="182">
        <v>12</v>
      </c>
      <c r="F74" s="172" t="s">
        <v>19</v>
      </c>
      <c r="G74" s="18">
        <v>35</v>
      </c>
      <c r="H74" s="183">
        <f t="shared" ref="H74:H169" si="10">G74*E74</f>
        <v>420</v>
      </c>
      <c r="I74" s="189">
        <v>26</v>
      </c>
      <c r="J74" s="184">
        <f t="shared" si="5"/>
        <v>9</v>
      </c>
      <c r="K74" s="185">
        <f t="shared" si="6"/>
        <v>108</v>
      </c>
      <c r="L74" s="186">
        <f t="shared" si="7"/>
        <v>0.25714285714285712</v>
      </c>
      <c r="M74" s="12" t="s">
        <v>22</v>
      </c>
      <c r="N74" s="12" t="s">
        <v>21</v>
      </c>
    </row>
    <row r="75" spans="1:15">
      <c r="A75" s="172" t="s">
        <v>15</v>
      </c>
      <c r="B75" s="181" t="s">
        <v>3133</v>
      </c>
      <c r="C75" s="12" t="s">
        <v>1948</v>
      </c>
      <c r="D75" s="12" t="s">
        <v>3135</v>
      </c>
      <c r="E75" s="182">
        <v>6</v>
      </c>
      <c r="F75" s="172" t="s">
        <v>2482</v>
      </c>
      <c r="G75" s="18">
        <v>650</v>
      </c>
      <c r="H75" s="183">
        <f t="shared" si="10"/>
        <v>3900</v>
      </c>
      <c r="I75" s="189">
        <v>644</v>
      </c>
      <c r="J75" s="184">
        <f t="shared" si="5"/>
        <v>6</v>
      </c>
      <c r="K75" s="185">
        <f t="shared" si="6"/>
        <v>36</v>
      </c>
      <c r="L75" s="186">
        <f t="shared" si="7"/>
        <v>9.2307692307692316E-3</v>
      </c>
      <c r="M75" s="12" t="s">
        <v>22</v>
      </c>
      <c r="N75" s="12" t="s">
        <v>21</v>
      </c>
    </row>
    <row r="76" spans="1:15">
      <c r="A76" s="172" t="s">
        <v>15</v>
      </c>
      <c r="B76" s="181" t="s">
        <v>3136</v>
      </c>
      <c r="C76" s="12" t="s">
        <v>926</v>
      </c>
      <c r="D76" s="12" t="s">
        <v>123</v>
      </c>
      <c r="E76" s="182">
        <v>50</v>
      </c>
      <c r="F76" s="172" t="s">
        <v>19</v>
      </c>
      <c r="G76" s="18">
        <v>95</v>
      </c>
      <c r="H76" s="183">
        <f t="shared" si="10"/>
        <v>4750</v>
      </c>
      <c r="I76" s="189">
        <v>75</v>
      </c>
      <c r="J76" s="184">
        <f t="shared" si="5"/>
        <v>20</v>
      </c>
      <c r="K76" s="185">
        <f t="shared" si="6"/>
        <v>1000</v>
      </c>
      <c r="L76" s="186">
        <f t="shared" si="7"/>
        <v>0.21052631578947367</v>
      </c>
      <c r="M76" s="12" t="s">
        <v>22</v>
      </c>
      <c r="N76" s="12" t="s">
        <v>21</v>
      </c>
    </row>
    <row r="77" spans="1:15">
      <c r="A77" s="172" t="s">
        <v>15</v>
      </c>
      <c r="B77" s="181" t="s">
        <v>3137</v>
      </c>
      <c r="C77" s="12" t="s">
        <v>3138</v>
      </c>
      <c r="D77" s="12" t="s">
        <v>3139</v>
      </c>
      <c r="E77" s="182">
        <v>800</v>
      </c>
      <c r="F77" s="172" t="s">
        <v>615</v>
      </c>
      <c r="G77" s="18">
        <v>165</v>
      </c>
      <c r="H77" s="183">
        <f t="shared" si="10"/>
        <v>132000</v>
      </c>
      <c r="I77" s="189">
        <v>110</v>
      </c>
      <c r="J77" s="184">
        <f t="shared" si="5"/>
        <v>55</v>
      </c>
      <c r="K77" s="185">
        <f t="shared" si="6"/>
        <v>44000</v>
      </c>
      <c r="L77" s="186">
        <f t="shared" si="7"/>
        <v>0.33333333333333331</v>
      </c>
      <c r="M77" s="12" t="s">
        <v>22</v>
      </c>
      <c r="N77" s="12" t="s">
        <v>21</v>
      </c>
    </row>
    <row r="78" spans="1:15">
      <c r="A78" s="172" t="s">
        <v>15</v>
      </c>
      <c r="B78" s="181" t="s">
        <v>3140</v>
      </c>
      <c r="C78" s="12" t="s">
        <v>94</v>
      </c>
      <c r="D78" s="12" t="s">
        <v>3141</v>
      </c>
      <c r="E78" s="182">
        <v>60</v>
      </c>
      <c r="F78" s="172" t="s">
        <v>29</v>
      </c>
      <c r="G78" s="18">
        <v>890</v>
      </c>
      <c r="H78" s="183">
        <f t="shared" si="10"/>
        <v>53400</v>
      </c>
      <c r="I78" s="189">
        <v>875</v>
      </c>
      <c r="J78" s="184">
        <f t="shared" si="5"/>
        <v>15</v>
      </c>
      <c r="K78" s="185">
        <f t="shared" si="6"/>
        <v>900</v>
      </c>
      <c r="L78" s="186">
        <f t="shared" si="7"/>
        <v>1.6853932584269662E-2</v>
      </c>
      <c r="M78" s="12" t="s">
        <v>22</v>
      </c>
      <c r="N78" s="12" t="s">
        <v>21</v>
      </c>
    </row>
    <row r="79" spans="1:15">
      <c r="A79" s="172" t="s">
        <v>15</v>
      </c>
      <c r="B79" s="181" t="s">
        <v>3142</v>
      </c>
      <c r="C79" s="12" t="s">
        <v>96</v>
      </c>
      <c r="D79" s="12" t="s">
        <v>774</v>
      </c>
      <c r="E79" s="182">
        <v>60</v>
      </c>
      <c r="F79" s="172" t="s">
        <v>98</v>
      </c>
      <c r="G79" s="18">
        <v>1425</v>
      </c>
      <c r="H79" s="183">
        <f t="shared" si="10"/>
        <v>85500</v>
      </c>
      <c r="I79" s="189">
        <v>1050</v>
      </c>
      <c r="J79" s="184">
        <f t="shared" si="5"/>
        <v>375</v>
      </c>
      <c r="K79" s="185">
        <f t="shared" si="6"/>
        <v>22500</v>
      </c>
      <c r="L79" s="186">
        <f t="shared" si="7"/>
        <v>0.26315789473684209</v>
      </c>
      <c r="M79" s="12" t="s">
        <v>22</v>
      </c>
      <c r="N79" s="12" t="s">
        <v>21</v>
      </c>
    </row>
    <row r="80" spans="1:15">
      <c r="A80" s="172" t="s">
        <v>15</v>
      </c>
      <c r="B80" s="181" t="s">
        <v>3143</v>
      </c>
      <c r="C80" s="12" t="s">
        <v>311</v>
      </c>
      <c r="D80" s="12" t="s">
        <v>3144</v>
      </c>
      <c r="E80" s="182">
        <v>4</v>
      </c>
      <c r="F80" s="172" t="s">
        <v>19</v>
      </c>
      <c r="G80" s="18">
        <v>24000</v>
      </c>
      <c r="H80" s="183">
        <f t="shared" si="10"/>
        <v>96000</v>
      </c>
      <c r="I80" s="189">
        <v>23500</v>
      </c>
      <c r="J80" s="184">
        <f t="shared" si="5"/>
        <v>500</v>
      </c>
      <c r="K80" s="185">
        <f t="shared" si="6"/>
        <v>2000</v>
      </c>
      <c r="L80" s="186">
        <f t="shared" si="7"/>
        <v>2.0833333333333332E-2</v>
      </c>
      <c r="M80" s="12" t="s">
        <v>40</v>
      </c>
      <c r="N80" s="12" t="s">
        <v>21</v>
      </c>
    </row>
    <row r="81" spans="1:14">
      <c r="A81" s="172" t="s">
        <v>15</v>
      </c>
      <c r="B81" s="181" t="s">
        <v>3143</v>
      </c>
      <c r="C81" s="12" t="s">
        <v>311</v>
      </c>
      <c r="D81" s="12" t="s">
        <v>3145</v>
      </c>
      <c r="E81" s="182">
        <v>2</v>
      </c>
      <c r="F81" s="172" t="s">
        <v>19</v>
      </c>
      <c r="G81" s="18">
        <v>29000</v>
      </c>
      <c r="H81" s="183">
        <f t="shared" si="10"/>
        <v>58000</v>
      </c>
      <c r="I81" s="189">
        <v>28700</v>
      </c>
      <c r="J81" s="184">
        <f t="shared" si="5"/>
        <v>300</v>
      </c>
      <c r="K81" s="185">
        <f t="shared" si="6"/>
        <v>600</v>
      </c>
      <c r="L81" s="186">
        <f t="shared" si="7"/>
        <v>1.0344827586206896E-2</v>
      </c>
      <c r="M81" s="12" t="s">
        <v>40</v>
      </c>
      <c r="N81" s="12" t="s">
        <v>21</v>
      </c>
    </row>
    <row r="82" spans="1:14">
      <c r="A82" s="172" t="s">
        <v>15</v>
      </c>
      <c r="B82" s="181" t="s">
        <v>3146</v>
      </c>
      <c r="C82" s="12" t="s">
        <v>311</v>
      </c>
      <c r="D82" s="12" t="s">
        <v>3147</v>
      </c>
      <c r="E82" s="182">
        <v>3</v>
      </c>
      <c r="F82" s="172" t="s">
        <v>19</v>
      </c>
      <c r="G82" s="18">
        <v>23000</v>
      </c>
      <c r="H82" s="183">
        <f t="shared" si="10"/>
        <v>69000</v>
      </c>
      <c r="I82" s="189">
        <v>22000</v>
      </c>
      <c r="J82" s="184">
        <f t="shared" si="5"/>
        <v>1000</v>
      </c>
      <c r="K82" s="185">
        <f t="shared" si="6"/>
        <v>3000</v>
      </c>
      <c r="L82" s="186">
        <f t="shared" si="7"/>
        <v>4.3478260869565216E-2</v>
      </c>
      <c r="M82" s="12" t="s">
        <v>40</v>
      </c>
      <c r="N82" s="12" t="s">
        <v>21</v>
      </c>
    </row>
    <row r="83" spans="1:14">
      <c r="A83" s="172" t="s">
        <v>15</v>
      </c>
      <c r="B83" s="181" t="s">
        <v>3146</v>
      </c>
      <c r="C83" s="12" t="s">
        <v>311</v>
      </c>
      <c r="D83" s="12" t="s">
        <v>3148</v>
      </c>
      <c r="E83" s="182">
        <v>6</v>
      </c>
      <c r="F83" s="172" t="s">
        <v>19</v>
      </c>
      <c r="G83" s="18">
        <v>3500</v>
      </c>
      <c r="H83" s="183">
        <f t="shared" si="10"/>
        <v>21000</v>
      </c>
      <c r="I83" s="189">
        <v>3300</v>
      </c>
      <c r="J83" s="184">
        <f t="shared" si="5"/>
        <v>200</v>
      </c>
      <c r="K83" s="185">
        <f t="shared" si="6"/>
        <v>1200</v>
      </c>
      <c r="L83" s="186">
        <f t="shared" si="7"/>
        <v>5.7142857142857141E-2</v>
      </c>
      <c r="M83" s="12" t="s">
        <v>40</v>
      </c>
      <c r="N83" s="12" t="s">
        <v>21</v>
      </c>
    </row>
    <row r="84" spans="1:14">
      <c r="A84" s="172" t="s">
        <v>15</v>
      </c>
      <c r="B84" s="181" t="s">
        <v>3149</v>
      </c>
      <c r="C84" s="12" t="s">
        <v>3150</v>
      </c>
      <c r="D84" s="12" t="s">
        <v>3151</v>
      </c>
      <c r="E84" s="182">
        <v>8</v>
      </c>
      <c r="F84" s="172" t="s">
        <v>19</v>
      </c>
      <c r="G84" s="18">
        <v>89000</v>
      </c>
      <c r="H84" s="183">
        <f t="shared" si="10"/>
        <v>712000</v>
      </c>
      <c r="I84" s="189">
        <v>77500</v>
      </c>
      <c r="J84" s="184">
        <f t="shared" si="5"/>
        <v>11500</v>
      </c>
      <c r="K84" s="185">
        <f t="shared" si="6"/>
        <v>92000</v>
      </c>
      <c r="L84" s="186">
        <f t="shared" si="7"/>
        <v>0.12921348314606743</v>
      </c>
      <c r="M84" s="12" t="s">
        <v>40</v>
      </c>
      <c r="N84" s="12" t="s">
        <v>21</v>
      </c>
    </row>
    <row r="85" spans="1:14">
      <c r="A85" s="172" t="s">
        <v>15</v>
      </c>
      <c r="B85" s="181" t="s">
        <v>3149</v>
      </c>
      <c r="C85" s="12" t="s">
        <v>3150</v>
      </c>
      <c r="D85" s="12" t="s">
        <v>3152</v>
      </c>
      <c r="E85" s="182">
        <v>5</v>
      </c>
      <c r="F85" s="172" t="s">
        <v>19</v>
      </c>
      <c r="G85" s="18">
        <v>32900</v>
      </c>
      <c r="H85" s="183">
        <f t="shared" si="10"/>
        <v>164500</v>
      </c>
      <c r="I85" s="189">
        <v>30000</v>
      </c>
      <c r="J85" s="184">
        <f t="shared" si="5"/>
        <v>2900</v>
      </c>
      <c r="K85" s="185">
        <f t="shared" si="6"/>
        <v>14500</v>
      </c>
      <c r="L85" s="186">
        <f t="shared" si="7"/>
        <v>8.8145896656534953E-2</v>
      </c>
      <c r="M85" s="12" t="s">
        <v>40</v>
      </c>
      <c r="N85" s="12" t="s">
        <v>21</v>
      </c>
    </row>
    <row r="86" spans="1:14">
      <c r="A86" s="172" t="s">
        <v>15</v>
      </c>
      <c r="B86" s="181" t="s">
        <v>3153</v>
      </c>
      <c r="C86" s="12" t="s">
        <v>1332</v>
      </c>
      <c r="D86" s="12" t="s">
        <v>3154</v>
      </c>
      <c r="E86" s="182">
        <v>1</v>
      </c>
      <c r="F86" s="172" t="s">
        <v>285</v>
      </c>
      <c r="G86" s="18">
        <v>343500</v>
      </c>
      <c r="H86" s="183">
        <f t="shared" si="10"/>
        <v>343500</v>
      </c>
      <c r="I86" s="189"/>
      <c r="J86" s="184">
        <f t="shared" si="5"/>
        <v>343500</v>
      </c>
      <c r="K86" s="185">
        <f t="shared" si="6"/>
        <v>343500</v>
      </c>
      <c r="L86" s="186">
        <f t="shared" si="7"/>
        <v>1</v>
      </c>
      <c r="M86" s="12" t="s">
        <v>40</v>
      </c>
      <c r="N86" s="12" t="s">
        <v>21</v>
      </c>
    </row>
    <row r="87" spans="1:14">
      <c r="A87" s="172" t="s">
        <v>15</v>
      </c>
      <c r="B87" s="181" t="s">
        <v>3155</v>
      </c>
      <c r="C87" s="12" t="s">
        <v>1227</v>
      </c>
      <c r="D87" s="12" t="s">
        <v>3156</v>
      </c>
      <c r="E87" s="182">
        <v>501</v>
      </c>
      <c r="F87" s="172" t="s">
        <v>19</v>
      </c>
      <c r="G87" s="18">
        <v>147</v>
      </c>
      <c r="H87" s="183">
        <f t="shared" si="10"/>
        <v>73647</v>
      </c>
      <c r="I87" s="189">
        <v>136</v>
      </c>
      <c r="J87" s="184">
        <f t="shared" si="5"/>
        <v>11</v>
      </c>
      <c r="K87" s="185">
        <f t="shared" si="6"/>
        <v>5511</v>
      </c>
      <c r="L87" s="186">
        <f t="shared" si="7"/>
        <v>7.4829931972789115E-2</v>
      </c>
      <c r="M87" s="12" t="s">
        <v>40</v>
      </c>
      <c r="N87" s="12" t="s">
        <v>39</v>
      </c>
    </row>
    <row r="88" spans="1:14">
      <c r="A88" s="172" t="s">
        <v>15</v>
      </c>
      <c r="B88" s="181" t="s">
        <v>3155</v>
      </c>
      <c r="C88" s="12" t="s">
        <v>1227</v>
      </c>
      <c r="D88" s="12" t="s">
        <v>3157</v>
      </c>
      <c r="E88" s="182">
        <v>493</v>
      </c>
      <c r="F88" s="172" t="s">
        <v>19</v>
      </c>
      <c r="G88" s="18">
        <v>1100</v>
      </c>
      <c r="H88" s="183">
        <f t="shared" si="10"/>
        <v>542300</v>
      </c>
      <c r="I88" s="189">
        <v>1070</v>
      </c>
      <c r="J88" s="184">
        <f t="shared" si="5"/>
        <v>30</v>
      </c>
      <c r="K88" s="185">
        <f t="shared" si="6"/>
        <v>14790</v>
      </c>
      <c r="L88" s="186">
        <f t="shared" si="7"/>
        <v>2.7272727272727271E-2</v>
      </c>
      <c r="M88" s="12" t="s">
        <v>40</v>
      </c>
      <c r="N88" s="12" t="s">
        <v>39</v>
      </c>
    </row>
    <row r="89" spans="1:14">
      <c r="A89" s="172" t="s">
        <v>15</v>
      </c>
      <c r="B89" s="181" t="s">
        <v>3155</v>
      </c>
      <c r="C89" s="12" t="s">
        <v>1227</v>
      </c>
      <c r="D89" s="12" t="s">
        <v>3158</v>
      </c>
      <c r="E89" s="182">
        <v>473</v>
      </c>
      <c r="F89" s="172" t="s">
        <v>19</v>
      </c>
      <c r="G89" s="18">
        <v>185</v>
      </c>
      <c r="H89" s="183">
        <f t="shared" si="10"/>
        <v>87505</v>
      </c>
      <c r="I89" s="189">
        <v>180</v>
      </c>
      <c r="J89" s="184">
        <f t="shared" si="5"/>
        <v>5</v>
      </c>
      <c r="K89" s="185">
        <f t="shared" si="6"/>
        <v>2365</v>
      </c>
      <c r="L89" s="186">
        <f t="shared" si="7"/>
        <v>2.7027027027027029E-2</v>
      </c>
      <c r="M89" s="12" t="s">
        <v>40</v>
      </c>
      <c r="N89" s="12" t="s">
        <v>39</v>
      </c>
    </row>
    <row r="90" spans="1:14">
      <c r="A90" s="172" t="s">
        <v>15</v>
      </c>
      <c r="B90" s="181" t="s">
        <v>3155</v>
      </c>
      <c r="C90" s="12" t="s">
        <v>1227</v>
      </c>
      <c r="D90" s="12" t="s">
        <v>3159</v>
      </c>
      <c r="E90" s="182">
        <v>300</v>
      </c>
      <c r="F90" s="172" t="s">
        <v>19</v>
      </c>
      <c r="G90" s="18">
        <v>885</v>
      </c>
      <c r="H90" s="183">
        <f t="shared" si="10"/>
        <v>265500</v>
      </c>
      <c r="I90" s="189">
        <v>865</v>
      </c>
      <c r="J90" s="184">
        <f t="shared" si="5"/>
        <v>20</v>
      </c>
      <c r="K90" s="185">
        <f t="shared" si="6"/>
        <v>6000</v>
      </c>
      <c r="L90" s="186">
        <f t="shared" si="7"/>
        <v>2.2598870056497175E-2</v>
      </c>
      <c r="M90" s="12" t="s">
        <v>40</v>
      </c>
      <c r="N90" s="12" t="s">
        <v>39</v>
      </c>
    </row>
    <row r="91" spans="1:14">
      <c r="A91" s="172" t="s">
        <v>15</v>
      </c>
      <c r="B91" s="181" t="s">
        <v>3160</v>
      </c>
      <c r="C91" s="12" t="s">
        <v>3161</v>
      </c>
      <c r="D91" s="12" t="s">
        <v>3162</v>
      </c>
      <c r="E91" s="182">
        <v>12000</v>
      </c>
      <c r="F91" s="172" t="s">
        <v>37</v>
      </c>
      <c r="G91" s="18">
        <v>29.8</v>
      </c>
      <c r="H91" s="183">
        <f t="shared" si="10"/>
        <v>357600</v>
      </c>
      <c r="I91" s="189">
        <v>28</v>
      </c>
      <c r="J91" s="184">
        <f t="shared" si="5"/>
        <v>1.8000000000000007</v>
      </c>
      <c r="K91" s="185">
        <f t="shared" si="6"/>
        <v>21600.000000000007</v>
      </c>
      <c r="L91" s="186">
        <f t="shared" si="7"/>
        <v>6.0402684563758413E-2</v>
      </c>
      <c r="M91" s="12" t="s">
        <v>22</v>
      </c>
      <c r="N91" s="12" t="s">
        <v>39</v>
      </c>
    </row>
    <row r="92" spans="1:14">
      <c r="A92" s="172" t="s">
        <v>15</v>
      </c>
      <c r="B92" s="181" t="s">
        <v>3163</v>
      </c>
      <c r="C92" s="12" t="s">
        <v>107</v>
      </c>
      <c r="D92" s="12" t="s">
        <v>816</v>
      </c>
      <c r="E92" s="182">
        <v>5</v>
      </c>
      <c r="F92" s="172" t="s">
        <v>19</v>
      </c>
      <c r="G92" s="18">
        <v>2800</v>
      </c>
      <c r="H92" s="183">
        <f t="shared" si="10"/>
        <v>14000</v>
      </c>
      <c r="I92" s="189">
        <v>2625</v>
      </c>
      <c r="J92" s="184">
        <f t="shared" si="5"/>
        <v>175</v>
      </c>
      <c r="K92" s="185">
        <f t="shared" si="6"/>
        <v>875</v>
      </c>
      <c r="L92" s="186">
        <f t="shared" si="7"/>
        <v>6.25E-2</v>
      </c>
      <c r="M92" s="12" t="s">
        <v>22</v>
      </c>
      <c r="N92" s="12" t="s">
        <v>105</v>
      </c>
    </row>
    <row r="93" spans="1:14">
      <c r="A93" s="172" t="s">
        <v>15</v>
      </c>
      <c r="B93" s="181" t="s">
        <v>3164</v>
      </c>
      <c r="C93" s="12" t="s">
        <v>1375</v>
      </c>
      <c r="D93" s="12" t="s">
        <v>1575</v>
      </c>
      <c r="E93" s="182">
        <v>3000</v>
      </c>
      <c r="F93" s="172" t="s">
        <v>337</v>
      </c>
      <c r="G93" s="18">
        <v>313</v>
      </c>
      <c r="H93" s="183">
        <f t="shared" si="10"/>
        <v>939000</v>
      </c>
      <c r="I93" s="189">
        <v>311</v>
      </c>
      <c r="J93" s="184">
        <f t="shared" si="5"/>
        <v>2</v>
      </c>
      <c r="K93" s="185">
        <f t="shared" si="6"/>
        <v>6000</v>
      </c>
      <c r="L93" s="186">
        <f t="shared" si="7"/>
        <v>6.3897763578274758E-3</v>
      </c>
      <c r="M93" s="12" t="s">
        <v>40</v>
      </c>
      <c r="N93" s="12" t="s">
        <v>105</v>
      </c>
    </row>
    <row r="94" spans="1:14">
      <c r="A94" s="172" t="s">
        <v>15</v>
      </c>
      <c r="B94" s="181" t="s">
        <v>3165</v>
      </c>
      <c r="C94" s="12" t="s">
        <v>1042</v>
      </c>
      <c r="D94" s="12" t="s">
        <v>711</v>
      </c>
      <c r="E94" s="182">
        <v>849</v>
      </c>
      <c r="F94" s="172" t="s">
        <v>37</v>
      </c>
      <c r="G94" s="18">
        <v>378</v>
      </c>
      <c r="H94" s="183">
        <f t="shared" si="10"/>
        <v>320922</v>
      </c>
      <c r="I94" s="189">
        <v>348</v>
      </c>
      <c r="J94" s="184">
        <f t="shared" si="5"/>
        <v>30</v>
      </c>
      <c r="K94" s="185">
        <f t="shared" si="6"/>
        <v>25470</v>
      </c>
      <c r="L94" s="186">
        <f t="shared" si="7"/>
        <v>7.9365079365079361E-2</v>
      </c>
      <c r="M94" s="12" t="s">
        <v>22</v>
      </c>
      <c r="N94" s="12" t="s">
        <v>105</v>
      </c>
    </row>
    <row r="95" spans="1:14">
      <c r="A95" s="172" t="s">
        <v>15</v>
      </c>
      <c r="B95" s="181" t="s">
        <v>3166</v>
      </c>
      <c r="C95" s="12" t="s">
        <v>94</v>
      </c>
      <c r="D95" s="12" t="s">
        <v>1038</v>
      </c>
      <c r="E95" s="182">
        <v>200</v>
      </c>
      <c r="F95" s="172" t="s">
        <v>19</v>
      </c>
      <c r="G95" s="18">
        <v>15.5</v>
      </c>
      <c r="H95" s="183">
        <f t="shared" si="10"/>
        <v>3100</v>
      </c>
      <c r="I95" s="189">
        <v>14.76</v>
      </c>
      <c r="J95" s="184">
        <f t="shared" si="5"/>
        <v>0.74000000000000021</v>
      </c>
      <c r="K95" s="185">
        <f t="shared" si="6"/>
        <v>148.00000000000006</v>
      </c>
      <c r="L95" s="186">
        <f t="shared" si="7"/>
        <v>4.7741935483870984E-2</v>
      </c>
      <c r="M95" s="12" t="s">
        <v>22</v>
      </c>
      <c r="N95" s="12" t="s">
        <v>105</v>
      </c>
    </row>
    <row r="96" spans="1:14">
      <c r="A96" s="172" t="s">
        <v>15</v>
      </c>
      <c r="B96" s="181" t="s">
        <v>3167</v>
      </c>
      <c r="C96" s="12" t="s">
        <v>1042</v>
      </c>
      <c r="D96" s="12" t="s">
        <v>889</v>
      </c>
      <c r="E96" s="182">
        <v>1120</v>
      </c>
      <c r="F96" s="172" t="s">
        <v>37</v>
      </c>
      <c r="G96" s="18">
        <v>378</v>
      </c>
      <c r="H96" s="183">
        <f t="shared" si="10"/>
        <v>423360</v>
      </c>
      <c r="I96" s="189">
        <v>348</v>
      </c>
      <c r="J96" s="184">
        <f t="shared" si="5"/>
        <v>30</v>
      </c>
      <c r="K96" s="185">
        <f t="shared" si="6"/>
        <v>33600</v>
      </c>
      <c r="L96" s="186">
        <f t="shared" si="7"/>
        <v>7.9365079365079361E-2</v>
      </c>
      <c r="M96" s="12" t="s">
        <v>22</v>
      </c>
      <c r="N96" s="12" t="s">
        <v>105</v>
      </c>
    </row>
    <row r="97" spans="1:14">
      <c r="A97" s="172" t="s">
        <v>15</v>
      </c>
      <c r="B97" s="181" t="s">
        <v>3168</v>
      </c>
      <c r="C97" s="12" t="s">
        <v>166</v>
      </c>
      <c r="D97" s="12" t="s">
        <v>3062</v>
      </c>
      <c r="E97" s="182">
        <v>21530</v>
      </c>
      <c r="F97" s="172" t="s">
        <v>37</v>
      </c>
      <c r="G97" s="18">
        <v>29.75</v>
      </c>
      <c r="H97" s="183">
        <f t="shared" si="10"/>
        <v>640517.5</v>
      </c>
      <c r="I97" s="189">
        <v>27.13</v>
      </c>
      <c r="J97" s="184">
        <f t="shared" si="5"/>
        <v>2.620000000000001</v>
      </c>
      <c r="K97" s="185">
        <f t="shared" si="6"/>
        <v>56408.60000000002</v>
      </c>
      <c r="L97" s="186">
        <f t="shared" si="7"/>
        <v>8.8067226890756342E-2</v>
      </c>
      <c r="M97" s="12" t="s">
        <v>22</v>
      </c>
      <c r="N97" s="12" t="s">
        <v>105</v>
      </c>
    </row>
    <row r="98" spans="1:14">
      <c r="A98" s="172" t="s">
        <v>15</v>
      </c>
      <c r="B98" s="181" t="s">
        <v>3169</v>
      </c>
      <c r="C98" s="12" t="s">
        <v>708</v>
      </c>
      <c r="D98" s="12" t="s">
        <v>45</v>
      </c>
      <c r="E98" s="182">
        <v>4753</v>
      </c>
      <c r="F98" s="172" t="s">
        <v>37</v>
      </c>
      <c r="G98" s="18">
        <v>5</v>
      </c>
      <c r="H98" s="183">
        <f t="shared" si="10"/>
        <v>23765</v>
      </c>
      <c r="I98" s="189">
        <v>0</v>
      </c>
      <c r="J98" s="184">
        <f t="shared" si="5"/>
        <v>5</v>
      </c>
      <c r="K98" s="185">
        <f t="shared" si="6"/>
        <v>23765</v>
      </c>
      <c r="L98" s="186">
        <f t="shared" si="7"/>
        <v>1</v>
      </c>
      <c r="M98" s="12" t="s">
        <v>40</v>
      </c>
      <c r="N98" s="12" t="s">
        <v>105</v>
      </c>
    </row>
    <row r="99" spans="1:14">
      <c r="A99" s="172" t="s">
        <v>15</v>
      </c>
      <c r="B99" s="181" t="s">
        <v>3170</v>
      </c>
      <c r="C99" s="12" t="s">
        <v>3171</v>
      </c>
      <c r="D99" s="12" t="s">
        <v>3172</v>
      </c>
      <c r="E99" s="182">
        <v>1</v>
      </c>
      <c r="F99" s="172" t="s">
        <v>285</v>
      </c>
      <c r="G99" s="18">
        <v>36750</v>
      </c>
      <c r="H99" s="183">
        <f t="shared" si="10"/>
        <v>36750</v>
      </c>
      <c r="I99" s="189">
        <v>33250</v>
      </c>
      <c r="J99" s="184">
        <f t="shared" si="5"/>
        <v>3500</v>
      </c>
      <c r="K99" s="185">
        <f t="shared" si="6"/>
        <v>3500</v>
      </c>
      <c r="L99" s="186">
        <f t="shared" si="7"/>
        <v>9.5238095238095233E-2</v>
      </c>
      <c r="M99" s="12" t="s">
        <v>40</v>
      </c>
      <c r="N99" s="12" t="s">
        <v>105</v>
      </c>
    </row>
    <row r="100" spans="1:14">
      <c r="A100" s="172" t="s">
        <v>15</v>
      </c>
      <c r="B100" s="181" t="s">
        <v>3173</v>
      </c>
      <c r="C100" s="12" t="s">
        <v>107</v>
      </c>
      <c r="D100" s="12" t="s">
        <v>1652</v>
      </c>
      <c r="E100" s="182">
        <v>20</v>
      </c>
      <c r="F100" s="172" t="s">
        <v>19</v>
      </c>
      <c r="G100" s="18">
        <v>1600</v>
      </c>
      <c r="H100" s="183">
        <f t="shared" si="10"/>
        <v>32000</v>
      </c>
      <c r="I100" s="189">
        <v>1470</v>
      </c>
      <c r="J100" s="184">
        <f t="shared" si="5"/>
        <v>130</v>
      </c>
      <c r="K100" s="185">
        <f t="shared" si="6"/>
        <v>2600</v>
      </c>
      <c r="L100" s="186">
        <f t="shared" si="7"/>
        <v>8.1250000000000003E-2</v>
      </c>
      <c r="M100" s="12" t="s">
        <v>22</v>
      </c>
      <c r="N100" s="12" t="s">
        <v>105</v>
      </c>
    </row>
    <row r="101" spans="1:14">
      <c r="A101" s="172" t="s">
        <v>15</v>
      </c>
      <c r="B101" s="181" t="s">
        <v>3174</v>
      </c>
      <c r="C101" s="12" t="s">
        <v>1227</v>
      </c>
      <c r="D101" s="12" t="s">
        <v>3175</v>
      </c>
      <c r="E101" s="182">
        <v>490</v>
      </c>
      <c r="F101" s="172" t="s">
        <v>19</v>
      </c>
      <c r="G101" s="18">
        <v>106</v>
      </c>
      <c r="H101" s="183">
        <f t="shared" si="10"/>
        <v>51940</v>
      </c>
      <c r="I101" s="189">
        <v>104</v>
      </c>
      <c r="J101" s="184">
        <f t="shared" si="5"/>
        <v>2</v>
      </c>
      <c r="K101" s="185">
        <f t="shared" si="6"/>
        <v>980</v>
      </c>
      <c r="L101" s="186">
        <f t="shared" si="7"/>
        <v>1.8867924528301886E-2</v>
      </c>
      <c r="M101" s="12" t="s">
        <v>40</v>
      </c>
      <c r="N101" s="12" t="s">
        <v>39</v>
      </c>
    </row>
    <row r="102" spans="1:14">
      <c r="A102" s="172" t="s">
        <v>15</v>
      </c>
      <c r="B102" s="181" t="s">
        <v>3176</v>
      </c>
      <c r="C102" s="12" t="s">
        <v>1227</v>
      </c>
      <c r="D102" s="12" t="s">
        <v>1230</v>
      </c>
      <c r="E102" s="182">
        <v>1600</v>
      </c>
      <c r="F102" s="172" t="s">
        <v>19</v>
      </c>
      <c r="G102" s="18">
        <v>92</v>
      </c>
      <c r="H102" s="183">
        <f t="shared" si="10"/>
        <v>147200</v>
      </c>
      <c r="I102" s="189">
        <v>87</v>
      </c>
      <c r="J102" s="184">
        <f t="shared" si="5"/>
        <v>5</v>
      </c>
      <c r="K102" s="185">
        <f t="shared" si="6"/>
        <v>8000</v>
      </c>
      <c r="L102" s="186">
        <f t="shared" si="7"/>
        <v>5.434782608695652E-2</v>
      </c>
      <c r="M102" s="12" t="s">
        <v>40</v>
      </c>
      <c r="N102" s="12" t="s">
        <v>39</v>
      </c>
    </row>
    <row r="103" spans="1:14">
      <c r="A103" s="172" t="s">
        <v>15</v>
      </c>
      <c r="B103" s="181" t="s">
        <v>3176</v>
      </c>
      <c r="C103" s="12" t="s">
        <v>1227</v>
      </c>
      <c r="D103" s="12" t="s">
        <v>3177</v>
      </c>
      <c r="E103" s="182">
        <v>471</v>
      </c>
      <c r="F103" s="172" t="s">
        <v>19</v>
      </c>
      <c r="G103" s="18">
        <v>48</v>
      </c>
      <c r="H103" s="183">
        <f t="shared" si="10"/>
        <v>22608</v>
      </c>
      <c r="I103" s="189">
        <v>47</v>
      </c>
      <c r="J103" s="184">
        <f t="shared" si="5"/>
        <v>1</v>
      </c>
      <c r="K103" s="185">
        <f t="shared" si="6"/>
        <v>471</v>
      </c>
      <c r="L103" s="186">
        <f t="shared" si="7"/>
        <v>2.0833333333333332E-2</v>
      </c>
      <c r="M103" s="12" t="s">
        <v>40</v>
      </c>
      <c r="N103" s="12" t="s">
        <v>39</v>
      </c>
    </row>
    <row r="104" spans="1:14">
      <c r="A104" s="172" t="s">
        <v>15</v>
      </c>
      <c r="B104" s="181" t="s">
        <v>3176</v>
      </c>
      <c r="C104" s="12" t="s">
        <v>1227</v>
      </c>
      <c r="D104" s="12" t="s">
        <v>3178</v>
      </c>
      <c r="E104" s="182">
        <v>477</v>
      </c>
      <c r="F104" s="172" t="s">
        <v>19</v>
      </c>
      <c r="G104" s="18">
        <v>32</v>
      </c>
      <c r="H104" s="183">
        <f t="shared" si="10"/>
        <v>15264</v>
      </c>
      <c r="I104" s="189">
        <v>31</v>
      </c>
      <c r="J104" s="184">
        <f t="shared" si="5"/>
        <v>1</v>
      </c>
      <c r="K104" s="185">
        <f t="shared" si="6"/>
        <v>477</v>
      </c>
      <c r="L104" s="186">
        <f t="shared" si="7"/>
        <v>3.125E-2</v>
      </c>
      <c r="M104" s="12" t="s">
        <v>40</v>
      </c>
      <c r="N104" s="12" t="s">
        <v>39</v>
      </c>
    </row>
    <row r="105" spans="1:14">
      <c r="A105" s="172" t="s">
        <v>15</v>
      </c>
      <c r="B105" s="181" t="s">
        <v>3176</v>
      </c>
      <c r="C105" s="12" t="s">
        <v>1227</v>
      </c>
      <c r="D105" s="12" t="s">
        <v>3179</v>
      </c>
      <c r="E105" s="182">
        <v>481</v>
      </c>
      <c r="F105" s="172" t="s">
        <v>19</v>
      </c>
      <c r="G105" s="18">
        <v>77</v>
      </c>
      <c r="H105" s="183">
        <f t="shared" si="10"/>
        <v>37037</v>
      </c>
      <c r="I105" s="189">
        <v>75</v>
      </c>
      <c r="J105" s="184">
        <f t="shared" si="5"/>
        <v>2</v>
      </c>
      <c r="K105" s="185">
        <f t="shared" si="6"/>
        <v>962</v>
      </c>
      <c r="L105" s="186">
        <f t="shared" si="7"/>
        <v>2.5974025974025976E-2</v>
      </c>
      <c r="M105" s="12" t="s">
        <v>40</v>
      </c>
      <c r="N105" s="12" t="s">
        <v>39</v>
      </c>
    </row>
    <row r="106" spans="1:14">
      <c r="A106" s="172" t="s">
        <v>15</v>
      </c>
      <c r="B106" s="181" t="s">
        <v>3176</v>
      </c>
      <c r="C106" s="12" t="s">
        <v>1227</v>
      </c>
      <c r="D106" s="12" t="s">
        <v>3180</v>
      </c>
      <c r="E106" s="182">
        <v>451</v>
      </c>
      <c r="F106" s="172" t="s">
        <v>19</v>
      </c>
      <c r="G106" s="18">
        <v>44</v>
      </c>
      <c r="H106" s="183">
        <f t="shared" si="10"/>
        <v>19844</v>
      </c>
      <c r="I106" s="189">
        <v>43</v>
      </c>
      <c r="J106" s="184">
        <f t="shared" si="5"/>
        <v>1</v>
      </c>
      <c r="K106" s="185">
        <f t="shared" si="6"/>
        <v>451</v>
      </c>
      <c r="L106" s="186">
        <f t="shared" si="7"/>
        <v>2.2727272727272728E-2</v>
      </c>
      <c r="M106" s="12" t="s">
        <v>40</v>
      </c>
      <c r="N106" s="12" t="s">
        <v>39</v>
      </c>
    </row>
    <row r="107" spans="1:14">
      <c r="A107" s="172" t="s">
        <v>15</v>
      </c>
      <c r="B107" s="181" t="s">
        <v>3176</v>
      </c>
      <c r="C107" s="12" t="s">
        <v>1227</v>
      </c>
      <c r="D107" s="12" t="s">
        <v>3181</v>
      </c>
      <c r="E107" s="182">
        <v>300</v>
      </c>
      <c r="F107" s="172" t="s">
        <v>19</v>
      </c>
      <c r="G107" s="18">
        <v>665</v>
      </c>
      <c r="H107" s="183">
        <f t="shared" si="10"/>
        <v>199500</v>
      </c>
      <c r="I107" s="189">
        <v>650</v>
      </c>
      <c r="J107" s="184">
        <f t="shared" si="5"/>
        <v>15</v>
      </c>
      <c r="K107" s="185">
        <f t="shared" si="6"/>
        <v>4500</v>
      </c>
      <c r="L107" s="186">
        <f t="shared" si="7"/>
        <v>2.2556390977443608E-2</v>
      </c>
      <c r="M107" s="12" t="s">
        <v>40</v>
      </c>
      <c r="N107" s="12" t="s">
        <v>39</v>
      </c>
    </row>
    <row r="108" spans="1:14">
      <c r="A108" s="172" t="s">
        <v>15</v>
      </c>
      <c r="B108" s="181" t="s">
        <v>3176</v>
      </c>
      <c r="C108" s="12" t="s">
        <v>1227</v>
      </c>
      <c r="D108" s="12" t="s">
        <v>1237</v>
      </c>
      <c r="E108" s="182">
        <v>402</v>
      </c>
      <c r="F108" s="172" t="s">
        <v>19</v>
      </c>
      <c r="G108" s="18">
        <v>36</v>
      </c>
      <c r="H108" s="183">
        <f t="shared" si="10"/>
        <v>14472</v>
      </c>
      <c r="I108" s="189">
        <v>35</v>
      </c>
      <c r="J108" s="184">
        <f t="shared" si="5"/>
        <v>1</v>
      </c>
      <c r="K108" s="185">
        <f t="shared" si="6"/>
        <v>402</v>
      </c>
      <c r="L108" s="186">
        <f t="shared" si="7"/>
        <v>2.7777777777777776E-2</v>
      </c>
      <c r="M108" s="12" t="s">
        <v>40</v>
      </c>
      <c r="N108" s="12" t="s">
        <v>39</v>
      </c>
    </row>
    <row r="109" spans="1:14">
      <c r="A109" s="172" t="s">
        <v>15</v>
      </c>
      <c r="B109" s="181" t="s">
        <v>3176</v>
      </c>
      <c r="C109" s="12" t="s">
        <v>1227</v>
      </c>
      <c r="D109" s="12" t="s">
        <v>3182</v>
      </c>
      <c r="E109" s="182">
        <v>433</v>
      </c>
      <c r="F109" s="172" t="s">
        <v>19</v>
      </c>
      <c r="G109" s="18">
        <v>115</v>
      </c>
      <c r="H109" s="183">
        <f t="shared" si="10"/>
        <v>49795</v>
      </c>
      <c r="I109" s="189">
        <v>112</v>
      </c>
      <c r="J109" s="184">
        <f t="shared" si="5"/>
        <v>3</v>
      </c>
      <c r="K109" s="185">
        <f t="shared" si="6"/>
        <v>1299</v>
      </c>
      <c r="L109" s="186">
        <f t="shared" si="7"/>
        <v>2.6086956521739129E-2</v>
      </c>
      <c r="M109" s="12" t="s">
        <v>40</v>
      </c>
      <c r="N109" s="12" t="s">
        <v>39</v>
      </c>
    </row>
    <row r="110" spans="1:14">
      <c r="A110" s="172" t="s">
        <v>15</v>
      </c>
      <c r="B110" s="181" t="s">
        <v>3176</v>
      </c>
      <c r="C110" s="12" t="s">
        <v>1227</v>
      </c>
      <c r="D110" s="12" t="s">
        <v>1235</v>
      </c>
      <c r="E110" s="182">
        <v>417</v>
      </c>
      <c r="F110" s="172" t="s">
        <v>19</v>
      </c>
      <c r="G110" s="18">
        <v>46</v>
      </c>
      <c r="H110" s="183">
        <f t="shared" si="10"/>
        <v>19182</v>
      </c>
      <c r="I110" s="189">
        <v>45</v>
      </c>
      <c r="J110" s="184">
        <f t="shared" si="5"/>
        <v>1</v>
      </c>
      <c r="K110" s="185">
        <f t="shared" si="6"/>
        <v>417</v>
      </c>
      <c r="L110" s="186">
        <f t="shared" si="7"/>
        <v>2.1739130434782608E-2</v>
      </c>
      <c r="M110" s="12" t="s">
        <v>40</v>
      </c>
      <c r="N110" s="12" t="s">
        <v>39</v>
      </c>
    </row>
    <row r="111" spans="1:14">
      <c r="A111" s="172" t="s">
        <v>15</v>
      </c>
      <c r="B111" s="181" t="s">
        <v>3176</v>
      </c>
      <c r="C111" s="12" t="s">
        <v>1227</v>
      </c>
      <c r="D111" s="12" t="s">
        <v>3183</v>
      </c>
      <c r="E111" s="182">
        <v>201</v>
      </c>
      <c r="F111" s="172" t="s">
        <v>19</v>
      </c>
      <c r="G111" s="18">
        <v>310</v>
      </c>
      <c r="H111" s="183">
        <f t="shared" si="10"/>
        <v>62310</v>
      </c>
      <c r="I111" s="189">
        <v>300</v>
      </c>
      <c r="J111" s="184">
        <f t="shared" si="5"/>
        <v>10</v>
      </c>
      <c r="K111" s="185">
        <f t="shared" si="6"/>
        <v>2010</v>
      </c>
      <c r="L111" s="186">
        <f t="shared" si="7"/>
        <v>3.2258064516129031E-2</v>
      </c>
      <c r="M111" s="12" t="s">
        <v>40</v>
      </c>
      <c r="N111" s="12" t="s">
        <v>39</v>
      </c>
    </row>
    <row r="112" spans="1:14">
      <c r="A112" s="172" t="s">
        <v>15</v>
      </c>
      <c r="B112" s="181" t="s">
        <v>3176</v>
      </c>
      <c r="C112" s="12" t="s">
        <v>1227</v>
      </c>
      <c r="D112" s="12" t="s">
        <v>3184</v>
      </c>
      <c r="E112" s="182">
        <v>201</v>
      </c>
      <c r="F112" s="172" t="s">
        <v>19</v>
      </c>
      <c r="G112" s="18">
        <v>178</v>
      </c>
      <c r="H112" s="183">
        <f t="shared" si="10"/>
        <v>35778</v>
      </c>
      <c r="I112" s="189">
        <v>175</v>
      </c>
      <c r="J112" s="184">
        <f t="shared" si="5"/>
        <v>3</v>
      </c>
      <c r="K112" s="185">
        <f t="shared" si="6"/>
        <v>603</v>
      </c>
      <c r="L112" s="186">
        <f t="shared" si="7"/>
        <v>1.6853932584269662E-2</v>
      </c>
      <c r="M112" s="12" t="s">
        <v>40</v>
      </c>
      <c r="N112" s="12" t="s">
        <v>39</v>
      </c>
    </row>
    <row r="113" spans="1:14">
      <c r="A113" s="172" t="s">
        <v>15</v>
      </c>
      <c r="B113" s="181" t="s">
        <v>3176</v>
      </c>
      <c r="C113" s="12" t="s">
        <v>1227</v>
      </c>
      <c r="D113" s="12" t="s">
        <v>3185</v>
      </c>
      <c r="E113" s="182">
        <v>463</v>
      </c>
      <c r="F113" s="172" t="s">
        <v>19</v>
      </c>
      <c r="G113" s="18">
        <v>475</v>
      </c>
      <c r="H113" s="183">
        <f t="shared" si="10"/>
        <v>219925</v>
      </c>
      <c r="I113" s="189">
        <v>465</v>
      </c>
      <c r="J113" s="184">
        <f t="shared" si="5"/>
        <v>10</v>
      </c>
      <c r="K113" s="185">
        <f t="shared" si="6"/>
        <v>4630</v>
      </c>
      <c r="L113" s="186">
        <f t="shared" si="7"/>
        <v>2.1052631578947368E-2</v>
      </c>
      <c r="M113" s="12" t="s">
        <v>40</v>
      </c>
      <c r="N113" s="12" t="s">
        <v>39</v>
      </c>
    </row>
    <row r="114" spans="1:14">
      <c r="A114" s="172" t="s">
        <v>15</v>
      </c>
      <c r="B114" s="181" t="s">
        <v>3186</v>
      </c>
      <c r="C114" s="12" t="s">
        <v>398</v>
      </c>
      <c r="D114" s="12" t="s">
        <v>3187</v>
      </c>
      <c r="E114" s="182">
        <v>1</v>
      </c>
      <c r="F114" s="172" t="s">
        <v>285</v>
      </c>
      <c r="G114" s="18">
        <v>632922</v>
      </c>
      <c r="H114" s="183">
        <f t="shared" si="10"/>
        <v>632922</v>
      </c>
      <c r="I114" s="189">
        <v>625000</v>
      </c>
      <c r="J114" s="184">
        <f t="shared" si="5"/>
        <v>7922</v>
      </c>
      <c r="K114" s="185">
        <f t="shared" si="6"/>
        <v>7922</v>
      </c>
      <c r="L114" s="186">
        <f t="shared" si="7"/>
        <v>1.2516550222618269E-2</v>
      </c>
      <c r="M114" s="12" t="s">
        <v>40</v>
      </c>
      <c r="N114" s="12" t="s">
        <v>21</v>
      </c>
    </row>
    <row r="115" spans="1:14">
      <c r="A115" s="172" t="s">
        <v>15</v>
      </c>
      <c r="B115" s="181" t="s">
        <v>3188</v>
      </c>
      <c r="C115" s="12" t="s">
        <v>1101</v>
      </c>
      <c r="D115" s="12" t="s">
        <v>1901</v>
      </c>
      <c r="E115" s="182">
        <v>830</v>
      </c>
      <c r="F115" s="172" t="s">
        <v>19</v>
      </c>
      <c r="G115" s="18">
        <v>16</v>
      </c>
      <c r="H115" s="183">
        <f t="shared" si="10"/>
        <v>13280</v>
      </c>
      <c r="I115" s="189">
        <v>15</v>
      </c>
      <c r="J115" s="184">
        <f t="shared" si="5"/>
        <v>1</v>
      </c>
      <c r="K115" s="185">
        <f t="shared" si="6"/>
        <v>830</v>
      </c>
      <c r="L115" s="186">
        <f t="shared" si="7"/>
        <v>6.25E-2</v>
      </c>
      <c r="M115" s="12" t="s">
        <v>20</v>
      </c>
      <c r="N115" s="12" t="s">
        <v>21</v>
      </c>
    </row>
    <row r="116" spans="1:14">
      <c r="A116" s="172" t="s">
        <v>15</v>
      </c>
      <c r="B116" s="181" t="s">
        <v>3189</v>
      </c>
      <c r="C116" s="12" t="s">
        <v>1670</v>
      </c>
      <c r="D116" s="12" t="s">
        <v>3190</v>
      </c>
      <c r="E116" s="182">
        <v>2</v>
      </c>
      <c r="F116" s="172" t="s">
        <v>19</v>
      </c>
      <c r="G116" s="18">
        <v>1850</v>
      </c>
      <c r="H116" s="183">
        <f t="shared" si="10"/>
        <v>3700</v>
      </c>
      <c r="I116" s="189">
        <v>1800</v>
      </c>
      <c r="J116" s="184">
        <f t="shared" si="5"/>
        <v>50</v>
      </c>
      <c r="K116" s="185">
        <f t="shared" si="6"/>
        <v>100</v>
      </c>
      <c r="L116" s="186">
        <f t="shared" si="7"/>
        <v>2.7027027027027029E-2</v>
      </c>
      <c r="M116" s="12" t="s">
        <v>22</v>
      </c>
      <c r="N116" s="12" t="s">
        <v>21</v>
      </c>
    </row>
    <row r="117" spans="1:14">
      <c r="A117" s="172" t="s">
        <v>15</v>
      </c>
      <c r="B117" s="181" t="s">
        <v>3189</v>
      </c>
      <c r="C117" s="12" t="s">
        <v>1670</v>
      </c>
      <c r="D117" s="12" t="s">
        <v>3191</v>
      </c>
      <c r="E117" s="182">
        <v>2</v>
      </c>
      <c r="F117" s="172" t="s">
        <v>19</v>
      </c>
      <c r="G117" s="18">
        <v>1850</v>
      </c>
      <c r="H117" s="183">
        <f t="shared" si="10"/>
        <v>3700</v>
      </c>
      <c r="I117" s="189">
        <v>1500</v>
      </c>
      <c r="J117" s="184">
        <f t="shared" si="5"/>
        <v>350</v>
      </c>
      <c r="K117" s="185">
        <f t="shared" si="6"/>
        <v>700</v>
      </c>
      <c r="L117" s="186">
        <f t="shared" si="7"/>
        <v>0.1891891891891892</v>
      </c>
      <c r="M117" s="12" t="s">
        <v>22</v>
      </c>
      <c r="N117" s="12" t="s">
        <v>21</v>
      </c>
    </row>
    <row r="118" spans="1:14">
      <c r="A118" s="172" t="s">
        <v>15</v>
      </c>
      <c r="B118" s="181" t="s">
        <v>3192</v>
      </c>
      <c r="C118" s="12" t="s">
        <v>118</v>
      </c>
      <c r="D118" s="12" t="s">
        <v>3193</v>
      </c>
      <c r="E118" s="182">
        <v>3</v>
      </c>
      <c r="F118" s="172" t="s">
        <v>19</v>
      </c>
      <c r="G118" s="18">
        <v>4300</v>
      </c>
      <c r="H118" s="183">
        <f t="shared" si="10"/>
        <v>12900</v>
      </c>
      <c r="I118" s="189">
        <v>3562.5</v>
      </c>
      <c r="J118" s="184">
        <f t="shared" si="5"/>
        <v>737.5</v>
      </c>
      <c r="K118" s="185">
        <f t="shared" si="6"/>
        <v>2212.5</v>
      </c>
      <c r="L118" s="186">
        <f t="shared" si="7"/>
        <v>0.17151162790697674</v>
      </c>
      <c r="M118" s="12" t="s">
        <v>22</v>
      </c>
      <c r="N118" s="12" t="s">
        <v>21</v>
      </c>
    </row>
    <row r="119" spans="1:14">
      <c r="A119" s="172" t="s">
        <v>15</v>
      </c>
      <c r="B119" s="181" t="s">
        <v>3192</v>
      </c>
      <c r="C119" s="12" t="s">
        <v>118</v>
      </c>
      <c r="D119" s="12" t="s">
        <v>3194</v>
      </c>
      <c r="E119" s="182">
        <v>3</v>
      </c>
      <c r="F119" s="172" t="s">
        <v>19</v>
      </c>
      <c r="G119" s="18">
        <v>2490</v>
      </c>
      <c r="H119" s="183">
        <f t="shared" si="10"/>
        <v>7470</v>
      </c>
      <c r="I119" s="189">
        <v>1750</v>
      </c>
      <c r="J119" s="184">
        <f t="shared" si="5"/>
        <v>740</v>
      </c>
      <c r="K119" s="185">
        <f t="shared" si="6"/>
        <v>2220</v>
      </c>
      <c r="L119" s="186">
        <f t="shared" si="7"/>
        <v>0.2971887550200803</v>
      </c>
      <c r="M119" s="12" t="s">
        <v>22</v>
      </c>
      <c r="N119" s="12" t="s">
        <v>21</v>
      </c>
    </row>
    <row r="120" spans="1:14">
      <c r="A120" s="172" t="s">
        <v>15</v>
      </c>
      <c r="B120" s="181" t="s">
        <v>3195</v>
      </c>
      <c r="C120" s="12" t="s">
        <v>1948</v>
      </c>
      <c r="D120" s="12" t="s">
        <v>3196</v>
      </c>
      <c r="E120" s="182">
        <v>5</v>
      </c>
      <c r="F120" s="172" t="s">
        <v>19</v>
      </c>
      <c r="G120" s="18">
        <v>599</v>
      </c>
      <c r="H120" s="183">
        <f t="shared" si="10"/>
        <v>2995</v>
      </c>
      <c r="I120" s="189">
        <v>515</v>
      </c>
      <c r="J120" s="184">
        <f t="shared" si="5"/>
        <v>84</v>
      </c>
      <c r="K120" s="185">
        <f t="shared" si="6"/>
        <v>420</v>
      </c>
      <c r="L120" s="186">
        <f t="shared" si="7"/>
        <v>0.14023372287145242</v>
      </c>
      <c r="M120" s="12" t="s">
        <v>22</v>
      </c>
      <c r="N120" s="12" t="s">
        <v>21</v>
      </c>
    </row>
    <row r="121" spans="1:14">
      <c r="A121" s="172" t="s">
        <v>15</v>
      </c>
      <c r="B121" s="181" t="s">
        <v>3195</v>
      </c>
      <c r="C121" s="12" t="s">
        <v>1948</v>
      </c>
      <c r="D121" s="12" t="s">
        <v>3197</v>
      </c>
      <c r="E121" s="182">
        <v>5</v>
      </c>
      <c r="F121" s="172" t="s">
        <v>19</v>
      </c>
      <c r="G121" s="18">
        <v>750</v>
      </c>
      <c r="H121" s="183">
        <f t="shared" si="10"/>
        <v>3750</v>
      </c>
      <c r="I121" s="189">
        <v>711</v>
      </c>
      <c r="J121" s="184">
        <f t="shared" si="5"/>
        <v>39</v>
      </c>
      <c r="K121" s="185">
        <f t="shared" si="6"/>
        <v>195</v>
      </c>
      <c r="L121" s="186">
        <f t="shared" si="7"/>
        <v>5.1999999999999998E-2</v>
      </c>
      <c r="M121" s="12" t="s">
        <v>22</v>
      </c>
      <c r="N121" s="12" t="s">
        <v>21</v>
      </c>
    </row>
    <row r="122" spans="1:14">
      <c r="A122" s="172" t="s">
        <v>15</v>
      </c>
      <c r="B122" s="181" t="s">
        <v>3198</v>
      </c>
      <c r="C122" s="12" t="s">
        <v>110</v>
      </c>
      <c r="D122" s="12" t="s">
        <v>3199</v>
      </c>
      <c r="E122" s="182">
        <v>3</v>
      </c>
      <c r="F122" s="172" t="s">
        <v>19</v>
      </c>
      <c r="G122" s="18">
        <v>10500</v>
      </c>
      <c r="H122" s="183">
        <f t="shared" si="10"/>
        <v>31500</v>
      </c>
      <c r="I122" s="189">
        <v>10200</v>
      </c>
      <c r="J122" s="184">
        <f t="shared" si="5"/>
        <v>300</v>
      </c>
      <c r="K122" s="185">
        <f t="shared" si="6"/>
        <v>900</v>
      </c>
      <c r="L122" s="186">
        <f t="shared" si="7"/>
        <v>2.8571428571428571E-2</v>
      </c>
      <c r="M122" s="12" t="s">
        <v>22</v>
      </c>
      <c r="N122" s="12" t="s">
        <v>21</v>
      </c>
    </row>
    <row r="123" spans="1:14">
      <c r="A123" s="172" t="s">
        <v>15</v>
      </c>
      <c r="B123" s="181" t="s">
        <v>3198</v>
      </c>
      <c r="C123" s="12" t="s">
        <v>110</v>
      </c>
      <c r="D123" s="12" t="s">
        <v>3200</v>
      </c>
      <c r="E123" s="182">
        <v>3</v>
      </c>
      <c r="F123" s="172" t="s">
        <v>19</v>
      </c>
      <c r="G123" s="18">
        <v>3900</v>
      </c>
      <c r="H123" s="183">
        <f t="shared" si="10"/>
        <v>11700</v>
      </c>
      <c r="I123" s="189">
        <v>3500</v>
      </c>
      <c r="J123" s="184">
        <f t="shared" si="5"/>
        <v>400</v>
      </c>
      <c r="K123" s="185">
        <f t="shared" si="6"/>
        <v>1200</v>
      </c>
      <c r="L123" s="186">
        <f t="shared" si="7"/>
        <v>0.10256410256410256</v>
      </c>
      <c r="M123" s="12" t="s">
        <v>22</v>
      </c>
      <c r="N123" s="12" t="s">
        <v>21</v>
      </c>
    </row>
    <row r="124" spans="1:14">
      <c r="A124" s="172" t="s">
        <v>15</v>
      </c>
      <c r="B124" s="181" t="s">
        <v>3201</v>
      </c>
      <c r="C124" s="12" t="s">
        <v>3202</v>
      </c>
      <c r="D124" s="12" t="s">
        <v>3203</v>
      </c>
      <c r="E124" s="182">
        <v>100</v>
      </c>
      <c r="F124" s="172" t="s">
        <v>19</v>
      </c>
      <c r="G124" s="18">
        <v>1400</v>
      </c>
      <c r="H124" s="183">
        <f t="shared" si="10"/>
        <v>140000</v>
      </c>
      <c r="I124" s="189">
        <v>1200</v>
      </c>
      <c r="J124" s="184">
        <f t="shared" si="5"/>
        <v>200</v>
      </c>
      <c r="K124" s="185">
        <f t="shared" si="6"/>
        <v>20000</v>
      </c>
      <c r="L124" s="186">
        <f t="shared" si="7"/>
        <v>0.14285714285714285</v>
      </c>
      <c r="M124" s="12" t="s">
        <v>40</v>
      </c>
      <c r="N124" s="12" t="s">
        <v>21</v>
      </c>
    </row>
    <row r="125" spans="1:14">
      <c r="A125" s="172" t="s">
        <v>15</v>
      </c>
      <c r="B125" s="181" t="s">
        <v>3204</v>
      </c>
      <c r="C125" s="12" t="s">
        <v>1670</v>
      </c>
      <c r="D125" s="12" t="s">
        <v>3205</v>
      </c>
      <c r="E125" s="182">
        <v>1</v>
      </c>
      <c r="F125" s="172" t="s">
        <v>19</v>
      </c>
      <c r="G125" s="18">
        <v>1850</v>
      </c>
      <c r="H125" s="183">
        <f t="shared" si="10"/>
        <v>1850</v>
      </c>
      <c r="I125" s="189">
        <v>1800</v>
      </c>
      <c r="J125" s="184">
        <f t="shared" si="5"/>
        <v>50</v>
      </c>
      <c r="K125" s="185">
        <f t="shared" si="6"/>
        <v>50</v>
      </c>
      <c r="L125" s="186">
        <f t="shared" si="7"/>
        <v>2.7027027027027029E-2</v>
      </c>
      <c r="M125" s="12" t="s">
        <v>22</v>
      </c>
      <c r="N125" s="12" t="s">
        <v>21</v>
      </c>
    </row>
    <row r="126" spans="1:14">
      <c r="A126" s="172" t="s">
        <v>15</v>
      </c>
      <c r="B126" s="181" t="s">
        <v>3204</v>
      </c>
      <c r="C126" s="12" t="s">
        <v>1670</v>
      </c>
      <c r="D126" s="12" t="s">
        <v>3206</v>
      </c>
      <c r="E126" s="182">
        <v>1</v>
      </c>
      <c r="F126" s="172" t="s">
        <v>19</v>
      </c>
      <c r="G126" s="18">
        <v>1850</v>
      </c>
      <c r="H126" s="183">
        <f t="shared" si="10"/>
        <v>1850</v>
      </c>
      <c r="I126" s="189">
        <v>1500</v>
      </c>
      <c r="J126" s="184">
        <f t="shared" si="5"/>
        <v>350</v>
      </c>
      <c r="K126" s="185">
        <f t="shared" si="6"/>
        <v>350</v>
      </c>
      <c r="L126" s="186">
        <f t="shared" si="7"/>
        <v>0.1891891891891892</v>
      </c>
      <c r="M126" s="12" t="s">
        <v>22</v>
      </c>
      <c r="N126" s="12" t="s">
        <v>21</v>
      </c>
    </row>
    <row r="127" spans="1:14">
      <c r="A127" s="172" t="s">
        <v>15</v>
      </c>
      <c r="B127" s="181" t="s">
        <v>3207</v>
      </c>
      <c r="C127" s="12" t="s">
        <v>1948</v>
      </c>
      <c r="D127" s="12" t="s">
        <v>1893</v>
      </c>
      <c r="E127" s="182">
        <v>100</v>
      </c>
      <c r="F127" s="172" t="s">
        <v>29</v>
      </c>
      <c r="G127" s="18">
        <v>180</v>
      </c>
      <c r="H127" s="183">
        <f t="shared" si="10"/>
        <v>18000</v>
      </c>
      <c r="I127" s="189">
        <v>70</v>
      </c>
      <c r="J127" s="184">
        <f t="shared" si="5"/>
        <v>110</v>
      </c>
      <c r="K127" s="185">
        <f t="shared" si="6"/>
        <v>11000</v>
      </c>
      <c r="L127" s="186">
        <f t="shared" si="7"/>
        <v>0.61111111111111116</v>
      </c>
      <c r="M127" s="12" t="s">
        <v>22</v>
      </c>
      <c r="N127" s="12" t="s">
        <v>21</v>
      </c>
    </row>
    <row r="128" spans="1:14">
      <c r="A128" s="172" t="s">
        <v>15</v>
      </c>
      <c r="B128" s="181" t="s">
        <v>3207</v>
      </c>
      <c r="C128" s="12" t="s">
        <v>1948</v>
      </c>
      <c r="D128" s="12" t="s">
        <v>1420</v>
      </c>
      <c r="E128" s="182">
        <v>2000</v>
      </c>
      <c r="F128" s="172" t="s">
        <v>19</v>
      </c>
      <c r="G128" s="18">
        <v>1.5</v>
      </c>
      <c r="H128" s="183">
        <f t="shared" si="10"/>
        <v>3000</v>
      </c>
      <c r="I128" s="189">
        <v>1.31</v>
      </c>
      <c r="J128" s="184">
        <f t="shared" si="5"/>
        <v>0.18999999999999995</v>
      </c>
      <c r="K128" s="185">
        <f t="shared" si="6"/>
        <v>379.99999999999989</v>
      </c>
      <c r="L128" s="186">
        <f t="shared" si="7"/>
        <v>0.12666666666666662</v>
      </c>
      <c r="M128" s="12" t="s">
        <v>22</v>
      </c>
      <c r="N128" s="12" t="s">
        <v>21</v>
      </c>
    </row>
    <row r="129" spans="1:14">
      <c r="A129" s="172" t="s">
        <v>15</v>
      </c>
      <c r="B129" s="181" t="s">
        <v>3208</v>
      </c>
      <c r="C129" s="12" t="s">
        <v>946</v>
      </c>
      <c r="D129" s="12" t="s">
        <v>1700</v>
      </c>
      <c r="E129" s="182">
        <v>2000</v>
      </c>
      <c r="F129" s="172" t="s">
        <v>615</v>
      </c>
      <c r="G129" s="18">
        <v>22.5</v>
      </c>
      <c r="H129" s="183">
        <f t="shared" si="10"/>
        <v>45000</v>
      </c>
      <c r="I129" s="189">
        <v>21.375</v>
      </c>
      <c r="J129" s="184">
        <f t="shared" si="5"/>
        <v>1.125</v>
      </c>
      <c r="K129" s="185">
        <f t="shared" si="6"/>
        <v>2250</v>
      </c>
      <c r="L129" s="186">
        <f t="shared" si="7"/>
        <v>0.05</v>
      </c>
      <c r="M129" s="12" t="s">
        <v>20</v>
      </c>
      <c r="N129" s="12" t="s">
        <v>21</v>
      </c>
    </row>
    <row r="130" spans="1:14">
      <c r="A130" s="172" t="s">
        <v>15</v>
      </c>
      <c r="B130" s="181" t="s">
        <v>3209</v>
      </c>
      <c r="C130" s="12" t="s">
        <v>110</v>
      </c>
      <c r="D130" s="12" t="s">
        <v>3210</v>
      </c>
      <c r="E130" s="182">
        <v>1</v>
      </c>
      <c r="F130" s="172" t="s">
        <v>19</v>
      </c>
      <c r="G130" s="18">
        <v>8400</v>
      </c>
      <c r="H130" s="183">
        <f t="shared" si="10"/>
        <v>8400</v>
      </c>
      <c r="I130" s="189">
        <v>8100</v>
      </c>
      <c r="J130" s="184">
        <f t="shared" si="5"/>
        <v>300</v>
      </c>
      <c r="K130" s="185">
        <f t="shared" si="6"/>
        <v>300</v>
      </c>
      <c r="L130" s="186">
        <f t="shared" si="7"/>
        <v>3.5714285714285712E-2</v>
      </c>
      <c r="M130" s="12" t="s">
        <v>22</v>
      </c>
      <c r="N130" s="12" t="s">
        <v>21</v>
      </c>
    </row>
    <row r="131" spans="1:14">
      <c r="A131" s="172" t="s">
        <v>15</v>
      </c>
      <c r="B131" s="181" t="s">
        <v>3211</v>
      </c>
      <c r="C131" s="12" t="s">
        <v>1227</v>
      </c>
      <c r="D131" s="12" t="s">
        <v>3212</v>
      </c>
      <c r="E131" s="182">
        <v>180</v>
      </c>
      <c r="F131" s="172" t="s">
        <v>19</v>
      </c>
      <c r="G131" s="18">
        <v>965</v>
      </c>
      <c r="H131" s="183">
        <f t="shared" si="10"/>
        <v>173700</v>
      </c>
      <c r="I131" s="189">
        <v>940</v>
      </c>
      <c r="J131" s="184">
        <f t="shared" si="5"/>
        <v>25</v>
      </c>
      <c r="K131" s="185">
        <f t="shared" si="6"/>
        <v>4500</v>
      </c>
      <c r="L131" s="186">
        <f t="shared" si="7"/>
        <v>2.5906735751295335E-2</v>
      </c>
      <c r="M131" s="12" t="s">
        <v>40</v>
      </c>
      <c r="N131" s="12" t="s">
        <v>39</v>
      </c>
    </row>
    <row r="132" spans="1:14">
      <c r="A132" s="172" t="s">
        <v>15</v>
      </c>
      <c r="B132" s="181" t="s">
        <v>3211</v>
      </c>
      <c r="C132" s="12" t="s">
        <v>1227</v>
      </c>
      <c r="D132" s="12" t="s">
        <v>1234</v>
      </c>
      <c r="E132" s="182">
        <v>5000</v>
      </c>
      <c r="F132" s="172" t="s">
        <v>19</v>
      </c>
      <c r="G132" s="18">
        <v>11</v>
      </c>
      <c r="H132" s="183">
        <f t="shared" si="10"/>
        <v>55000</v>
      </c>
      <c r="I132" s="189">
        <v>10.5</v>
      </c>
      <c r="J132" s="184">
        <f t="shared" si="5"/>
        <v>0.5</v>
      </c>
      <c r="K132" s="185">
        <f t="shared" si="6"/>
        <v>2500</v>
      </c>
      <c r="L132" s="186">
        <f t="shared" si="7"/>
        <v>4.5454545454545456E-2</v>
      </c>
      <c r="M132" s="12" t="s">
        <v>40</v>
      </c>
      <c r="N132" s="12" t="s">
        <v>39</v>
      </c>
    </row>
    <row r="133" spans="1:14">
      <c r="A133" s="172" t="s">
        <v>15</v>
      </c>
      <c r="B133" s="181" t="s">
        <v>3211</v>
      </c>
      <c r="C133" s="12" t="s">
        <v>1227</v>
      </c>
      <c r="D133" s="12" t="s">
        <v>3213</v>
      </c>
      <c r="E133" s="182">
        <v>1000</v>
      </c>
      <c r="F133" s="172" t="s">
        <v>19</v>
      </c>
      <c r="G133" s="18">
        <v>48</v>
      </c>
      <c r="H133" s="183">
        <f t="shared" si="10"/>
        <v>48000</v>
      </c>
      <c r="I133" s="189">
        <v>45</v>
      </c>
      <c r="J133" s="184">
        <f t="shared" si="5"/>
        <v>3</v>
      </c>
      <c r="K133" s="185">
        <f t="shared" si="6"/>
        <v>3000</v>
      </c>
      <c r="L133" s="186">
        <f t="shared" si="7"/>
        <v>6.25E-2</v>
      </c>
      <c r="M133" s="12" t="s">
        <v>40</v>
      </c>
      <c r="N133" s="12" t="s">
        <v>39</v>
      </c>
    </row>
    <row r="134" spans="1:14">
      <c r="A134" s="172" t="s">
        <v>15</v>
      </c>
      <c r="B134" s="181" t="s">
        <v>3211</v>
      </c>
      <c r="C134" s="12" t="s">
        <v>1227</v>
      </c>
      <c r="D134" s="12" t="s">
        <v>3214</v>
      </c>
      <c r="E134" s="182">
        <v>200</v>
      </c>
      <c r="F134" s="172" t="s">
        <v>19</v>
      </c>
      <c r="G134" s="18">
        <v>230</v>
      </c>
      <c r="H134" s="183">
        <f t="shared" si="10"/>
        <v>46000</v>
      </c>
      <c r="I134" s="189">
        <v>225</v>
      </c>
      <c r="J134" s="184">
        <f t="shared" si="5"/>
        <v>5</v>
      </c>
      <c r="K134" s="185">
        <f t="shared" si="6"/>
        <v>1000</v>
      </c>
      <c r="L134" s="186">
        <f t="shared" si="7"/>
        <v>2.1739130434782608E-2</v>
      </c>
      <c r="M134" s="12" t="s">
        <v>40</v>
      </c>
      <c r="N134" s="12" t="s">
        <v>39</v>
      </c>
    </row>
    <row r="135" spans="1:14">
      <c r="A135" s="172" t="s">
        <v>15</v>
      </c>
      <c r="B135" s="181" t="s">
        <v>3211</v>
      </c>
      <c r="C135" s="12" t="s">
        <v>1227</v>
      </c>
      <c r="D135" s="12" t="s">
        <v>3215</v>
      </c>
      <c r="E135" s="182">
        <v>119</v>
      </c>
      <c r="F135" s="172" t="s">
        <v>19</v>
      </c>
      <c r="G135" s="18">
        <v>410</v>
      </c>
      <c r="H135" s="183">
        <f t="shared" si="10"/>
        <v>48790</v>
      </c>
      <c r="I135" s="189">
        <v>400</v>
      </c>
      <c r="J135" s="184">
        <f t="shared" si="5"/>
        <v>10</v>
      </c>
      <c r="K135" s="185">
        <f t="shared" si="6"/>
        <v>1190</v>
      </c>
      <c r="L135" s="186">
        <f t="shared" si="7"/>
        <v>2.4390243902439025E-2</v>
      </c>
      <c r="M135" s="12" t="s">
        <v>40</v>
      </c>
      <c r="N135" s="12" t="s">
        <v>39</v>
      </c>
    </row>
    <row r="136" spans="1:14">
      <c r="A136" s="172" t="s">
        <v>15</v>
      </c>
      <c r="B136" s="181" t="s">
        <v>3211</v>
      </c>
      <c r="C136" s="12" t="s">
        <v>1227</v>
      </c>
      <c r="D136" s="12" t="s">
        <v>3216</v>
      </c>
      <c r="E136" s="182">
        <v>123</v>
      </c>
      <c r="F136" s="172" t="s">
        <v>19</v>
      </c>
      <c r="G136" s="18">
        <v>395</v>
      </c>
      <c r="H136" s="183">
        <f t="shared" si="10"/>
        <v>48585</v>
      </c>
      <c r="I136" s="189">
        <v>385</v>
      </c>
      <c r="J136" s="184">
        <f t="shared" si="5"/>
        <v>10</v>
      </c>
      <c r="K136" s="185">
        <f t="shared" si="6"/>
        <v>1230</v>
      </c>
      <c r="L136" s="186">
        <f t="shared" si="7"/>
        <v>2.5316455696202531E-2</v>
      </c>
      <c r="M136" s="12" t="s">
        <v>40</v>
      </c>
      <c r="N136" s="12" t="s">
        <v>39</v>
      </c>
    </row>
    <row r="137" spans="1:14">
      <c r="A137" s="172" t="s">
        <v>15</v>
      </c>
      <c r="B137" s="181" t="s">
        <v>3211</v>
      </c>
      <c r="C137" s="12" t="s">
        <v>1227</v>
      </c>
      <c r="D137" s="12" t="s">
        <v>1236</v>
      </c>
      <c r="E137" s="182">
        <v>387</v>
      </c>
      <c r="F137" s="172" t="s">
        <v>19</v>
      </c>
      <c r="G137" s="18">
        <v>34</v>
      </c>
      <c r="H137" s="183">
        <f t="shared" si="10"/>
        <v>13158</v>
      </c>
      <c r="I137" s="189">
        <v>33</v>
      </c>
      <c r="J137" s="184">
        <f t="shared" si="5"/>
        <v>1</v>
      </c>
      <c r="K137" s="185">
        <f t="shared" si="6"/>
        <v>387</v>
      </c>
      <c r="L137" s="186">
        <f t="shared" si="7"/>
        <v>2.9411764705882353E-2</v>
      </c>
      <c r="M137" s="12" t="s">
        <v>40</v>
      </c>
      <c r="N137" s="12" t="s">
        <v>39</v>
      </c>
    </row>
    <row r="138" spans="1:14">
      <c r="A138" s="172" t="s">
        <v>15</v>
      </c>
      <c r="B138" s="181" t="s">
        <v>3211</v>
      </c>
      <c r="C138" s="12" t="s">
        <v>1227</v>
      </c>
      <c r="D138" s="12" t="s">
        <v>3217</v>
      </c>
      <c r="E138" s="182">
        <v>453</v>
      </c>
      <c r="F138" s="172" t="s">
        <v>19</v>
      </c>
      <c r="G138" s="18">
        <v>82</v>
      </c>
      <c r="H138" s="183">
        <f t="shared" si="10"/>
        <v>37146</v>
      </c>
      <c r="I138" s="189">
        <v>80</v>
      </c>
      <c r="J138" s="184">
        <f t="shared" si="5"/>
        <v>2</v>
      </c>
      <c r="K138" s="185">
        <f t="shared" si="6"/>
        <v>906</v>
      </c>
      <c r="L138" s="186">
        <f t="shared" si="7"/>
        <v>2.4390243902439025E-2</v>
      </c>
      <c r="M138" s="12" t="s">
        <v>40</v>
      </c>
      <c r="N138" s="12" t="s">
        <v>39</v>
      </c>
    </row>
    <row r="139" spans="1:14">
      <c r="A139" s="172" t="s">
        <v>15</v>
      </c>
      <c r="B139" s="181" t="s">
        <v>3211</v>
      </c>
      <c r="C139" s="12" t="s">
        <v>1227</v>
      </c>
      <c r="D139" s="12" t="s">
        <v>3218</v>
      </c>
      <c r="E139" s="182">
        <v>133</v>
      </c>
      <c r="F139" s="172" t="s">
        <v>19</v>
      </c>
      <c r="G139" s="18">
        <v>195</v>
      </c>
      <c r="H139" s="183">
        <f t="shared" si="10"/>
        <v>25935</v>
      </c>
      <c r="I139" s="189">
        <v>190</v>
      </c>
      <c r="J139" s="184">
        <f t="shared" si="5"/>
        <v>5</v>
      </c>
      <c r="K139" s="185">
        <f t="shared" si="6"/>
        <v>665</v>
      </c>
      <c r="L139" s="186">
        <f t="shared" si="7"/>
        <v>2.564102564102564E-2</v>
      </c>
      <c r="M139" s="12" t="s">
        <v>40</v>
      </c>
      <c r="N139" s="12" t="s">
        <v>39</v>
      </c>
    </row>
    <row r="140" spans="1:14">
      <c r="A140" s="172" t="s">
        <v>15</v>
      </c>
      <c r="B140" s="181" t="s">
        <v>3211</v>
      </c>
      <c r="C140" s="12" t="s">
        <v>1227</v>
      </c>
      <c r="D140" s="12" t="s">
        <v>3219</v>
      </c>
      <c r="E140" s="182">
        <v>60</v>
      </c>
      <c r="F140" s="172" t="s">
        <v>19</v>
      </c>
      <c r="G140" s="18">
        <v>1100</v>
      </c>
      <c r="H140" s="183">
        <f t="shared" si="10"/>
        <v>66000</v>
      </c>
      <c r="I140" s="189">
        <v>1070</v>
      </c>
      <c r="J140" s="184">
        <f t="shared" si="5"/>
        <v>30</v>
      </c>
      <c r="K140" s="185">
        <f t="shared" si="6"/>
        <v>1800</v>
      </c>
      <c r="L140" s="186">
        <f t="shared" si="7"/>
        <v>2.7272727272727271E-2</v>
      </c>
      <c r="M140" s="12" t="s">
        <v>40</v>
      </c>
      <c r="N140" s="12" t="s">
        <v>39</v>
      </c>
    </row>
    <row r="141" spans="1:14">
      <c r="A141" s="172" t="s">
        <v>15</v>
      </c>
      <c r="B141" s="181" t="s">
        <v>3211</v>
      </c>
      <c r="C141" s="12" t="s">
        <v>1227</v>
      </c>
      <c r="D141" s="12" t="s">
        <v>3220</v>
      </c>
      <c r="E141" s="182">
        <v>70</v>
      </c>
      <c r="F141" s="172" t="s">
        <v>19</v>
      </c>
      <c r="G141" s="18">
        <v>5630</v>
      </c>
      <c r="H141" s="183">
        <f t="shared" si="10"/>
        <v>394100</v>
      </c>
      <c r="I141" s="189">
        <v>5490</v>
      </c>
      <c r="J141" s="184">
        <f t="shared" si="5"/>
        <v>140</v>
      </c>
      <c r="K141" s="185">
        <f t="shared" si="6"/>
        <v>9800</v>
      </c>
      <c r="L141" s="186">
        <f t="shared" si="7"/>
        <v>2.4866785079928951E-2</v>
      </c>
      <c r="M141" s="12" t="s">
        <v>40</v>
      </c>
      <c r="N141" s="12" t="s">
        <v>39</v>
      </c>
    </row>
    <row r="142" spans="1:14">
      <c r="A142" s="172" t="s">
        <v>15</v>
      </c>
      <c r="B142" s="181" t="s">
        <v>3211</v>
      </c>
      <c r="C142" s="12" t="s">
        <v>1227</v>
      </c>
      <c r="D142" s="12" t="s">
        <v>3221</v>
      </c>
      <c r="E142" s="182">
        <v>50</v>
      </c>
      <c r="F142" s="172" t="s">
        <v>19</v>
      </c>
      <c r="G142" s="18">
        <v>580</v>
      </c>
      <c r="H142" s="183">
        <f t="shared" si="10"/>
        <v>29000</v>
      </c>
      <c r="I142" s="189">
        <v>565</v>
      </c>
      <c r="J142" s="184">
        <f t="shared" si="5"/>
        <v>15</v>
      </c>
      <c r="K142" s="185">
        <f t="shared" si="6"/>
        <v>750</v>
      </c>
      <c r="L142" s="186">
        <f t="shared" si="7"/>
        <v>2.5862068965517241E-2</v>
      </c>
      <c r="M142" s="12" t="s">
        <v>40</v>
      </c>
      <c r="N142" s="12" t="s">
        <v>39</v>
      </c>
    </row>
    <row r="143" spans="1:14">
      <c r="A143" s="172" t="s">
        <v>15</v>
      </c>
      <c r="B143" s="181" t="s">
        <v>3211</v>
      </c>
      <c r="C143" s="12" t="s">
        <v>1227</v>
      </c>
      <c r="D143" s="12" t="s">
        <v>3222</v>
      </c>
      <c r="E143" s="182">
        <v>50</v>
      </c>
      <c r="F143" s="172" t="s">
        <v>19</v>
      </c>
      <c r="G143" s="18">
        <v>730</v>
      </c>
      <c r="H143" s="183">
        <f t="shared" si="10"/>
        <v>36500</v>
      </c>
      <c r="I143" s="189">
        <v>710</v>
      </c>
      <c r="J143" s="184">
        <f t="shared" si="5"/>
        <v>20</v>
      </c>
      <c r="K143" s="185">
        <f t="shared" si="6"/>
        <v>1000</v>
      </c>
      <c r="L143" s="186">
        <f t="shared" si="7"/>
        <v>2.7397260273972601E-2</v>
      </c>
      <c r="M143" s="12" t="s">
        <v>40</v>
      </c>
      <c r="N143" s="12" t="s">
        <v>39</v>
      </c>
    </row>
    <row r="144" spans="1:14">
      <c r="A144" s="172" t="s">
        <v>15</v>
      </c>
      <c r="B144" s="181" t="s">
        <v>3211</v>
      </c>
      <c r="C144" s="12" t="s">
        <v>1227</v>
      </c>
      <c r="D144" s="12" t="s">
        <v>3223</v>
      </c>
      <c r="E144" s="182">
        <v>50</v>
      </c>
      <c r="F144" s="172" t="s">
        <v>19</v>
      </c>
      <c r="G144" s="18">
        <v>410</v>
      </c>
      <c r="H144" s="183">
        <f t="shared" si="10"/>
        <v>20500</v>
      </c>
      <c r="I144" s="189">
        <v>400</v>
      </c>
      <c r="J144" s="184">
        <f t="shared" si="5"/>
        <v>10</v>
      </c>
      <c r="K144" s="185">
        <f t="shared" si="6"/>
        <v>500</v>
      </c>
      <c r="L144" s="186">
        <f t="shared" si="7"/>
        <v>2.4390243902439025E-2</v>
      </c>
      <c r="M144" s="12" t="s">
        <v>40</v>
      </c>
      <c r="N144" s="12" t="s">
        <v>39</v>
      </c>
    </row>
    <row r="145" spans="1:14">
      <c r="A145" s="172" t="s">
        <v>15</v>
      </c>
      <c r="B145" s="181" t="s">
        <v>3224</v>
      </c>
      <c r="C145" s="12" t="s">
        <v>590</v>
      </c>
      <c r="D145" s="12" t="s">
        <v>3225</v>
      </c>
      <c r="E145" s="182">
        <v>2</v>
      </c>
      <c r="F145" s="172" t="s">
        <v>19</v>
      </c>
      <c r="G145" s="18">
        <v>6900</v>
      </c>
      <c r="H145" s="183">
        <f t="shared" si="10"/>
        <v>13800</v>
      </c>
      <c r="I145" s="189">
        <v>6000</v>
      </c>
      <c r="J145" s="184">
        <f t="shared" si="5"/>
        <v>900</v>
      </c>
      <c r="K145" s="185">
        <f t="shared" si="6"/>
        <v>1800</v>
      </c>
      <c r="L145" s="186">
        <f t="shared" si="7"/>
        <v>0.13043478260869565</v>
      </c>
      <c r="M145" s="12" t="s">
        <v>22</v>
      </c>
      <c r="N145" s="12" t="s">
        <v>39</v>
      </c>
    </row>
    <row r="146" spans="1:14">
      <c r="A146" s="172" t="s">
        <v>15</v>
      </c>
      <c r="B146" s="181" t="s">
        <v>3226</v>
      </c>
      <c r="C146" s="12" t="s">
        <v>1658</v>
      </c>
      <c r="D146" s="12" t="s">
        <v>2514</v>
      </c>
      <c r="E146" s="182">
        <v>1</v>
      </c>
      <c r="F146" s="172" t="s">
        <v>285</v>
      </c>
      <c r="G146" s="18">
        <v>3500</v>
      </c>
      <c r="H146" s="183">
        <f t="shared" si="10"/>
        <v>3500</v>
      </c>
      <c r="I146" s="189">
        <v>0</v>
      </c>
      <c r="J146" s="184">
        <f t="shared" si="5"/>
        <v>3500</v>
      </c>
      <c r="K146" s="185">
        <f t="shared" si="6"/>
        <v>3500</v>
      </c>
      <c r="L146" s="186">
        <f t="shared" si="7"/>
        <v>1</v>
      </c>
      <c r="M146" s="12" t="s">
        <v>40</v>
      </c>
      <c r="N146" s="12" t="s">
        <v>105</v>
      </c>
    </row>
    <row r="147" spans="1:14">
      <c r="A147" s="172" t="s">
        <v>15</v>
      </c>
      <c r="B147" s="181" t="s">
        <v>2770</v>
      </c>
      <c r="C147" s="12" t="s">
        <v>1658</v>
      </c>
      <c r="D147" s="12" t="s">
        <v>2514</v>
      </c>
      <c r="E147" s="182">
        <v>1</v>
      </c>
      <c r="F147" s="172" t="s">
        <v>285</v>
      </c>
      <c r="G147" s="18">
        <v>3500</v>
      </c>
      <c r="H147" s="183">
        <f t="shared" si="10"/>
        <v>3500</v>
      </c>
      <c r="I147" s="189">
        <v>0</v>
      </c>
      <c r="J147" s="184">
        <f t="shared" si="5"/>
        <v>3500</v>
      </c>
      <c r="K147" s="185">
        <f t="shared" si="6"/>
        <v>3500</v>
      </c>
      <c r="L147" s="186">
        <f t="shared" si="7"/>
        <v>1</v>
      </c>
      <c r="M147" s="12" t="s">
        <v>40</v>
      </c>
      <c r="N147" s="12" t="s">
        <v>105</v>
      </c>
    </row>
    <row r="148" spans="1:14">
      <c r="A148" s="172" t="s">
        <v>15</v>
      </c>
      <c r="B148" s="181" t="s">
        <v>3227</v>
      </c>
      <c r="C148" s="12" t="s">
        <v>698</v>
      </c>
      <c r="D148" s="12" t="s">
        <v>3228</v>
      </c>
      <c r="E148" s="182">
        <v>6</v>
      </c>
      <c r="F148" s="172" t="s">
        <v>63</v>
      </c>
      <c r="G148" s="18">
        <v>16372</v>
      </c>
      <c r="H148" s="183">
        <f t="shared" si="10"/>
        <v>98232</v>
      </c>
      <c r="I148" s="189">
        <v>15372</v>
      </c>
      <c r="J148" s="184">
        <f t="shared" si="5"/>
        <v>1000</v>
      </c>
      <c r="K148" s="185">
        <f t="shared" si="6"/>
        <v>6000</v>
      </c>
      <c r="L148" s="186">
        <f t="shared" si="7"/>
        <v>6.10798924993892E-2</v>
      </c>
      <c r="M148" s="12" t="s">
        <v>40</v>
      </c>
      <c r="N148" s="12" t="s">
        <v>39</v>
      </c>
    </row>
    <row r="149" spans="1:14">
      <c r="A149" s="172" t="s">
        <v>15</v>
      </c>
      <c r="B149" s="181" t="s">
        <v>3227</v>
      </c>
      <c r="C149" s="12" t="s">
        <v>698</v>
      </c>
      <c r="D149" s="12" t="s">
        <v>3229</v>
      </c>
      <c r="E149" s="182">
        <v>16</v>
      </c>
      <c r="F149" s="172" t="s">
        <v>63</v>
      </c>
      <c r="G149" s="18">
        <v>24360</v>
      </c>
      <c r="H149" s="183">
        <f t="shared" si="10"/>
        <v>389760</v>
      </c>
      <c r="I149" s="189">
        <v>23360</v>
      </c>
      <c r="J149" s="184">
        <f t="shared" si="5"/>
        <v>1000</v>
      </c>
      <c r="K149" s="185">
        <f t="shared" si="6"/>
        <v>16000</v>
      </c>
      <c r="L149" s="186">
        <f t="shared" si="7"/>
        <v>4.1050903119868636E-2</v>
      </c>
      <c r="M149" s="12" t="s">
        <v>40</v>
      </c>
      <c r="N149" s="12" t="s">
        <v>39</v>
      </c>
    </row>
    <row r="150" spans="1:14">
      <c r="A150" s="172" t="s">
        <v>15</v>
      </c>
      <c r="B150" s="181" t="s">
        <v>3230</v>
      </c>
      <c r="C150" s="12" t="s">
        <v>698</v>
      </c>
      <c r="D150" s="12" t="s">
        <v>3231</v>
      </c>
      <c r="E150" s="182">
        <v>12</v>
      </c>
      <c r="F150" s="172" t="s">
        <v>63</v>
      </c>
      <c r="G150" s="18">
        <v>14497</v>
      </c>
      <c r="H150" s="183">
        <f t="shared" si="10"/>
        <v>173964</v>
      </c>
      <c r="I150" s="189">
        <v>13497</v>
      </c>
      <c r="J150" s="184">
        <f t="shared" si="5"/>
        <v>1000</v>
      </c>
      <c r="K150" s="185">
        <f t="shared" si="6"/>
        <v>12000</v>
      </c>
      <c r="L150" s="186">
        <f t="shared" si="7"/>
        <v>6.8979788921845905E-2</v>
      </c>
      <c r="M150" s="12" t="s">
        <v>40</v>
      </c>
      <c r="N150" s="12" t="s">
        <v>39</v>
      </c>
    </row>
    <row r="151" spans="1:14">
      <c r="A151" s="172" t="s">
        <v>15</v>
      </c>
      <c r="B151" s="181" t="s">
        <v>3230</v>
      </c>
      <c r="C151" s="12" t="s">
        <v>698</v>
      </c>
      <c r="D151" s="12" t="s">
        <v>405</v>
      </c>
      <c r="E151" s="182">
        <v>4</v>
      </c>
      <c r="F151" s="172" t="s">
        <v>63</v>
      </c>
      <c r="G151" s="18">
        <v>8791</v>
      </c>
      <c r="H151" s="183">
        <f t="shared" si="10"/>
        <v>35164</v>
      </c>
      <c r="I151" s="189">
        <v>7791</v>
      </c>
      <c r="J151" s="184">
        <f t="shared" si="5"/>
        <v>1000</v>
      </c>
      <c r="K151" s="185">
        <f t="shared" si="6"/>
        <v>4000</v>
      </c>
      <c r="L151" s="186">
        <f t="shared" si="7"/>
        <v>0.11375270162666364</v>
      </c>
      <c r="M151" s="12" t="s">
        <v>40</v>
      </c>
      <c r="N151" s="12" t="s">
        <v>39</v>
      </c>
    </row>
    <row r="152" spans="1:14">
      <c r="A152" s="172" t="s">
        <v>15</v>
      </c>
      <c r="B152" s="181" t="s">
        <v>3230</v>
      </c>
      <c r="C152" s="12" t="s">
        <v>698</v>
      </c>
      <c r="D152" s="12" t="s">
        <v>3232</v>
      </c>
      <c r="E152" s="182">
        <v>4</v>
      </c>
      <c r="F152" s="172" t="s">
        <v>63</v>
      </c>
      <c r="G152" s="18">
        <v>9007</v>
      </c>
      <c r="H152" s="183">
        <f t="shared" si="10"/>
        <v>36028</v>
      </c>
      <c r="I152" s="189">
        <v>8007</v>
      </c>
      <c r="J152" s="184">
        <f t="shared" si="5"/>
        <v>1000</v>
      </c>
      <c r="K152" s="185">
        <f t="shared" si="6"/>
        <v>4000</v>
      </c>
      <c r="L152" s="186">
        <f t="shared" si="7"/>
        <v>0.11102475852115022</v>
      </c>
      <c r="M152" s="12" t="s">
        <v>40</v>
      </c>
      <c r="N152" s="12" t="s">
        <v>39</v>
      </c>
    </row>
    <row r="153" spans="1:14">
      <c r="A153" s="172" t="s">
        <v>15</v>
      </c>
      <c r="B153" s="181" t="s">
        <v>3230</v>
      </c>
      <c r="C153" s="12" t="s">
        <v>698</v>
      </c>
      <c r="D153" s="12" t="s">
        <v>3233</v>
      </c>
      <c r="E153" s="182">
        <v>4</v>
      </c>
      <c r="F153" s="172" t="s">
        <v>63</v>
      </c>
      <c r="G153" s="18">
        <v>11736</v>
      </c>
      <c r="H153" s="183">
        <f t="shared" si="10"/>
        <v>46944</v>
      </c>
      <c r="I153" s="189">
        <v>10736</v>
      </c>
      <c r="J153" s="184">
        <f t="shared" si="5"/>
        <v>1000</v>
      </c>
      <c r="K153" s="185">
        <f t="shared" si="6"/>
        <v>4000</v>
      </c>
      <c r="L153" s="186">
        <f t="shared" si="7"/>
        <v>8.5207907293796861E-2</v>
      </c>
      <c r="M153" s="12" t="s">
        <v>40</v>
      </c>
      <c r="N153" s="12" t="s">
        <v>39</v>
      </c>
    </row>
    <row r="154" spans="1:14">
      <c r="A154" s="172" t="s">
        <v>15</v>
      </c>
      <c r="B154" s="181" t="s">
        <v>3234</v>
      </c>
      <c r="C154" s="12" t="s">
        <v>3235</v>
      </c>
      <c r="D154" s="12" t="s">
        <v>274</v>
      </c>
      <c r="E154" s="182">
        <v>3000</v>
      </c>
      <c r="F154" s="172" t="s">
        <v>37</v>
      </c>
      <c r="G154" s="18">
        <v>28</v>
      </c>
      <c r="H154" s="183">
        <f t="shared" si="10"/>
        <v>84000</v>
      </c>
      <c r="I154" s="189">
        <v>27.4</v>
      </c>
      <c r="J154" s="184">
        <f t="shared" si="5"/>
        <v>0.60000000000000142</v>
      </c>
      <c r="K154" s="185">
        <f t="shared" si="6"/>
        <v>1800.0000000000043</v>
      </c>
      <c r="L154" s="186">
        <f t="shared" si="7"/>
        <v>2.1428571428571481E-2</v>
      </c>
      <c r="M154" s="12" t="s">
        <v>22</v>
      </c>
      <c r="N154" s="12" t="s">
        <v>39</v>
      </c>
    </row>
    <row r="155" spans="1:14">
      <c r="A155" s="172" t="s">
        <v>15</v>
      </c>
      <c r="B155" s="181" t="s">
        <v>3236</v>
      </c>
      <c r="C155" s="12" t="s">
        <v>94</v>
      </c>
      <c r="D155" s="12" t="s">
        <v>613</v>
      </c>
      <c r="E155" s="182">
        <v>200</v>
      </c>
      <c r="F155" s="172" t="s">
        <v>19</v>
      </c>
      <c r="G155" s="18">
        <v>26</v>
      </c>
      <c r="H155" s="183">
        <f t="shared" si="10"/>
        <v>5200</v>
      </c>
      <c r="I155" s="189">
        <v>24.6</v>
      </c>
      <c r="J155" s="184">
        <f t="shared" si="5"/>
        <v>1.3999999999999986</v>
      </c>
      <c r="K155" s="185">
        <f t="shared" si="6"/>
        <v>279.99999999999972</v>
      </c>
      <c r="L155" s="186">
        <f t="shared" si="7"/>
        <v>5.3846153846153794E-2</v>
      </c>
      <c r="M155" s="12" t="s">
        <v>22</v>
      </c>
      <c r="N155" s="12" t="s">
        <v>105</v>
      </c>
    </row>
    <row r="156" spans="1:14">
      <c r="A156" s="172" t="s">
        <v>15</v>
      </c>
      <c r="B156" s="181" t="s">
        <v>3236</v>
      </c>
      <c r="C156" s="12" t="s">
        <v>94</v>
      </c>
      <c r="D156" s="12" t="s">
        <v>1316</v>
      </c>
      <c r="E156" s="182">
        <v>100</v>
      </c>
      <c r="F156" s="172" t="s">
        <v>19</v>
      </c>
      <c r="G156" s="18">
        <v>15.5</v>
      </c>
      <c r="H156" s="183">
        <f t="shared" si="10"/>
        <v>1550</v>
      </c>
      <c r="I156" s="189">
        <v>14.76</v>
      </c>
      <c r="J156" s="184">
        <f t="shared" si="5"/>
        <v>0.74000000000000021</v>
      </c>
      <c r="K156" s="185">
        <f t="shared" si="6"/>
        <v>74.000000000000028</v>
      </c>
      <c r="L156" s="186">
        <f t="shared" si="7"/>
        <v>4.7741935483870984E-2</v>
      </c>
      <c r="M156" s="12" t="s">
        <v>22</v>
      </c>
      <c r="N156" s="12" t="s">
        <v>105</v>
      </c>
    </row>
    <row r="157" spans="1:14">
      <c r="A157" s="172" t="s">
        <v>15</v>
      </c>
      <c r="B157" s="181" t="s">
        <v>3236</v>
      </c>
      <c r="C157" s="12" t="s">
        <v>94</v>
      </c>
      <c r="D157" s="12" t="s">
        <v>550</v>
      </c>
      <c r="E157" s="182">
        <v>200</v>
      </c>
      <c r="F157" s="172" t="s">
        <v>19</v>
      </c>
      <c r="G157" s="18">
        <v>50</v>
      </c>
      <c r="H157" s="183">
        <f t="shared" si="10"/>
        <v>10000</v>
      </c>
      <c r="I157" s="189">
        <v>47.56</v>
      </c>
      <c r="J157" s="184">
        <f t="shared" si="5"/>
        <v>2.4399999999999977</v>
      </c>
      <c r="K157" s="185">
        <f t="shared" si="6"/>
        <v>487.99999999999955</v>
      </c>
      <c r="L157" s="186">
        <f t="shared" si="7"/>
        <v>4.8799999999999955E-2</v>
      </c>
      <c r="M157" s="12" t="s">
        <v>22</v>
      </c>
      <c r="N157" s="12" t="s">
        <v>105</v>
      </c>
    </row>
    <row r="158" spans="1:14">
      <c r="A158" s="172" t="s">
        <v>15</v>
      </c>
      <c r="B158" s="181" t="s">
        <v>3236</v>
      </c>
      <c r="C158" s="12" t="s">
        <v>94</v>
      </c>
      <c r="D158" s="12" t="s">
        <v>638</v>
      </c>
      <c r="E158" s="182">
        <v>100</v>
      </c>
      <c r="F158" s="172" t="s">
        <v>19</v>
      </c>
      <c r="G158" s="18">
        <v>5.25</v>
      </c>
      <c r="H158" s="183">
        <f t="shared" si="10"/>
        <v>525</v>
      </c>
      <c r="I158" s="189">
        <v>5.0999999999999996</v>
      </c>
      <c r="J158" s="184">
        <f t="shared" si="5"/>
        <v>0.15000000000000036</v>
      </c>
      <c r="K158" s="185">
        <f t="shared" si="6"/>
        <v>15.000000000000036</v>
      </c>
      <c r="L158" s="186">
        <f t="shared" si="7"/>
        <v>2.857142857142864E-2</v>
      </c>
      <c r="M158" s="12" t="s">
        <v>22</v>
      </c>
      <c r="N158" s="12" t="s">
        <v>105</v>
      </c>
    </row>
    <row r="159" spans="1:14">
      <c r="A159" s="172" t="s">
        <v>15</v>
      </c>
      <c r="B159" s="181" t="s">
        <v>3237</v>
      </c>
      <c r="C159" s="12" t="s">
        <v>1042</v>
      </c>
      <c r="D159" s="12" t="s">
        <v>889</v>
      </c>
      <c r="E159" s="182">
        <v>3156</v>
      </c>
      <c r="F159" s="172" t="s">
        <v>37</v>
      </c>
      <c r="G159" s="18">
        <v>378</v>
      </c>
      <c r="H159" s="183">
        <f t="shared" si="10"/>
        <v>1192968</v>
      </c>
      <c r="I159" s="189">
        <v>347</v>
      </c>
      <c r="J159" s="184">
        <f t="shared" si="5"/>
        <v>31</v>
      </c>
      <c r="K159" s="185">
        <f t="shared" si="6"/>
        <v>97836</v>
      </c>
      <c r="L159" s="186">
        <f t="shared" si="7"/>
        <v>8.2010582010582006E-2</v>
      </c>
      <c r="M159" s="12" t="s">
        <v>40</v>
      </c>
      <c r="N159" s="12" t="s">
        <v>105</v>
      </c>
    </row>
    <row r="160" spans="1:14">
      <c r="A160" s="172" t="s">
        <v>15</v>
      </c>
      <c r="B160" s="181" t="s">
        <v>3238</v>
      </c>
      <c r="C160" s="12" t="s">
        <v>1042</v>
      </c>
      <c r="D160" s="12" t="s">
        <v>3239</v>
      </c>
      <c r="E160" s="182">
        <v>346</v>
      </c>
      <c r="F160" s="172" t="s">
        <v>37</v>
      </c>
      <c r="G160" s="18">
        <v>378</v>
      </c>
      <c r="H160" s="183">
        <f t="shared" si="10"/>
        <v>130788</v>
      </c>
      <c r="I160" s="189">
        <v>347</v>
      </c>
      <c r="J160" s="184">
        <f t="shared" si="5"/>
        <v>31</v>
      </c>
      <c r="K160" s="185">
        <f t="shared" si="6"/>
        <v>10726</v>
      </c>
      <c r="L160" s="186">
        <f t="shared" si="7"/>
        <v>8.2010582010582006E-2</v>
      </c>
      <c r="M160" s="12" t="s">
        <v>40</v>
      </c>
      <c r="N160" s="12" t="s">
        <v>105</v>
      </c>
    </row>
    <row r="161" spans="1:15">
      <c r="A161" s="172" t="s">
        <v>15</v>
      </c>
      <c r="B161" s="181" t="s">
        <v>3240</v>
      </c>
      <c r="C161" s="12" t="s">
        <v>68</v>
      </c>
      <c r="D161" s="12" t="s">
        <v>962</v>
      </c>
      <c r="E161" s="182">
        <v>2272.1999999999998</v>
      </c>
      <c r="F161" s="172" t="s">
        <v>37</v>
      </c>
      <c r="G161" s="18">
        <v>355</v>
      </c>
      <c r="H161" s="183">
        <f t="shared" si="10"/>
        <v>806630.99999999988</v>
      </c>
      <c r="I161" s="189">
        <v>354</v>
      </c>
      <c r="J161" s="184">
        <f t="shared" si="5"/>
        <v>1</v>
      </c>
      <c r="K161" s="185">
        <f t="shared" si="6"/>
        <v>2272.1999999999998</v>
      </c>
      <c r="L161" s="186">
        <f t="shared" si="7"/>
        <v>2.8169014084507044E-3</v>
      </c>
      <c r="M161" s="12" t="s">
        <v>40</v>
      </c>
      <c r="N161" s="12" t="s">
        <v>105</v>
      </c>
    </row>
    <row r="162" spans="1:15">
      <c r="A162" s="172" t="s">
        <v>15</v>
      </c>
      <c r="B162" s="181" t="s">
        <v>3241</v>
      </c>
      <c r="C162" s="12" t="s">
        <v>1470</v>
      </c>
      <c r="D162" s="12" t="s">
        <v>3242</v>
      </c>
      <c r="E162" s="182">
        <v>2</v>
      </c>
      <c r="F162" s="172" t="s">
        <v>98</v>
      </c>
      <c r="G162" s="18">
        <v>4700</v>
      </c>
      <c r="H162" s="183">
        <f t="shared" si="10"/>
        <v>9400</v>
      </c>
      <c r="I162" s="189">
        <v>4400</v>
      </c>
      <c r="J162" s="184">
        <f t="shared" si="5"/>
        <v>300</v>
      </c>
      <c r="K162" s="185">
        <f t="shared" si="6"/>
        <v>600</v>
      </c>
      <c r="L162" s="186">
        <f t="shared" si="7"/>
        <v>6.3829787234042548E-2</v>
      </c>
      <c r="M162" s="12" t="s">
        <v>22</v>
      </c>
      <c r="N162" s="12" t="s">
        <v>21</v>
      </c>
    </row>
    <row r="163" spans="1:15">
      <c r="A163" s="172" t="s">
        <v>15</v>
      </c>
      <c r="B163" s="181" t="s">
        <v>3243</v>
      </c>
      <c r="C163" s="12" t="s">
        <v>586</v>
      </c>
      <c r="D163" s="12" t="s">
        <v>3244</v>
      </c>
      <c r="E163" s="182">
        <v>120</v>
      </c>
      <c r="F163" s="172" t="s">
        <v>37</v>
      </c>
      <c r="G163" s="18">
        <v>95</v>
      </c>
      <c r="H163" s="183">
        <f t="shared" si="10"/>
        <v>11400</v>
      </c>
      <c r="I163" s="189">
        <v>55</v>
      </c>
      <c r="J163" s="184">
        <f t="shared" si="5"/>
        <v>40</v>
      </c>
      <c r="K163" s="185">
        <f t="shared" si="6"/>
        <v>4800</v>
      </c>
      <c r="L163" s="186">
        <f t="shared" si="7"/>
        <v>0.42105263157894735</v>
      </c>
      <c r="M163" s="12" t="s">
        <v>22</v>
      </c>
      <c r="N163" s="12" t="s">
        <v>21</v>
      </c>
    </row>
    <row r="164" spans="1:15">
      <c r="A164" s="172" t="s">
        <v>15</v>
      </c>
      <c r="B164" s="181" t="s">
        <v>3245</v>
      </c>
      <c r="C164" s="12" t="s">
        <v>1948</v>
      </c>
      <c r="D164" s="12" t="s">
        <v>3246</v>
      </c>
      <c r="E164" s="182">
        <v>120</v>
      </c>
      <c r="F164" s="172" t="s">
        <v>37</v>
      </c>
      <c r="G164" s="18">
        <v>93</v>
      </c>
      <c r="H164" s="183">
        <f t="shared" si="10"/>
        <v>11160</v>
      </c>
      <c r="I164" s="189">
        <v>83</v>
      </c>
      <c r="J164" s="184">
        <f t="shared" si="5"/>
        <v>10</v>
      </c>
      <c r="K164" s="185">
        <f t="shared" si="6"/>
        <v>1200</v>
      </c>
      <c r="L164" s="186">
        <f t="shared" si="7"/>
        <v>0.10752688172043011</v>
      </c>
      <c r="M164" s="12" t="s">
        <v>22</v>
      </c>
      <c r="N164" s="12" t="s">
        <v>21</v>
      </c>
    </row>
    <row r="165" spans="1:15">
      <c r="A165" s="172" t="s">
        <v>15</v>
      </c>
      <c r="B165" s="181" t="s">
        <v>3247</v>
      </c>
      <c r="C165" s="12" t="s">
        <v>1227</v>
      </c>
      <c r="D165" s="12" t="s">
        <v>1238</v>
      </c>
      <c r="E165" s="182">
        <v>1200</v>
      </c>
      <c r="F165" s="172" t="s">
        <v>19</v>
      </c>
      <c r="G165" s="18">
        <v>85</v>
      </c>
      <c r="H165" s="183">
        <f t="shared" si="10"/>
        <v>102000</v>
      </c>
      <c r="I165" s="189">
        <v>83</v>
      </c>
      <c r="J165" s="184">
        <f t="shared" si="5"/>
        <v>2</v>
      </c>
      <c r="K165" s="185">
        <f t="shared" si="6"/>
        <v>2400</v>
      </c>
      <c r="L165" s="186">
        <f t="shared" si="7"/>
        <v>2.3529411764705882E-2</v>
      </c>
      <c r="M165" s="12" t="s">
        <v>40</v>
      </c>
      <c r="N165" s="12" t="s">
        <v>39</v>
      </c>
    </row>
    <row r="166" spans="1:15">
      <c r="A166" s="172" t="s">
        <v>15</v>
      </c>
      <c r="B166" s="181" t="s">
        <v>3247</v>
      </c>
      <c r="C166" s="12" t="s">
        <v>1227</v>
      </c>
      <c r="D166" s="12" t="s">
        <v>1229</v>
      </c>
      <c r="E166" s="182">
        <v>1000</v>
      </c>
      <c r="F166" s="172" t="s">
        <v>19</v>
      </c>
      <c r="G166" s="18">
        <v>75</v>
      </c>
      <c r="H166" s="183">
        <f t="shared" si="10"/>
        <v>75000</v>
      </c>
      <c r="I166" s="189">
        <v>73</v>
      </c>
      <c r="J166" s="184">
        <f t="shared" si="5"/>
        <v>2</v>
      </c>
      <c r="K166" s="185">
        <f t="shared" si="6"/>
        <v>2000</v>
      </c>
      <c r="L166" s="186">
        <f t="shared" si="7"/>
        <v>2.6666666666666668E-2</v>
      </c>
      <c r="M166" s="12" t="s">
        <v>40</v>
      </c>
      <c r="N166" s="12" t="s">
        <v>39</v>
      </c>
    </row>
    <row r="167" spans="1:15">
      <c r="A167" s="172" t="s">
        <v>15</v>
      </c>
      <c r="B167" s="181" t="s">
        <v>3247</v>
      </c>
      <c r="C167" s="12" t="s">
        <v>1227</v>
      </c>
      <c r="D167" s="12" t="s">
        <v>3248</v>
      </c>
      <c r="E167" s="182">
        <v>186</v>
      </c>
      <c r="F167" s="172" t="s">
        <v>19</v>
      </c>
      <c r="G167" s="18">
        <v>2260</v>
      </c>
      <c r="H167" s="183">
        <f t="shared" si="10"/>
        <v>420360</v>
      </c>
      <c r="I167" s="189">
        <v>2200</v>
      </c>
      <c r="J167" s="184">
        <f t="shared" si="5"/>
        <v>60</v>
      </c>
      <c r="K167" s="185">
        <f t="shared" si="6"/>
        <v>11160</v>
      </c>
      <c r="L167" s="186">
        <f t="shared" si="7"/>
        <v>2.6548672566371681E-2</v>
      </c>
      <c r="M167" s="12" t="s">
        <v>40</v>
      </c>
      <c r="N167" s="12" t="s">
        <v>39</v>
      </c>
    </row>
    <row r="168" spans="1:15">
      <c r="A168" s="172" t="s">
        <v>15</v>
      </c>
      <c r="B168" s="181" t="s">
        <v>3247</v>
      </c>
      <c r="C168" s="12" t="s">
        <v>1227</v>
      </c>
      <c r="D168" s="12" t="s">
        <v>3249</v>
      </c>
      <c r="E168" s="182">
        <v>200</v>
      </c>
      <c r="F168" s="172" t="s">
        <v>19</v>
      </c>
      <c r="G168" s="18">
        <v>290</v>
      </c>
      <c r="H168" s="183">
        <f t="shared" si="10"/>
        <v>58000</v>
      </c>
      <c r="I168" s="189">
        <v>282</v>
      </c>
      <c r="J168" s="184">
        <f t="shared" si="5"/>
        <v>8</v>
      </c>
      <c r="K168" s="185">
        <f t="shared" si="6"/>
        <v>1600</v>
      </c>
      <c r="L168" s="186">
        <f t="shared" si="7"/>
        <v>2.7586206896551724E-2</v>
      </c>
      <c r="M168" s="12" t="s">
        <v>40</v>
      </c>
      <c r="N168" s="12" t="s">
        <v>39</v>
      </c>
    </row>
    <row r="169" spans="1:15">
      <c r="A169" s="172" t="s">
        <v>15</v>
      </c>
      <c r="B169" s="181" t="s">
        <v>3247</v>
      </c>
      <c r="C169" s="12" t="s">
        <v>1227</v>
      </c>
      <c r="D169" s="12" t="s">
        <v>3250</v>
      </c>
      <c r="E169" s="182">
        <v>60</v>
      </c>
      <c r="F169" s="172" t="s">
        <v>19</v>
      </c>
      <c r="G169" s="18">
        <v>3570</v>
      </c>
      <c r="H169" s="183">
        <f t="shared" si="10"/>
        <v>214200</v>
      </c>
      <c r="I169" s="189">
        <v>3480</v>
      </c>
      <c r="J169" s="184">
        <f t="shared" si="5"/>
        <v>90</v>
      </c>
      <c r="K169" s="185">
        <f t="shared" si="6"/>
        <v>5400</v>
      </c>
      <c r="L169" s="186">
        <f t="shared" si="7"/>
        <v>2.5210084033613446E-2</v>
      </c>
      <c r="M169" s="12" t="s">
        <v>40</v>
      </c>
      <c r="N169" s="12" t="s">
        <v>39</v>
      </c>
    </row>
    <row r="170" spans="1:15">
      <c r="A170" s="180" t="s">
        <v>178</v>
      </c>
      <c r="B170" s="181" t="s">
        <v>3251</v>
      </c>
      <c r="C170" s="12" t="s">
        <v>1430</v>
      </c>
      <c r="D170" s="12" t="s">
        <v>859</v>
      </c>
      <c r="E170" s="182">
        <v>1300</v>
      </c>
      <c r="F170" s="172" t="s">
        <v>337</v>
      </c>
      <c r="G170" s="18">
        <v>90</v>
      </c>
      <c r="H170" s="183">
        <f t="shared" ref="H170:H210" si="11">G170*E170</f>
        <v>117000</v>
      </c>
      <c r="I170" s="184">
        <v>89.5</v>
      </c>
      <c r="J170" s="184">
        <f t="shared" ref="J170:J189" si="12">G170-I170</f>
        <v>0.5</v>
      </c>
      <c r="K170" s="185">
        <f t="shared" ref="K170:K189" si="13">J170*E170</f>
        <v>650</v>
      </c>
      <c r="L170" s="186">
        <f t="shared" ref="L170:L271" si="14">J170/G170</f>
        <v>5.5555555555555558E-3</v>
      </c>
      <c r="M170" s="12" t="s">
        <v>22</v>
      </c>
      <c r="N170" s="12" t="s">
        <v>39</v>
      </c>
      <c r="O170" s="194"/>
    </row>
    <row r="171" spans="1:15">
      <c r="A171" s="172" t="s">
        <v>178</v>
      </c>
      <c r="B171" s="181" t="s">
        <v>3252</v>
      </c>
      <c r="C171" s="12" t="s">
        <v>3235</v>
      </c>
      <c r="D171" s="12" t="s">
        <v>274</v>
      </c>
      <c r="E171" s="182">
        <v>6000</v>
      </c>
      <c r="F171" s="172" t="s">
        <v>1885</v>
      </c>
      <c r="G171" s="18">
        <v>28</v>
      </c>
      <c r="H171" s="183">
        <f t="shared" si="11"/>
        <v>168000</v>
      </c>
      <c r="I171" s="184">
        <v>27.4</v>
      </c>
      <c r="J171" s="184">
        <f t="shared" si="12"/>
        <v>0.60000000000000142</v>
      </c>
      <c r="K171" s="185">
        <f t="shared" si="13"/>
        <v>3600.0000000000086</v>
      </c>
      <c r="L171" s="186">
        <f t="shared" si="14"/>
        <v>2.1428571428571481E-2</v>
      </c>
      <c r="M171" s="12" t="s">
        <v>22</v>
      </c>
      <c r="N171" s="12" t="s">
        <v>39</v>
      </c>
    </row>
    <row r="172" spans="1:15">
      <c r="A172" s="172" t="s">
        <v>178</v>
      </c>
      <c r="B172" s="181" t="s">
        <v>3253</v>
      </c>
      <c r="C172" s="12" t="s">
        <v>94</v>
      </c>
      <c r="D172" s="12" t="s">
        <v>1038</v>
      </c>
      <c r="E172" s="182">
        <v>200</v>
      </c>
      <c r="F172" s="172" t="s">
        <v>19</v>
      </c>
      <c r="G172" s="195">
        <v>15.5</v>
      </c>
      <c r="H172" s="183">
        <f t="shared" si="11"/>
        <v>3100</v>
      </c>
      <c r="I172" s="184">
        <v>14.76</v>
      </c>
      <c r="J172" s="184">
        <f t="shared" si="12"/>
        <v>0.74000000000000021</v>
      </c>
      <c r="K172" s="185">
        <f t="shared" si="13"/>
        <v>148.00000000000006</v>
      </c>
      <c r="L172" s="186">
        <f t="shared" si="14"/>
        <v>4.7741935483870984E-2</v>
      </c>
      <c r="M172" s="12" t="s">
        <v>22</v>
      </c>
      <c r="N172" s="12" t="s">
        <v>105</v>
      </c>
    </row>
    <row r="173" spans="1:15">
      <c r="A173" s="172" t="s">
        <v>178</v>
      </c>
      <c r="B173" s="181" t="s">
        <v>3253</v>
      </c>
      <c r="C173" s="12" t="s">
        <v>94</v>
      </c>
      <c r="D173" s="12" t="s">
        <v>550</v>
      </c>
      <c r="E173" s="182">
        <v>200</v>
      </c>
      <c r="F173" s="172" t="s">
        <v>19</v>
      </c>
      <c r="G173" s="195">
        <v>50</v>
      </c>
      <c r="H173" s="183">
        <f t="shared" si="11"/>
        <v>10000</v>
      </c>
      <c r="I173" s="184">
        <v>47.56</v>
      </c>
      <c r="J173" s="184">
        <f t="shared" si="12"/>
        <v>2.4399999999999977</v>
      </c>
      <c r="K173" s="185">
        <f t="shared" si="13"/>
        <v>487.99999999999955</v>
      </c>
      <c r="L173" s="186">
        <f t="shared" si="14"/>
        <v>4.8799999999999955E-2</v>
      </c>
      <c r="M173" s="12" t="s">
        <v>22</v>
      </c>
      <c r="N173" s="12" t="s">
        <v>105</v>
      </c>
    </row>
    <row r="174" spans="1:15">
      <c r="A174" s="172" t="s">
        <v>178</v>
      </c>
      <c r="B174" s="181" t="s">
        <v>3253</v>
      </c>
      <c r="C174" s="12" t="s">
        <v>94</v>
      </c>
      <c r="D174" s="12" t="s">
        <v>456</v>
      </c>
      <c r="E174" s="182">
        <v>300</v>
      </c>
      <c r="F174" s="172" t="s">
        <v>19</v>
      </c>
      <c r="G174" s="195">
        <v>2.6</v>
      </c>
      <c r="H174" s="183">
        <f t="shared" si="11"/>
        <v>780</v>
      </c>
      <c r="I174" s="184">
        <v>2.5499999999999998</v>
      </c>
      <c r="J174" s="184">
        <f t="shared" si="12"/>
        <v>5.0000000000000266E-2</v>
      </c>
      <c r="K174" s="185">
        <f t="shared" si="13"/>
        <v>15.00000000000008</v>
      </c>
      <c r="L174" s="186">
        <f t="shared" si="14"/>
        <v>1.9230769230769332E-2</v>
      </c>
      <c r="M174" s="12" t="s">
        <v>22</v>
      </c>
      <c r="N174" s="12" t="s">
        <v>105</v>
      </c>
    </row>
    <row r="175" spans="1:15">
      <c r="A175" s="172" t="s">
        <v>178</v>
      </c>
      <c r="B175" s="181" t="s">
        <v>3254</v>
      </c>
      <c r="C175" s="12" t="s">
        <v>27</v>
      </c>
      <c r="D175" s="12" t="s">
        <v>3255</v>
      </c>
      <c r="E175" s="182">
        <v>4</v>
      </c>
      <c r="F175" s="172" t="s">
        <v>19</v>
      </c>
      <c r="G175" s="195">
        <v>21600</v>
      </c>
      <c r="H175" s="183">
        <f t="shared" si="11"/>
        <v>86400</v>
      </c>
      <c r="I175" s="184">
        <v>20200</v>
      </c>
      <c r="J175" s="184">
        <f t="shared" si="12"/>
        <v>1400</v>
      </c>
      <c r="K175" s="185">
        <f t="shared" si="13"/>
        <v>5600</v>
      </c>
      <c r="L175" s="186">
        <f t="shared" si="14"/>
        <v>6.4814814814814811E-2</v>
      </c>
      <c r="M175" s="12" t="s">
        <v>22</v>
      </c>
      <c r="N175" s="12" t="s">
        <v>105</v>
      </c>
    </row>
    <row r="176" spans="1:15">
      <c r="A176" s="172" t="s">
        <v>178</v>
      </c>
      <c r="B176" s="181" t="s">
        <v>3254</v>
      </c>
      <c r="C176" s="12" t="s">
        <v>27</v>
      </c>
      <c r="D176" s="12" t="s">
        <v>3256</v>
      </c>
      <c r="E176" s="182">
        <v>3</v>
      </c>
      <c r="F176" s="172" t="s">
        <v>19</v>
      </c>
      <c r="G176" s="195">
        <v>62500</v>
      </c>
      <c r="H176" s="183">
        <f t="shared" si="11"/>
        <v>187500</v>
      </c>
      <c r="I176" s="184">
        <v>61000</v>
      </c>
      <c r="J176" s="184">
        <f t="shared" si="12"/>
        <v>1500</v>
      </c>
      <c r="K176" s="185">
        <f t="shared" si="13"/>
        <v>4500</v>
      </c>
      <c r="L176" s="186">
        <f t="shared" si="14"/>
        <v>2.4E-2</v>
      </c>
      <c r="M176" s="12" t="s">
        <v>22</v>
      </c>
      <c r="N176" s="12" t="s">
        <v>105</v>
      </c>
    </row>
    <row r="177" spans="1:15">
      <c r="A177" s="172" t="s">
        <v>178</v>
      </c>
      <c r="B177" s="181" t="s">
        <v>3254</v>
      </c>
      <c r="C177" s="12" t="s">
        <v>27</v>
      </c>
      <c r="D177" s="196" t="s">
        <v>3257</v>
      </c>
      <c r="E177" s="182">
        <v>18</v>
      </c>
      <c r="F177" s="172" t="s">
        <v>19</v>
      </c>
      <c r="G177" s="195">
        <v>850</v>
      </c>
      <c r="H177" s="183">
        <f t="shared" si="11"/>
        <v>15300</v>
      </c>
      <c r="I177" s="184">
        <v>780</v>
      </c>
      <c r="J177" s="184">
        <f t="shared" si="12"/>
        <v>70</v>
      </c>
      <c r="K177" s="185">
        <f t="shared" si="13"/>
        <v>1260</v>
      </c>
      <c r="L177" s="186">
        <f t="shared" si="14"/>
        <v>8.2352941176470587E-2</v>
      </c>
      <c r="M177" s="12" t="s">
        <v>22</v>
      </c>
      <c r="N177" s="12" t="s">
        <v>105</v>
      </c>
      <c r="O177" s="194"/>
    </row>
    <row r="178" spans="1:15">
      <c r="A178" s="172" t="s">
        <v>178</v>
      </c>
      <c r="B178" s="181" t="s">
        <v>3258</v>
      </c>
      <c r="C178" s="12" t="s">
        <v>708</v>
      </c>
      <c r="D178" s="12" t="s">
        <v>3092</v>
      </c>
      <c r="E178" s="182">
        <v>1600</v>
      </c>
      <c r="F178" s="172" t="s">
        <v>37</v>
      </c>
      <c r="G178" s="197">
        <f>I178+7</f>
        <v>361.85</v>
      </c>
      <c r="H178" s="183">
        <f t="shared" si="11"/>
        <v>578960</v>
      </c>
      <c r="I178" s="184">
        <v>354.85</v>
      </c>
      <c r="J178" s="184">
        <f t="shared" si="12"/>
        <v>7</v>
      </c>
      <c r="K178" s="185">
        <f t="shared" si="13"/>
        <v>11200</v>
      </c>
      <c r="L178" s="186">
        <f t="shared" si="14"/>
        <v>1.934503247201879E-2</v>
      </c>
      <c r="M178" s="12" t="s">
        <v>40</v>
      </c>
      <c r="N178" s="12" t="s">
        <v>105</v>
      </c>
    </row>
    <row r="179" spans="1:15">
      <c r="A179" s="172" t="s">
        <v>178</v>
      </c>
      <c r="B179" s="181" t="s">
        <v>3258</v>
      </c>
      <c r="C179" s="12" t="s">
        <v>708</v>
      </c>
      <c r="D179" s="12" t="s">
        <v>3092</v>
      </c>
      <c r="E179" s="182">
        <v>2800</v>
      </c>
      <c r="F179" s="172" t="s">
        <v>37</v>
      </c>
      <c r="G179" s="197">
        <f t="shared" ref="G179:G190" si="15">I179+7</f>
        <v>361.69</v>
      </c>
      <c r="H179" s="183">
        <f t="shared" si="11"/>
        <v>1012732</v>
      </c>
      <c r="I179" s="184">
        <v>354.69</v>
      </c>
      <c r="J179" s="184">
        <f t="shared" si="12"/>
        <v>7</v>
      </c>
      <c r="K179" s="185">
        <f t="shared" si="13"/>
        <v>19600</v>
      </c>
      <c r="L179" s="186">
        <f t="shared" si="14"/>
        <v>1.9353590090961874E-2</v>
      </c>
      <c r="M179" s="12" t="s">
        <v>40</v>
      </c>
      <c r="N179" s="12" t="s">
        <v>105</v>
      </c>
    </row>
    <row r="180" spans="1:15">
      <c r="A180" s="172" t="s">
        <v>178</v>
      </c>
      <c r="B180" s="181" t="s">
        <v>3258</v>
      </c>
      <c r="C180" s="12" t="s">
        <v>708</v>
      </c>
      <c r="D180" s="12" t="s">
        <v>3092</v>
      </c>
      <c r="E180" s="182">
        <v>1200</v>
      </c>
      <c r="F180" s="172" t="s">
        <v>37</v>
      </c>
      <c r="G180" s="197">
        <f t="shared" si="15"/>
        <v>368.15</v>
      </c>
      <c r="H180" s="183">
        <f t="shared" si="11"/>
        <v>441780</v>
      </c>
      <c r="I180" s="184">
        <v>361.15</v>
      </c>
      <c r="J180" s="184">
        <f t="shared" si="12"/>
        <v>7</v>
      </c>
      <c r="K180" s="185">
        <f t="shared" si="13"/>
        <v>8400</v>
      </c>
      <c r="L180" s="186">
        <f t="shared" si="14"/>
        <v>1.9013988863235097E-2</v>
      </c>
      <c r="M180" s="12" t="s">
        <v>40</v>
      </c>
      <c r="N180" s="12" t="s">
        <v>105</v>
      </c>
    </row>
    <row r="181" spans="1:15">
      <c r="A181" s="172" t="s">
        <v>178</v>
      </c>
      <c r="B181" s="181" t="s">
        <v>3258</v>
      </c>
      <c r="C181" s="12" t="s">
        <v>708</v>
      </c>
      <c r="D181" s="12" t="s">
        <v>3092</v>
      </c>
      <c r="E181" s="182">
        <v>800</v>
      </c>
      <c r="F181" s="172" t="s">
        <v>37</v>
      </c>
      <c r="G181" s="197">
        <f t="shared" si="15"/>
        <v>367.57</v>
      </c>
      <c r="H181" s="183">
        <f t="shared" si="11"/>
        <v>294056</v>
      </c>
      <c r="I181" s="184">
        <v>360.57</v>
      </c>
      <c r="J181" s="184">
        <f t="shared" si="12"/>
        <v>7</v>
      </c>
      <c r="K181" s="185">
        <f t="shared" si="13"/>
        <v>5600</v>
      </c>
      <c r="L181" s="186">
        <f t="shared" si="14"/>
        <v>1.9043991620643689E-2</v>
      </c>
      <c r="M181" s="12" t="s">
        <v>40</v>
      </c>
      <c r="N181" s="12" t="s">
        <v>105</v>
      </c>
    </row>
    <row r="182" spans="1:15">
      <c r="A182" s="172" t="s">
        <v>178</v>
      </c>
      <c r="B182" s="181" t="s">
        <v>3258</v>
      </c>
      <c r="C182" s="12" t="s">
        <v>708</v>
      </c>
      <c r="D182" s="12" t="s">
        <v>3092</v>
      </c>
      <c r="E182" s="182">
        <v>2000</v>
      </c>
      <c r="F182" s="172" t="s">
        <v>37</v>
      </c>
      <c r="G182" s="197">
        <f t="shared" si="15"/>
        <v>365.74</v>
      </c>
      <c r="H182" s="183">
        <f t="shared" si="11"/>
        <v>731480</v>
      </c>
      <c r="I182" s="184">
        <v>358.74</v>
      </c>
      <c r="J182" s="184">
        <f t="shared" si="12"/>
        <v>7</v>
      </c>
      <c r="K182" s="185">
        <f t="shared" si="13"/>
        <v>14000</v>
      </c>
      <c r="L182" s="186">
        <f t="shared" si="14"/>
        <v>1.9139279269426369E-2</v>
      </c>
      <c r="M182" s="12" t="s">
        <v>40</v>
      </c>
      <c r="N182" s="12" t="s">
        <v>105</v>
      </c>
    </row>
    <row r="183" spans="1:15">
      <c r="A183" s="172" t="s">
        <v>178</v>
      </c>
      <c r="B183" s="181" t="s">
        <v>3258</v>
      </c>
      <c r="C183" s="12" t="s">
        <v>708</v>
      </c>
      <c r="D183" s="12" t="s">
        <v>3092</v>
      </c>
      <c r="E183" s="182">
        <v>2700</v>
      </c>
      <c r="F183" s="172" t="s">
        <v>37</v>
      </c>
      <c r="G183" s="197">
        <f t="shared" si="15"/>
        <v>363.05</v>
      </c>
      <c r="H183" s="183">
        <f t="shared" si="11"/>
        <v>980235</v>
      </c>
      <c r="I183" s="184">
        <v>356.05</v>
      </c>
      <c r="J183" s="184">
        <f t="shared" si="12"/>
        <v>7</v>
      </c>
      <c r="K183" s="185">
        <f t="shared" si="13"/>
        <v>18900</v>
      </c>
      <c r="L183" s="186">
        <f t="shared" si="14"/>
        <v>1.9281090758848644E-2</v>
      </c>
      <c r="M183" s="12" t="s">
        <v>40</v>
      </c>
      <c r="N183" s="12" t="s">
        <v>105</v>
      </c>
    </row>
    <row r="184" spans="1:15">
      <c r="A184" s="172" t="s">
        <v>178</v>
      </c>
      <c r="B184" s="181" t="s">
        <v>3258</v>
      </c>
      <c r="C184" s="12" t="s">
        <v>708</v>
      </c>
      <c r="D184" s="12" t="s">
        <v>3092</v>
      </c>
      <c r="E184" s="182">
        <v>2500</v>
      </c>
      <c r="F184" s="172" t="s">
        <v>37</v>
      </c>
      <c r="G184" s="197">
        <f t="shared" si="15"/>
        <v>361.92</v>
      </c>
      <c r="H184" s="183">
        <f t="shared" si="11"/>
        <v>904800</v>
      </c>
      <c r="I184" s="184">
        <v>354.92</v>
      </c>
      <c r="J184" s="184">
        <f t="shared" si="12"/>
        <v>7</v>
      </c>
      <c r="K184" s="185">
        <f t="shared" si="13"/>
        <v>17500</v>
      </c>
      <c r="L184" s="186">
        <f t="shared" si="14"/>
        <v>1.9341290893015031E-2</v>
      </c>
      <c r="M184" s="12" t="s">
        <v>40</v>
      </c>
      <c r="N184" s="12" t="s">
        <v>105</v>
      </c>
    </row>
    <row r="185" spans="1:15">
      <c r="A185" s="172" t="s">
        <v>178</v>
      </c>
      <c r="B185" s="181" t="s">
        <v>3258</v>
      </c>
      <c r="C185" s="12" t="s">
        <v>708</v>
      </c>
      <c r="D185" s="12" t="s">
        <v>3092</v>
      </c>
      <c r="E185" s="182">
        <v>5800</v>
      </c>
      <c r="F185" s="172" t="s">
        <v>37</v>
      </c>
      <c r="G185" s="197">
        <f t="shared" si="15"/>
        <v>361.46</v>
      </c>
      <c r="H185" s="183">
        <f t="shared" si="11"/>
        <v>2096467.9999999998</v>
      </c>
      <c r="I185" s="184">
        <v>354.46</v>
      </c>
      <c r="J185" s="184">
        <f t="shared" si="12"/>
        <v>7</v>
      </c>
      <c r="K185" s="185">
        <f t="shared" si="13"/>
        <v>40600</v>
      </c>
      <c r="L185" s="186">
        <f t="shared" si="14"/>
        <v>1.9365904941072321E-2</v>
      </c>
      <c r="M185" s="12" t="s">
        <v>40</v>
      </c>
      <c r="N185" s="12" t="s">
        <v>105</v>
      </c>
    </row>
    <row r="186" spans="1:15">
      <c r="A186" s="172" t="s">
        <v>178</v>
      </c>
      <c r="B186" s="181" t="s">
        <v>3258</v>
      </c>
      <c r="C186" s="12" t="s">
        <v>708</v>
      </c>
      <c r="D186" s="12" t="s">
        <v>3092</v>
      </c>
      <c r="E186" s="182">
        <v>1200</v>
      </c>
      <c r="F186" s="172" t="s">
        <v>37</v>
      </c>
      <c r="G186" s="197">
        <f t="shared" si="15"/>
        <v>360.24</v>
      </c>
      <c r="H186" s="183">
        <f t="shared" si="11"/>
        <v>432288</v>
      </c>
      <c r="I186" s="184">
        <v>353.24</v>
      </c>
      <c r="J186" s="184">
        <f t="shared" si="12"/>
        <v>7</v>
      </c>
      <c r="K186" s="185">
        <f t="shared" si="13"/>
        <v>8400</v>
      </c>
      <c r="L186" s="186">
        <f t="shared" si="14"/>
        <v>1.9431490117699311E-2</v>
      </c>
      <c r="M186" s="12" t="s">
        <v>40</v>
      </c>
      <c r="N186" s="12" t="s">
        <v>105</v>
      </c>
    </row>
    <row r="187" spans="1:15">
      <c r="A187" s="172" t="s">
        <v>178</v>
      </c>
      <c r="B187" s="181" t="s">
        <v>3258</v>
      </c>
      <c r="C187" s="12" t="s">
        <v>708</v>
      </c>
      <c r="D187" s="12" t="s">
        <v>3092</v>
      </c>
      <c r="E187" s="182">
        <v>750</v>
      </c>
      <c r="F187" s="172" t="s">
        <v>37</v>
      </c>
      <c r="G187" s="197">
        <f t="shared" si="15"/>
        <v>372.42</v>
      </c>
      <c r="H187" s="183">
        <f t="shared" si="11"/>
        <v>279315</v>
      </c>
      <c r="I187" s="184">
        <v>365.42</v>
      </c>
      <c r="J187" s="184">
        <f t="shared" si="12"/>
        <v>7</v>
      </c>
      <c r="K187" s="185">
        <f t="shared" si="13"/>
        <v>5250</v>
      </c>
      <c r="L187" s="186">
        <f t="shared" si="14"/>
        <v>1.8795983029912464E-2</v>
      </c>
      <c r="M187" s="12" t="s">
        <v>40</v>
      </c>
      <c r="N187" s="12" t="s">
        <v>105</v>
      </c>
    </row>
    <row r="188" spans="1:15">
      <c r="A188" s="172" t="s">
        <v>178</v>
      </c>
      <c r="B188" s="181" t="s">
        <v>3258</v>
      </c>
      <c r="C188" s="12" t="s">
        <v>708</v>
      </c>
      <c r="D188" s="12" t="s">
        <v>3092</v>
      </c>
      <c r="E188" s="182">
        <v>800</v>
      </c>
      <c r="F188" s="172" t="s">
        <v>37</v>
      </c>
      <c r="G188" s="197">
        <f t="shared" si="15"/>
        <v>364.19</v>
      </c>
      <c r="H188" s="183">
        <f t="shared" si="11"/>
        <v>291352</v>
      </c>
      <c r="I188" s="184">
        <v>357.19</v>
      </c>
      <c r="J188" s="184">
        <f t="shared" si="12"/>
        <v>7</v>
      </c>
      <c r="K188" s="185">
        <f t="shared" si="13"/>
        <v>5600</v>
      </c>
      <c r="L188" s="186">
        <f t="shared" si="14"/>
        <v>1.9220736428787171E-2</v>
      </c>
      <c r="M188" s="12" t="s">
        <v>40</v>
      </c>
      <c r="N188" s="12" t="s">
        <v>105</v>
      </c>
    </row>
    <row r="189" spans="1:15">
      <c r="A189" s="172" t="s">
        <v>178</v>
      </c>
      <c r="B189" s="181" t="s">
        <v>3258</v>
      </c>
      <c r="C189" s="12" t="s">
        <v>708</v>
      </c>
      <c r="D189" s="12" t="s">
        <v>3092</v>
      </c>
      <c r="E189" s="182">
        <v>800</v>
      </c>
      <c r="F189" s="172" t="s">
        <v>37</v>
      </c>
      <c r="G189" s="197">
        <f t="shared" si="15"/>
        <v>361.45</v>
      </c>
      <c r="H189" s="183">
        <f t="shared" si="11"/>
        <v>289160</v>
      </c>
      <c r="I189" s="184">
        <v>354.45</v>
      </c>
      <c r="J189" s="184">
        <f t="shared" si="12"/>
        <v>7</v>
      </c>
      <c r="K189" s="185">
        <f t="shared" si="13"/>
        <v>5600</v>
      </c>
      <c r="L189" s="186">
        <f t="shared" si="14"/>
        <v>1.936644072485821E-2</v>
      </c>
      <c r="M189" s="12" t="s">
        <v>40</v>
      </c>
      <c r="N189" s="12" t="s">
        <v>105</v>
      </c>
    </row>
    <row r="190" spans="1:15" ht="14.25" customHeight="1">
      <c r="A190" s="172" t="s">
        <v>178</v>
      </c>
      <c r="B190" s="181" t="s">
        <v>3258</v>
      </c>
      <c r="C190" s="12" t="s">
        <v>708</v>
      </c>
      <c r="D190" s="12" t="s">
        <v>3092</v>
      </c>
      <c r="E190" s="182">
        <v>1300</v>
      </c>
      <c r="F190" s="172" t="s">
        <v>37</v>
      </c>
      <c r="G190" s="197">
        <f t="shared" si="15"/>
        <v>361.44</v>
      </c>
      <c r="H190" s="183">
        <f t="shared" si="11"/>
        <v>469872</v>
      </c>
      <c r="I190" s="184">
        <v>354.44</v>
      </c>
      <c r="J190" s="184">
        <f>G190-I190</f>
        <v>7</v>
      </c>
      <c r="K190" s="185">
        <f>J190*E190</f>
        <v>9100</v>
      </c>
      <c r="L190" s="186">
        <f t="shared" si="14"/>
        <v>1.9366976538291281E-2</v>
      </c>
      <c r="M190" s="12" t="s">
        <v>40</v>
      </c>
      <c r="N190" s="12" t="s">
        <v>105</v>
      </c>
    </row>
    <row r="191" spans="1:15" ht="14.25" customHeight="1">
      <c r="A191" s="172" t="s">
        <v>178</v>
      </c>
      <c r="B191" s="181" t="s">
        <v>3259</v>
      </c>
      <c r="C191" s="12" t="s">
        <v>1042</v>
      </c>
      <c r="D191" s="12" t="s">
        <v>3260</v>
      </c>
      <c r="E191" s="182">
        <v>2652</v>
      </c>
      <c r="F191" s="172" t="s">
        <v>37</v>
      </c>
      <c r="G191" s="18">
        <v>382</v>
      </c>
      <c r="H191" s="183">
        <f t="shared" si="11"/>
        <v>1013064</v>
      </c>
      <c r="I191" s="184">
        <v>350</v>
      </c>
      <c r="J191" s="184">
        <f t="shared" ref="J191:J212" si="16">G191-I191</f>
        <v>32</v>
      </c>
      <c r="K191" s="185">
        <f t="shared" ref="K191:K259" si="17">J191*E191</f>
        <v>84864</v>
      </c>
      <c r="L191" s="186">
        <f t="shared" si="14"/>
        <v>8.3769633507853408E-2</v>
      </c>
      <c r="M191" s="12" t="s">
        <v>22</v>
      </c>
      <c r="N191" s="12" t="s">
        <v>105</v>
      </c>
    </row>
    <row r="192" spans="1:15" ht="14.25" customHeight="1">
      <c r="A192" s="172" t="s">
        <v>178</v>
      </c>
      <c r="B192" s="181" t="s">
        <v>3261</v>
      </c>
      <c r="C192" s="12" t="s">
        <v>192</v>
      </c>
      <c r="D192" s="12" t="s">
        <v>3262</v>
      </c>
      <c r="E192" s="182">
        <v>1</v>
      </c>
      <c r="F192" s="172" t="s">
        <v>19</v>
      </c>
      <c r="G192" s="18">
        <v>29360</v>
      </c>
      <c r="H192" s="183">
        <f t="shared" si="11"/>
        <v>29360</v>
      </c>
      <c r="I192" s="184">
        <v>28480</v>
      </c>
      <c r="J192" s="184">
        <f t="shared" si="16"/>
        <v>880</v>
      </c>
      <c r="K192" s="185">
        <f t="shared" si="17"/>
        <v>880</v>
      </c>
      <c r="L192" s="186">
        <f t="shared" si="14"/>
        <v>2.9972752043596729E-2</v>
      </c>
      <c r="M192" s="12" t="s">
        <v>40</v>
      </c>
      <c r="N192" s="12" t="s">
        <v>105</v>
      </c>
    </row>
    <row r="193" spans="1:14" ht="14.25" customHeight="1">
      <c r="A193" s="172" t="s">
        <v>178</v>
      </c>
      <c r="B193" s="181" t="s">
        <v>3263</v>
      </c>
      <c r="C193" s="12" t="s">
        <v>633</v>
      </c>
      <c r="D193" s="12" t="s">
        <v>1150</v>
      </c>
      <c r="E193" s="182">
        <v>100</v>
      </c>
      <c r="F193" s="172" t="s">
        <v>869</v>
      </c>
      <c r="G193" s="18">
        <v>320</v>
      </c>
      <c r="H193" s="183">
        <f t="shared" si="11"/>
        <v>32000</v>
      </c>
      <c r="I193" s="184">
        <v>300</v>
      </c>
      <c r="J193" s="184">
        <f t="shared" si="16"/>
        <v>20</v>
      </c>
      <c r="K193" s="185">
        <f t="shared" si="17"/>
        <v>2000</v>
      </c>
      <c r="L193" s="186">
        <f t="shared" si="14"/>
        <v>6.25E-2</v>
      </c>
      <c r="M193" s="12" t="s">
        <v>20</v>
      </c>
      <c r="N193" s="12" t="s">
        <v>39</v>
      </c>
    </row>
    <row r="194" spans="1:14" ht="14.25" customHeight="1">
      <c r="A194" s="172" t="s">
        <v>178</v>
      </c>
      <c r="B194" s="181" t="s">
        <v>3264</v>
      </c>
      <c r="C194" s="12" t="s">
        <v>1227</v>
      </c>
      <c r="D194" s="12" t="s">
        <v>3265</v>
      </c>
      <c r="E194" s="182">
        <v>4</v>
      </c>
      <c r="F194" s="172" t="s">
        <v>19</v>
      </c>
      <c r="G194" s="18">
        <v>4920</v>
      </c>
      <c r="H194" s="183">
        <f t="shared" si="11"/>
        <v>19680</v>
      </c>
      <c r="I194" s="184">
        <v>4620</v>
      </c>
      <c r="J194" s="184">
        <f t="shared" si="16"/>
        <v>300</v>
      </c>
      <c r="K194" s="185">
        <f t="shared" si="17"/>
        <v>1200</v>
      </c>
      <c r="L194" s="186">
        <f t="shared" si="14"/>
        <v>6.097560975609756E-2</v>
      </c>
      <c r="M194" s="12" t="s">
        <v>40</v>
      </c>
      <c r="N194" s="12" t="s">
        <v>39</v>
      </c>
    </row>
    <row r="195" spans="1:14">
      <c r="A195" s="172" t="s">
        <v>178</v>
      </c>
      <c r="B195" s="181" t="s">
        <v>3266</v>
      </c>
      <c r="C195" s="12" t="s">
        <v>200</v>
      </c>
      <c r="D195" s="12" t="s">
        <v>3267</v>
      </c>
      <c r="E195" s="182">
        <v>4</v>
      </c>
      <c r="F195" s="172" t="s">
        <v>19</v>
      </c>
      <c r="G195" s="18">
        <v>4000</v>
      </c>
      <c r="H195" s="183">
        <f t="shared" si="11"/>
        <v>16000</v>
      </c>
      <c r="I195" s="184">
        <v>3400</v>
      </c>
      <c r="J195" s="184">
        <f t="shared" si="16"/>
        <v>600</v>
      </c>
      <c r="K195" s="185">
        <f t="shared" si="17"/>
        <v>2400</v>
      </c>
      <c r="L195" s="186">
        <f t="shared" si="14"/>
        <v>0.15</v>
      </c>
      <c r="M195" s="12" t="s">
        <v>40</v>
      </c>
      <c r="N195" s="12" t="s">
        <v>39</v>
      </c>
    </row>
    <row r="196" spans="1:14">
      <c r="A196" s="172" t="s">
        <v>178</v>
      </c>
      <c r="B196" s="181" t="s">
        <v>3266</v>
      </c>
      <c r="C196" s="12" t="s">
        <v>200</v>
      </c>
      <c r="D196" s="12" t="s">
        <v>2506</v>
      </c>
      <c r="E196" s="182">
        <v>4</v>
      </c>
      <c r="F196" s="172" t="s">
        <v>302</v>
      </c>
      <c r="G196" s="18">
        <v>34500</v>
      </c>
      <c r="H196" s="183">
        <f t="shared" si="11"/>
        <v>138000</v>
      </c>
      <c r="I196" s="184">
        <v>34000</v>
      </c>
      <c r="J196" s="184">
        <f t="shared" si="16"/>
        <v>500</v>
      </c>
      <c r="K196" s="185">
        <f t="shared" si="17"/>
        <v>2000</v>
      </c>
      <c r="L196" s="186">
        <f t="shared" si="14"/>
        <v>1.4492753623188406E-2</v>
      </c>
      <c r="M196" s="12" t="s">
        <v>40</v>
      </c>
      <c r="N196" s="12" t="s">
        <v>39</v>
      </c>
    </row>
    <row r="197" spans="1:14" ht="14.25" customHeight="1">
      <c r="A197" s="172" t="s">
        <v>178</v>
      </c>
      <c r="B197" s="181" t="s">
        <v>3268</v>
      </c>
      <c r="C197" s="12" t="s">
        <v>200</v>
      </c>
      <c r="D197" s="12" t="s">
        <v>3267</v>
      </c>
      <c r="E197" s="182">
        <v>3</v>
      </c>
      <c r="F197" s="172" t="s">
        <v>19</v>
      </c>
      <c r="G197" s="18">
        <v>4000</v>
      </c>
      <c r="H197" s="183">
        <f t="shared" si="11"/>
        <v>12000</v>
      </c>
      <c r="I197" s="184">
        <v>3400</v>
      </c>
      <c r="J197" s="184">
        <f t="shared" si="16"/>
        <v>600</v>
      </c>
      <c r="K197" s="185">
        <f t="shared" si="17"/>
        <v>1800</v>
      </c>
      <c r="L197" s="186">
        <f t="shared" si="14"/>
        <v>0.15</v>
      </c>
      <c r="M197" s="12" t="s">
        <v>40</v>
      </c>
      <c r="N197" s="12" t="s">
        <v>39</v>
      </c>
    </row>
    <row r="198" spans="1:14" ht="14.25" customHeight="1">
      <c r="A198" s="172" t="s">
        <v>178</v>
      </c>
      <c r="B198" s="181" t="s">
        <v>3268</v>
      </c>
      <c r="C198" s="12" t="s">
        <v>200</v>
      </c>
      <c r="D198" s="12" t="s">
        <v>2506</v>
      </c>
      <c r="E198" s="182">
        <v>3</v>
      </c>
      <c r="F198" s="172" t="s">
        <v>302</v>
      </c>
      <c r="G198" s="18">
        <v>34500</v>
      </c>
      <c r="H198" s="183">
        <f t="shared" si="11"/>
        <v>103500</v>
      </c>
      <c r="I198" s="184">
        <v>34000</v>
      </c>
      <c r="J198" s="184">
        <f t="shared" si="16"/>
        <v>500</v>
      </c>
      <c r="K198" s="185">
        <f t="shared" si="17"/>
        <v>1500</v>
      </c>
      <c r="L198" s="186">
        <f t="shared" si="14"/>
        <v>1.4492753623188406E-2</v>
      </c>
      <c r="M198" s="12" t="s">
        <v>40</v>
      </c>
      <c r="N198" s="12" t="s">
        <v>39</v>
      </c>
    </row>
    <row r="199" spans="1:14">
      <c r="A199" s="172" t="s">
        <v>178</v>
      </c>
      <c r="B199" s="181" t="s">
        <v>3269</v>
      </c>
      <c r="C199" s="12" t="s">
        <v>3235</v>
      </c>
      <c r="D199" s="12" t="s">
        <v>2255</v>
      </c>
      <c r="E199" s="198">
        <v>3000</v>
      </c>
      <c r="F199" s="199" t="s">
        <v>1605</v>
      </c>
      <c r="G199" s="18">
        <v>28</v>
      </c>
      <c r="H199" s="183">
        <f t="shared" si="11"/>
        <v>84000</v>
      </c>
      <c r="I199" s="184">
        <v>27.4</v>
      </c>
      <c r="J199" s="184">
        <f t="shared" si="16"/>
        <v>0.60000000000000142</v>
      </c>
      <c r="K199" s="185">
        <f t="shared" si="17"/>
        <v>1800.0000000000043</v>
      </c>
      <c r="L199" s="186">
        <f t="shared" si="14"/>
        <v>2.1428571428571481E-2</v>
      </c>
      <c r="M199" s="12" t="s">
        <v>22</v>
      </c>
      <c r="N199" s="12" t="s">
        <v>39</v>
      </c>
    </row>
    <row r="200" spans="1:14">
      <c r="A200" s="172" t="s">
        <v>178</v>
      </c>
      <c r="B200" s="181" t="s">
        <v>3269</v>
      </c>
      <c r="C200" s="12" t="s">
        <v>3235</v>
      </c>
      <c r="D200" s="12" t="s">
        <v>274</v>
      </c>
      <c r="E200" s="198">
        <v>3000</v>
      </c>
      <c r="F200" s="199" t="s">
        <v>1605</v>
      </c>
      <c r="G200" s="18">
        <v>28</v>
      </c>
      <c r="H200" s="183">
        <f t="shared" si="11"/>
        <v>84000</v>
      </c>
      <c r="I200" s="184">
        <v>27.4</v>
      </c>
      <c r="J200" s="184">
        <f t="shared" si="16"/>
        <v>0.60000000000000142</v>
      </c>
      <c r="K200" s="185">
        <f t="shared" si="17"/>
        <v>1800.0000000000043</v>
      </c>
      <c r="L200" s="186">
        <f t="shared" si="14"/>
        <v>2.1428571428571481E-2</v>
      </c>
      <c r="M200" s="12" t="s">
        <v>22</v>
      </c>
      <c r="N200" s="12" t="s">
        <v>39</v>
      </c>
    </row>
    <row r="201" spans="1:14">
      <c r="A201" s="172" t="s">
        <v>178</v>
      </c>
      <c r="B201" s="181" t="s">
        <v>3269</v>
      </c>
      <c r="C201" s="12" t="s">
        <v>3235</v>
      </c>
      <c r="D201" s="12" t="s">
        <v>274</v>
      </c>
      <c r="E201" s="198">
        <v>3000</v>
      </c>
      <c r="F201" s="199" t="s">
        <v>1605</v>
      </c>
      <c r="G201" s="18">
        <v>28</v>
      </c>
      <c r="H201" s="183">
        <f t="shared" si="11"/>
        <v>84000</v>
      </c>
      <c r="I201" s="184">
        <v>27.4</v>
      </c>
      <c r="J201" s="184">
        <f t="shared" si="16"/>
        <v>0.60000000000000142</v>
      </c>
      <c r="K201" s="185">
        <f t="shared" si="17"/>
        <v>1800.0000000000043</v>
      </c>
      <c r="L201" s="186">
        <f t="shared" si="14"/>
        <v>2.1428571428571481E-2</v>
      </c>
      <c r="M201" s="12" t="s">
        <v>22</v>
      </c>
      <c r="N201" s="12" t="s">
        <v>39</v>
      </c>
    </row>
    <row r="202" spans="1:14">
      <c r="A202" s="172" t="s">
        <v>178</v>
      </c>
      <c r="B202" s="181" t="s">
        <v>3269</v>
      </c>
      <c r="C202" s="12" t="s">
        <v>3235</v>
      </c>
      <c r="D202" s="12" t="s">
        <v>1729</v>
      </c>
      <c r="E202" s="198">
        <v>3000</v>
      </c>
      <c r="F202" s="199" t="s">
        <v>1605</v>
      </c>
      <c r="G202" s="18">
        <v>28</v>
      </c>
      <c r="H202" s="183">
        <f t="shared" si="11"/>
        <v>84000</v>
      </c>
      <c r="I202" s="184">
        <v>27.4</v>
      </c>
      <c r="J202" s="184">
        <f t="shared" si="16"/>
        <v>0.60000000000000142</v>
      </c>
      <c r="K202" s="185">
        <f t="shared" si="17"/>
        <v>1800.0000000000043</v>
      </c>
      <c r="L202" s="186">
        <f t="shared" si="14"/>
        <v>2.1428571428571481E-2</v>
      </c>
      <c r="M202" s="12" t="s">
        <v>22</v>
      </c>
      <c r="N202" s="12" t="s">
        <v>39</v>
      </c>
    </row>
    <row r="203" spans="1:14">
      <c r="A203" s="172" t="s">
        <v>178</v>
      </c>
      <c r="B203" s="181" t="s">
        <v>3270</v>
      </c>
      <c r="C203" s="12" t="s">
        <v>3235</v>
      </c>
      <c r="D203" s="12" t="s">
        <v>274</v>
      </c>
      <c r="E203" s="182">
        <v>6000</v>
      </c>
      <c r="F203" s="199" t="s">
        <v>1605</v>
      </c>
      <c r="G203" s="18">
        <v>28</v>
      </c>
      <c r="H203" s="183">
        <f t="shared" si="11"/>
        <v>168000</v>
      </c>
      <c r="I203" s="184">
        <v>27.4</v>
      </c>
      <c r="J203" s="184">
        <f t="shared" si="16"/>
        <v>0.60000000000000142</v>
      </c>
      <c r="K203" s="185">
        <f t="shared" si="17"/>
        <v>3600.0000000000086</v>
      </c>
      <c r="L203" s="186">
        <f t="shared" si="14"/>
        <v>2.1428571428571481E-2</v>
      </c>
      <c r="M203" s="12" t="s">
        <v>22</v>
      </c>
      <c r="N203" s="12" t="s">
        <v>39</v>
      </c>
    </row>
    <row r="204" spans="1:14">
      <c r="A204" s="172" t="s">
        <v>178</v>
      </c>
      <c r="B204" s="181" t="s">
        <v>3270</v>
      </c>
      <c r="C204" s="12" t="s">
        <v>3235</v>
      </c>
      <c r="D204" s="12" t="s">
        <v>333</v>
      </c>
      <c r="E204" s="198">
        <v>3000</v>
      </c>
      <c r="F204" s="199" t="s">
        <v>1605</v>
      </c>
      <c r="G204" s="18">
        <v>28</v>
      </c>
      <c r="H204" s="183">
        <f t="shared" si="11"/>
        <v>84000</v>
      </c>
      <c r="I204" s="184">
        <v>27.4</v>
      </c>
      <c r="J204" s="184">
        <f t="shared" si="16"/>
        <v>0.60000000000000142</v>
      </c>
      <c r="K204" s="185">
        <f t="shared" si="17"/>
        <v>1800.0000000000043</v>
      </c>
      <c r="L204" s="186">
        <f t="shared" si="14"/>
        <v>2.1428571428571481E-2</v>
      </c>
      <c r="M204" s="12" t="s">
        <v>22</v>
      </c>
      <c r="N204" s="12" t="s">
        <v>39</v>
      </c>
    </row>
    <row r="205" spans="1:14">
      <c r="A205" s="172" t="s">
        <v>178</v>
      </c>
      <c r="B205" s="181" t="s">
        <v>3270</v>
      </c>
      <c r="C205" s="12" t="s">
        <v>3235</v>
      </c>
      <c r="D205" s="12" t="s">
        <v>2345</v>
      </c>
      <c r="E205" s="198">
        <v>3000</v>
      </c>
      <c r="F205" s="199" t="s">
        <v>1605</v>
      </c>
      <c r="G205" s="18">
        <v>28</v>
      </c>
      <c r="H205" s="183">
        <f t="shared" si="11"/>
        <v>84000</v>
      </c>
      <c r="I205" s="184">
        <v>27.4</v>
      </c>
      <c r="J205" s="184">
        <f t="shared" si="16"/>
        <v>0.60000000000000142</v>
      </c>
      <c r="K205" s="185">
        <f t="shared" si="17"/>
        <v>1800.0000000000043</v>
      </c>
      <c r="L205" s="186">
        <f t="shared" si="14"/>
        <v>2.1428571428571481E-2</v>
      </c>
      <c r="M205" s="12" t="s">
        <v>22</v>
      </c>
      <c r="N205" s="12" t="s">
        <v>39</v>
      </c>
    </row>
    <row r="206" spans="1:14">
      <c r="A206" s="172" t="s">
        <v>178</v>
      </c>
      <c r="B206" s="181" t="s">
        <v>3270</v>
      </c>
      <c r="C206" s="12" t="s">
        <v>3235</v>
      </c>
      <c r="D206" s="12" t="s">
        <v>2345</v>
      </c>
      <c r="E206" s="198">
        <v>3000</v>
      </c>
      <c r="F206" s="199" t="s">
        <v>1605</v>
      </c>
      <c r="G206" s="18">
        <v>28</v>
      </c>
      <c r="H206" s="183">
        <f t="shared" si="11"/>
        <v>84000</v>
      </c>
      <c r="I206" s="184">
        <v>27.4</v>
      </c>
      <c r="J206" s="184">
        <f t="shared" si="16"/>
        <v>0.60000000000000142</v>
      </c>
      <c r="K206" s="185">
        <f t="shared" si="17"/>
        <v>1800.0000000000043</v>
      </c>
      <c r="L206" s="186">
        <f t="shared" si="14"/>
        <v>2.1428571428571481E-2</v>
      </c>
      <c r="M206" s="12" t="s">
        <v>22</v>
      </c>
      <c r="N206" s="12" t="s">
        <v>39</v>
      </c>
    </row>
    <row r="207" spans="1:14">
      <c r="A207" s="172" t="s">
        <v>178</v>
      </c>
      <c r="B207" s="181" t="s">
        <v>3271</v>
      </c>
      <c r="C207" s="12" t="s">
        <v>200</v>
      </c>
      <c r="D207" s="12" t="s">
        <v>3272</v>
      </c>
      <c r="E207" s="182">
        <v>1</v>
      </c>
      <c r="F207" s="172" t="s">
        <v>1608</v>
      </c>
      <c r="G207" s="18">
        <v>19500</v>
      </c>
      <c r="H207" s="183">
        <f t="shared" si="11"/>
        <v>19500</v>
      </c>
      <c r="I207" s="200">
        <v>14000</v>
      </c>
      <c r="J207" s="184">
        <f t="shared" si="16"/>
        <v>5500</v>
      </c>
      <c r="K207" s="185">
        <f t="shared" si="17"/>
        <v>5500</v>
      </c>
      <c r="L207" s="186">
        <f t="shared" si="14"/>
        <v>0.28205128205128205</v>
      </c>
      <c r="M207" s="12" t="s">
        <v>40</v>
      </c>
      <c r="N207" s="12" t="s">
        <v>39</v>
      </c>
    </row>
    <row r="208" spans="1:14">
      <c r="A208" s="172" t="s">
        <v>178</v>
      </c>
      <c r="B208" s="181" t="s">
        <v>3271</v>
      </c>
      <c r="C208" s="12" t="s">
        <v>200</v>
      </c>
      <c r="D208" s="12" t="s">
        <v>3273</v>
      </c>
      <c r="E208" s="182">
        <v>2</v>
      </c>
      <c r="F208" s="172" t="s">
        <v>1608</v>
      </c>
      <c r="G208" s="18">
        <v>37500</v>
      </c>
      <c r="H208" s="183">
        <f t="shared" si="11"/>
        <v>75000</v>
      </c>
      <c r="I208" s="200">
        <v>36000</v>
      </c>
      <c r="J208" s="184">
        <f t="shared" si="16"/>
        <v>1500</v>
      </c>
      <c r="K208" s="185">
        <f t="shared" si="17"/>
        <v>3000</v>
      </c>
      <c r="L208" s="186">
        <f t="shared" si="14"/>
        <v>0.04</v>
      </c>
      <c r="M208" s="12" t="s">
        <v>40</v>
      </c>
      <c r="N208" s="12" t="s">
        <v>39</v>
      </c>
    </row>
    <row r="209" spans="1:14">
      <c r="A209" s="172" t="s">
        <v>178</v>
      </c>
      <c r="B209" s="181" t="s">
        <v>3271</v>
      </c>
      <c r="C209" s="12" t="s">
        <v>200</v>
      </c>
      <c r="D209" s="12" t="s">
        <v>3274</v>
      </c>
      <c r="E209" s="182">
        <v>1</v>
      </c>
      <c r="F209" s="172" t="s">
        <v>1608</v>
      </c>
      <c r="G209" s="18">
        <v>36500</v>
      </c>
      <c r="H209" s="183">
        <f t="shared" si="11"/>
        <v>36500</v>
      </c>
      <c r="I209" s="200">
        <v>34000</v>
      </c>
      <c r="J209" s="184">
        <f t="shared" si="16"/>
        <v>2500</v>
      </c>
      <c r="K209" s="185">
        <f t="shared" si="17"/>
        <v>2500</v>
      </c>
      <c r="L209" s="186">
        <f t="shared" si="14"/>
        <v>6.8493150684931503E-2</v>
      </c>
      <c r="M209" s="12" t="s">
        <v>40</v>
      </c>
      <c r="N209" s="12" t="s">
        <v>39</v>
      </c>
    </row>
    <row r="210" spans="1:14">
      <c r="A210" s="172" t="s">
        <v>178</v>
      </c>
      <c r="B210" s="181" t="s">
        <v>3275</v>
      </c>
      <c r="C210" s="12" t="s">
        <v>1119</v>
      </c>
      <c r="D210" s="12" t="s">
        <v>3276</v>
      </c>
      <c r="E210" s="182">
        <v>82</v>
      </c>
      <c r="F210" s="172" t="s">
        <v>19</v>
      </c>
      <c r="G210" s="18">
        <v>25</v>
      </c>
      <c r="H210" s="183">
        <f t="shared" si="11"/>
        <v>2050</v>
      </c>
      <c r="I210" s="200">
        <v>20</v>
      </c>
      <c r="J210" s="184">
        <f t="shared" si="16"/>
        <v>5</v>
      </c>
      <c r="K210" s="185">
        <f t="shared" si="17"/>
        <v>410</v>
      </c>
      <c r="L210" s="186">
        <f t="shared" si="14"/>
        <v>0.2</v>
      </c>
      <c r="M210" s="12" t="s">
        <v>22</v>
      </c>
      <c r="N210" s="12" t="s">
        <v>39</v>
      </c>
    </row>
    <row r="211" spans="1:14">
      <c r="A211" s="172" t="s">
        <v>178</v>
      </c>
      <c r="B211" s="181" t="s">
        <v>3275</v>
      </c>
      <c r="C211" s="12" t="s">
        <v>1119</v>
      </c>
      <c r="D211" s="12" t="s">
        <v>3277</v>
      </c>
      <c r="E211" s="182">
        <v>82</v>
      </c>
      <c r="F211" s="172" t="s">
        <v>19</v>
      </c>
      <c r="G211" s="18">
        <v>40</v>
      </c>
      <c r="H211" s="183">
        <f>G211*E211</f>
        <v>3280</v>
      </c>
      <c r="I211" s="200">
        <v>30</v>
      </c>
      <c r="J211" s="184">
        <f t="shared" si="16"/>
        <v>10</v>
      </c>
      <c r="K211" s="185">
        <f t="shared" si="17"/>
        <v>820</v>
      </c>
      <c r="L211" s="186">
        <f t="shared" si="14"/>
        <v>0.25</v>
      </c>
      <c r="M211" s="12" t="s">
        <v>22</v>
      </c>
      <c r="N211" s="12" t="s">
        <v>39</v>
      </c>
    </row>
    <row r="212" spans="1:14">
      <c r="A212" s="172" t="s">
        <v>178</v>
      </c>
      <c r="B212" s="181" t="s">
        <v>3278</v>
      </c>
      <c r="C212" s="12" t="s">
        <v>599</v>
      </c>
      <c r="D212" s="12" t="s">
        <v>1208</v>
      </c>
      <c r="E212" s="182">
        <v>2700</v>
      </c>
      <c r="F212" s="172" t="s">
        <v>19</v>
      </c>
      <c r="G212" s="18">
        <v>65</v>
      </c>
      <c r="H212" s="183">
        <f t="shared" ref="H212:H271" si="18">G212*E212</f>
        <v>175500</v>
      </c>
      <c r="I212" s="200">
        <v>61</v>
      </c>
      <c r="J212" s="184">
        <f t="shared" si="16"/>
        <v>4</v>
      </c>
      <c r="K212" s="185">
        <f t="shared" si="17"/>
        <v>10800</v>
      </c>
      <c r="L212" s="186">
        <f t="shared" si="14"/>
        <v>6.1538461538461542E-2</v>
      </c>
      <c r="M212" s="12" t="s">
        <v>22</v>
      </c>
      <c r="N212" s="201" t="s">
        <v>39</v>
      </c>
    </row>
    <row r="213" spans="1:14">
      <c r="A213" s="172" t="s">
        <v>178</v>
      </c>
      <c r="B213" s="181" t="s">
        <v>3279</v>
      </c>
      <c r="C213" s="12" t="s">
        <v>1948</v>
      </c>
      <c r="D213" s="12" t="s">
        <v>3280</v>
      </c>
      <c r="E213" s="182">
        <v>3</v>
      </c>
      <c r="F213" s="172" t="s">
        <v>1415</v>
      </c>
      <c r="G213" s="195">
        <v>680</v>
      </c>
      <c r="H213" s="202">
        <f t="shared" si="18"/>
        <v>2040</v>
      </c>
      <c r="I213" s="203">
        <v>660</v>
      </c>
      <c r="J213" s="204">
        <f>G213-I213</f>
        <v>20</v>
      </c>
      <c r="K213" s="205">
        <f t="shared" si="17"/>
        <v>60</v>
      </c>
      <c r="L213" s="206">
        <f t="shared" si="14"/>
        <v>2.9411764705882353E-2</v>
      </c>
      <c r="M213" s="207" t="s">
        <v>22</v>
      </c>
      <c r="N213" s="208" t="s">
        <v>105</v>
      </c>
    </row>
    <row r="214" spans="1:14">
      <c r="A214" s="172" t="s">
        <v>178</v>
      </c>
      <c r="B214" s="181" t="s">
        <v>3279</v>
      </c>
      <c r="C214" s="12" t="s">
        <v>1948</v>
      </c>
      <c r="D214" s="12" t="s">
        <v>3281</v>
      </c>
      <c r="E214" s="182">
        <v>1</v>
      </c>
      <c r="F214" s="172" t="s">
        <v>1415</v>
      </c>
      <c r="G214" s="195">
        <v>680</v>
      </c>
      <c r="H214" s="202">
        <f t="shared" si="18"/>
        <v>680</v>
      </c>
      <c r="I214" s="203">
        <v>660</v>
      </c>
      <c r="J214" s="204">
        <f>G214-I214</f>
        <v>20</v>
      </c>
      <c r="K214" s="205">
        <f t="shared" si="17"/>
        <v>20</v>
      </c>
      <c r="L214" s="206">
        <f t="shared" si="14"/>
        <v>2.9411764705882353E-2</v>
      </c>
      <c r="M214" s="207" t="s">
        <v>22</v>
      </c>
      <c r="N214" s="208" t="s">
        <v>105</v>
      </c>
    </row>
    <row r="215" spans="1:14">
      <c r="A215" s="172" t="s">
        <v>178</v>
      </c>
      <c r="B215" s="181" t="s">
        <v>3279</v>
      </c>
      <c r="C215" s="12" t="s">
        <v>1948</v>
      </c>
      <c r="D215" s="12" t="s">
        <v>3282</v>
      </c>
      <c r="E215" s="182">
        <v>1</v>
      </c>
      <c r="F215" s="172" t="s">
        <v>1415</v>
      </c>
      <c r="G215" s="195">
        <v>680</v>
      </c>
      <c r="H215" s="202">
        <f t="shared" si="18"/>
        <v>680</v>
      </c>
      <c r="I215" s="203">
        <v>660</v>
      </c>
      <c r="J215" s="204">
        <f>G215-I215</f>
        <v>20</v>
      </c>
      <c r="K215" s="205">
        <f t="shared" si="17"/>
        <v>20</v>
      </c>
      <c r="L215" s="206">
        <f t="shared" si="14"/>
        <v>2.9411764705882353E-2</v>
      </c>
      <c r="M215" s="207" t="s">
        <v>22</v>
      </c>
      <c r="N215" s="208" t="s">
        <v>105</v>
      </c>
    </row>
    <row r="216" spans="1:14">
      <c r="A216" s="172" t="s">
        <v>178</v>
      </c>
      <c r="B216" s="181" t="s">
        <v>3279</v>
      </c>
      <c r="C216" s="12" t="s">
        <v>1948</v>
      </c>
      <c r="D216" s="12" t="s">
        <v>3283</v>
      </c>
      <c r="E216" s="182">
        <v>1</v>
      </c>
      <c r="F216" s="172" t="s">
        <v>1415</v>
      </c>
      <c r="G216" s="195">
        <v>570</v>
      </c>
      <c r="H216" s="202">
        <f t="shared" si="18"/>
        <v>570</v>
      </c>
      <c r="I216" s="203">
        <v>560</v>
      </c>
      <c r="J216" s="204">
        <f t="shared" ref="J216:J219" si="19">G216-I216</f>
        <v>10</v>
      </c>
      <c r="K216" s="205">
        <f t="shared" si="17"/>
        <v>10</v>
      </c>
      <c r="L216" s="206">
        <f t="shared" si="14"/>
        <v>1.7543859649122806E-2</v>
      </c>
      <c r="M216" s="207" t="s">
        <v>22</v>
      </c>
      <c r="N216" s="208" t="s">
        <v>105</v>
      </c>
    </row>
    <row r="217" spans="1:14">
      <c r="A217" s="172" t="s">
        <v>178</v>
      </c>
      <c r="B217" s="181" t="s">
        <v>3284</v>
      </c>
      <c r="C217" s="12" t="s">
        <v>110</v>
      </c>
      <c r="D217" s="12" t="s">
        <v>3285</v>
      </c>
      <c r="E217" s="182">
        <v>1</v>
      </c>
      <c r="F217" s="172" t="s">
        <v>19</v>
      </c>
      <c r="G217" s="195">
        <v>8600</v>
      </c>
      <c r="H217" s="202">
        <f t="shared" si="18"/>
        <v>8600</v>
      </c>
      <c r="I217" s="203">
        <v>8400</v>
      </c>
      <c r="J217" s="204">
        <f t="shared" si="19"/>
        <v>200</v>
      </c>
      <c r="K217" s="205">
        <f t="shared" si="17"/>
        <v>200</v>
      </c>
      <c r="L217" s="206">
        <f t="shared" si="14"/>
        <v>2.3255813953488372E-2</v>
      </c>
      <c r="M217" s="207" t="s">
        <v>22</v>
      </c>
      <c r="N217" s="208" t="s">
        <v>105</v>
      </c>
    </row>
    <row r="218" spans="1:14">
      <c r="A218" s="172" t="s">
        <v>178</v>
      </c>
      <c r="B218" s="181" t="s">
        <v>3286</v>
      </c>
      <c r="C218" s="12" t="s">
        <v>94</v>
      </c>
      <c r="D218" s="12" t="s">
        <v>1038</v>
      </c>
      <c r="E218" s="182">
        <v>200</v>
      </c>
      <c r="F218" s="172" t="s">
        <v>19</v>
      </c>
      <c r="G218" s="195">
        <v>15.5</v>
      </c>
      <c r="H218" s="202">
        <f t="shared" si="18"/>
        <v>3100</v>
      </c>
      <c r="I218" s="203">
        <v>14.76</v>
      </c>
      <c r="J218" s="204">
        <f t="shared" si="19"/>
        <v>0.74000000000000021</v>
      </c>
      <c r="K218" s="205">
        <f t="shared" si="17"/>
        <v>148.00000000000006</v>
      </c>
      <c r="L218" s="206">
        <f t="shared" si="14"/>
        <v>4.7741935483870984E-2</v>
      </c>
      <c r="M218" s="207" t="s">
        <v>22</v>
      </c>
      <c r="N218" s="208" t="s">
        <v>105</v>
      </c>
    </row>
    <row r="219" spans="1:14">
      <c r="A219" s="172" t="s">
        <v>178</v>
      </c>
      <c r="B219" s="181" t="s">
        <v>3286</v>
      </c>
      <c r="C219" s="12" t="s">
        <v>94</v>
      </c>
      <c r="D219" s="12" t="s">
        <v>613</v>
      </c>
      <c r="E219" s="182">
        <v>100</v>
      </c>
      <c r="F219" s="172" t="s">
        <v>19</v>
      </c>
      <c r="G219" s="195">
        <v>26</v>
      </c>
      <c r="H219" s="202">
        <f t="shared" si="18"/>
        <v>2600</v>
      </c>
      <c r="I219" s="203">
        <v>24.6</v>
      </c>
      <c r="J219" s="204">
        <f t="shared" si="19"/>
        <v>1.3999999999999986</v>
      </c>
      <c r="K219" s="205">
        <f t="shared" si="17"/>
        <v>139.99999999999986</v>
      </c>
      <c r="L219" s="206">
        <f t="shared" si="14"/>
        <v>5.3846153846153794E-2</v>
      </c>
      <c r="M219" s="207" t="s">
        <v>22</v>
      </c>
      <c r="N219" s="208" t="s">
        <v>105</v>
      </c>
    </row>
    <row r="220" spans="1:14">
      <c r="A220" s="172" t="s">
        <v>178</v>
      </c>
      <c r="B220" s="181" t="s">
        <v>3286</v>
      </c>
      <c r="C220" s="12" t="s">
        <v>94</v>
      </c>
      <c r="D220" s="12" t="s">
        <v>550</v>
      </c>
      <c r="E220" s="182">
        <v>300</v>
      </c>
      <c r="F220" s="172" t="s">
        <v>19</v>
      </c>
      <c r="G220" s="195">
        <v>50</v>
      </c>
      <c r="H220" s="202">
        <f t="shared" si="18"/>
        <v>15000</v>
      </c>
      <c r="I220" s="203">
        <v>47.56</v>
      </c>
      <c r="J220" s="204">
        <f>G220-I220</f>
        <v>2.4399999999999977</v>
      </c>
      <c r="K220" s="205">
        <f t="shared" si="17"/>
        <v>731.99999999999932</v>
      </c>
      <c r="L220" s="206">
        <f t="shared" si="14"/>
        <v>4.8799999999999955E-2</v>
      </c>
      <c r="M220" s="207" t="s">
        <v>22</v>
      </c>
      <c r="N220" s="208" t="s">
        <v>105</v>
      </c>
    </row>
    <row r="221" spans="1:14">
      <c r="A221" s="172" t="s">
        <v>178</v>
      </c>
      <c r="B221" s="181" t="s">
        <v>3286</v>
      </c>
      <c r="C221" s="12" t="s">
        <v>94</v>
      </c>
      <c r="D221" s="12" t="s">
        <v>546</v>
      </c>
      <c r="E221" s="182">
        <v>100</v>
      </c>
      <c r="F221" s="172" t="s">
        <v>19</v>
      </c>
      <c r="G221" s="195">
        <v>190</v>
      </c>
      <c r="H221" s="202">
        <f t="shared" si="18"/>
        <v>19000</v>
      </c>
      <c r="I221" s="203">
        <v>182.25</v>
      </c>
      <c r="J221" s="204">
        <f>G221-I221</f>
        <v>7.75</v>
      </c>
      <c r="K221" s="205">
        <f t="shared" si="17"/>
        <v>775</v>
      </c>
      <c r="L221" s="206">
        <f t="shared" si="14"/>
        <v>4.0789473684210528E-2</v>
      </c>
      <c r="M221" s="207" t="s">
        <v>22</v>
      </c>
      <c r="N221" s="208" t="s">
        <v>105</v>
      </c>
    </row>
    <row r="222" spans="1:14">
      <c r="A222" s="172" t="s">
        <v>178</v>
      </c>
      <c r="B222" s="181" t="s">
        <v>3286</v>
      </c>
      <c r="C222" s="12" t="s">
        <v>94</v>
      </c>
      <c r="D222" s="12" t="s">
        <v>457</v>
      </c>
      <c r="E222" s="182">
        <v>100</v>
      </c>
      <c r="F222" s="172" t="s">
        <v>19</v>
      </c>
      <c r="G222" s="195">
        <v>5.25</v>
      </c>
      <c r="H222" s="202">
        <f t="shared" si="18"/>
        <v>525</v>
      </c>
      <c r="I222" s="203">
        <v>5.0999999999999996</v>
      </c>
      <c r="J222" s="204">
        <f>G222-I222</f>
        <v>0.15000000000000036</v>
      </c>
      <c r="K222" s="205">
        <f t="shared" si="17"/>
        <v>15.000000000000036</v>
      </c>
      <c r="L222" s="206">
        <f t="shared" si="14"/>
        <v>2.857142857142864E-2</v>
      </c>
      <c r="M222" s="207" t="s">
        <v>22</v>
      </c>
      <c r="N222" s="208" t="s">
        <v>105</v>
      </c>
    </row>
    <row r="223" spans="1:14">
      <c r="A223" s="172" t="s">
        <v>178</v>
      </c>
      <c r="B223" s="181" t="s">
        <v>3287</v>
      </c>
      <c r="C223" s="12" t="s">
        <v>1042</v>
      </c>
      <c r="D223" s="12" t="s">
        <v>3288</v>
      </c>
      <c r="E223" s="182">
        <v>100</v>
      </c>
      <c r="F223" s="172" t="s">
        <v>3289</v>
      </c>
      <c r="G223" s="195">
        <v>239.7</v>
      </c>
      <c r="H223" s="202">
        <f t="shared" si="18"/>
        <v>23970</v>
      </c>
      <c r="I223" s="203">
        <v>227</v>
      </c>
      <c r="J223" s="204">
        <f t="shared" ref="J223:J226" si="20">G223-I223</f>
        <v>12.699999999999989</v>
      </c>
      <c r="K223" s="205">
        <f t="shared" si="17"/>
        <v>1269.9999999999989</v>
      </c>
      <c r="L223" s="206">
        <f t="shared" si="14"/>
        <v>5.2982895285773837E-2</v>
      </c>
      <c r="M223" s="207" t="s">
        <v>22</v>
      </c>
      <c r="N223" s="208" t="s">
        <v>105</v>
      </c>
    </row>
    <row r="224" spans="1:14">
      <c r="A224" s="172" t="s">
        <v>178</v>
      </c>
      <c r="B224" s="181" t="s">
        <v>3287</v>
      </c>
      <c r="C224" s="12" t="s">
        <v>1042</v>
      </c>
      <c r="D224" s="12" t="s">
        <v>621</v>
      </c>
      <c r="E224" s="182">
        <v>100</v>
      </c>
      <c r="F224" s="172" t="s">
        <v>3289</v>
      </c>
      <c r="G224" s="195">
        <v>419.09</v>
      </c>
      <c r="H224" s="202">
        <f t="shared" si="18"/>
        <v>41909</v>
      </c>
      <c r="I224" s="203">
        <v>395</v>
      </c>
      <c r="J224" s="204">
        <f t="shared" si="20"/>
        <v>24.089999999999975</v>
      </c>
      <c r="K224" s="205">
        <f t="shared" si="17"/>
        <v>2408.9999999999973</v>
      </c>
      <c r="L224" s="206">
        <f t="shared" si="14"/>
        <v>5.7481686511250511E-2</v>
      </c>
      <c r="M224" s="207" t="s">
        <v>22</v>
      </c>
      <c r="N224" s="208" t="s">
        <v>105</v>
      </c>
    </row>
    <row r="225" spans="1:14">
      <c r="A225" s="172" t="s">
        <v>178</v>
      </c>
      <c r="B225" s="181" t="s">
        <v>3290</v>
      </c>
      <c r="C225" s="12" t="s">
        <v>1840</v>
      </c>
      <c r="D225" s="12" t="s">
        <v>3291</v>
      </c>
      <c r="E225" s="182">
        <v>1</v>
      </c>
      <c r="F225" s="172" t="s">
        <v>19</v>
      </c>
      <c r="G225" s="195">
        <v>210000</v>
      </c>
      <c r="H225" s="202">
        <f t="shared" si="18"/>
        <v>210000</v>
      </c>
      <c r="I225" s="203">
        <v>200000</v>
      </c>
      <c r="J225" s="204">
        <f t="shared" si="20"/>
        <v>10000</v>
      </c>
      <c r="K225" s="205">
        <f t="shared" si="17"/>
        <v>10000</v>
      </c>
      <c r="L225" s="206">
        <f t="shared" si="14"/>
        <v>4.7619047619047616E-2</v>
      </c>
      <c r="M225" s="207" t="s">
        <v>40</v>
      </c>
      <c r="N225" s="208" t="s">
        <v>105</v>
      </c>
    </row>
    <row r="226" spans="1:14">
      <c r="A226" s="172" t="s">
        <v>178</v>
      </c>
      <c r="B226" s="181" t="s">
        <v>3292</v>
      </c>
      <c r="C226" s="12" t="s">
        <v>2294</v>
      </c>
      <c r="D226" s="12" t="s">
        <v>3293</v>
      </c>
      <c r="E226" s="182">
        <v>1</v>
      </c>
      <c r="F226" s="172" t="s">
        <v>285</v>
      </c>
      <c r="G226" s="195">
        <v>27005</v>
      </c>
      <c r="H226" s="202">
        <f t="shared" si="18"/>
        <v>27005</v>
      </c>
      <c r="I226" s="203">
        <v>26000</v>
      </c>
      <c r="J226" s="204">
        <f t="shared" si="20"/>
        <v>1005</v>
      </c>
      <c r="K226" s="205">
        <f t="shared" si="17"/>
        <v>1005</v>
      </c>
      <c r="L226" s="206">
        <f t="shared" si="14"/>
        <v>3.7215330494352897E-2</v>
      </c>
      <c r="M226" s="207" t="s">
        <v>40</v>
      </c>
      <c r="N226" s="208" t="s">
        <v>105</v>
      </c>
    </row>
    <row r="227" spans="1:14">
      <c r="A227" s="172" t="s">
        <v>178</v>
      </c>
      <c r="B227" s="181" t="s">
        <v>3294</v>
      </c>
      <c r="C227" s="12" t="s">
        <v>304</v>
      </c>
      <c r="D227" s="12" t="s">
        <v>3295</v>
      </c>
      <c r="E227" s="182">
        <v>3</v>
      </c>
      <c r="F227" s="172" t="s">
        <v>19</v>
      </c>
      <c r="G227" s="195">
        <v>2500</v>
      </c>
      <c r="H227" s="202">
        <f t="shared" si="18"/>
        <v>7500</v>
      </c>
      <c r="I227" s="203">
        <v>2300</v>
      </c>
      <c r="J227" s="204">
        <f>G227-I227</f>
        <v>200</v>
      </c>
      <c r="K227" s="205">
        <f t="shared" si="17"/>
        <v>600</v>
      </c>
      <c r="L227" s="206">
        <f t="shared" si="14"/>
        <v>0.08</v>
      </c>
      <c r="M227" s="207" t="s">
        <v>22</v>
      </c>
      <c r="N227" s="208" t="s">
        <v>105</v>
      </c>
    </row>
    <row r="228" spans="1:14">
      <c r="A228" s="172" t="s">
        <v>178</v>
      </c>
      <c r="B228" s="181" t="s">
        <v>3296</v>
      </c>
      <c r="C228" s="12" t="s">
        <v>107</v>
      </c>
      <c r="D228" s="12" t="s">
        <v>564</v>
      </c>
      <c r="E228" s="182">
        <v>40</v>
      </c>
      <c r="F228" s="172" t="s">
        <v>19</v>
      </c>
      <c r="G228" s="195">
        <v>1200</v>
      </c>
      <c r="H228" s="202">
        <f t="shared" si="18"/>
        <v>48000</v>
      </c>
      <c r="I228" s="203">
        <v>910</v>
      </c>
      <c r="J228" s="204">
        <f>G228-I228</f>
        <v>290</v>
      </c>
      <c r="K228" s="205">
        <f t="shared" si="17"/>
        <v>11600</v>
      </c>
      <c r="L228" s="206">
        <f t="shared" si="14"/>
        <v>0.24166666666666667</v>
      </c>
      <c r="M228" s="207" t="s">
        <v>22</v>
      </c>
      <c r="N228" s="208" t="s">
        <v>105</v>
      </c>
    </row>
    <row r="229" spans="1:14">
      <c r="A229" s="172" t="s">
        <v>178</v>
      </c>
      <c r="B229" s="181" t="s">
        <v>3297</v>
      </c>
      <c r="C229" s="12" t="s">
        <v>1042</v>
      </c>
      <c r="D229" s="12" t="s">
        <v>711</v>
      </c>
      <c r="E229" s="182">
        <v>7219.02</v>
      </c>
      <c r="F229" s="172" t="s">
        <v>37</v>
      </c>
      <c r="G229" s="195">
        <v>351</v>
      </c>
      <c r="H229" s="202">
        <f t="shared" si="18"/>
        <v>2533876.02</v>
      </c>
      <c r="I229" s="203">
        <v>350</v>
      </c>
      <c r="J229" s="204">
        <f>G229-I229</f>
        <v>1</v>
      </c>
      <c r="K229" s="205">
        <f t="shared" si="17"/>
        <v>7219.02</v>
      </c>
      <c r="L229" s="206">
        <f t="shared" si="14"/>
        <v>2.8490028490028491E-3</v>
      </c>
      <c r="M229" s="207" t="s">
        <v>40</v>
      </c>
      <c r="N229" s="208" t="s">
        <v>105</v>
      </c>
    </row>
    <row r="230" spans="1:14">
      <c r="A230" s="172" t="s">
        <v>178</v>
      </c>
      <c r="B230" s="181" t="s">
        <v>3298</v>
      </c>
      <c r="C230" s="12" t="s">
        <v>68</v>
      </c>
      <c r="D230" s="12" t="s">
        <v>962</v>
      </c>
      <c r="E230" s="182">
        <v>1640</v>
      </c>
      <c r="F230" s="172" t="s">
        <v>37</v>
      </c>
      <c r="G230" s="195">
        <v>385</v>
      </c>
      <c r="H230" s="202">
        <f t="shared" si="18"/>
        <v>631400</v>
      </c>
      <c r="I230" s="203">
        <v>360</v>
      </c>
      <c r="J230" s="204">
        <f t="shared" ref="J230:J271" si="21">G230-I230</f>
        <v>25</v>
      </c>
      <c r="K230" s="205">
        <f t="shared" si="17"/>
        <v>41000</v>
      </c>
      <c r="L230" s="206">
        <f t="shared" si="14"/>
        <v>6.4935064935064929E-2</v>
      </c>
      <c r="M230" s="207" t="s">
        <v>22</v>
      </c>
      <c r="N230" s="208" t="s">
        <v>105</v>
      </c>
    </row>
    <row r="231" spans="1:14">
      <c r="A231" s="172" t="s">
        <v>178</v>
      </c>
      <c r="B231" s="181" t="s">
        <v>3299</v>
      </c>
      <c r="C231" s="12" t="s">
        <v>44</v>
      </c>
      <c r="D231" s="12" t="s">
        <v>3300</v>
      </c>
      <c r="E231" s="182">
        <v>3000</v>
      </c>
      <c r="F231" s="172" t="s">
        <v>37</v>
      </c>
      <c r="G231" s="195">
        <v>375</v>
      </c>
      <c r="H231" s="202">
        <f t="shared" si="18"/>
        <v>1125000</v>
      </c>
      <c r="I231" s="203">
        <v>370</v>
      </c>
      <c r="J231" s="204">
        <f t="shared" si="21"/>
        <v>5</v>
      </c>
      <c r="K231" s="205">
        <f t="shared" si="17"/>
        <v>15000</v>
      </c>
      <c r="L231" s="206">
        <f t="shared" si="14"/>
        <v>1.3333333333333334E-2</v>
      </c>
      <c r="M231" s="207" t="s">
        <v>40</v>
      </c>
      <c r="N231" s="208" t="s">
        <v>105</v>
      </c>
    </row>
    <row r="232" spans="1:14">
      <c r="A232" s="172" t="s">
        <v>178</v>
      </c>
      <c r="B232" s="181" t="s">
        <v>3301</v>
      </c>
      <c r="C232" s="12" t="s">
        <v>94</v>
      </c>
      <c r="D232" s="12" t="s">
        <v>1038</v>
      </c>
      <c r="E232" s="182">
        <v>400</v>
      </c>
      <c r="F232" s="172" t="s">
        <v>19</v>
      </c>
      <c r="G232" s="195">
        <v>15.5</v>
      </c>
      <c r="H232" s="202">
        <f t="shared" si="18"/>
        <v>6200</v>
      </c>
      <c r="I232" s="203">
        <v>14.76</v>
      </c>
      <c r="J232" s="204">
        <f t="shared" si="21"/>
        <v>0.74000000000000021</v>
      </c>
      <c r="K232" s="205">
        <f t="shared" si="17"/>
        <v>296.00000000000011</v>
      </c>
      <c r="L232" s="206">
        <f t="shared" si="14"/>
        <v>4.7741935483870984E-2</v>
      </c>
      <c r="M232" s="207" t="s">
        <v>22</v>
      </c>
      <c r="N232" s="208" t="s">
        <v>105</v>
      </c>
    </row>
    <row r="233" spans="1:14">
      <c r="A233" s="172" t="s">
        <v>178</v>
      </c>
      <c r="B233" s="181" t="s">
        <v>3301</v>
      </c>
      <c r="C233" s="12" t="s">
        <v>94</v>
      </c>
      <c r="D233" s="12" t="s">
        <v>613</v>
      </c>
      <c r="E233" s="182">
        <v>400</v>
      </c>
      <c r="F233" s="172" t="s">
        <v>19</v>
      </c>
      <c r="G233" s="195">
        <v>26</v>
      </c>
      <c r="H233" s="202">
        <f t="shared" si="18"/>
        <v>10400</v>
      </c>
      <c r="I233" s="203">
        <v>24.6</v>
      </c>
      <c r="J233" s="204">
        <f t="shared" si="21"/>
        <v>1.3999999999999986</v>
      </c>
      <c r="K233" s="205">
        <f t="shared" si="17"/>
        <v>559.99999999999943</v>
      </c>
      <c r="L233" s="206">
        <f t="shared" si="14"/>
        <v>5.3846153846153794E-2</v>
      </c>
      <c r="M233" s="207" t="s">
        <v>22</v>
      </c>
      <c r="N233" s="208" t="s">
        <v>105</v>
      </c>
    </row>
    <row r="234" spans="1:14">
      <c r="A234" s="172" t="s">
        <v>178</v>
      </c>
      <c r="B234" s="181" t="s">
        <v>3302</v>
      </c>
      <c r="C234" s="12" t="s">
        <v>27</v>
      </c>
      <c r="D234" s="12" t="s">
        <v>772</v>
      </c>
      <c r="E234" s="182">
        <v>6</v>
      </c>
      <c r="F234" s="172" t="s">
        <v>1259</v>
      </c>
      <c r="G234" s="195">
        <v>2296</v>
      </c>
      <c r="H234" s="202">
        <f t="shared" si="18"/>
        <v>13776</v>
      </c>
      <c r="I234" s="203">
        <v>2200</v>
      </c>
      <c r="J234" s="204">
        <f t="shared" si="21"/>
        <v>96</v>
      </c>
      <c r="K234" s="205">
        <f t="shared" si="17"/>
        <v>576</v>
      </c>
      <c r="L234" s="206">
        <f t="shared" si="14"/>
        <v>4.1811846689895474E-2</v>
      </c>
      <c r="M234" s="207" t="s">
        <v>22</v>
      </c>
      <c r="N234" s="208" t="s">
        <v>105</v>
      </c>
    </row>
    <row r="235" spans="1:14">
      <c r="A235" s="172" t="s">
        <v>178</v>
      </c>
      <c r="B235" s="181" t="s">
        <v>3302</v>
      </c>
      <c r="C235" s="12" t="s">
        <v>27</v>
      </c>
      <c r="D235" s="12" t="s">
        <v>2978</v>
      </c>
      <c r="E235" s="182">
        <v>20</v>
      </c>
      <c r="F235" s="172" t="s">
        <v>19</v>
      </c>
      <c r="G235" s="195">
        <v>82</v>
      </c>
      <c r="H235" s="202">
        <f t="shared" si="18"/>
        <v>1640</v>
      </c>
      <c r="I235" s="203">
        <v>72</v>
      </c>
      <c r="J235" s="204">
        <f t="shared" si="21"/>
        <v>10</v>
      </c>
      <c r="K235" s="205">
        <f t="shared" si="17"/>
        <v>200</v>
      </c>
      <c r="L235" s="206">
        <f t="shared" si="14"/>
        <v>0.12195121951219512</v>
      </c>
      <c r="M235" s="207" t="s">
        <v>22</v>
      </c>
      <c r="N235" s="208" t="s">
        <v>105</v>
      </c>
    </row>
    <row r="236" spans="1:14">
      <c r="A236" s="172" t="s">
        <v>178</v>
      </c>
      <c r="B236" s="181" t="s">
        <v>3303</v>
      </c>
      <c r="C236" s="12" t="s">
        <v>270</v>
      </c>
      <c r="D236" s="12" t="s">
        <v>3304</v>
      </c>
      <c r="E236" s="182">
        <v>2</v>
      </c>
      <c r="F236" s="172" t="s">
        <v>302</v>
      </c>
      <c r="G236" s="195">
        <v>168774</v>
      </c>
      <c r="H236" s="202">
        <f t="shared" si="18"/>
        <v>337548</v>
      </c>
      <c r="I236" s="203">
        <v>165402</v>
      </c>
      <c r="J236" s="204">
        <f t="shared" si="21"/>
        <v>3372</v>
      </c>
      <c r="K236" s="205">
        <f t="shared" si="17"/>
        <v>6744</v>
      </c>
      <c r="L236" s="206">
        <f t="shared" si="14"/>
        <v>1.9979380710298981E-2</v>
      </c>
      <c r="M236" s="207" t="s">
        <v>40</v>
      </c>
      <c r="N236" s="208" t="s">
        <v>105</v>
      </c>
    </row>
    <row r="237" spans="1:14">
      <c r="A237" s="172" t="s">
        <v>178</v>
      </c>
      <c r="B237" s="181" t="s">
        <v>3305</v>
      </c>
      <c r="C237" s="12" t="s">
        <v>110</v>
      </c>
      <c r="D237" s="12" t="s">
        <v>3285</v>
      </c>
      <c r="E237" s="182">
        <v>1</v>
      </c>
      <c r="F237" s="172" t="s">
        <v>19</v>
      </c>
      <c r="G237" s="195">
        <v>8600</v>
      </c>
      <c r="H237" s="202">
        <f t="shared" si="18"/>
        <v>8600</v>
      </c>
      <c r="I237" s="203">
        <v>8400</v>
      </c>
      <c r="J237" s="204">
        <f t="shared" si="21"/>
        <v>200</v>
      </c>
      <c r="K237" s="205">
        <f t="shared" si="17"/>
        <v>200</v>
      </c>
      <c r="L237" s="206">
        <f t="shared" si="14"/>
        <v>2.3255813953488372E-2</v>
      </c>
      <c r="M237" s="207" t="s">
        <v>40</v>
      </c>
      <c r="N237" s="208" t="s">
        <v>105</v>
      </c>
    </row>
    <row r="238" spans="1:14">
      <c r="A238" s="172" t="s">
        <v>178</v>
      </c>
      <c r="B238" s="181" t="s">
        <v>3306</v>
      </c>
      <c r="C238" s="12" t="s">
        <v>3138</v>
      </c>
      <c r="D238" s="12" t="s">
        <v>3307</v>
      </c>
      <c r="E238" s="182">
        <v>100</v>
      </c>
      <c r="F238" s="172" t="s">
        <v>869</v>
      </c>
      <c r="G238" s="195">
        <v>230</v>
      </c>
      <c r="H238" s="202">
        <f t="shared" si="18"/>
        <v>23000</v>
      </c>
      <c r="I238" s="203">
        <v>71</v>
      </c>
      <c r="J238" s="204">
        <f t="shared" si="21"/>
        <v>159</v>
      </c>
      <c r="K238" s="205">
        <f t="shared" si="17"/>
        <v>15900</v>
      </c>
      <c r="L238" s="206">
        <f t="shared" si="14"/>
        <v>0.69130434782608696</v>
      </c>
      <c r="M238" s="207" t="s">
        <v>22</v>
      </c>
      <c r="N238" s="208" t="s">
        <v>105</v>
      </c>
    </row>
    <row r="239" spans="1:14">
      <c r="A239" s="172" t="s">
        <v>178</v>
      </c>
      <c r="B239" s="181" t="s">
        <v>3308</v>
      </c>
      <c r="C239" s="12" t="s">
        <v>1948</v>
      </c>
      <c r="D239" s="12" t="s">
        <v>3309</v>
      </c>
      <c r="E239" s="182">
        <v>12</v>
      </c>
      <c r="F239" s="172" t="s">
        <v>19</v>
      </c>
      <c r="G239" s="195">
        <v>165</v>
      </c>
      <c r="H239" s="202">
        <f t="shared" si="18"/>
        <v>1980</v>
      </c>
      <c r="I239" s="203">
        <v>135</v>
      </c>
      <c r="J239" s="204">
        <f t="shared" si="21"/>
        <v>30</v>
      </c>
      <c r="K239" s="205">
        <f t="shared" si="17"/>
        <v>360</v>
      </c>
      <c r="L239" s="206">
        <f t="shared" si="14"/>
        <v>0.18181818181818182</v>
      </c>
      <c r="M239" s="207" t="s">
        <v>22</v>
      </c>
      <c r="N239" s="208" t="s">
        <v>105</v>
      </c>
    </row>
    <row r="240" spans="1:14">
      <c r="A240" s="172" t="s">
        <v>178</v>
      </c>
      <c r="B240" s="181" t="s">
        <v>3308</v>
      </c>
      <c r="C240" s="12" t="s">
        <v>1948</v>
      </c>
      <c r="D240" s="12" t="s">
        <v>3310</v>
      </c>
      <c r="E240" s="182">
        <v>1</v>
      </c>
      <c r="F240" s="172" t="s">
        <v>3311</v>
      </c>
      <c r="G240" s="195">
        <v>12500</v>
      </c>
      <c r="H240" s="202">
        <f t="shared" si="18"/>
        <v>12500</v>
      </c>
      <c r="I240" s="203">
        <v>11887.5</v>
      </c>
      <c r="J240" s="204">
        <f t="shared" si="21"/>
        <v>612.5</v>
      </c>
      <c r="K240" s="205">
        <f t="shared" si="17"/>
        <v>612.5</v>
      </c>
      <c r="L240" s="206">
        <f t="shared" si="14"/>
        <v>4.9000000000000002E-2</v>
      </c>
      <c r="M240" s="207" t="s">
        <v>22</v>
      </c>
      <c r="N240" s="208" t="s">
        <v>105</v>
      </c>
    </row>
    <row r="241" spans="1:14">
      <c r="A241" s="172" t="s">
        <v>178</v>
      </c>
      <c r="B241" s="181" t="s">
        <v>3308</v>
      </c>
      <c r="C241" s="12" t="s">
        <v>1948</v>
      </c>
      <c r="D241" s="12" t="s">
        <v>3312</v>
      </c>
      <c r="E241" s="182">
        <v>1</v>
      </c>
      <c r="F241" s="172" t="s">
        <v>3311</v>
      </c>
      <c r="G241" s="195">
        <v>8500</v>
      </c>
      <c r="H241" s="202">
        <f t="shared" si="18"/>
        <v>8500</v>
      </c>
      <c r="I241" s="203">
        <v>8175</v>
      </c>
      <c r="J241" s="204">
        <f t="shared" si="21"/>
        <v>325</v>
      </c>
      <c r="K241" s="205">
        <f t="shared" si="17"/>
        <v>325</v>
      </c>
      <c r="L241" s="206">
        <f t="shared" si="14"/>
        <v>3.8235294117647062E-2</v>
      </c>
      <c r="M241" s="207" t="s">
        <v>22</v>
      </c>
      <c r="N241" s="208" t="s">
        <v>105</v>
      </c>
    </row>
    <row r="242" spans="1:14">
      <c r="A242" s="172" t="s">
        <v>178</v>
      </c>
      <c r="B242" s="181" t="s">
        <v>3313</v>
      </c>
      <c r="C242" s="12" t="s">
        <v>68</v>
      </c>
      <c r="D242" s="12" t="s">
        <v>962</v>
      </c>
      <c r="E242" s="182">
        <v>933.1</v>
      </c>
      <c r="F242" s="172" t="s">
        <v>37</v>
      </c>
      <c r="G242" s="195">
        <v>385</v>
      </c>
      <c r="H242" s="202">
        <f t="shared" si="18"/>
        <v>359243.5</v>
      </c>
      <c r="I242" s="203">
        <v>360</v>
      </c>
      <c r="J242" s="204">
        <f t="shared" si="21"/>
        <v>25</v>
      </c>
      <c r="K242" s="205">
        <f t="shared" si="17"/>
        <v>23327.5</v>
      </c>
      <c r="L242" s="206">
        <f t="shared" si="14"/>
        <v>6.4935064935064929E-2</v>
      </c>
      <c r="M242" s="207" t="s">
        <v>22</v>
      </c>
      <c r="N242" s="208" t="s">
        <v>105</v>
      </c>
    </row>
    <row r="243" spans="1:14">
      <c r="A243" s="172" t="s">
        <v>178</v>
      </c>
      <c r="B243" s="181" t="s">
        <v>3314</v>
      </c>
      <c r="C243" s="12" t="s">
        <v>94</v>
      </c>
      <c r="D243" s="12" t="s">
        <v>550</v>
      </c>
      <c r="E243" s="182">
        <v>600</v>
      </c>
      <c r="F243" s="172" t="s">
        <v>19</v>
      </c>
      <c r="G243" s="195">
        <v>50</v>
      </c>
      <c r="H243" s="202">
        <f t="shared" si="18"/>
        <v>30000</v>
      </c>
      <c r="I243" s="203">
        <v>47.56</v>
      </c>
      <c r="J243" s="204">
        <f t="shared" si="21"/>
        <v>2.4399999999999977</v>
      </c>
      <c r="K243" s="205">
        <f t="shared" si="17"/>
        <v>1463.9999999999986</v>
      </c>
      <c r="L243" s="206">
        <f t="shared" si="14"/>
        <v>4.8799999999999955E-2</v>
      </c>
      <c r="M243" s="207" t="s">
        <v>22</v>
      </c>
      <c r="N243" s="208" t="s">
        <v>105</v>
      </c>
    </row>
    <row r="244" spans="1:14">
      <c r="A244" s="172" t="s">
        <v>178</v>
      </c>
      <c r="B244" s="181" t="s">
        <v>3315</v>
      </c>
      <c r="C244" s="12" t="s">
        <v>17</v>
      </c>
      <c r="D244" s="12" t="s">
        <v>3316</v>
      </c>
      <c r="E244" s="182">
        <v>1</v>
      </c>
      <c r="F244" s="172" t="s">
        <v>3317</v>
      </c>
      <c r="G244" s="195">
        <v>2490</v>
      </c>
      <c r="H244" s="202">
        <f t="shared" si="18"/>
        <v>2490</v>
      </c>
      <c r="I244" s="203">
        <v>2350</v>
      </c>
      <c r="J244" s="204">
        <f t="shared" si="21"/>
        <v>140</v>
      </c>
      <c r="K244" s="205">
        <f t="shared" si="17"/>
        <v>140</v>
      </c>
      <c r="L244" s="206">
        <f t="shared" si="14"/>
        <v>5.6224899598393573E-2</v>
      </c>
      <c r="M244" s="207" t="s">
        <v>22</v>
      </c>
      <c r="N244" s="208" t="s">
        <v>105</v>
      </c>
    </row>
    <row r="245" spans="1:14">
      <c r="A245" s="172" t="s">
        <v>178</v>
      </c>
      <c r="B245" s="181" t="s">
        <v>3318</v>
      </c>
      <c r="C245" s="12" t="s">
        <v>35</v>
      </c>
      <c r="D245" s="12" t="s">
        <v>889</v>
      </c>
      <c r="E245" s="182">
        <v>2658</v>
      </c>
      <c r="F245" s="172" t="s">
        <v>37</v>
      </c>
      <c r="G245" s="195">
        <v>382</v>
      </c>
      <c r="H245" s="202">
        <f t="shared" si="18"/>
        <v>1015356</v>
      </c>
      <c r="I245" s="203">
        <v>380</v>
      </c>
      <c r="J245" s="204">
        <f t="shared" si="21"/>
        <v>2</v>
      </c>
      <c r="K245" s="205">
        <f t="shared" si="17"/>
        <v>5316</v>
      </c>
      <c r="L245" s="206">
        <f t="shared" si="14"/>
        <v>5.235602094240838E-3</v>
      </c>
      <c r="M245" s="207" t="s">
        <v>40</v>
      </c>
      <c r="N245" s="208" t="s">
        <v>105</v>
      </c>
    </row>
    <row r="246" spans="1:14">
      <c r="A246" s="172" t="s">
        <v>178</v>
      </c>
      <c r="B246" s="181" t="s">
        <v>3319</v>
      </c>
      <c r="C246" s="12" t="s">
        <v>3320</v>
      </c>
      <c r="D246" s="12" t="s">
        <v>3321</v>
      </c>
      <c r="E246" s="182">
        <v>24</v>
      </c>
      <c r="F246" s="172" t="s">
        <v>19</v>
      </c>
      <c r="G246" s="195">
        <v>220</v>
      </c>
      <c r="H246" s="202">
        <f t="shared" si="18"/>
        <v>5280</v>
      </c>
      <c r="I246" s="203">
        <v>143</v>
      </c>
      <c r="J246" s="204">
        <f t="shared" si="21"/>
        <v>77</v>
      </c>
      <c r="K246" s="205">
        <f t="shared" si="17"/>
        <v>1848</v>
      </c>
      <c r="L246" s="206">
        <f t="shared" si="14"/>
        <v>0.35</v>
      </c>
      <c r="M246" s="207" t="s">
        <v>22</v>
      </c>
      <c r="N246" s="208" t="s">
        <v>39</v>
      </c>
    </row>
    <row r="247" spans="1:14">
      <c r="A247" s="172" t="s">
        <v>178</v>
      </c>
      <c r="B247" s="181" t="s">
        <v>3319</v>
      </c>
      <c r="C247" s="12" t="s">
        <v>3320</v>
      </c>
      <c r="D247" s="12" t="s">
        <v>3322</v>
      </c>
      <c r="E247" s="182">
        <v>1080</v>
      </c>
      <c r="F247" s="172" t="s">
        <v>19</v>
      </c>
      <c r="G247" s="195">
        <v>250</v>
      </c>
      <c r="H247" s="202">
        <f t="shared" si="18"/>
        <v>270000</v>
      </c>
      <c r="I247" s="203">
        <v>162.5</v>
      </c>
      <c r="J247" s="204">
        <f t="shared" si="21"/>
        <v>87.5</v>
      </c>
      <c r="K247" s="205">
        <f t="shared" si="17"/>
        <v>94500</v>
      </c>
      <c r="L247" s="206">
        <f t="shared" si="14"/>
        <v>0.35</v>
      </c>
      <c r="M247" s="207" t="s">
        <v>22</v>
      </c>
      <c r="N247" s="208" t="s">
        <v>39</v>
      </c>
    </row>
    <row r="248" spans="1:14">
      <c r="A248" s="172" t="s">
        <v>178</v>
      </c>
      <c r="B248" s="181" t="s">
        <v>3323</v>
      </c>
      <c r="C248" s="12" t="s">
        <v>3324</v>
      </c>
      <c r="D248" s="12" t="s">
        <v>3325</v>
      </c>
      <c r="E248" s="182">
        <v>40</v>
      </c>
      <c r="F248" s="172" t="s">
        <v>19</v>
      </c>
      <c r="G248" s="195">
        <v>960</v>
      </c>
      <c r="H248" s="202">
        <f t="shared" si="18"/>
        <v>38400</v>
      </c>
      <c r="I248" s="203">
        <v>940</v>
      </c>
      <c r="J248" s="204">
        <f t="shared" si="21"/>
        <v>20</v>
      </c>
      <c r="K248" s="205">
        <f t="shared" si="17"/>
        <v>800</v>
      </c>
      <c r="L248" s="206">
        <f t="shared" si="14"/>
        <v>2.0833333333333332E-2</v>
      </c>
      <c r="M248" s="207" t="s">
        <v>40</v>
      </c>
      <c r="N248" s="208" t="s">
        <v>39</v>
      </c>
    </row>
    <row r="249" spans="1:14">
      <c r="A249" s="172" t="s">
        <v>178</v>
      </c>
      <c r="B249" s="181" t="s">
        <v>3323</v>
      </c>
      <c r="C249" s="12" t="s">
        <v>3324</v>
      </c>
      <c r="D249" s="12" t="s">
        <v>3326</v>
      </c>
      <c r="E249" s="182">
        <v>40</v>
      </c>
      <c r="F249" s="172" t="s">
        <v>19</v>
      </c>
      <c r="G249" s="195">
        <v>440</v>
      </c>
      <c r="H249" s="202">
        <f t="shared" si="18"/>
        <v>17600</v>
      </c>
      <c r="I249" s="203">
        <v>430</v>
      </c>
      <c r="J249" s="204">
        <f t="shared" si="21"/>
        <v>10</v>
      </c>
      <c r="K249" s="205">
        <f>J249*E249</f>
        <v>400</v>
      </c>
      <c r="L249" s="206">
        <f t="shared" si="14"/>
        <v>2.2727272727272728E-2</v>
      </c>
      <c r="M249" s="207" t="s">
        <v>40</v>
      </c>
      <c r="N249" s="208" t="s">
        <v>39</v>
      </c>
    </row>
    <row r="250" spans="1:14">
      <c r="A250" s="172" t="s">
        <v>178</v>
      </c>
      <c r="B250" s="181" t="s">
        <v>3323</v>
      </c>
      <c r="C250" s="12" t="s">
        <v>3324</v>
      </c>
      <c r="D250" s="12" t="s">
        <v>3327</v>
      </c>
      <c r="E250" s="182">
        <v>40</v>
      </c>
      <c r="F250" s="172" t="s">
        <v>19</v>
      </c>
      <c r="G250" s="195">
        <v>2330</v>
      </c>
      <c r="H250" s="202">
        <f t="shared" si="18"/>
        <v>93200</v>
      </c>
      <c r="I250" s="203">
        <v>2270</v>
      </c>
      <c r="J250" s="204">
        <f t="shared" si="21"/>
        <v>60</v>
      </c>
      <c r="K250" s="205">
        <f t="shared" si="17"/>
        <v>2400</v>
      </c>
      <c r="L250" s="206">
        <f t="shared" si="14"/>
        <v>2.575107296137339E-2</v>
      </c>
      <c r="M250" s="207" t="s">
        <v>40</v>
      </c>
      <c r="N250" s="208" t="s">
        <v>39</v>
      </c>
    </row>
    <row r="251" spans="1:14">
      <c r="A251" s="172" t="s">
        <v>178</v>
      </c>
      <c r="B251" s="181" t="s">
        <v>3328</v>
      </c>
      <c r="C251" s="12" t="s">
        <v>192</v>
      </c>
      <c r="D251" s="12" t="s">
        <v>813</v>
      </c>
      <c r="E251" s="182">
        <v>280000</v>
      </c>
      <c r="F251" s="172" t="s">
        <v>1605</v>
      </c>
      <c r="G251" s="195">
        <v>56</v>
      </c>
      <c r="H251" s="202">
        <f t="shared" si="18"/>
        <v>15680000</v>
      </c>
      <c r="I251" s="203">
        <v>53</v>
      </c>
      <c r="J251" s="204">
        <f t="shared" si="21"/>
        <v>3</v>
      </c>
      <c r="K251" s="205">
        <f t="shared" si="17"/>
        <v>840000</v>
      </c>
      <c r="L251" s="206">
        <f t="shared" si="14"/>
        <v>5.3571428571428568E-2</v>
      </c>
      <c r="M251" s="207" t="s">
        <v>22</v>
      </c>
      <c r="N251" s="208" t="s">
        <v>39</v>
      </c>
    </row>
    <row r="252" spans="1:14">
      <c r="A252" s="172" t="s">
        <v>178</v>
      </c>
      <c r="B252" s="181" t="s">
        <v>3329</v>
      </c>
      <c r="C252" s="12" t="s">
        <v>1375</v>
      </c>
      <c r="D252" s="12" t="s">
        <v>502</v>
      </c>
      <c r="E252" s="182">
        <v>330000</v>
      </c>
      <c r="F252" s="172" t="s">
        <v>1605</v>
      </c>
      <c r="G252" s="195">
        <v>56</v>
      </c>
      <c r="H252" s="202">
        <f t="shared" si="18"/>
        <v>18480000</v>
      </c>
      <c r="I252" s="203">
        <v>54</v>
      </c>
      <c r="J252" s="204">
        <f t="shared" si="21"/>
        <v>2</v>
      </c>
      <c r="K252" s="205">
        <f t="shared" si="17"/>
        <v>660000</v>
      </c>
      <c r="L252" s="206">
        <f t="shared" si="14"/>
        <v>3.5714285714285712E-2</v>
      </c>
      <c r="M252" s="207" t="s">
        <v>22</v>
      </c>
      <c r="N252" s="208" t="s">
        <v>39</v>
      </c>
    </row>
    <row r="253" spans="1:14">
      <c r="A253" s="172" t="s">
        <v>178</v>
      </c>
      <c r="B253" s="181" t="s">
        <v>3330</v>
      </c>
      <c r="C253" s="12" t="s">
        <v>617</v>
      </c>
      <c r="D253" s="12" t="s">
        <v>275</v>
      </c>
      <c r="E253" s="182">
        <v>3000</v>
      </c>
      <c r="F253" s="172" t="s">
        <v>1605</v>
      </c>
      <c r="G253" s="195">
        <v>29.8</v>
      </c>
      <c r="H253" s="202">
        <f t="shared" si="18"/>
        <v>89400</v>
      </c>
      <c r="I253" s="203">
        <v>27.5</v>
      </c>
      <c r="J253" s="204">
        <f t="shared" si="21"/>
        <v>2.3000000000000007</v>
      </c>
      <c r="K253" s="205">
        <f t="shared" si="17"/>
        <v>6900.0000000000018</v>
      </c>
      <c r="L253" s="206">
        <f t="shared" si="14"/>
        <v>7.7181208053691303E-2</v>
      </c>
      <c r="M253" s="207" t="s">
        <v>22</v>
      </c>
      <c r="N253" s="208" t="s">
        <v>39</v>
      </c>
    </row>
    <row r="254" spans="1:14">
      <c r="A254" s="172" t="s">
        <v>178</v>
      </c>
      <c r="B254" s="181" t="s">
        <v>3330</v>
      </c>
      <c r="C254" s="12" t="s">
        <v>617</v>
      </c>
      <c r="D254" s="12" t="s">
        <v>233</v>
      </c>
      <c r="E254" s="182">
        <v>6000</v>
      </c>
      <c r="F254" s="172" t="s">
        <v>1605</v>
      </c>
      <c r="G254" s="195">
        <v>29.8</v>
      </c>
      <c r="H254" s="202">
        <f t="shared" si="18"/>
        <v>178800</v>
      </c>
      <c r="I254" s="203">
        <v>27.5</v>
      </c>
      <c r="J254" s="204">
        <f t="shared" si="21"/>
        <v>2.3000000000000007</v>
      </c>
      <c r="K254" s="205">
        <f t="shared" si="17"/>
        <v>13800.000000000004</v>
      </c>
      <c r="L254" s="206">
        <f t="shared" si="14"/>
        <v>7.7181208053691303E-2</v>
      </c>
      <c r="M254" s="207" t="s">
        <v>22</v>
      </c>
      <c r="N254" s="208" t="s">
        <v>39</v>
      </c>
    </row>
    <row r="255" spans="1:14">
      <c r="A255" s="172" t="s">
        <v>178</v>
      </c>
      <c r="B255" s="181" t="s">
        <v>3331</v>
      </c>
      <c r="C255" s="12" t="s">
        <v>3235</v>
      </c>
      <c r="D255" s="12" t="s">
        <v>333</v>
      </c>
      <c r="E255" s="182">
        <v>3000</v>
      </c>
      <c r="F255" s="172" t="s">
        <v>1605</v>
      </c>
      <c r="G255" s="195">
        <v>28</v>
      </c>
      <c r="H255" s="202">
        <f t="shared" si="18"/>
        <v>84000</v>
      </c>
      <c r="I255" s="203">
        <v>27.4</v>
      </c>
      <c r="J255" s="204">
        <f t="shared" si="21"/>
        <v>0.60000000000000142</v>
      </c>
      <c r="K255" s="205">
        <f t="shared" si="17"/>
        <v>1800.0000000000043</v>
      </c>
      <c r="L255" s="206">
        <f t="shared" si="14"/>
        <v>2.1428571428571481E-2</v>
      </c>
      <c r="M255" s="207" t="s">
        <v>22</v>
      </c>
      <c r="N255" s="208" t="s">
        <v>39</v>
      </c>
    </row>
    <row r="256" spans="1:14">
      <c r="A256" s="172" t="s">
        <v>178</v>
      </c>
      <c r="B256" s="181" t="s">
        <v>3331</v>
      </c>
      <c r="C256" s="12" t="s">
        <v>3235</v>
      </c>
      <c r="D256" s="12" t="s">
        <v>274</v>
      </c>
      <c r="E256" s="182">
        <v>3000</v>
      </c>
      <c r="F256" s="172" t="s">
        <v>1605</v>
      </c>
      <c r="G256" s="195">
        <v>28</v>
      </c>
      <c r="H256" s="202">
        <f t="shared" si="18"/>
        <v>84000</v>
      </c>
      <c r="I256" s="203">
        <v>27.4</v>
      </c>
      <c r="J256" s="204">
        <f t="shared" si="21"/>
        <v>0.60000000000000142</v>
      </c>
      <c r="K256" s="205">
        <f t="shared" si="17"/>
        <v>1800.0000000000043</v>
      </c>
      <c r="L256" s="206">
        <f t="shared" si="14"/>
        <v>2.1428571428571481E-2</v>
      </c>
      <c r="M256" s="207" t="s">
        <v>22</v>
      </c>
      <c r="N256" s="208" t="s">
        <v>39</v>
      </c>
    </row>
    <row r="257" spans="1:14">
      <c r="A257" s="172" t="s">
        <v>178</v>
      </c>
      <c r="B257" s="181" t="s">
        <v>3332</v>
      </c>
      <c r="C257" s="12" t="s">
        <v>283</v>
      </c>
      <c r="D257" s="12" t="s">
        <v>3333</v>
      </c>
      <c r="E257" s="182">
        <v>1</v>
      </c>
      <c r="F257" s="172" t="s">
        <v>285</v>
      </c>
      <c r="G257" s="195">
        <v>45000</v>
      </c>
      <c r="H257" s="202">
        <f t="shared" si="18"/>
        <v>45000</v>
      </c>
      <c r="I257" s="203">
        <v>44500</v>
      </c>
      <c r="J257" s="204">
        <f t="shared" si="21"/>
        <v>500</v>
      </c>
      <c r="K257" s="205">
        <f t="shared" si="17"/>
        <v>500</v>
      </c>
      <c r="L257" s="206">
        <f t="shared" si="14"/>
        <v>1.1111111111111112E-2</v>
      </c>
      <c r="M257" s="207" t="s">
        <v>40</v>
      </c>
      <c r="N257" s="208" t="s">
        <v>105</v>
      </c>
    </row>
    <row r="258" spans="1:14">
      <c r="A258" s="172" t="s">
        <v>178</v>
      </c>
      <c r="B258" s="181" t="s">
        <v>3334</v>
      </c>
      <c r="C258" s="12" t="s">
        <v>892</v>
      </c>
      <c r="D258" s="12" t="s">
        <v>894</v>
      </c>
      <c r="E258" s="182">
        <v>147</v>
      </c>
      <c r="F258" s="172" t="s">
        <v>19</v>
      </c>
      <c r="G258" s="195">
        <v>1460</v>
      </c>
      <c r="H258" s="202">
        <f t="shared" si="18"/>
        <v>214620</v>
      </c>
      <c r="I258" s="203">
        <v>1450</v>
      </c>
      <c r="J258" s="204">
        <f t="shared" si="21"/>
        <v>10</v>
      </c>
      <c r="K258" s="205">
        <f t="shared" si="17"/>
        <v>1470</v>
      </c>
      <c r="L258" s="206">
        <f t="shared" si="14"/>
        <v>6.8493150684931503E-3</v>
      </c>
      <c r="M258" s="207" t="s">
        <v>40</v>
      </c>
      <c r="N258" s="208" t="s">
        <v>105</v>
      </c>
    </row>
    <row r="259" spans="1:14">
      <c r="A259" s="172" t="s">
        <v>178</v>
      </c>
      <c r="B259" s="181" t="s">
        <v>3334</v>
      </c>
      <c r="C259" s="12" t="s">
        <v>892</v>
      </c>
      <c r="D259" s="12" t="s">
        <v>3335</v>
      </c>
      <c r="E259" s="182">
        <v>1764</v>
      </c>
      <c r="F259" s="172" t="s">
        <v>19</v>
      </c>
      <c r="G259" s="195">
        <v>750</v>
      </c>
      <c r="H259" s="202">
        <f t="shared" si="18"/>
        <v>1323000</v>
      </c>
      <c r="I259" s="203">
        <v>740</v>
      </c>
      <c r="J259" s="204">
        <f t="shared" si="21"/>
        <v>10</v>
      </c>
      <c r="K259" s="205">
        <f t="shared" si="17"/>
        <v>17640</v>
      </c>
      <c r="L259" s="206">
        <f t="shared" si="14"/>
        <v>1.3333333333333334E-2</v>
      </c>
      <c r="M259" s="207" t="s">
        <v>40</v>
      </c>
      <c r="N259" s="208" t="s">
        <v>105</v>
      </c>
    </row>
    <row r="260" spans="1:14">
      <c r="A260" s="172" t="s">
        <v>178</v>
      </c>
      <c r="B260" s="181" t="s">
        <v>3336</v>
      </c>
      <c r="C260" s="12" t="s">
        <v>2294</v>
      </c>
      <c r="D260" s="12" t="s">
        <v>3337</v>
      </c>
      <c r="E260" s="182">
        <v>1</v>
      </c>
      <c r="F260" s="172" t="s">
        <v>285</v>
      </c>
      <c r="G260" s="195">
        <v>34342</v>
      </c>
      <c r="H260" s="202">
        <f t="shared" si="18"/>
        <v>34342</v>
      </c>
      <c r="I260" s="203">
        <v>33000</v>
      </c>
      <c r="J260" s="204">
        <f t="shared" si="21"/>
        <v>1342</v>
      </c>
      <c r="K260" s="205">
        <f t="shared" ref="K260:K271" si="22">J260*E260</f>
        <v>1342</v>
      </c>
      <c r="L260" s="206">
        <f t="shared" si="14"/>
        <v>3.9077514413837285E-2</v>
      </c>
      <c r="M260" s="207" t="s">
        <v>40</v>
      </c>
      <c r="N260" s="208" t="s">
        <v>105</v>
      </c>
    </row>
    <row r="261" spans="1:14">
      <c r="A261" s="172" t="s">
        <v>178</v>
      </c>
      <c r="B261" s="181" t="s">
        <v>3338</v>
      </c>
      <c r="C261" s="12" t="s">
        <v>270</v>
      </c>
      <c r="D261" s="12" t="s">
        <v>962</v>
      </c>
      <c r="E261" s="182">
        <v>695</v>
      </c>
      <c r="F261" s="172" t="s">
        <v>37</v>
      </c>
      <c r="G261" s="195">
        <v>380</v>
      </c>
      <c r="H261" s="202">
        <f t="shared" si="18"/>
        <v>264100</v>
      </c>
      <c r="I261" s="203">
        <v>373</v>
      </c>
      <c r="J261" s="204">
        <f t="shared" si="21"/>
        <v>7</v>
      </c>
      <c r="K261" s="205">
        <f t="shared" si="22"/>
        <v>4865</v>
      </c>
      <c r="L261" s="206">
        <f t="shared" si="14"/>
        <v>1.8421052631578946E-2</v>
      </c>
      <c r="M261" s="207" t="s">
        <v>22</v>
      </c>
      <c r="N261" s="208" t="s">
        <v>105</v>
      </c>
    </row>
    <row r="262" spans="1:14">
      <c r="A262" s="172" t="s">
        <v>178</v>
      </c>
      <c r="B262" s="181" t="s">
        <v>3339</v>
      </c>
      <c r="C262" s="12" t="s">
        <v>398</v>
      </c>
      <c r="D262" s="12" t="s">
        <v>3340</v>
      </c>
      <c r="E262" s="182">
        <v>1</v>
      </c>
      <c r="F262" s="172" t="s">
        <v>285</v>
      </c>
      <c r="G262" s="195">
        <v>78000</v>
      </c>
      <c r="H262" s="202">
        <f t="shared" si="18"/>
        <v>78000</v>
      </c>
      <c r="I262" s="203">
        <v>75000</v>
      </c>
      <c r="J262" s="204">
        <f t="shared" si="21"/>
        <v>3000</v>
      </c>
      <c r="K262" s="205">
        <f t="shared" si="22"/>
        <v>3000</v>
      </c>
      <c r="L262" s="206">
        <f t="shared" si="14"/>
        <v>3.8461538461538464E-2</v>
      </c>
      <c r="M262" s="207" t="s">
        <v>40</v>
      </c>
      <c r="N262" s="208" t="s">
        <v>105</v>
      </c>
    </row>
    <row r="263" spans="1:14">
      <c r="A263" s="172" t="s">
        <v>178</v>
      </c>
      <c r="B263" s="181" t="s">
        <v>3341</v>
      </c>
      <c r="C263" s="12" t="s">
        <v>1119</v>
      </c>
      <c r="D263" s="12" t="s">
        <v>3342</v>
      </c>
      <c r="E263" s="182">
        <v>24</v>
      </c>
      <c r="F263" s="172" t="s">
        <v>19</v>
      </c>
      <c r="G263" s="195">
        <v>1250</v>
      </c>
      <c r="H263" s="202">
        <f t="shared" si="18"/>
        <v>30000</v>
      </c>
      <c r="I263" s="203">
        <v>1020</v>
      </c>
      <c r="J263" s="204">
        <f t="shared" si="21"/>
        <v>230</v>
      </c>
      <c r="K263" s="205">
        <f t="shared" si="22"/>
        <v>5520</v>
      </c>
      <c r="L263" s="206">
        <f t="shared" si="14"/>
        <v>0.184</v>
      </c>
      <c r="M263" s="207" t="s">
        <v>22</v>
      </c>
      <c r="N263" s="208" t="s">
        <v>39</v>
      </c>
    </row>
    <row r="264" spans="1:14">
      <c r="A264" s="172" t="s">
        <v>178</v>
      </c>
      <c r="B264" s="181" t="s">
        <v>3341</v>
      </c>
      <c r="C264" s="12" t="s">
        <v>1119</v>
      </c>
      <c r="D264" s="12" t="s">
        <v>3343</v>
      </c>
      <c r="E264" s="182">
        <v>180</v>
      </c>
      <c r="F264" s="172" t="s">
        <v>19</v>
      </c>
      <c r="G264" s="195">
        <v>1300</v>
      </c>
      <c r="H264" s="202">
        <f t="shared" si="18"/>
        <v>234000</v>
      </c>
      <c r="I264" s="203">
        <v>1050</v>
      </c>
      <c r="J264" s="204">
        <f t="shared" si="21"/>
        <v>250</v>
      </c>
      <c r="K264" s="205">
        <f t="shared" si="22"/>
        <v>45000</v>
      </c>
      <c r="L264" s="206">
        <f t="shared" si="14"/>
        <v>0.19230769230769232</v>
      </c>
      <c r="M264" s="207" t="s">
        <v>22</v>
      </c>
      <c r="N264" s="208" t="s">
        <v>39</v>
      </c>
    </row>
    <row r="265" spans="1:14">
      <c r="A265" s="172" t="s">
        <v>178</v>
      </c>
      <c r="B265" s="181" t="s">
        <v>3344</v>
      </c>
      <c r="C265" s="12" t="s">
        <v>590</v>
      </c>
      <c r="D265" s="12" t="s">
        <v>3345</v>
      </c>
      <c r="E265" s="182">
        <v>1</v>
      </c>
      <c r="F265" s="172" t="s">
        <v>1608</v>
      </c>
      <c r="G265" s="195">
        <v>48500</v>
      </c>
      <c r="H265" s="202">
        <f t="shared" si="18"/>
        <v>48500</v>
      </c>
      <c r="I265" s="203">
        <v>45000</v>
      </c>
      <c r="J265" s="204">
        <f t="shared" si="21"/>
        <v>3500</v>
      </c>
      <c r="K265" s="205">
        <f t="shared" si="22"/>
        <v>3500</v>
      </c>
      <c r="L265" s="206">
        <f t="shared" si="14"/>
        <v>7.2164948453608241E-2</v>
      </c>
      <c r="M265" s="207" t="s">
        <v>22</v>
      </c>
      <c r="N265" s="208" t="s">
        <v>39</v>
      </c>
    </row>
    <row r="266" spans="1:14">
      <c r="A266" s="172" t="s">
        <v>178</v>
      </c>
      <c r="B266" s="181" t="s">
        <v>3344</v>
      </c>
      <c r="C266" s="12" t="s">
        <v>590</v>
      </c>
      <c r="D266" s="12" t="s">
        <v>3346</v>
      </c>
      <c r="E266" s="182">
        <v>1</v>
      </c>
      <c r="F266" s="172" t="s">
        <v>1608</v>
      </c>
      <c r="G266" s="195">
        <v>18000</v>
      </c>
      <c r="H266" s="202">
        <f t="shared" si="18"/>
        <v>18000</v>
      </c>
      <c r="I266" s="203">
        <v>15000</v>
      </c>
      <c r="J266" s="204">
        <f t="shared" si="21"/>
        <v>3000</v>
      </c>
      <c r="K266" s="205">
        <f t="shared" si="22"/>
        <v>3000</v>
      </c>
      <c r="L266" s="206">
        <f t="shared" si="14"/>
        <v>0.16666666666666666</v>
      </c>
      <c r="M266" s="207" t="s">
        <v>22</v>
      </c>
      <c r="N266" s="208" t="s">
        <v>39</v>
      </c>
    </row>
    <row r="267" spans="1:14">
      <c r="A267" s="172" t="s">
        <v>178</v>
      </c>
      <c r="B267" s="181" t="s">
        <v>3344</v>
      </c>
      <c r="C267" s="12" t="s">
        <v>590</v>
      </c>
      <c r="D267" s="12" t="s">
        <v>3347</v>
      </c>
      <c r="E267" s="182">
        <v>1</v>
      </c>
      <c r="F267" s="172" t="s">
        <v>1608</v>
      </c>
      <c r="G267" s="195">
        <v>22000</v>
      </c>
      <c r="H267" s="202">
        <f t="shared" si="18"/>
        <v>22000</v>
      </c>
      <c r="I267" s="203">
        <v>18400</v>
      </c>
      <c r="J267" s="204">
        <f t="shared" si="21"/>
        <v>3600</v>
      </c>
      <c r="K267" s="205">
        <f t="shared" si="22"/>
        <v>3600</v>
      </c>
      <c r="L267" s="206">
        <f t="shared" si="14"/>
        <v>0.16363636363636364</v>
      </c>
      <c r="M267" s="207" t="s">
        <v>22</v>
      </c>
      <c r="N267" s="208" t="s">
        <v>39</v>
      </c>
    </row>
    <row r="268" spans="1:14">
      <c r="A268" s="172" t="s">
        <v>178</v>
      </c>
      <c r="B268" s="181" t="s">
        <v>3348</v>
      </c>
      <c r="C268" s="12" t="s">
        <v>590</v>
      </c>
      <c r="D268" s="12" t="s">
        <v>3346</v>
      </c>
      <c r="E268" s="182">
        <v>1</v>
      </c>
      <c r="F268" s="172" t="s">
        <v>1608</v>
      </c>
      <c r="G268" s="195">
        <v>18000</v>
      </c>
      <c r="H268" s="202">
        <f t="shared" si="18"/>
        <v>18000</v>
      </c>
      <c r="I268" s="203">
        <v>15000</v>
      </c>
      <c r="J268" s="204">
        <f t="shared" si="21"/>
        <v>3000</v>
      </c>
      <c r="K268" s="205">
        <f t="shared" si="22"/>
        <v>3000</v>
      </c>
      <c r="L268" s="206">
        <f t="shared" si="14"/>
        <v>0.16666666666666666</v>
      </c>
      <c r="M268" s="207" t="s">
        <v>22</v>
      </c>
      <c r="N268" s="208" t="s">
        <v>39</v>
      </c>
    </row>
    <row r="269" spans="1:14">
      <c r="A269" s="172" t="s">
        <v>178</v>
      </c>
      <c r="B269" s="181" t="s">
        <v>3348</v>
      </c>
      <c r="C269" s="12" t="s">
        <v>590</v>
      </c>
      <c r="D269" s="12" t="s">
        <v>3347</v>
      </c>
      <c r="E269" s="182">
        <v>1</v>
      </c>
      <c r="F269" s="172" t="s">
        <v>1608</v>
      </c>
      <c r="G269" s="195">
        <v>22000</v>
      </c>
      <c r="H269" s="202">
        <f t="shared" si="18"/>
        <v>22000</v>
      </c>
      <c r="I269" s="203">
        <v>18400</v>
      </c>
      <c r="J269" s="204">
        <f t="shared" si="21"/>
        <v>3600</v>
      </c>
      <c r="K269" s="205">
        <f t="shared" si="22"/>
        <v>3600</v>
      </c>
      <c r="L269" s="206">
        <f t="shared" si="14"/>
        <v>0.16363636363636364</v>
      </c>
      <c r="M269" s="207" t="s">
        <v>22</v>
      </c>
      <c r="N269" s="208" t="s">
        <v>39</v>
      </c>
    </row>
    <row r="270" spans="1:14">
      <c r="A270" s="172" t="s">
        <v>178</v>
      </c>
      <c r="B270" s="181" t="s">
        <v>3348</v>
      </c>
      <c r="C270" s="12" t="s">
        <v>590</v>
      </c>
      <c r="D270" s="12" t="s">
        <v>3225</v>
      </c>
      <c r="E270" s="182">
        <v>1</v>
      </c>
      <c r="F270" s="172" t="s">
        <v>19</v>
      </c>
      <c r="G270" s="195">
        <v>6000</v>
      </c>
      <c r="H270" s="202">
        <f t="shared" si="18"/>
        <v>6000</v>
      </c>
      <c r="I270" s="203">
        <v>5700</v>
      </c>
      <c r="J270" s="204">
        <f t="shared" si="21"/>
        <v>300</v>
      </c>
      <c r="K270" s="205">
        <f t="shared" si="22"/>
        <v>300</v>
      </c>
      <c r="L270" s="206">
        <f t="shared" si="14"/>
        <v>0.05</v>
      </c>
      <c r="M270" s="207" t="s">
        <v>22</v>
      </c>
      <c r="N270" s="208" t="s">
        <v>39</v>
      </c>
    </row>
    <row r="271" spans="1:14">
      <c r="A271" s="172" t="s">
        <v>178</v>
      </c>
      <c r="B271" s="181" t="s">
        <v>3349</v>
      </c>
      <c r="C271" s="12" t="s">
        <v>107</v>
      </c>
      <c r="D271" s="12" t="s">
        <v>1652</v>
      </c>
      <c r="E271" s="182">
        <v>186</v>
      </c>
      <c r="F271" s="172" t="s">
        <v>19</v>
      </c>
      <c r="G271" s="195">
        <v>1380</v>
      </c>
      <c r="H271" s="202">
        <f t="shared" si="18"/>
        <v>256680</v>
      </c>
      <c r="I271" s="203">
        <v>1037</v>
      </c>
      <c r="J271" s="204">
        <f t="shared" si="21"/>
        <v>343</v>
      </c>
      <c r="K271" s="205">
        <f t="shared" si="22"/>
        <v>63798</v>
      </c>
      <c r="L271" s="206">
        <f t="shared" si="14"/>
        <v>0.24855072463768116</v>
      </c>
      <c r="M271" s="207" t="s">
        <v>22</v>
      </c>
      <c r="N271" s="208" t="s">
        <v>105</v>
      </c>
    </row>
    <row r="272" spans="1:14">
      <c r="A272" s="180" t="s">
        <v>327</v>
      </c>
      <c r="B272" s="181" t="s">
        <v>3350</v>
      </c>
      <c r="C272" s="12" t="s">
        <v>505</v>
      </c>
      <c r="D272" s="12" t="s">
        <v>3351</v>
      </c>
      <c r="E272" s="182">
        <v>25</v>
      </c>
      <c r="F272" s="172" t="s">
        <v>1616</v>
      </c>
      <c r="G272" s="18">
        <v>1700</v>
      </c>
      <c r="H272" s="18">
        <f>G272*E272</f>
        <v>42500</v>
      </c>
      <c r="I272" s="184">
        <v>1650</v>
      </c>
      <c r="J272" s="184">
        <f>G272-I272</f>
        <v>50</v>
      </c>
      <c r="K272" s="185">
        <f>J272*E272</f>
        <v>1250</v>
      </c>
      <c r="L272" s="186">
        <f>J272/G272</f>
        <v>2.9411764705882353E-2</v>
      </c>
      <c r="M272" s="12" t="s">
        <v>22</v>
      </c>
      <c r="N272" s="12" t="s">
        <v>105</v>
      </c>
    </row>
    <row r="273" spans="1:14">
      <c r="A273" s="172" t="s">
        <v>327</v>
      </c>
      <c r="B273" s="181" t="s">
        <v>3352</v>
      </c>
      <c r="C273" s="12" t="s">
        <v>590</v>
      </c>
      <c r="D273" s="12" t="s">
        <v>3353</v>
      </c>
      <c r="E273" s="182">
        <v>140</v>
      </c>
      <c r="F273" s="172" t="s">
        <v>1616</v>
      </c>
      <c r="G273" s="18">
        <v>300</v>
      </c>
      <c r="H273" s="18">
        <f t="shared" ref="H273:H323" si="23">G273*E273</f>
        <v>42000</v>
      </c>
      <c r="I273" s="184">
        <v>280</v>
      </c>
      <c r="J273" s="184">
        <f>G273-I273</f>
        <v>20</v>
      </c>
      <c r="K273" s="185">
        <f>J273*E273</f>
        <v>2800</v>
      </c>
      <c r="L273" s="186">
        <f>J273/G273</f>
        <v>6.6666666666666666E-2</v>
      </c>
      <c r="M273" s="12" t="s">
        <v>40</v>
      </c>
      <c r="N273" s="12" t="s">
        <v>39</v>
      </c>
    </row>
    <row r="274" spans="1:14">
      <c r="A274" s="172" t="s">
        <v>327</v>
      </c>
      <c r="B274" s="181" t="s">
        <v>3354</v>
      </c>
      <c r="C274" s="12" t="s">
        <v>1119</v>
      </c>
      <c r="D274" s="12" t="s">
        <v>3355</v>
      </c>
      <c r="E274" s="182">
        <v>51</v>
      </c>
      <c r="F274" s="172" t="s">
        <v>1616</v>
      </c>
      <c r="G274" s="18">
        <v>1900</v>
      </c>
      <c r="H274" s="18">
        <f t="shared" si="23"/>
        <v>96900</v>
      </c>
      <c r="I274" s="184">
        <v>1850</v>
      </c>
      <c r="J274" s="184">
        <f>G274-I274</f>
        <v>50</v>
      </c>
      <c r="K274" s="185">
        <f>J274*E274</f>
        <v>2550</v>
      </c>
      <c r="L274" s="186">
        <f>J274/G274</f>
        <v>2.6315789473684209E-2</v>
      </c>
      <c r="M274" s="12" t="s">
        <v>22</v>
      </c>
      <c r="N274" s="12" t="s">
        <v>39</v>
      </c>
    </row>
    <row r="275" spans="1:14">
      <c r="A275" s="172" t="s">
        <v>327</v>
      </c>
      <c r="B275" s="181" t="s">
        <v>3356</v>
      </c>
      <c r="C275" s="12" t="s">
        <v>617</v>
      </c>
      <c r="D275" s="12" t="s">
        <v>996</v>
      </c>
      <c r="E275" s="182">
        <v>3000</v>
      </c>
      <c r="F275" s="172" t="s">
        <v>1605</v>
      </c>
      <c r="G275" s="18">
        <v>28</v>
      </c>
      <c r="H275" s="18">
        <f t="shared" si="23"/>
        <v>84000</v>
      </c>
      <c r="I275" s="184">
        <v>27.5</v>
      </c>
      <c r="J275" s="184">
        <f>G275-I275</f>
        <v>0.5</v>
      </c>
      <c r="K275" s="185">
        <f>J275*E275</f>
        <v>1500</v>
      </c>
      <c r="L275" s="186">
        <f>J275/G275</f>
        <v>1.7857142857142856E-2</v>
      </c>
      <c r="M275" s="12" t="s">
        <v>22</v>
      </c>
      <c r="N275" s="12" t="s">
        <v>39</v>
      </c>
    </row>
    <row r="276" spans="1:14">
      <c r="A276" s="172" t="s">
        <v>327</v>
      </c>
      <c r="B276" s="181" t="s">
        <v>3357</v>
      </c>
      <c r="C276" s="12" t="s">
        <v>776</v>
      </c>
      <c r="D276" s="12" t="s">
        <v>3358</v>
      </c>
      <c r="E276" s="182">
        <v>20000</v>
      </c>
      <c r="F276" s="172" t="s">
        <v>1605</v>
      </c>
      <c r="G276" s="18">
        <f>(2.59*34)+1</f>
        <v>89.06</v>
      </c>
      <c r="H276" s="18">
        <f t="shared" si="23"/>
        <v>1781200</v>
      </c>
      <c r="I276" s="184">
        <f>(2.55*34)+1</f>
        <v>87.699999999999989</v>
      </c>
      <c r="J276" s="184">
        <f>G276-I276</f>
        <v>1.3600000000000136</v>
      </c>
      <c r="K276" s="185">
        <f>J276*E276</f>
        <v>27200.000000000273</v>
      </c>
      <c r="L276" s="186">
        <f>J276/G276</f>
        <v>1.5270604087132423E-2</v>
      </c>
      <c r="M276" s="12" t="s">
        <v>22</v>
      </c>
      <c r="N276" s="12" t="s">
        <v>39</v>
      </c>
    </row>
    <row r="277" spans="1:14">
      <c r="A277" s="172" t="s">
        <v>327</v>
      </c>
      <c r="B277" s="181" t="s">
        <v>3359</v>
      </c>
      <c r="C277" s="12" t="s">
        <v>3360</v>
      </c>
      <c r="D277" s="12" t="s">
        <v>503</v>
      </c>
      <c r="E277" s="182">
        <v>200000</v>
      </c>
      <c r="F277" s="172" t="s">
        <v>1605</v>
      </c>
      <c r="G277" s="18">
        <v>80.900000000000006</v>
      </c>
      <c r="H277" s="18">
        <f t="shared" si="23"/>
        <v>16180000.000000002</v>
      </c>
      <c r="I277" s="184">
        <v>74.162000000000006</v>
      </c>
      <c r="J277" s="184">
        <f t="shared" ref="J277:J345" si="24">G277-I277</f>
        <v>6.7379999999999995</v>
      </c>
      <c r="K277" s="185">
        <f t="shared" ref="K277:K345" si="25">J277*E277</f>
        <v>1347600</v>
      </c>
      <c r="L277" s="186">
        <f t="shared" ref="L277:L368" si="26">J277/G277</f>
        <v>8.3288009888751527E-2</v>
      </c>
      <c r="M277" s="12" t="s">
        <v>22</v>
      </c>
      <c r="N277" s="12" t="s">
        <v>39</v>
      </c>
    </row>
    <row r="278" spans="1:14">
      <c r="A278" s="172" t="s">
        <v>327</v>
      </c>
      <c r="B278" s="181" t="s">
        <v>3361</v>
      </c>
      <c r="C278" s="12" t="s">
        <v>590</v>
      </c>
      <c r="D278" s="12" t="s">
        <v>3225</v>
      </c>
      <c r="E278" s="182">
        <v>11</v>
      </c>
      <c r="F278" s="172" t="s">
        <v>1616</v>
      </c>
      <c r="G278" s="18">
        <v>6000</v>
      </c>
      <c r="H278" s="18">
        <f t="shared" si="23"/>
        <v>66000</v>
      </c>
      <c r="I278" s="184">
        <v>5700</v>
      </c>
      <c r="J278" s="184">
        <f t="shared" si="24"/>
        <v>300</v>
      </c>
      <c r="K278" s="185">
        <f t="shared" si="25"/>
        <v>3300</v>
      </c>
      <c r="L278" s="186">
        <f t="shared" si="26"/>
        <v>0.05</v>
      </c>
      <c r="M278" s="12" t="s">
        <v>22</v>
      </c>
      <c r="N278" s="12" t="s">
        <v>39</v>
      </c>
    </row>
    <row r="279" spans="1:14">
      <c r="A279" s="172" t="s">
        <v>327</v>
      </c>
      <c r="B279" s="181" t="s">
        <v>3361</v>
      </c>
      <c r="C279" s="12" t="s">
        <v>590</v>
      </c>
      <c r="D279" s="12" t="s">
        <v>3362</v>
      </c>
      <c r="E279" s="182">
        <v>7</v>
      </c>
      <c r="F279" s="172" t="s">
        <v>1608</v>
      </c>
      <c r="G279" s="18">
        <v>48500</v>
      </c>
      <c r="H279" s="18">
        <f t="shared" si="23"/>
        <v>339500</v>
      </c>
      <c r="I279" s="184">
        <v>45000</v>
      </c>
      <c r="J279" s="184">
        <f t="shared" si="24"/>
        <v>3500</v>
      </c>
      <c r="K279" s="185">
        <f t="shared" si="25"/>
        <v>24500</v>
      </c>
      <c r="L279" s="186">
        <f t="shared" si="26"/>
        <v>7.2164948453608241E-2</v>
      </c>
      <c r="M279" s="12" t="s">
        <v>22</v>
      </c>
      <c r="N279" s="12" t="s">
        <v>39</v>
      </c>
    </row>
    <row r="280" spans="1:14">
      <c r="A280" s="172" t="s">
        <v>327</v>
      </c>
      <c r="B280" s="181" t="s">
        <v>3361</v>
      </c>
      <c r="C280" s="12" t="s">
        <v>590</v>
      </c>
      <c r="D280" s="12" t="s">
        <v>3363</v>
      </c>
      <c r="E280" s="182">
        <v>8</v>
      </c>
      <c r="F280" s="172" t="s">
        <v>1608</v>
      </c>
      <c r="G280" s="18">
        <v>18000</v>
      </c>
      <c r="H280" s="18">
        <f t="shared" si="23"/>
        <v>144000</v>
      </c>
      <c r="I280" s="184">
        <v>15000</v>
      </c>
      <c r="J280" s="184">
        <f>G280-I280</f>
        <v>3000</v>
      </c>
      <c r="K280" s="185">
        <f>J280*E280</f>
        <v>24000</v>
      </c>
      <c r="L280" s="186">
        <f>J280/G280</f>
        <v>0.16666666666666666</v>
      </c>
      <c r="M280" s="12" t="s">
        <v>22</v>
      </c>
      <c r="N280" s="12" t="s">
        <v>39</v>
      </c>
    </row>
    <row r="281" spans="1:14">
      <c r="A281" s="172" t="s">
        <v>327</v>
      </c>
      <c r="B281" s="181" t="s">
        <v>3361</v>
      </c>
      <c r="C281" s="12" t="s">
        <v>590</v>
      </c>
      <c r="D281" s="12" t="s">
        <v>3364</v>
      </c>
      <c r="E281" s="182">
        <v>8</v>
      </c>
      <c r="F281" s="172" t="s">
        <v>1608</v>
      </c>
      <c r="G281" s="18">
        <v>22000</v>
      </c>
      <c r="H281" s="18">
        <f t="shared" si="23"/>
        <v>176000</v>
      </c>
      <c r="I281" s="184">
        <v>18400</v>
      </c>
      <c r="J281" s="184">
        <f t="shared" si="24"/>
        <v>3600</v>
      </c>
      <c r="K281" s="185">
        <f t="shared" si="25"/>
        <v>28800</v>
      </c>
      <c r="L281" s="186">
        <f t="shared" si="26"/>
        <v>0.16363636363636364</v>
      </c>
      <c r="M281" s="12" t="s">
        <v>22</v>
      </c>
      <c r="N281" s="12" t="s">
        <v>39</v>
      </c>
    </row>
    <row r="282" spans="1:14">
      <c r="A282" s="172" t="s">
        <v>327</v>
      </c>
      <c r="B282" s="181" t="s">
        <v>3365</v>
      </c>
      <c r="C282" s="12" t="s">
        <v>590</v>
      </c>
      <c r="D282" s="12" t="s">
        <v>3363</v>
      </c>
      <c r="E282" s="182">
        <v>17</v>
      </c>
      <c r="F282" s="172" t="s">
        <v>1608</v>
      </c>
      <c r="G282" s="18">
        <v>18000</v>
      </c>
      <c r="H282" s="18">
        <f t="shared" si="23"/>
        <v>306000</v>
      </c>
      <c r="I282" s="184">
        <v>15000</v>
      </c>
      <c r="J282" s="184">
        <f t="shared" si="24"/>
        <v>3000</v>
      </c>
      <c r="K282" s="185">
        <f t="shared" si="25"/>
        <v>51000</v>
      </c>
      <c r="L282" s="186">
        <f t="shared" si="26"/>
        <v>0.16666666666666666</v>
      </c>
      <c r="M282" s="12" t="s">
        <v>22</v>
      </c>
      <c r="N282" s="12" t="s">
        <v>39</v>
      </c>
    </row>
    <row r="283" spans="1:14">
      <c r="A283" s="172" t="s">
        <v>327</v>
      </c>
      <c r="B283" s="181" t="s">
        <v>3365</v>
      </c>
      <c r="C283" s="12" t="s">
        <v>590</v>
      </c>
      <c r="D283" s="12" t="s">
        <v>3364</v>
      </c>
      <c r="E283" s="182">
        <v>17</v>
      </c>
      <c r="F283" s="172" t="s">
        <v>1608</v>
      </c>
      <c r="G283" s="18">
        <v>22000</v>
      </c>
      <c r="H283" s="18">
        <f t="shared" si="23"/>
        <v>374000</v>
      </c>
      <c r="I283" s="184">
        <v>18400</v>
      </c>
      <c r="J283" s="184">
        <f t="shared" si="24"/>
        <v>3600</v>
      </c>
      <c r="K283" s="185">
        <f t="shared" si="25"/>
        <v>61200</v>
      </c>
      <c r="L283" s="186">
        <f t="shared" si="26"/>
        <v>0.16363636363636364</v>
      </c>
      <c r="M283" s="12" t="s">
        <v>22</v>
      </c>
      <c r="N283" s="12" t="s">
        <v>39</v>
      </c>
    </row>
    <row r="284" spans="1:14">
      <c r="A284" s="172" t="s">
        <v>327</v>
      </c>
      <c r="B284" s="181" t="s">
        <v>3365</v>
      </c>
      <c r="C284" s="12" t="s">
        <v>590</v>
      </c>
      <c r="D284" s="12" t="s">
        <v>3345</v>
      </c>
      <c r="E284" s="182">
        <v>14</v>
      </c>
      <c r="F284" s="172" t="s">
        <v>1608</v>
      </c>
      <c r="G284" s="18">
        <v>48500</v>
      </c>
      <c r="H284" s="18">
        <f t="shared" si="23"/>
        <v>679000</v>
      </c>
      <c r="I284" s="184">
        <v>45000</v>
      </c>
      <c r="J284" s="184">
        <f t="shared" si="24"/>
        <v>3500</v>
      </c>
      <c r="K284" s="185">
        <f t="shared" si="25"/>
        <v>49000</v>
      </c>
      <c r="L284" s="186">
        <f t="shared" si="26"/>
        <v>7.2164948453608241E-2</v>
      </c>
      <c r="M284" s="12" t="s">
        <v>22</v>
      </c>
      <c r="N284" s="12" t="s">
        <v>39</v>
      </c>
    </row>
    <row r="285" spans="1:14">
      <c r="A285" s="172" t="s">
        <v>327</v>
      </c>
      <c r="B285" s="181" t="s">
        <v>3365</v>
      </c>
      <c r="C285" s="12" t="s">
        <v>590</v>
      </c>
      <c r="D285" s="12" t="s">
        <v>3225</v>
      </c>
      <c r="E285" s="182">
        <v>18</v>
      </c>
      <c r="F285" s="172" t="s">
        <v>1616</v>
      </c>
      <c r="G285" s="18">
        <v>6000</v>
      </c>
      <c r="H285" s="18">
        <f t="shared" si="23"/>
        <v>108000</v>
      </c>
      <c r="I285" s="184">
        <v>5700</v>
      </c>
      <c r="J285" s="184">
        <f t="shared" si="24"/>
        <v>300</v>
      </c>
      <c r="K285" s="185">
        <f t="shared" si="25"/>
        <v>5400</v>
      </c>
      <c r="L285" s="186">
        <f t="shared" si="26"/>
        <v>0.05</v>
      </c>
      <c r="M285" s="12" t="s">
        <v>22</v>
      </c>
      <c r="N285" s="12" t="s">
        <v>39</v>
      </c>
    </row>
    <row r="286" spans="1:14">
      <c r="A286" s="172" t="s">
        <v>327</v>
      </c>
      <c r="B286" s="12" t="s">
        <v>3366</v>
      </c>
      <c r="C286" s="12" t="s">
        <v>200</v>
      </c>
      <c r="D286" s="12" t="s">
        <v>3367</v>
      </c>
      <c r="E286" s="182">
        <v>2</v>
      </c>
      <c r="F286" s="172" t="s">
        <v>1608</v>
      </c>
      <c r="G286" s="18">
        <v>46500</v>
      </c>
      <c r="H286" s="18">
        <f t="shared" si="23"/>
        <v>93000</v>
      </c>
      <c r="I286" s="184">
        <v>45500</v>
      </c>
      <c r="J286" s="184">
        <f t="shared" si="24"/>
        <v>1000</v>
      </c>
      <c r="K286" s="185">
        <f t="shared" si="25"/>
        <v>2000</v>
      </c>
      <c r="L286" s="186">
        <f t="shared" si="26"/>
        <v>2.1505376344086023E-2</v>
      </c>
      <c r="M286" s="12" t="s">
        <v>40</v>
      </c>
      <c r="N286" s="12" t="s">
        <v>39</v>
      </c>
    </row>
    <row r="287" spans="1:14">
      <c r="A287" s="172" t="s">
        <v>327</v>
      </c>
      <c r="B287" s="12" t="s">
        <v>3368</v>
      </c>
      <c r="C287" s="12" t="s">
        <v>200</v>
      </c>
      <c r="D287" s="12" t="s">
        <v>3369</v>
      </c>
      <c r="E287" s="182">
        <v>11</v>
      </c>
      <c r="F287" s="172" t="s">
        <v>1608</v>
      </c>
      <c r="G287" s="18">
        <v>34500</v>
      </c>
      <c r="H287" s="18">
        <f t="shared" si="23"/>
        <v>379500</v>
      </c>
      <c r="I287" s="184">
        <v>33500</v>
      </c>
      <c r="J287" s="184">
        <f t="shared" si="24"/>
        <v>1000</v>
      </c>
      <c r="K287" s="185">
        <f t="shared" si="25"/>
        <v>11000</v>
      </c>
      <c r="L287" s="186">
        <f t="shared" si="26"/>
        <v>2.8985507246376812E-2</v>
      </c>
      <c r="M287" s="12" t="s">
        <v>40</v>
      </c>
      <c r="N287" s="12" t="s">
        <v>39</v>
      </c>
    </row>
    <row r="288" spans="1:14">
      <c r="A288" s="172" t="s">
        <v>327</v>
      </c>
      <c r="B288" s="181" t="s">
        <v>3370</v>
      </c>
      <c r="C288" s="12" t="s">
        <v>3235</v>
      </c>
      <c r="D288" s="12" t="s">
        <v>274</v>
      </c>
      <c r="E288" s="182">
        <v>9000</v>
      </c>
      <c r="F288" s="172" t="s">
        <v>1605</v>
      </c>
      <c r="G288" s="18">
        <v>27.4</v>
      </c>
      <c r="H288" s="18">
        <f t="shared" si="23"/>
        <v>246600</v>
      </c>
      <c r="I288" s="184">
        <v>27</v>
      </c>
      <c r="J288" s="184">
        <f t="shared" si="24"/>
        <v>0.39999999999999858</v>
      </c>
      <c r="K288" s="185">
        <f t="shared" si="25"/>
        <v>3599.9999999999873</v>
      </c>
      <c r="L288" s="186">
        <f t="shared" si="26"/>
        <v>1.4598540145985351E-2</v>
      </c>
      <c r="M288" s="12" t="s">
        <v>22</v>
      </c>
      <c r="N288" s="12" t="s">
        <v>39</v>
      </c>
    </row>
    <row r="289" spans="1:14">
      <c r="A289" s="172" t="s">
        <v>327</v>
      </c>
      <c r="B289" s="181" t="s">
        <v>3370</v>
      </c>
      <c r="C289" s="12" t="s">
        <v>3235</v>
      </c>
      <c r="D289" s="12" t="s">
        <v>333</v>
      </c>
      <c r="E289" s="182">
        <v>3000</v>
      </c>
      <c r="F289" s="172" t="s">
        <v>1605</v>
      </c>
      <c r="G289" s="18">
        <v>27.4</v>
      </c>
      <c r="H289" s="18">
        <f t="shared" si="23"/>
        <v>82200</v>
      </c>
      <c r="I289" s="184">
        <v>27</v>
      </c>
      <c r="J289" s="184">
        <f t="shared" si="24"/>
        <v>0.39999999999999858</v>
      </c>
      <c r="K289" s="185">
        <f t="shared" si="25"/>
        <v>1199.9999999999957</v>
      </c>
      <c r="L289" s="186">
        <f t="shared" si="26"/>
        <v>1.4598540145985351E-2</v>
      </c>
      <c r="M289" s="12" t="s">
        <v>22</v>
      </c>
      <c r="N289" s="12" t="s">
        <v>39</v>
      </c>
    </row>
    <row r="290" spans="1:14">
      <c r="A290" s="172" t="s">
        <v>327</v>
      </c>
      <c r="B290" s="181" t="s">
        <v>3371</v>
      </c>
      <c r="C290" s="12" t="s">
        <v>590</v>
      </c>
      <c r="D290" s="12" t="s">
        <v>3372</v>
      </c>
      <c r="E290" s="182">
        <v>546</v>
      </c>
      <c r="F290" s="172" t="s">
        <v>1616</v>
      </c>
      <c r="G290" s="18">
        <v>221</v>
      </c>
      <c r="H290" s="18">
        <f t="shared" si="23"/>
        <v>120666</v>
      </c>
      <c r="I290" s="184">
        <v>200</v>
      </c>
      <c r="J290" s="184">
        <f t="shared" si="24"/>
        <v>21</v>
      </c>
      <c r="K290" s="185">
        <f t="shared" si="25"/>
        <v>11466</v>
      </c>
      <c r="L290" s="186">
        <f t="shared" si="26"/>
        <v>9.5022624434389136E-2</v>
      </c>
      <c r="M290" s="12" t="s">
        <v>40</v>
      </c>
      <c r="N290" s="12" t="s">
        <v>39</v>
      </c>
    </row>
    <row r="291" spans="1:14">
      <c r="A291" s="172" t="s">
        <v>327</v>
      </c>
      <c r="B291" s="181" t="s">
        <v>3371</v>
      </c>
      <c r="C291" s="12" t="s">
        <v>590</v>
      </c>
      <c r="D291" s="12" t="s">
        <v>3373</v>
      </c>
      <c r="E291" s="182">
        <v>1640</v>
      </c>
      <c r="F291" s="172" t="s">
        <v>1616</v>
      </c>
      <c r="G291" s="18">
        <v>740</v>
      </c>
      <c r="H291" s="18">
        <f>G291*E291</f>
        <v>1213600</v>
      </c>
      <c r="I291" s="184">
        <v>660</v>
      </c>
      <c r="J291" s="184">
        <f t="shared" si="24"/>
        <v>80</v>
      </c>
      <c r="K291" s="185">
        <f t="shared" si="25"/>
        <v>131200</v>
      </c>
      <c r="L291" s="186">
        <f t="shared" si="26"/>
        <v>0.10810810810810811</v>
      </c>
      <c r="M291" s="12" t="s">
        <v>40</v>
      </c>
      <c r="N291" s="12" t="s">
        <v>39</v>
      </c>
    </row>
    <row r="292" spans="1:14">
      <c r="A292" s="172" t="s">
        <v>327</v>
      </c>
      <c r="B292" s="181" t="s">
        <v>3371</v>
      </c>
      <c r="C292" s="12" t="s">
        <v>590</v>
      </c>
      <c r="D292" s="12" t="s">
        <v>3374</v>
      </c>
      <c r="E292" s="182">
        <v>216</v>
      </c>
      <c r="F292" s="172" t="s">
        <v>1616</v>
      </c>
      <c r="G292" s="18">
        <v>1020</v>
      </c>
      <c r="H292" s="18">
        <f t="shared" si="23"/>
        <v>220320</v>
      </c>
      <c r="I292" s="184">
        <v>920</v>
      </c>
      <c r="J292" s="184">
        <f t="shared" si="24"/>
        <v>100</v>
      </c>
      <c r="K292" s="185">
        <f t="shared" si="25"/>
        <v>21600</v>
      </c>
      <c r="L292" s="186">
        <f t="shared" si="26"/>
        <v>9.8039215686274508E-2</v>
      </c>
      <c r="M292" s="12" t="s">
        <v>40</v>
      </c>
      <c r="N292" s="12" t="s">
        <v>39</v>
      </c>
    </row>
    <row r="293" spans="1:14">
      <c r="A293" s="172" t="s">
        <v>327</v>
      </c>
      <c r="B293" s="181" t="s">
        <v>3365</v>
      </c>
      <c r="C293" s="12" t="s">
        <v>590</v>
      </c>
      <c r="D293" s="12" t="s">
        <v>3345</v>
      </c>
      <c r="E293" s="182">
        <v>14</v>
      </c>
      <c r="F293" s="172" t="s">
        <v>1608</v>
      </c>
      <c r="G293" s="18">
        <v>48500</v>
      </c>
      <c r="H293" s="18">
        <f t="shared" si="23"/>
        <v>679000</v>
      </c>
      <c r="I293" s="184">
        <v>45000</v>
      </c>
      <c r="J293" s="184">
        <f t="shared" si="24"/>
        <v>3500</v>
      </c>
      <c r="K293" s="185">
        <f t="shared" si="25"/>
        <v>49000</v>
      </c>
      <c r="L293" s="186">
        <f t="shared" si="26"/>
        <v>7.2164948453608241E-2</v>
      </c>
      <c r="M293" s="12" t="s">
        <v>22</v>
      </c>
      <c r="N293" s="12" t="s">
        <v>39</v>
      </c>
    </row>
    <row r="294" spans="1:14">
      <c r="A294" s="172" t="s">
        <v>327</v>
      </c>
      <c r="B294" s="181" t="s">
        <v>3365</v>
      </c>
      <c r="C294" s="12" t="s">
        <v>590</v>
      </c>
      <c r="D294" s="201" t="s">
        <v>3363</v>
      </c>
      <c r="E294" s="210">
        <v>17</v>
      </c>
      <c r="F294" s="172" t="s">
        <v>1608</v>
      </c>
      <c r="G294" s="18">
        <v>18000</v>
      </c>
      <c r="H294" s="18">
        <f t="shared" si="23"/>
        <v>306000</v>
      </c>
      <c r="I294" s="184">
        <v>15000</v>
      </c>
      <c r="J294" s="184">
        <f t="shared" si="24"/>
        <v>3000</v>
      </c>
      <c r="K294" s="185">
        <f t="shared" si="25"/>
        <v>51000</v>
      </c>
      <c r="L294" s="186">
        <f t="shared" si="26"/>
        <v>0.16666666666666666</v>
      </c>
      <c r="M294" s="12" t="s">
        <v>22</v>
      </c>
      <c r="N294" s="12" t="s">
        <v>39</v>
      </c>
    </row>
    <row r="295" spans="1:14">
      <c r="A295" s="172" t="s">
        <v>327</v>
      </c>
      <c r="B295" s="181" t="s">
        <v>3365</v>
      </c>
      <c r="C295" s="12" t="s">
        <v>590</v>
      </c>
      <c r="D295" s="12" t="s">
        <v>3364</v>
      </c>
      <c r="E295" s="210">
        <v>17</v>
      </c>
      <c r="F295" s="172" t="s">
        <v>1608</v>
      </c>
      <c r="G295" s="18">
        <v>22000</v>
      </c>
      <c r="H295" s="18">
        <f t="shared" si="23"/>
        <v>374000</v>
      </c>
      <c r="I295" s="184">
        <v>18400</v>
      </c>
      <c r="J295" s="184">
        <f t="shared" si="24"/>
        <v>3600</v>
      </c>
      <c r="K295" s="185">
        <f t="shared" si="25"/>
        <v>61200</v>
      </c>
      <c r="L295" s="186">
        <f t="shared" si="26"/>
        <v>0.16363636363636364</v>
      </c>
      <c r="M295" s="12" t="s">
        <v>22</v>
      </c>
      <c r="N295" s="12" t="s">
        <v>39</v>
      </c>
    </row>
    <row r="296" spans="1:14">
      <c r="A296" s="172" t="s">
        <v>327</v>
      </c>
      <c r="B296" s="181" t="s">
        <v>3365</v>
      </c>
      <c r="C296" s="12" t="s">
        <v>590</v>
      </c>
      <c r="D296" s="211" t="s">
        <v>3225</v>
      </c>
      <c r="E296" s="182">
        <v>18</v>
      </c>
      <c r="F296" s="172" t="s">
        <v>1616</v>
      </c>
      <c r="G296" s="18">
        <v>6000</v>
      </c>
      <c r="H296" s="18">
        <f t="shared" si="23"/>
        <v>108000</v>
      </c>
      <c r="I296" s="184">
        <v>5700</v>
      </c>
      <c r="J296" s="184">
        <f t="shared" si="24"/>
        <v>300</v>
      </c>
      <c r="K296" s="185">
        <f t="shared" si="25"/>
        <v>5400</v>
      </c>
      <c r="L296" s="186">
        <f t="shared" si="26"/>
        <v>0.05</v>
      </c>
      <c r="M296" s="12" t="s">
        <v>22</v>
      </c>
      <c r="N296" s="12" t="s">
        <v>39</v>
      </c>
    </row>
    <row r="297" spans="1:14">
      <c r="A297" s="172" t="s">
        <v>327</v>
      </c>
      <c r="B297" s="181" t="s">
        <v>3375</v>
      </c>
      <c r="C297" s="12" t="s">
        <v>590</v>
      </c>
      <c r="D297" s="211" t="s">
        <v>3345</v>
      </c>
      <c r="E297" s="182">
        <v>4</v>
      </c>
      <c r="F297" s="172" t="s">
        <v>1608</v>
      </c>
      <c r="G297" s="18">
        <v>48500</v>
      </c>
      <c r="H297" s="18">
        <f t="shared" si="23"/>
        <v>194000</v>
      </c>
      <c r="I297" s="184">
        <v>45000</v>
      </c>
      <c r="J297" s="184">
        <f t="shared" si="24"/>
        <v>3500</v>
      </c>
      <c r="K297" s="185">
        <f t="shared" si="25"/>
        <v>14000</v>
      </c>
      <c r="L297" s="186">
        <f t="shared" si="26"/>
        <v>7.2164948453608241E-2</v>
      </c>
      <c r="M297" s="12" t="s">
        <v>22</v>
      </c>
      <c r="N297" s="12" t="s">
        <v>39</v>
      </c>
    </row>
    <row r="298" spans="1:14">
      <c r="A298" s="172" t="s">
        <v>327</v>
      </c>
      <c r="B298" s="212" t="s">
        <v>3375</v>
      </c>
      <c r="C298" s="12" t="s">
        <v>590</v>
      </c>
      <c r="D298" s="211" t="s">
        <v>3363</v>
      </c>
      <c r="E298" s="182">
        <v>4</v>
      </c>
      <c r="F298" s="172" t="s">
        <v>1608</v>
      </c>
      <c r="G298" s="18">
        <v>18000</v>
      </c>
      <c r="H298" s="18">
        <f t="shared" si="23"/>
        <v>72000</v>
      </c>
      <c r="I298" s="184">
        <v>15000</v>
      </c>
      <c r="J298" s="184">
        <f t="shared" si="24"/>
        <v>3000</v>
      </c>
      <c r="K298" s="185">
        <f t="shared" si="25"/>
        <v>12000</v>
      </c>
      <c r="L298" s="186">
        <f t="shared" si="26"/>
        <v>0.16666666666666666</v>
      </c>
      <c r="M298" s="12" t="s">
        <v>22</v>
      </c>
      <c r="N298" s="12" t="s">
        <v>39</v>
      </c>
    </row>
    <row r="299" spans="1:14">
      <c r="A299" s="172" t="s">
        <v>327</v>
      </c>
      <c r="B299" s="213" t="s">
        <v>3375</v>
      </c>
      <c r="C299" s="214" t="s">
        <v>590</v>
      </c>
      <c r="D299" s="211" t="s">
        <v>3364</v>
      </c>
      <c r="E299" s="182">
        <v>4</v>
      </c>
      <c r="F299" s="172" t="s">
        <v>1608</v>
      </c>
      <c r="G299" s="18">
        <v>22000</v>
      </c>
      <c r="H299" s="18">
        <f t="shared" si="23"/>
        <v>88000</v>
      </c>
      <c r="I299" s="184">
        <v>18400</v>
      </c>
      <c r="J299" s="184">
        <f t="shared" si="24"/>
        <v>3600</v>
      </c>
      <c r="K299" s="185">
        <f t="shared" si="25"/>
        <v>14400</v>
      </c>
      <c r="L299" s="186">
        <f t="shared" si="26"/>
        <v>0.16363636363636364</v>
      </c>
      <c r="M299" s="12" t="s">
        <v>22</v>
      </c>
      <c r="N299" s="12" t="s">
        <v>39</v>
      </c>
    </row>
    <row r="300" spans="1:14">
      <c r="A300" s="172" t="s">
        <v>327</v>
      </c>
      <c r="B300" s="213" t="s">
        <v>3375</v>
      </c>
      <c r="C300" s="214" t="s">
        <v>590</v>
      </c>
      <c r="D300" s="211" t="s">
        <v>3225</v>
      </c>
      <c r="E300" s="182">
        <v>4</v>
      </c>
      <c r="F300" s="172" t="s">
        <v>1616</v>
      </c>
      <c r="G300" s="18">
        <v>6000</v>
      </c>
      <c r="H300" s="18">
        <f>G300*E300</f>
        <v>24000</v>
      </c>
      <c r="I300" s="184">
        <v>5700</v>
      </c>
      <c r="J300" s="184">
        <f t="shared" si="24"/>
        <v>300</v>
      </c>
      <c r="K300" s="185">
        <f t="shared" si="25"/>
        <v>1200</v>
      </c>
      <c r="L300" s="186">
        <f t="shared" si="26"/>
        <v>0.05</v>
      </c>
      <c r="M300" s="12" t="s">
        <v>22</v>
      </c>
      <c r="N300" s="12" t="s">
        <v>39</v>
      </c>
    </row>
    <row r="301" spans="1:14">
      <c r="A301" s="172" t="s">
        <v>327</v>
      </c>
      <c r="B301" s="213" t="s">
        <v>3376</v>
      </c>
      <c r="C301" s="214" t="s">
        <v>192</v>
      </c>
      <c r="D301" s="201" t="s">
        <v>3377</v>
      </c>
      <c r="E301" s="210">
        <v>14</v>
      </c>
      <c r="F301" s="172" t="s">
        <v>1616</v>
      </c>
      <c r="G301" s="18">
        <v>13258.81</v>
      </c>
      <c r="H301" s="18">
        <f t="shared" si="23"/>
        <v>185623.34</v>
      </c>
      <c r="I301" s="184">
        <v>5390</v>
      </c>
      <c r="J301" s="184">
        <f t="shared" si="24"/>
        <v>7868.8099999999995</v>
      </c>
      <c r="K301" s="185">
        <f t="shared" si="25"/>
        <v>110163.34</v>
      </c>
      <c r="L301" s="186">
        <f t="shared" si="26"/>
        <v>0.59347784605104081</v>
      </c>
      <c r="M301" s="12" t="s">
        <v>22</v>
      </c>
      <c r="N301" s="12" t="s">
        <v>105</v>
      </c>
    </row>
    <row r="302" spans="1:14">
      <c r="A302" s="172" t="s">
        <v>327</v>
      </c>
      <c r="B302" s="215" t="s">
        <v>3378</v>
      </c>
      <c r="C302" s="208" t="s">
        <v>892</v>
      </c>
      <c r="D302" s="12" t="s">
        <v>3379</v>
      </c>
      <c r="E302" s="182">
        <f>280*2</f>
        <v>560</v>
      </c>
      <c r="F302" s="172" t="s">
        <v>1616</v>
      </c>
      <c r="G302" s="18">
        <v>500</v>
      </c>
      <c r="H302" s="18">
        <f t="shared" si="23"/>
        <v>280000</v>
      </c>
      <c r="I302" s="184">
        <v>480</v>
      </c>
      <c r="J302" s="184">
        <f t="shared" si="24"/>
        <v>20</v>
      </c>
      <c r="K302" s="185">
        <f t="shared" si="25"/>
        <v>11200</v>
      </c>
      <c r="L302" s="186">
        <f t="shared" si="26"/>
        <v>0.04</v>
      </c>
      <c r="M302" s="12" t="s">
        <v>40</v>
      </c>
      <c r="N302" s="12" t="s">
        <v>105</v>
      </c>
    </row>
    <row r="303" spans="1:14">
      <c r="A303" s="172" t="s">
        <v>327</v>
      </c>
      <c r="B303" s="215" t="s">
        <v>3380</v>
      </c>
      <c r="C303" s="214" t="s">
        <v>94</v>
      </c>
      <c r="D303" s="211" t="s">
        <v>613</v>
      </c>
      <c r="E303" s="182">
        <v>200</v>
      </c>
      <c r="F303" s="172" t="s">
        <v>1616</v>
      </c>
      <c r="G303" s="18">
        <v>26</v>
      </c>
      <c r="H303" s="18">
        <f t="shared" si="23"/>
        <v>5200</v>
      </c>
      <c r="I303" s="184">
        <v>24.6</v>
      </c>
      <c r="J303" s="184">
        <f t="shared" si="24"/>
        <v>1.3999999999999986</v>
      </c>
      <c r="K303" s="185">
        <f t="shared" si="25"/>
        <v>279.99999999999972</v>
      </c>
      <c r="L303" s="186">
        <f t="shared" si="26"/>
        <v>5.3846153846153794E-2</v>
      </c>
      <c r="M303" s="12" t="s">
        <v>22</v>
      </c>
      <c r="N303" s="12" t="s">
        <v>105</v>
      </c>
    </row>
    <row r="304" spans="1:14">
      <c r="A304" s="172" t="s">
        <v>327</v>
      </c>
      <c r="B304" s="215" t="s">
        <v>3381</v>
      </c>
      <c r="C304" s="214" t="s">
        <v>166</v>
      </c>
      <c r="D304" s="12" t="s">
        <v>3062</v>
      </c>
      <c r="E304" s="182">
        <v>18780</v>
      </c>
      <c r="F304" s="172" t="s">
        <v>1605</v>
      </c>
      <c r="G304" s="18">
        <v>30.51</v>
      </c>
      <c r="H304" s="18">
        <f t="shared" si="23"/>
        <v>572977.80000000005</v>
      </c>
      <c r="I304" s="184">
        <v>26.28</v>
      </c>
      <c r="J304" s="184">
        <f t="shared" si="24"/>
        <v>4.2300000000000004</v>
      </c>
      <c r="K304" s="185">
        <f t="shared" si="25"/>
        <v>79439.400000000009</v>
      </c>
      <c r="L304" s="186">
        <f t="shared" si="26"/>
        <v>0.13864306784660768</v>
      </c>
      <c r="M304" s="12" t="s">
        <v>40</v>
      </c>
      <c r="N304" s="12" t="s">
        <v>105</v>
      </c>
    </row>
    <row r="305" spans="1:14">
      <c r="A305" s="172" t="s">
        <v>327</v>
      </c>
      <c r="B305" s="215" t="s">
        <v>3382</v>
      </c>
      <c r="C305" s="214" t="s">
        <v>118</v>
      </c>
      <c r="D305" s="211" t="s">
        <v>3383</v>
      </c>
      <c r="E305" s="182">
        <v>2</v>
      </c>
      <c r="F305" s="172" t="s">
        <v>1616</v>
      </c>
      <c r="G305" s="18">
        <v>375</v>
      </c>
      <c r="H305" s="18">
        <f t="shared" si="23"/>
        <v>750</v>
      </c>
      <c r="I305" s="216">
        <v>347</v>
      </c>
      <c r="J305" s="184">
        <f t="shared" si="24"/>
        <v>28</v>
      </c>
      <c r="K305" s="185">
        <f t="shared" si="25"/>
        <v>56</v>
      </c>
      <c r="L305" s="186">
        <f t="shared" si="26"/>
        <v>7.4666666666666673E-2</v>
      </c>
      <c r="M305" s="12" t="s">
        <v>22</v>
      </c>
      <c r="N305" s="12" t="s">
        <v>105</v>
      </c>
    </row>
    <row r="306" spans="1:14">
      <c r="A306" s="172" t="s">
        <v>327</v>
      </c>
      <c r="B306" s="215" t="s">
        <v>3382</v>
      </c>
      <c r="C306" s="214" t="s">
        <v>118</v>
      </c>
      <c r="D306" s="217" t="s">
        <v>3384</v>
      </c>
      <c r="E306" s="182">
        <v>2</v>
      </c>
      <c r="F306" s="172" t="s">
        <v>1616</v>
      </c>
      <c r="G306" s="18">
        <v>420</v>
      </c>
      <c r="H306" s="18">
        <f t="shared" si="23"/>
        <v>840</v>
      </c>
      <c r="I306" s="216">
        <v>402</v>
      </c>
      <c r="J306" s="184">
        <f t="shared" si="24"/>
        <v>18</v>
      </c>
      <c r="K306" s="185">
        <f t="shared" si="25"/>
        <v>36</v>
      </c>
      <c r="L306" s="186">
        <f t="shared" si="26"/>
        <v>4.2857142857142858E-2</v>
      </c>
      <c r="M306" s="12" t="s">
        <v>22</v>
      </c>
      <c r="N306" s="12" t="s">
        <v>105</v>
      </c>
    </row>
    <row r="307" spans="1:14">
      <c r="A307" s="172" t="s">
        <v>327</v>
      </c>
      <c r="B307" s="215" t="s">
        <v>3382</v>
      </c>
      <c r="C307" s="214" t="s">
        <v>118</v>
      </c>
      <c r="D307" s="211" t="s">
        <v>3385</v>
      </c>
      <c r="E307" s="182">
        <v>2</v>
      </c>
      <c r="F307" s="172" t="s">
        <v>1616</v>
      </c>
      <c r="G307" s="18">
        <v>520</v>
      </c>
      <c r="H307" s="18">
        <f>G307*E307</f>
        <v>1040</v>
      </c>
      <c r="I307" s="216">
        <v>502</v>
      </c>
      <c r="J307" s="184">
        <f t="shared" si="24"/>
        <v>18</v>
      </c>
      <c r="K307" s="185">
        <f t="shared" si="25"/>
        <v>36</v>
      </c>
      <c r="L307" s="186">
        <f t="shared" si="26"/>
        <v>3.4615384615384617E-2</v>
      </c>
      <c r="M307" s="12" t="s">
        <v>22</v>
      </c>
      <c r="N307" s="12" t="s">
        <v>105</v>
      </c>
    </row>
    <row r="308" spans="1:14">
      <c r="A308" s="172" t="s">
        <v>327</v>
      </c>
      <c r="B308" s="215" t="s">
        <v>3382</v>
      </c>
      <c r="C308" s="214" t="s">
        <v>118</v>
      </c>
      <c r="D308" s="211" t="s">
        <v>3386</v>
      </c>
      <c r="E308" s="182">
        <v>1</v>
      </c>
      <c r="F308" s="172" t="s">
        <v>1616</v>
      </c>
      <c r="G308" s="18">
        <v>785</v>
      </c>
      <c r="H308" s="18">
        <f t="shared" ref="H308:H309" si="27">G308*E308</f>
        <v>785</v>
      </c>
      <c r="I308" s="216">
        <v>780</v>
      </c>
      <c r="J308" s="184">
        <f t="shared" si="24"/>
        <v>5</v>
      </c>
      <c r="K308" s="185">
        <f t="shared" si="25"/>
        <v>5</v>
      </c>
      <c r="L308" s="186">
        <f t="shared" si="26"/>
        <v>6.369426751592357E-3</v>
      </c>
      <c r="M308" s="12" t="s">
        <v>22</v>
      </c>
      <c r="N308" s="12" t="s">
        <v>105</v>
      </c>
    </row>
    <row r="309" spans="1:14">
      <c r="A309" s="172" t="s">
        <v>327</v>
      </c>
      <c r="B309" s="215" t="s">
        <v>3387</v>
      </c>
      <c r="C309" s="214" t="s">
        <v>94</v>
      </c>
      <c r="D309" s="201" t="s">
        <v>546</v>
      </c>
      <c r="E309" s="182">
        <v>100</v>
      </c>
      <c r="F309" s="172" t="s">
        <v>1616</v>
      </c>
      <c r="G309" s="18">
        <v>190</v>
      </c>
      <c r="H309" s="18">
        <f t="shared" si="27"/>
        <v>19000</v>
      </c>
      <c r="I309" s="184">
        <v>182.25</v>
      </c>
      <c r="J309" s="184">
        <f t="shared" si="24"/>
        <v>7.75</v>
      </c>
      <c r="K309" s="185">
        <f t="shared" si="25"/>
        <v>775</v>
      </c>
      <c r="L309" s="186">
        <f t="shared" si="26"/>
        <v>4.0789473684210528E-2</v>
      </c>
      <c r="M309" s="12" t="s">
        <v>22</v>
      </c>
      <c r="N309" s="12" t="s">
        <v>105</v>
      </c>
    </row>
    <row r="310" spans="1:14">
      <c r="A310" s="172" t="s">
        <v>327</v>
      </c>
      <c r="B310" s="215" t="s">
        <v>3388</v>
      </c>
      <c r="C310" s="214" t="s">
        <v>17</v>
      </c>
      <c r="D310" s="211" t="s">
        <v>3389</v>
      </c>
      <c r="E310" s="182">
        <v>3</v>
      </c>
      <c r="F310" s="172" t="s">
        <v>1616</v>
      </c>
      <c r="G310" s="18">
        <v>8250</v>
      </c>
      <c r="H310" s="18">
        <f t="shared" si="23"/>
        <v>24750</v>
      </c>
      <c r="I310" s="184">
        <v>8100</v>
      </c>
      <c r="J310" s="184">
        <f t="shared" si="24"/>
        <v>150</v>
      </c>
      <c r="K310" s="185">
        <f t="shared" si="25"/>
        <v>450</v>
      </c>
      <c r="L310" s="186">
        <f t="shared" si="26"/>
        <v>1.8181818181818181E-2</v>
      </c>
      <c r="M310" s="12" t="s">
        <v>40</v>
      </c>
      <c r="N310" s="12" t="s">
        <v>105</v>
      </c>
    </row>
    <row r="311" spans="1:14">
      <c r="A311" s="172" t="s">
        <v>327</v>
      </c>
      <c r="B311" s="215" t="s">
        <v>3390</v>
      </c>
      <c r="C311" s="214" t="s">
        <v>2294</v>
      </c>
      <c r="D311" s="211" t="s">
        <v>3391</v>
      </c>
      <c r="E311" s="182">
        <v>1</v>
      </c>
      <c r="F311" s="172" t="s">
        <v>1616</v>
      </c>
      <c r="G311" s="18">
        <v>11657</v>
      </c>
      <c r="H311" s="18">
        <f t="shared" si="23"/>
        <v>11657</v>
      </c>
      <c r="I311" s="184">
        <v>3430</v>
      </c>
      <c r="J311" s="184">
        <f t="shared" si="24"/>
        <v>8227</v>
      </c>
      <c r="K311" s="185">
        <f t="shared" si="25"/>
        <v>8227</v>
      </c>
      <c r="L311" s="186">
        <f t="shared" si="26"/>
        <v>0.70575619799262246</v>
      </c>
      <c r="M311" s="12" t="s">
        <v>40</v>
      </c>
      <c r="N311" s="12" t="s">
        <v>105</v>
      </c>
    </row>
    <row r="312" spans="1:14">
      <c r="A312" s="172" t="s">
        <v>327</v>
      </c>
      <c r="B312" s="215" t="s">
        <v>3392</v>
      </c>
      <c r="C312" s="214" t="s">
        <v>17</v>
      </c>
      <c r="D312" s="211" t="s">
        <v>3393</v>
      </c>
      <c r="E312" s="182">
        <v>1</v>
      </c>
      <c r="F312" s="172" t="s">
        <v>1616</v>
      </c>
      <c r="G312" s="18">
        <v>36500</v>
      </c>
      <c r="H312" s="18">
        <f>G312*E312</f>
        <v>36500</v>
      </c>
      <c r="I312" s="184">
        <v>36300</v>
      </c>
      <c r="J312" s="184">
        <f t="shared" si="24"/>
        <v>200</v>
      </c>
      <c r="K312" s="185">
        <f t="shared" si="25"/>
        <v>200</v>
      </c>
      <c r="L312" s="186">
        <f t="shared" si="26"/>
        <v>5.4794520547945206E-3</v>
      </c>
      <c r="M312" s="12" t="s">
        <v>40</v>
      </c>
      <c r="N312" s="12" t="s">
        <v>105</v>
      </c>
    </row>
    <row r="313" spans="1:14">
      <c r="A313" s="172" t="s">
        <v>327</v>
      </c>
      <c r="B313" s="215" t="s">
        <v>3394</v>
      </c>
      <c r="C313" s="214" t="s">
        <v>578</v>
      </c>
      <c r="D313" s="211" t="s">
        <v>3395</v>
      </c>
      <c r="E313" s="182">
        <v>1</v>
      </c>
      <c r="F313" s="172" t="s">
        <v>1616</v>
      </c>
      <c r="G313" s="18">
        <v>158000</v>
      </c>
      <c r="H313" s="18">
        <f t="shared" ref="H313:H317" si="28">G313*E313</f>
        <v>158000</v>
      </c>
      <c r="I313" s="184">
        <v>150000</v>
      </c>
      <c r="J313" s="184">
        <f t="shared" si="24"/>
        <v>8000</v>
      </c>
      <c r="K313" s="185">
        <f t="shared" si="25"/>
        <v>8000</v>
      </c>
      <c r="L313" s="186">
        <f t="shared" si="26"/>
        <v>5.0632911392405063E-2</v>
      </c>
      <c r="M313" s="12" t="s">
        <v>40</v>
      </c>
      <c r="N313" s="12" t="s">
        <v>105</v>
      </c>
    </row>
    <row r="314" spans="1:14">
      <c r="A314" s="172" t="s">
        <v>327</v>
      </c>
      <c r="B314" s="215" t="s">
        <v>3396</v>
      </c>
      <c r="C314" s="214" t="s">
        <v>1488</v>
      </c>
      <c r="D314" s="211" t="s">
        <v>962</v>
      </c>
      <c r="E314" s="182">
        <v>1023.6</v>
      </c>
      <c r="F314" s="172" t="s">
        <v>1605</v>
      </c>
      <c r="G314" s="18">
        <v>385</v>
      </c>
      <c r="H314" s="18">
        <f t="shared" si="28"/>
        <v>394086</v>
      </c>
      <c r="I314" s="184">
        <v>375</v>
      </c>
      <c r="J314" s="184">
        <f t="shared" si="24"/>
        <v>10</v>
      </c>
      <c r="K314" s="185">
        <f t="shared" si="25"/>
        <v>10236</v>
      </c>
      <c r="L314" s="186">
        <f t="shared" si="26"/>
        <v>2.5974025974025976E-2</v>
      </c>
      <c r="M314" s="12" t="s">
        <v>22</v>
      </c>
      <c r="N314" s="12" t="s">
        <v>105</v>
      </c>
    </row>
    <row r="315" spans="1:14">
      <c r="A315" s="172" t="s">
        <v>327</v>
      </c>
      <c r="B315" s="215" t="s">
        <v>3397</v>
      </c>
      <c r="C315" s="218" t="s">
        <v>24</v>
      </c>
      <c r="D315" s="211" t="s">
        <v>3398</v>
      </c>
      <c r="E315" s="182">
        <v>5</v>
      </c>
      <c r="F315" s="172" t="s">
        <v>1616</v>
      </c>
      <c r="G315" s="18">
        <v>185</v>
      </c>
      <c r="H315" s="18">
        <f t="shared" si="28"/>
        <v>925</v>
      </c>
      <c r="I315" s="184">
        <v>149</v>
      </c>
      <c r="J315" s="184">
        <f t="shared" si="24"/>
        <v>36</v>
      </c>
      <c r="K315" s="185">
        <f t="shared" si="25"/>
        <v>180</v>
      </c>
      <c r="L315" s="186">
        <f t="shared" si="26"/>
        <v>0.19459459459459461</v>
      </c>
      <c r="M315" s="12" t="s">
        <v>22</v>
      </c>
      <c r="N315" s="12" t="s">
        <v>105</v>
      </c>
    </row>
    <row r="316" spans="1:14">
      <c r="A316" s="172" t="s">
        <v>327</v>
      </c>
      <c r="B316" s="215" t="s">
        <v>3397</v>
      </c>
      <c r="C316" s="218" t="s">
        <v>24</v>
      </c>
      <c r="D316" s="211" t="s">
        <v>3399</v>
      </c>
      <c r="E316" s="182">
        <v>5</v>
      </c>
      <c r="F316" s="172" t="s">
        <v>1616</v>
      </c>
      <c r="G316" s="18">
        <v>199</v>
      </c>
      <c r="H316" s="18">
        <f t="shared" si="28"/>
        <v>995</v>
      </c>
      <c r="I316" s="184">
        <v>180</v>
      </c>
      <c r="J316" s="184">
        <f t="shared" si="24"/>
        <v>19</v>
      </c>
      <c r="K316" s="185">
        <f t="shared" si="25"/>
        <v>95</v>
      </c>
      <c r="L316" s="186">
        <f>J316/G316</f>
        <v>9.5477386934673364E-2</v>
      </c>
      <c r="M316" s="12" t="s">
        <v>22</v>
      </c>
      <c r="N316" s="12" t="s">
        <v>105</v>
      </c>
    </row>
    <row r="317" spans="1:14">
      <c r="A317" s="172" t="s">
        <v>327</v>
      </c>
      <c r="B317" s="215" t="s">
        <v>3397</v>
      </c>
      <c r="C317" s="218" t="s">
        <v>24</v>
      </c>
      <c r="D317" s="211" t="s">
        <v>3400</v>
      </c>
      <c r="E317" s="182">
        <v>3</v>
      </c>
      <c r="F317" s="172" t="s">
        <v>1616</v>
      </c>
      <c r="G317" s="18">
        <v>145</v>
      </c>
      <c r="H317" s="18">
        <f t="shared" si="28"/>
        <v>435</v>
      </c>
      <c r="I317" s="184">
        <v>106</v>
      </c>
      <c r="J317" s="184">
        <f t="shared" si="24"/>
        <v>39</v>
      </c>
      <c r="K317" s="185">
        <f t="shared" si="25"/>
        <v>117</v>
      </c>
      <c r="L317" s="186">
        <f t="shared" si="26"/>
        <v>0.26896551724137929</v>
      </c>
      <c r="M317" s="12" t="s">
        <v>22</v>
      </c>
      <c r="N317" s="12" t="s">
        <v>105</v>
      </c>
    </row>
    <row r="318" spans="1:14">
      <c r="A318" s="172" t="s">
        <v>327</v>
      </c>
      <c r="B318" s="215" t="s">
        <v>3397</v>
      </c>
      <c r="C318" s="218" t="s">
        <v>24</v>
      </c>
      <c r="D318" s="211" t="s">
        <v>3401</v>
      </c>
      <c r="E318" s="182">
        <v>3</v>
      </c>
      <c r="F318" s="172" t="s">
        <v>1616</v>
      </c>
      <c r="G318" s="18">
        <v>155</v>
      </c>
      <c r="H318" s="18">
        <f>G318*E318</f>
        <v>465</v>
      </c>
      <c r="I318" s="184">
        <v>117</v>
      </c>
      <c r="J318" s="184">
        <f t="shared" si="24"/>
        <v>38</v>
      </c>
      <c r="K318" s="185">
        <f t="shared" si="25"/>
        <v>114</v>
      </c>
      <c r="L318" s="186">
        <f t="shared" si="26"/>
        <v>0.24516129032258063</v>
      </c>
      <c r="M318" s="12" t="s">
        <v>22</v>
      </c>
      <c r="N318" s="12" t="s">
        <v>105</v>
      </c>
    </row>
    <row r="319" spans="1:14">
      <c r="A319" s="172" t="s">
        <v>327</v>
      </c>
      <c r="B319" s="215" t="s">
        <v>3397</v>
      </c>
      <c r="C319" s="218" t="s">
        <v>24</v>
      </c>
      <c r="D319" s="211" t="s">
        <v>3402</v>
      </c>
      <c r="E319" s="182">
        <v>3</v>
      </c>
      <c r="F319" s="172" t="s">
        <v>1616</v>
      </c>
      <c r="G319" s="18">
        <v>135</v>
      </c>
      <c r="H319" s="18">
        <f t="shared" ref="H319" si="29">G319*E319</f>
        <v>405</v>
      </c>
      <c r="I319" s="184">
        <v>89</v>
      </c>
      <c r="J319" s="184">
        <f t="shared" si="24"/>
        <v>46</v>
      </c>
      <c r="K319" s="185">
        <f t="shared" si="25"/>
        <v>138</v>
      </c>
      <c r="L319" s="186">
        <f t="shared" si="26"/>
        <v>0.34074074074074073</v>
      </c>
      <c r="M319" s="12" t="s">
        <v>22</v>
      </c>
      <c r="N319" s="12" t="s">
        <v>105</v>
      </c>
    </row>
    <row r="320" spans="1:14">
      <c r="A320" s="172" t="s">
        <v>327</v>
      </c>
      <c r="B320" s="219" t="s">
        <v>3403</v>
      </c>
      <c r="C320" s="12" t="s">
        <v>17</v>
      </c>
      <c r="D320" s="211" t="s">
        <v>3404</v>
      </c>
      <c r="E320" s="182">
        <v>24</v>
      </c>
      <c r="F320" s="172" t="s">
        <v>3405</v>
      </c>
      <c r="G320" s="18">
        <v>900</v>
      </c>
      <c r="H320" s="18">
        <f t="shared" si="23"/>
        <v>21600</v>
      </c>
      <c r="I320" s="184">
        <v>890</v>
      </c>
      <c r="J320" s="184">
        <f t="shared" si="24"/>
        <v>10</v>
      </c>
      <c r="K320" s="185">
        <f t="shared" si="25"/>
        <v>240</v>
      </c>
      <c r="L320" s="186">
        <f t="shared" si="26"/>
        <v>1.1111111111111112E-2</v>
      </c>
      <c r="M320" s="12" t="s">
        <v>40</v>
      </c>
      <c r="N320" s="12" t="s">
        <v>105</v>
      </c>
    </row>
    <row r="321" spans="1:14">
      <c r="A321" s="172" t="s">
        <v>327</v>
      </c>
      <c r="B321" s="219" t="s">
        <v>3403</v>
      </c>
      <c r="C321" s="12" t="s">
        <v>17</v>
      </c>
      <c r="D321" s="211" t="s">
        <v>3406</v>
      </c>
      <c r="E321" s="182">
        <v>5</v>
      </c>
      <c r="F321" s="172" t="s">
        <v>1616</v>
      </c>
      <c r="G321" s="18">
        <v>195</v>
      </c>
      <c r="H321" s="18">
        <f>G321*E321</f>
        <v>975</v>
      </c>
      <c r="I321" s="184">
        <v>194</v>
      </c>
      <c r="J321" s="184">
        <f t="shared" si="24"/>
        <v>1</v>
      </c>
      <c r="K321" s="185">
        <f t="shared" si="25"/>
        <v>5</v>
      </c>
      <c r="L321" s="186">
        <f t="shared" si="26"/>
        <v>5.1282051282051282E-3</v>
      </c>
      <c r="M321" s="12" t="s">
        <v>40</v>
      </c>
      <c r="N321" s="12" t="s">
        <v>105</v>
      </c>
    </row>
    <row r="322" spans="1:14">
      <c r="A322" s="172" t="s">
        <v>327</v>
      </c>
      <c r="B322" s="219" t="s">
        <v>3403</v>
      </c>
      <c r="C322" s="12" t="s">
        <v>17</v>
      </c>
      <c r="D322" s="211" t="s">
        <v>3407</v>
      </c>
      <c r="E322" s="182">
        <v>12</v>
      </c>
      <c r="F322" s="172" t="s">
        <v>1616</v>
      </c>
      <c r="G322" s="18">
        <v>59</v>
      </c>
      <c r="H322" s="18">
        <f t="shared" si="23"/>
        <v>708</v>
      </c>
      <c r="I322" s="184">
        <v>58</v>
      </c>
      <c r="J322" s="184">
        <f t="shared" si="24"/>
        <v>1</v>
      </c>
      <c r="K322" s="185">
        <f t="shared" si="25"/>
        <v>12</v>
      </c>
      <c r="L322" s="186">
        <f t="shared" si="26"/>
        <v>1.6949152542372881E-2</v>
      </c>
      <c r="M322" s="12" t="s">
        <v>40</v>
      </c>
      <c r="N322" s="12" t="s">
        <v>105</v>
      </c>
    </row>
    <row r="323" spans="1:14">
      <c r="A323" s="172" t="s">
        <v>327</v>
      </c>
      <c r="B323" s="219" t="s">
        <v>3403</v>
      </c>
      <c r="C323" s="12" t="s">
        <v>17</v>
      </c>
      <c r="D323" s="211" t="s">
        <v>3408</v>
      </c>
      <c r="E323" s="182">
        <v>3</v>
      </c>
      <c r="F323" s="172" t="s">
        <v>1616</v>
      </c>
      <c r="G323" s="18">
        <v>118</v>
      </c>
      <c r="H323" s="18">
        <f t="shared" si="23"/>
        <v>354</v>
      </c>
      <c r="I323" s="184">
        <v>115</v>
      </c>
      <c r="J323" s="184">
        <f t="shared" si="24"/>
        <v>3</v>
      </c>
      <c r="K323" s="185">
        <f t="shared" si="25"/>
        <v>9</v>
      </c>
      <c r="L323" s="186">
        <f t="shared" si="26"/>
        <v>2.5423728813559324E-2</v>
      </c>
      <c r="M323" s="12" t="s">
        <v>40</v>
      </c>
      <c r="N323" s="12" t="s">
        <v>105</v>
      </c>
    </row>
    <row r="324" spans="1:14">
      <c r="A324" s="172" t="s">
        <v>327</v>
      </c>
      <c r="B324" s="219" t="s">
        <v>3403</v>
      </c>
      <c r="C324" s="12" t="s">
        <v>17</v>
      </c>
      <c r="D324" s="211" t="s">
        <v>3409</v>
      </c>
      <c r="E324" s="182">
        <v>12</v>
      </c>
      <c r="F324" s="172" t="s">
        <v>1616</v>
      </c>
      <c r="G324" s="18">
        <v>190</v>
      </c>
      <c r="H324" s="18">
        <f>G324*E324</f>
        <v>2280</v>
      </c>
      <c r="I324" s="184">
        <v>189</v>
      </c>
      <c r="J324" s="184">
        <f t="shared" si="24"/>
        <v>1</v>
      </c>
      <c r="K324" s="185">
        <f t="shared" si="25"/>
        <v>12</v>
      </c>
      <c r="L324" s="186">
        <f t="shared" si="26"/>
        <v>5.263157894736842E-3</v>
      </c>
      <c r="M324" s="12" t="s">
        <v>40</v>
      </c>
      <c r="N324" s="12" t="s">
        <v>105</v>
      </c>
    </row>
    <row r="325" spans="1:14">
      <c r="A325" s="172" t="s">
        <v>327</v>
      </c>
      <c r="B325" s="219" t="s">
        <v>3403</v>
      </c>
      <c r="C325" s="12" t="s">
        <v>17</v>
      </c>
      <c r="D325" s="211" t="s">
        <v>3410</v>
      </c>
      <c r="E325" s="182">
        <v>6</v>
      </c>
      <c r="F325" s="172" t="s">
        <v>1616</v>
      </c>
      <c r="G325" s="18">
        <v>350</v>
      </c>
      <c r="H325" s="18">
        <f t="shared" ref="H325:H336" si="30">G325*E325</f>
        <v>2100</v>
      </c>
      <c r="I325" s="184">
        <v>330</v>
      </c>
      <c r="J325" s="184">
        <f t="shared" si="24"/>
        <v>20</v>
      </c>
      <c r="K325" s="185">
        <f t="shared" si="25"/>
        <v>120</v>
      </c>
      <c r="L325" s="186">
        <f t="shared" si="26"/>
        <v>5.7142857142857141E-2</v>
      </c>
      <c r="M325" s="12" t="s">
        <v>40</v>
      </c>
      <c r="N325" s="12" t="s">
        <v>105</v>
      </c>
    </row>
    <row r="326" spans="1:14">
      <c r="A326" s="172" t="s">
        <v>327</v>
      </c>
      <c r="B326" s="215" t="s">
        <v>3411</v>
      </c>
      <c r="C326" s="214" t="s">
        <v>17</v>
      </c>
      <c r="D326" s="211" t="s">
        <v>3412</v>
      </c>
      <c r="E326" s="182">
        <v>4</v>
      </c>
      <c r="F326" s="172" t="s">
        <v>1616</v>
      </c>
      <c r="G326" s="18">
        <v>6850</v>
      </c>
      <c r="H326" s="18">
        <f t="shared" si="30"/>
        <v>27400</v>
      </c>
      <c r="I326" s="184">
        <v>6190</v>
      </c>
      <c r="J326" s="184">
        <f t="shared" si="24"/>
        <v>660</v>
      </c>
      <c r="K326" s="185">
        <f t="shared" si="25"/>
        <v>2640</v>
      </c>
      <c r="L326" s="186">
        <f t="shared" si="26"/>
        <v>9.6350364963503646E-2</v>
      </c>
      <c r="M326" s="12" t="s">
        <v>40</v>
      </c>
      <c r="N326" s="12" t="s">
        <v>105</v>
      </c>
    </row>
    <row r="327" spans="1:14">
      <c r="A327" s="172" t="s">
        <v>327</v>
      </c>
      <c r="B327" s="215" t="s">
        <v>3411</v>
      </c>
      <c r="C327" s="214" t="s">
        <v>17</v>
      </c>
      <c r="D327" s="211" t="s">
        <v>3413</v>
      </c>
      <c r="E327" s="182">
        <v>7</v>
      </c>
      <c r="F327" s="172" t="s">
        <v>1616</v>
      </c>
      <c r="G327" s="18">
        <v>2150</v>
      </c>
      <c r="H327" s="18">
        <f t="shared" si="30"/>
        <v>15050</v>
      </c>
      <c r="I327" s="184">
        <v>1990</v>
      </c>
      <c r="J327" s="184">
        <f t="shared" si="24"/>
        <v>160</v>
      </c>
      <c r="K327" s="185">
        <f t="shared" si="25"/>
        <v>1120</v>
      </c>
      <c r="L327" s="186">
        <f t="shared" si="26"/>
        <v>7.441860465116279E-2</v>
      </c>
      <c r="M327" s="12" t="s">
        <v>40</v>
      </c>
      <c r="N327" s="12" t="s">
        <v>105</v>
      </c>
    </row>
    <row r="328" spans="1:14">
      <c r="A328" s="172" t="s">
        <v>327</v>
      </c>
      <c r="B328" s="215" t="s">
        <v>3414</v>
      </c>
      <c r="C328" s="218" t="s">
        <v>1042</v>
      </c>
      <c r="D328" s="211" t="s">
        <v>711</v>
      </c>
      <c r="E328" s="182">
        <v>4241</v>
      </c>
      <c r="F328" s="172" t="s">
        <v>1605</v>
      </c>
      <c r="G328" s="18">
        <v>390</v>
      </c>
      <c r="H328" s="18">
        <f t="shared" si="30"/>
        <v>1653990</v>
      </c>
      <c r="I328" s="184">
        <v>358</v>
      </c>
      <c r="J328" s="184">
        <f t="shared" si="24"/>
        <v>32</v>
      </c>
      <c r="K328" s="185">
        <f t="shared" si="25"/>
        <v>135712</v>
      </c>
      <c r="L328" s="186">
        <f t="shared" si="26"/>
        <v>8.2051282051282051E-2</v>
      </c>
      <c r="M328" s="12" t="s">
        <v>22</v>
      </c>
      <c r="N328" s="12" t="s">
        <v>105</v>
      </c>
    </row>
    <row r="329" spans="1:14">
      <c r="A329" s="172" t="s">
        <v>327</v>
      </c>
      <c r="B329" s="215" t="s">
        <v>3415</v>
      </c>
      <c r="C329" s="214" t="s">
        <v>94</v>
      </c>
      <c r="D329" s="201" t="s">
        <v>1038</v>
      </c>
      <c r="E329" s="182">
        <v>200</v>
      </c>
      <c r="F329" s="172" t="s">
        <v>1616</v>
      </c>
      <c r="G329" s="18">
        <v>15.5</v>
      </c>
      <c r="H329" s="18">
        <f t="shared" si="30"/>
        <v>3100</v>
      </c>
      <c r="I329" s="184">
        <v>14.76</v>
      </c>
      <c r="J329" s="184">
        <f t="shared" si="24"/>
        <v>0.74000000000000021</v>
      </c>
      <c r="K329" s="185">
        <f t="shared" si="25"/>
        <v>148.00000000000006</v>
      </c>
      <c r="L329" s="186">
        <f t="shared" si="26"/>
        <v>4.7741935483870984E-2</v>
      </c>
      <c r="M329" s="12" t="s">
        <v>22</v>
      </c>
      <c r="N329" s="12" t="s">
        <v>105</v>
      </c>
    </row>
    <row r="330" spans="1:14">
      <c r="A330" s="172" t="s">
        <v>327</v>
      </c>
      <c r="B330" s="215" t="s">
        <v>3415</v>
      </c>
      <c r="C330" s="214" t="s">
        <v>94</v>
      </c>
      <c r="D330" s="211" t="s">
        <v>550</v>
      </c>
      <c r="E330" s="182">
        <v>300</v>
      </c>
      <c r="F330" s="172" t="s">
        <v>1616</v>
      </c>
      <c r="G330" s="18">
        <v>50</v>
      </c>
      <c r="H330" s="18">
        <f t="shared" si="30"/>
        <v>15000</v>
      </c>
      <c r="I330" s="184">
        <v>47.56</v>
      </c>
      <c r="J330" s="184">
        <f t="shared" si="24"/>
        <v>2.4399999999999977</v>
      </c>
      <c r="K330" s="185">
        <f t="shared" si="25"/>
        <v>731.99999999999932</v>
      </c>
      <c r="L330" s="186">
        <f t="shared" si="26"/>
        <v>4.8799999999999955E-2</v>
      </c>
      <c r="M330" s="12" t="s">
        <v>22</v>
      </c>
      <c r="N330" s="12" t="s">
        <v>105</v>
      </c>
    </row>
    <row r="331" spans="1:14">
      <c r="A331" s="172" t="s">
        <v>327</v>
      </c>
      <c r="B331" s="215" t="s">
        <v>3415</v>
      </c>
      <c r="C331" s="214" t="s">
        <v>94</v>
      </c>
      <c r="D331" s="211" t="s">
        <v>546</v>
      </c>
      <c r="E331" s="182">
        <v>100</v>
      </c>
      <c r="F331" s="172" t="s">
        <v>1616</v>
      </c>
      <c r="G331" s="18">
        <v>190</v>
      </c>
      <c r="H331" s="18">
        <f t="shared" si="30"/>
        <v>19000</v>
      </c>
      <c r="I331" s="184">
        <v>182.25</v>
      </c>
      <c r="J331" s="184">
        <f t="shared" si="24"/>
        <v>7.75</v>
      </c>
      <c r="K331" s="185">
        <f t="shared" si="25"/>
        <v>775</v>
      </c>
      <c r="L331" s="186">
        <f t="shared" si="26"/>
        <v>4.0789473684210528E-2</v>
      </c>
      <c r="M331" s="12" t="s">
        <v>22</v>
      </c>
      <c r="N331" s="12" t="s">
        <v>105</v>
      </c>
    </row>
    <row r="332" spans="1:14">
      <c r="A332" s="172" t="s">
        <v>327</v>
      </c>
      <c r="B332" s="215" t="s">
        <v>3415</v>
      </c>
      <c r="C332" s="214" t="s">
        <v>94</v>
      </c>
      <c r="D332" s="211" t="s">
        <v>457</v>
      </c>
      <c r="E332" s="182">
        <v>100</v>
      </c>
      <c r="F332" s="172" t="s">
        <v>1616</v>
      </c>
      <c r="G332" s="18">
        <v>5.25</v>
      </c>
      <c r="H332" s="18">
        <f t="shared" si="30"/>
        <v>525</v>
      </c>
      <c r="I332" s="184">
        <v>5.0999999999999996</v>
      </c>
      <c r="J332" s="184">
        <f t="shared" si="24"/>
        <v>0.15000000000000036</v>
      </c>
      <c r="K332" s="185">
        <f t="shared" si="25"/>
        <v>15.000000000000036</v>
      </c>
      <c r="L332" s="186">
        <f t="shared" si="26"/>
        <v>2.857142857142864E-2</v>
      </c>
      <c r="M332" s="12" t="s">
        <v>22</v>
      </c>
      <c r="N332" s="12" t="s">
        <v>105</v>
      </c>
    </row>
    <row r="333" spans="1:14">
      <c r="A333" s="172" t="s">
        <v>327</v>
      </c>
      <c r="B333" s="215" t="s">
        <v>3415</v>
      </c>
      <c r="C333" s="214" t="s">
        <v>94</v>
      </c>
      <c r="D333" s="211" t="s">
        <v>638</v>
      </c>
      <c r="E333" s="182">
        <v>100</v>
      </c>
      <c r="F333" s="172" t="s">
        <v>1616</v>
      </c>
      <c r="G333" s="18">
        <v>5.25</v>
      </c>
      <c r="H333" s="18">
        <f t="shared" si="30"/>
        <v>525</v>
      </c>
      <c r="I333" s="184">
        <v>5.0999999999999996</v>
      </c>
      <c r="J333" s="184">
        <f t="shared" si="24"/>
        <v>0.15000000000000036</v>
      </c>
      <c r="K333" s="185">
        <f t="shared" si="25"/>
        <v>15.000000000000036</v>
      </c>
      <c r="L333" s="186">
        <f t="shared" si="26"/>
        <v>2.857142857142864E-2</v>
      </c>
      <c r="M333" s="12" t="s">
        <v>22</v>
      </c>
      <c r="N333" s="12" t="s">
        <v>105</v>
      </c>
    </row>
    <row r="334" spans="1:14">
      <c r="A334" s="172" t="s">
        <v>327</v>
      </c>
      <c r="B334" s="215" t="s">
        <v>3416</v>
      </c>
      <c r="C334" s="214" t="s">
        <v>828</v>
      </c>
      <c r="D334" s="211" t="s">
        <v>3417</v>
      </c>
      <c r="E334" s="182">
        <v>3</v>
      </c>
      <c r="F334" s="172" t="s">
        <v>1608</v>
      </c>
      <c r="G334" s="18">
        <v>51000</v>
      </c>
      <c r="H334" s="18">
        <f t="shared" si="30"/>
        <v>153000</v>
      </c>
      <c r="I334" s="184">
        <v>48000</v>
      </c>
      <c r="J334" s="184">
        <f t="shared" si="24"/>
        <v>3000</v>
      </c>
      <c r="K334" s="185">
        <f t="shared" si="25"/>
        <v>9000</v>
      </c>
      <c r="L334" s="186">
        <f t="shared" si="26"/>
        <v>5.8823529411764705E-2</v>
      </c>
      <c r="M334" s="12" t="s">
        <v>40</v>
      </c>
      <c r="N334" s="12" t="s">
        <v>105</v>
      </c>
    </row>
    <row r="335" spans="1:14">
      <c r="A335" s="172" t="s">
        <v>327</v>
      </c>
      <c r="B335" s="215" t="s">
        <v>3418</v>
      </c>
      <c r="C335" s="214" t="s">
        <v>1488</v>
      </c>
      <c r="D335" s="211" t="s">
        <v>755</v>
      </c>
      <c r="E335" s="182">
        <v>1172.9000000000001</v>
      </c>
      <c r="F335" s="172" t="s">
        <v>1605</v>
      </c>
      <c r="G335" s="18">
        <v>385</v>
      </c>
      <c r="H335" s="18">
        <f t="shared" si="30"/>
        <v>451566.50000000006</v>
      </c>
      <c r="I335" s="184">
        <v>375</v>
      </c>
      <c r="J335" s="184">
        <f t="shared" si="24"/>
        <v>10</v>
      </c>
      <c r="K335" s="185">
        <f t="shared" si="25"/>
        <v>11729</v>
      </c>
      <c r="L335" s="186">
        <f t="shared" si="26"/>
        <v>2.5974025974025976E-2</v>
      </c>
      <c r="M335" s="12" t="s">
        <v>22</v>
      </c>
      <c r="N335" s="12" t="s">
        <v>105</v>
      </c>
    </row>
    <row r="336" spans="1:14">
      <c r="A336" s="172" t="s">
        <v>327</v>
      </c>
      <c r="B336" s="220" t="s">
        <v>3419</v>
      </c>
      <c r="C336" s="12" t="s">
        <v>590</v>
      </c>
      <c r="D336" s="211" t="s">
        <v>3420</v>
      </c>
      <c r="E336" s="182">
        <v>1</v>
      </c>
      <c r="F336" s="172" t="s">
        <v>1608</v>
      </c>
      <c r="G336" s="18">
        <v>80500</v>
      </c>
      <c r="H336" s="18">
        <f t="shared" si="30"/>
        <v>80500</v>
      </c>
      <c r="I336" s="184">
        <v>78000</v>
      </c>
      <c r="J336" s="184">
        <f t="shared" si="24"/>
        <v>2500</v>
      </c>
      <c r="K336" s="185">
        <f t="shared" si="25"/>
        <v>2500</v>
      </c>
      <c r="L336" s="186">
        <f t="shared" si="26"/>
        <v>3.1055900621118012E-2</v>
      </c>
      <c r="M336" s="12" t="s">
        <v>40</v>
      </c>
      <c r="N336" s="12" t="s">
        <v>39</v>
      </c>
    </row>
    <row r="337" spans="1:15">
      <c r="A337" s="172" t="s">
        <v>327</v>
      </c>
      <c r="B337" s="220" t="s">
        <v>3419</v>
      </c>
      <c r="C337" s="12" t="s">
        <v>590</v>
      </c>
      <c r="D337" s="211" t="s">
        <v>3421</v>
      </c>
      <c r="E337" s="182">
        <v>2</v>
      </c>
      <c r="F337" s="172" t="s">
        <v>1608</v>
      </c>
      <c r="G337" s="18">
        <v>80500</v>
      </c>
      <c r="H337" s="18">
        <f>G337*E337</f>
        <v>161000</v>
      </c>
      <c r="I337" s="184">
        <v>78000</v>
      </c>
      <c r="J337" s="184">
        <f t="shared" si="24"/>
        <v>2500</v>
      </c>
      <c r="K337" s="185">
        <f t="shared" si="25"/>
        <v>5000</v>
      </c>
      <c r="L337" s="186">
        <f t="shared" si="26"/>
        <v>3.1055900621118012E-2</v>
      </c>
      <c r="M337" s="12" t="s">
        <v>40</v>
      </c>
      <c r="N337" s="12" t="s">
        <v>39</v>
      </c>
    </row>
    <row r="338" spans="1:15">
      <c r="A338" s="172" t="s">
        <v>327</v>
      </c>
      <c r="B338" s="181" t="s">
        <v>3422</v>
      </c>
      <c r="C338" s="12" t="s">
        <v>1840</v>
      </c>
      <c r="D338" s="140" t="s">
        <v>3423</v>
      </c>
      <c r="E338" s="182">
        <v>1</v>
      </c>
      <c r="F338" s="172" t="s">
        <v>1608</v>
      </c>
      <c r="G338" s="221">
        <v>129000</v>
      </c>
      <c r="H338" s="18">
        <f t="shared" ref="H338:H368" si="31">G338*E338</f>
        <v>129000</v>
      </c>
      <c r="I338" s="184">
        <v>120000</v>
      </c>
      <c r="J338" s="184">
        <f t="shared" si="24"/>
        <v>9000</v>
      </c>
      <c r="K338" s="185">
        <f t="shared" si="25"/>
        <v>9000</v>
      </c>
      <c r="L338" s="186">
        <f t="shared" si="26"/>
        <v>6.9767441860465115E-2</v>
      </c>
      <c r="M338" s="12" t="s">
        <v>40</v>
      </c>
      <c r="N338" s="12" t="s">
        <v>3424</v>
      </c>
      <c r="O338" s="222"/>
    </row>
    <row r="339" spans="1:15">
      <c r="A339" s="172" t="s">
        <v>327</v>
      </c>
      <c r="B339" s="181" t="s">
        <v>3425</v>
      </c>
      <c r="C339" s="12" t="s">
        <v>2294</v>
      </c>
      <c r="D339" s="140" t="s">
        <v>3426</v>
      </c>
      <c r="E339" s="223">
        <v>1</v>
      </c>
      <c r="F339" s="172" t="s">
        <v>2259</v>
      </c>
      <c r="G339" s="224">
        <v>330351.3</v>
      </c>
      <c r="H339" s="18">
        <f t="shared" si="31"/>
        <v>330351.3</v>
      </c>
      <c r="I339" s="225">
        <v>310000</v>
      </c>
      <c r="J339" s="184">
        <f t="shared" si="24"/>
        <v>20351.299999999988</v>
      </c>
      <c r="K339" s="185">
        <f t="shared" si="25"/>
        <v>20351.299999999988</v>
      </c>
      <c r="L339" s="186">
        <f t="shared" si="26"/>
        <v>6.1605024711572164E-2</v>
      </c>
      <c r="M339" s="12" t="s">
        <v>40</v>
      </c>
      <c r="N339" s="12" t="s">
        <v>3424</v>
      </c>
      <c r="O339" s="222"/>
    </row>
    <row r="340" spans="1:15">
      <c r="A340" s="172" t="s">
        <v>327</v>
      </c>
      <c r="B340" s="181" t="s">
        <v>3427</v>
      </c>
      <c r="C340" s="12" t="s">
        <v>192</v>
      </c>
      <c r="D340" s="140" t="s">
        <v>3428</v>
      </c>
      <c r="E340" s="223">
        <v>1000</v>
      </c>
      <c r="F340" s="172" t="s">
        <v>231</v>
      </c>
      <c r="G340" s="224">
        <v>170</v>
      </c>
      <c r="H340" s="18">
        <f t="shared" si="31"/>
        <v>170000</v>
      </c>
      <c r="I340" s="225">
        <v>167</v>
      </c>
      <c r="J340" s="184">
        <f t="shared" si="24"/>
        <v>3</v>
      </c>
      <c r="K340" s="185">
        <f t="shared" si="25"/>
        <v>3000</v>
      </c>
      <c r="L340" s="186">
        <f t="shared" si="26"/>
        <v>1.7647058823529412E-2</v>
      </c>
      <c r="M340" s="12" t="s">
        <v>40</v>
      </c>
      <c r="N340" s="12" t="s">
        <v>39</v>
      </c>
    </row>
    <row r="341" spans="1:15">
      <c r="A341" s="172" t="s">
        <v>327</v>
      </c>
      <c r="B341" s="181" t="s">
        <v>3427</v>
      </c>
      <c r="C341" s="12" t="s">
        <v>192</v>
      </c>
      <c r="D341" s="12" t="s">
        <v>3429</v>
      </c>
      <c r="E341" s="223">
        <v>1000</v>
      </c>
      <c r="F341" s="172" t="s">
        <v>231</v>
      </c>
      <c r="G341" s="224">
        <v>198</v>
      </c>
      <c r="H341" s="18">
        <f t="shared" si="31"/>
        <v>198000</v>
      </c>
      <c r="I341" s="225">
        <v>195</v>
      </c>
      <c r="J341" s="184">
        <f t="shared" si="24"/>
        <v>3</v>
      </c>
      <c r="K341" s="185">
        <f t="shared" si="25"/>
        <v>3000</v>
      </c>
      <c r="L341" s="186">
        <f t="shared" si="26"/>
        <v>1.5151515151515152E-2</v>
      </c>
      <c r="M341" s="12" t="s">
        <v>40</v>
      </c>
      <c r="N341" s="12" t="s">
        <v>39</v>
      </c>
    </row>
    <row r="342" spans="1:15">
      <c r="A342" s="172" t="s">
        <v>327</v>
      </c>
      <c r="B342" s="181" t="s">
        <v>3430</v>
      </c>
      <c r="C342" s="12" t="s">
        <v>200</v>
      </c>
      <c r="D342" s="12" t="s">
        <v>3431</v>
      </c>
      <c r="E342" s="223">
        <v>3</v>
      </c>
      <c r="F342" s="172" t="s">
        <v>1616</v>
      </c>
      <c r="G342" s="226">
        <v>3000</v>
      </c>
      <c r="H342" s="18">
        <f t="shared" si="31"/>
        <v>9000</v>
      </c>
      <c r="I342" s="227">
        <v>2300</v>
      </c>
      <c r="J342" s="184">
        <f t="shared" si="24"/>
        <v>700</v>
      </c>
      <c r="K342" s="185">
        <f t="shared" si="25"/>
        <v>2100</v>
      </c>
      <c r="L342" s="186">
        <f t="shared" si="26"/>
        <v>0.23333333333333334</v>
      </c>
      <c r="M342" s="12" t="s">
        <v>22</v>
      </c>
      <c r="N342" s="12" t="s">
        <v>39</v>
      </c>
    </row>
    <row r="343" spans="1:15">
      <c r="A343" s="172" t="s">
        <v>327</v>
      </c>
      <c r="B343" s="181" t="s">
        <v>3432</v>
      </c>
      <c r="C343" s="12" t="s">
        <v>590</v>
      </c>
      <c r="D343" s="12" t="s">
        <v>3433</v>
      </c>
      <c r="E343" s="223">
        <v>7</v>
      </c>
      <c r="F343" s="172" t="s">
        <v>1608</v>
      </c>
      <c r="G343" s="226">
        <v>79000</v>
      </c>
      <c r="H343" s="18">
        <f t="shared" si="31"/>
        <v>553000</v>
      </c>
      <c r="I343" s="227">
        <v>73000</v>
      </c>
      <c r="J343" s="184">
        <f t="shared" si="24"/>
        <v>6000</v>
      </c>
      <c r="K343" s="185">
        <f t="shared" si="25"/>
        <v>42000</v>
      </c>
      <c r="L343" s="186">
        <f t="shared" si="26"/>
        <v>7.5949367088607597E-2</v>
      </c>
      <c r="M343" s="12" t="s">
        <v>22</v>
      </c>
      <c r="N343" s="12" t="s">
        <v>39</v>
      </c>
    </row>
    <row r="344" spans="1:15">
      <c r="A344" s="172" t="s">
        <v>327</v>
      </c>
      <c r="B344" s="181" t="s">
        <v>3432</v>
      </c>
      <c r="C344" s="12" t="s">
        <v>590</v>
      </c>
      <c r="D344" s="12" t="s">
        <v>3434</v>
      </c>
      <c r="E344" s="223">
        <v>11</v>
      </c>
      <c r="F344" s="172" t="s">
        <v>1616</v>
      </c>
      <c r="G344" s="226">
        <v>4000</v>
      </c>
      <c r="H344" s="18">
        <f t="shared" si="31"/>
        <v>44000</v>
      </c>
      <c r="I344" s="227">
        <v>3400</v>
      </c>
      <c r="J344" s="184">
        <f t="shared" si="24"/>
        <v>600</v>
      </c>
      <c r="K344" s="185">
        <f t="shared" si="25"/>
        <v>6600</v>
      </c>
      <c r="L344" s="186">
        <f t="shared" si="26"/>
        <v>0.15</v>
      </c>
      <c r="M344" s="12" t="s">
        <v>22</v>
      </c>
      <c r="N344" s="12" t="s">
        <v>39</v>
      </c>
    </row>
    <row r="345" spans="1:15">
      <c r="A345" s="172" t="s">
        <v>327</v>
      </c>
      <c r="B345" s="181" t="s">
        <v>3435</v>
      </c>
      <c r="C345" s="12" t="s">
        <v>1042</v>
      </c>
      <c r="D345" s="12" t="s">
        <v>3436</v>
      </c>
      <c r="E345" s="182">
        <v>76700</v>
      </c>
      <c r="F345" s="172" t="s">
        <v>1605</v>
      </c>
      <c r="G345" s="18">
        <v>358</v>
      </c>
      <c r="H345" s="18">
        <f t="shared" si="31"/>
        <v>27458600</v>
      </c>
      <c r="I345" s="184">
        <v>349</v>
      </c>
      <c r="J345" s="184">
        <f t="shared" si="24"/>
        <v>9</v>
      </c>
      <c r="K345" s="185">
        <f t="shared" si="25"/>
        <v>690300</v>
      </c>
      <c r="L345" s="186">
        <f t="shared" si="26"/>
        <v>2.5139664804469275E-2</v>
      </c>
      <c r="M345" s="12" t="s">
        <v>20</v>
      </c>
      <c r="N345" s="12" t="s">
        <v>105</v>
      </c>
    </row>
    <row r="346" spans="1:15">
      <c r="A346" s="172" t="s">
        <v>327</v>
      </c>
      <c r="B346" s="181" t="s">
        <v>3437</v>
      </c>
      <c r="C346" s="12" t="s">
        <v>94</v>
      </c>
      <c r="D346" s="12" t="s">
        <v>546</v>
      </c>
      <c r="E346" s="182">
        <v>100</v>
      </c>
      <c r="F346" s="172" t="s">
        <v>1616</v>
      </c>
      <c r="G346" s="18">
        <v>190</v>
      </c>
      <c r="H346" s="18">
        <f t="shared" si="31"/>
        <v>19000</v>
      </c>
      <c r="I346" s="184">
        <v>182.25</v>
      </c>
      <c r="J346" s="184">
        <f t="shared" ref="J346:J368" si="32">G346-I346</f>
        <v>7.75</v>
      </c>
      <c r="K346" s="185">
        <f t="shared" ref="K346:K368" si="33">J346*E346</f>
        <v>775</v>
      </c>
      <c r="L346" s="186">
        <f t="shared" si="26"/>
        <v>4.0789473684210528E-2</v>
      </c>
      <c r="M346" s="12" t="s">
        <v>22</v>
      </c>
      <c r="N346" s="12" t="s">
        <v>105</v>
      </c>
    </row>
    <row r="347" spans="1:15">
      <c r="A347" s="172" t="s">
        <v>327</v>
      </c>
      <c r="B347" s="181" t="s">
        <v>3438</v>
      </c>
      <c r="C347" s="12" t="s">
        <v>27</v>
      </c>
      <c r="D347" s="12" t="s">
        <v>3439</v>
      </c>
      <c r="E347" s="182">
        <v>4</v>
      </c>
      <c r="F347" s="172" t="s">
        <v>1616</v>
      </c>
      <c r="G347" s="18">
        <v>434</v>
      </c>
      <c r="H347" s="18">
        <f t="shared" si="31"/>
        <v>1736</v>
      </c>
      <c r="I347" s="184">
        <v>410</v>
      </c>
      <c r="J347" s="184">
        <f t="shared" si="32"/>
        <v>24</v>
      </c>
      <c r="K347" s="185">
        <f t="shared" si="33"/>
        <v>96</v>
      </c>
      <c r="L347" s="186">
        <f t="shared" si="26"/>
        <v>5.5299539170506916E-2</v>
      </c>
      <c r="M347" s="12" t="s">
        <v>22</v>
      </c>
      <c r="N347" s="12" t="s">
        <v>105</v>
      </c>
    </row>
    <row r="348" spans="1:15">
      <c r="A348" s="172" t="s">
        <v>327</v>
      </c>
      <c r="B348" s="181" t="s">
        <v>3440</v>
      </c>
      <c r="C348" s="12" t="s">
        <v>57</v>
      </c>
      <c r="D348" s="12" t="s">
        <v>3441</v>
      </c>
      <c r="E348" s="182">
        <v>1</v>
      </c>
      <c r="F348" s="172" t="s">
        <v>2259</v>
      </c>
      <c r="G348" s="18">
        <v>732.06</v>
      </c>
      <c r="H348" s="18">
        <f t="shared" si="31"/>
        <v>732.06</v>
      </c>
      <c r="I348" s="184">
        <v>0</v>
      </c>
      <c r="J348" s="184">
        <f t="shared" si="32"/>
        <v>732.06</v>
      </c>
      <c r="K348" s="185">
        <f t="shared" si="33"/>
        <v>732.06</v>
      </c>
      <c r="L348" s="186">
        <f t="shared" si="26"/>
        <v>1</v>
      </c>
      <c r="M348" s="12" t="s">
        <v>30</v>
      </c>
      <c r="N348" s="12" t="s">
        <v>3424</v>
      </c>
    </row>
    <row r="349" spans="1:15">
      <c r="A349" s="172" t="s">
        <v>327</v>
      </c>
      <c r="B349" s="181" t="s">
        <v>3442</v>
      </c>
      <c r="C349" s="12" t="s">
        <v>57</v>
      </c>
      <c r="D349" s="12" t="s">
        <v>3443</v>
      </c>
      <c r="E349" s="182">
        <v>1</v>
      </c>
      <c r="F349" s="172" t="s">
        <v>2259</v>
      </c>
      <c r="G349" s="18">
        <v>70.13</v>
      </c>
      <c r="H349" s="18">
        <f t="shared" si="31"/>
        <v>70.13</v>
      </c>
      <c r="I349" s="184">
        <v>0</v>
      </c>
      <c r="J349" s="184">
        <f t="shared" si="32"/>
        <v>70.13</v>
      </c>
      <c r="K349" s="185">
        <f t="shared" si="33"/>
        <v>70.13</v>
      </c>
      <c r="L349" s="186">
        <f t="shared" si="26"/>
        <v>1</v>
      </c>
      <c r="M349" s="12" t="s">
        <v>30</v>
      </c>
      <c r="N349" s="12" t="s">
        <v>39</v>
      </c>
    </row>
    <row r="350" spans="1:15">
      <c r="A350" s="172" t="s">
        <v>327</v>
      </c>
      <c r="B350" s="181" t="s">
        <v>3444</v>
      </c>
      <c r="C350" s="12" t="s">
        <v>3445</v>
      </c>
      <c r="D350" s="12" t="s">
        <v>2514</v>
      </c>
      <c r="E350" s="182">
        <v>1</v>
      </c>
      <c r="F350" s="172" t="s">
        <v>2259</v>
      </c>
      <c r="G350" s="18">
        <v>3500</v>
      </c>
      <c r="H350" s="18">
        <f t="shared" si="31"/>
        <v>3500</v>
      </c>
      <c r="I350" s="184">
        <v>0</v>
      </c>
      <c r="J350" s="184">
        <f t="shared" si="32"/>
        <v>3500</v>
      </c>
      <c r="K350" s="185">
        <f t="shared" si="33"/>
        <v>3500</v>
      </c>
      <c r="L350" s="186">
        <f t="shared" si="26"/>
        <v>1</v>
      </c>
      <c r="M350" s="12" t="s">
        <v>40</v>
      </c>
      <c r="N350" s="12" t="s">
        <v>105</v>
      </c>
    </row>
    <row r="351" spans="1:15">
      <c r="A351" s="172" t="s">
        <v>327</v>
      </c>
      <c r="B351" s="181" t="s">
        <v>3446</v>
      </c>
      <c r="C351" s="12" t="s">
        <v>2043</v>
      </c>
      <c r="D351" s="12" t="s">
        <v>2514</v>
      </c>
      <c r="E351" s="182">
        <v>1</v>
      </c>
      <c r="F351" s="172" t="s">
        <v>2259</v>
      </c>
      <c r="G351" s="18">
        <v>3500</v>
      </c>
      <c r="H351" s="18">
        <f t="shared" si="31"/>
        <v>3500</v>
      </c>
      <c r="I351" s="184">
        <v>0</v>
      </c>
      <c r="J351" s="184">
        <f t="shared" si="32"/>
        <v>3500</v>
      </c>
      <c r="K351" s="185">
        <f t="shared" si="33"/>
        <v>3500</v>
      </c>
      <c r="L351" s="186">
        <f t="shared" si="26"/>
        <v>1</v>
      </c>
      <c r="M351" s="12" t="s">
        <v>40</v>
      </c>
      <c r="N351" s="12" t="s">
        <v>105</v>
      </c>
    </row>
    <row r="352" spans="1:15">
      <c r="A352" s="172" t="s">
        <v>327</v>
      </c>
      <c r="B352" s="181" t="s">
        <v>3447</v>
      </c>
      <c r="C352" s="12" t="s">
        <v>3448</v>
      </c>
      <c r="D352" s="12" t="s">
        <v>3449</v>
      </c>
      <c r="E352" s="182">
        <v>1</v>
      </c>
      <c r="F352" s="172" t="s">
        <v>6</v>
      </c>
      <c r="G352" s="18">
        <v>180000</v>
      </c>
      <c r="H352" s="18">
        <f t="shared" si="31"/>
        <v>180000</v>
      </c>
      <c r="I352" s="184">
        <v>165000</v>
      </c>
      <c r="J352" s="184">
        <f t="shared" si="32"/>
        <v>15000</v>
      </c>
      <c r="K352" s="185">
        <f t="shared" si="33"/>
        <v>15000</v>
      </c>
      <c r="L352" s="186">
        <f t="shared" si="26"/>
        <v>8.3333333333333329E-2</v>
      </c>
      <c r="M352" s="12" t="s">
        <v>40</v>
      </c>
      <c r="N352" s="12" t="s">
        <v>105</v>
      </c>
    </row>
    <row r="353" spans="1:14">
      <c r="A353" s="172" t="s">
        <v>327</v>
      </c>
      <c r="B353" s="181" t="s">
        <v>3450</v>
      </c>
      <c r="C353" s="12" t="s">
        <v>2294</v>
      </c>
      <c r="D353" s="12" t="s">
        <v>3451</v>
      </c>
      <c r="E353" s="182">
        <v>1</v>
      </c>
      <c r="F353" s="172" t="s">
        <v>2259</v>
      </c>
      <c r="G353" s="18">
        <v>31298.25</v>
      </c>
      <c r="H353" s="18">
        <f t="shared" si="31"/>
        <v>31298.25</v>
      </c>
      <c r="I353" s="184">
        <v>11345</v>
      </c>
      <c r="J353" s="184">
        <f t="shared" si="32"/>
        <v>19953.25</v>
      </c>
      <c r="K353" s="185">
        <f t="shared" si="33"/>
        <v>19953.25</v>
      </c>
      <c r="L353" s="186">
        <f t="shared" si="26"/>
        <v>0.6375196696300911</v>
      </c>
      <c r="M353" s="12" t="s">
        <v>40</v>
      </c>
      <c r="N353" s="12" t="s">
        <v>3424</v>
      </c>
    </row>
    <row r="354" spans="1:14">
      <c r="A354" s="172" t="s">
        <v>327</v>
      </c>
      <c r="B354" s="181" t="s">
        <v>3452</v>
      </c>
      <c r="C354" s="12" t="s">
        <v>17</v>
      </c>
      <c r="D354" s="12" t="s">
        <v>3453</v>
      </c>
      <c r="E354" s="182">
        <v>1</v>
      </c>
      <c r="F354" s="172" t="s">
        <v>6</v>
      </c>
      <c r="G354" s="18">
        <v>2190</v>
      </c>
      <c r="H354" s="18">
        <f t="shared" si="31"/>
        <v>2190</v>
      </c>
      <c r="I354" s="184">
        <v>2000</v>
      </c>
      <c r="J354" s="184">
        <f t="shared" si="32"/>
        <v>190</v>
      </c>
      <c r="K354" s="185">
        <f t="shared" si="33"/>
        <v>190</v>
      </c>
      <c r="L354" s="186">
        <f t="shared" si="26"/>
        <v>8.6757990867579904E-2</v>
      </c>
      <c r="M354" s="12" t="s">
        <v>22</v>
      </c>
      <c r="N354" s="12" t="s">
        <v>105</v>
      </c>
    </row>
    <row r="355" spans="1:14">
      <c r="A355" s="172" t="s">
        <v>327</v>
      </c>
      <c r="B355" s="181" t="s">
        <v>3452</v>
      </c>
      <c r="C355" s="12" t="s">
        <v>17</v>
      </c>
      <c r="D355" s="12" t="s">
        <v>3454</v>
      </c>
      <c r="E355" s="182">
        <v>4</v>
      </c>
      <c r="F355" s="172" t="s">
        <v>6</v>
      </c>
      <c r="G355" s="18">
        <v>2595</v>
      </c>
      <c r="H355" s="18">
        <f t="shared" si="31"/>
        <v>10380</v>
      </c>
      <c r="I355" s="184">
        <v>2500</v>
      </c>
      <c r="J355" s="184">
        <f t="shared" si="32"/>
        <v>95</v>
      </c>
      <c r="K355" s="185">
        <f t="shared" si="33"/>
        <v>380</v>
      </c>
      <c r="L355" s="186">
        <f t="shared" si="26"/>
        <v>3.6608863198458574E-2</v>
      </c>
      <c r="M355" s="12" t="s">
        <v>22</v>
      </c>
      <c r="N355" s="12" t="s">
        <v>105</v>
      </c>
    </row>
    <row r="356" spans="1:14">
      <c r="A356" s="172" t="s">
        <v>327</v>
      </c>
      <c r="B356" s="181" t="s">
        <v>3455</v>
      </c>
      <c r="C356" s="12" t="s">
        <v>1948</v>
      </c>
      <c r="D356" s="12" t="s">
        <v>3456</v>
      </c>
      <c r="E356" s="182">
        <v>6</v>
      </c>
      <c r="F356" s="172" t="s">
        <v>1616</v>
      </c>
      <c r="G356" s="18">
        <v>2550</v>
      </c>
      <c r="H356" s="18">
        <f t="shared" si="31"/>
        <v>15300</v>
      </c>
      <c r="I356" s="184">
        <v>2140</v>
      </c>
      <c r="J356" s="184">
        <f t="shared" si="32"/>
        <v>410</v>
      </c>
      <c r="K356" s="185">
        <f t="shared" si="33"/>
        <v>2460</v>
      </c>
      <c r="L356" s="186">
        <f t="shared" si="26"/>
        <v>0.16078431372549021</v>
      </c>
      <c r="M356" s="12" t="s">
        <v>22</v>
      </c>
      <c r="N356" s="12" t="s">
        <v>105</v>
      </c>
    </row>
    <row r="357" spans="1:14">
      <c r="A357" s="172" t="s">
        <v>327</v>
      </c>
      <c r="B357" s="181" t="s">
        <v>3455</v>
      </c>
      <c r="C357" s="12" t="s">
        <v>1948</v>
      </c>
      <c r="D357" s="12" t="s">
        <v>3457</v>
      </c>
      <c r="E357" s="182">
        <v>2</v>
      </c>
      <c r="F357" s="172" t="s">
        <v>1616</v>
      </c>
      <c r="G357" s="18">
        <v>6250</v>
      </c>
      <c r="H357" s="18">
        <f t="shared" si="31"/>
        <v>12500</v>
      </c>
      <c r="I357" s="184">
        <v>5995</v>
      </c>
      <c r="J357" s="184">
        <f t="shared" si="32"/>
        <v>255</v>
      </c>
      <c r="K357" s="185">
        <f t="shared" si="33"/>
        <v>510</v>
      </c>
      <c r="L357" s="186">
        <f t="shared" si="26"/>
        <v>4.0800000000000003E-2</v>
      </c>
      <c r="M357" s="12" t="s">
        <v>22</v>
      </c>
      <c r="N357" s="12" t="s">
        <v>105</v>
      </c>
    </row>
    <row r="358" spans="1:14">
      <c r="A358" s="172" t="s">
        <v>327</v>
      </c>
      <c r="B358" s="181" t="s">
        <v>3458</v>
      </c>
      <c r="C358" s="12" t="s">
        <v>17</v>
      </c>
      <c r="D358" s="12" t="s">
        <v>3459</v>
      </c>
      <c r="E358" s="182">
        <v>2</v>
      </c>
      <c r="F358" s="172" t="s">
        <v>1616</v>
      </c>
      <c r="G358" s="18">
        <v>29800</v>
      </c>
      <c r="H358" s="18">
        <f t="shared" si="31"/>
        <v>59600</v>
      </c>
      <c r="I358" s="184">
        <v>8000</v>
      </c>
      <c r="J358" s="184">
        <f t="shared" si="32"/>
        <v>21800</v>
      </c>
      <c r="K358" s="185">
        <f t="shared" si="33"/>
        <v>43600</v>
      </c>
      <c r="L358" s="186">
        <f t="shared" si="26"/>
        <v>0.73154362416107388</v>
      </c>
      <c r="M358" s="12" t="s">
        <v>22</v>
      </c>
      <c r="N358" s="12" t="s">
        <v>39</v>
      </c>
    </row>
    <row r="359" spans="1:14">
      <c r="A359" s="172" t="s">
        <v>327</v>
      </c>
      <c r="B359" s="181" t="s">
        <v>3460</v>
      </c>
      <c r="C359" s="12" t="s">
        <v>1948</v>
      </c>
      <c r="D359" s="12" t="s">
        <v>3461</v>
      </c>
      <c r="E359" s="182">
        <v>1</v>
      </c>
      <c r="F359" s="172" t="s">
        <v>3462</v>
      </c>
      <c r="G359" s="18">
        <v>7990</v>
      </c>
      <c r="H359" s="18">
        <f t="shared" si="31"/>
        <v>7990</v>
      </c>
      <c r="I359" s="184">
        <v>5984.9</v>
      </c>
      <c r="J359" s="184">
        <f t="shared" si="32"/>
        <v>2005.1000000000004</v>
      </c>
      <c r="K359" s="185">
        <f t="shared" si="33"/>
        <v>2005.1000000000004</v>
      </c>
      <c r="L359" s="186">
        <f t="shared" si="26"/>
        <v>0.25095118898623281</v>
      </c>
      <c r="M359" s="12" t="s">
        <v>22</v>
      </c>
      <c r="N359" s="12" t="s">
        <v>39</v>
      </c>
    </row>
    <row r="360" spans="1:14">
      <c r="A360" s="172" t="s">
        <v>327</v>
      </c>
      <c r="B360" s="181" t="s">
        <v>3463</v>
      </c>
      <c r="C360" s="12" t="s">
        <v>1948</v>
      </c>
      <c r="D360" s="12" t="s">
        <v>1990</v>
      </c>
      <c r="E360" s="182">
        <v>1</v>
      </c>
      <c r="F360" s="172" t="s">
        <v>1616</v>
      </c>
      <c r="G360" s="18">
        <v>4200</v>
      </c>
      <c r="H360" s="18">
        <f t="shared" si="31"/>
        <v>4200</v>
      </c>
      <c r="I360" s="184">
        <v>3676.5</v>
      </c>
      <c r="J360" s="184">
        <f t="shared" si="32"/>
        <v>523.5</v>
      </c>
      <c r="K360" s="185">
        <f t="shared" si="33"/>
        <v>523.5</v>
      </c>
      <c r="L360" s="186">
        <f t="shared" si="26"/>
        <v>0.12464285714285714</v>
      </c>
      <c r="M360" s="12" t="s">
        <v>22</v>
      </c>
      <c r="N360" s="12" t="s">
        <v>39</v>
      </c>
    </row>
    <row r="361" spans="1:14">
      <c r="A361" s="172" t="s">
        <v>327</v>
      </c>
      <c r="B361" s="181" t="s">
        <v>3425</v>
      </c>
      <c r="C361" s="12" t="s">
        <v>2294</v>
      </c>
      <c r="D361" s="12" t="s">
        <v>3464</v>
      </c>
      <c r="E361" s="182">
        <v>1</v>
      </c>
      <c r="F361" s="172" t="s">
        <v>2259</v>
      </c>
      <c r="G361" s="18">
        <v>43089.3</v>
      </c>
      <c r="H361" s="18">
        <f t="shared" si="31"/>
        <v>43089.3</v>
      </c>
      <c r="I361" s="184">
        <v>22738</v>
      </c>
      <c r="J361" s="184">
        <f t="shared" si="32"/>
        <v>20351.300000000003</v>
      </c>
      <c r="K361" s="185">
        <f t="shared" si="33"/>
        <v>20351.300000000003</v>
      </c>
      <c r="L361" s="186">
        <f t="shared" si="26"/>
        <v>0.47230518945538685</v>
      </c>
      <c r="M361" s="12" t="s">
        <v>40</v>
      </c>
      <c r="N361" s="12" t="s">
        <v>3424</v>
      </c>
    </row>
    <row r="362" spans="1:14">
      <c r="A362" s="172" t="s">
        <v>327</v>
      </c>
      <c r="B362" s="181" t="s">
        <v>3465</v>
      </c>
      <c r="C362" s="12" t="s">
        <v>1252</v>
      </c>
      <c r="D362" s="12" t="s">
        <v>3062</v>
      </c>
      <c r="E362" s="182">
        <v>28530</v>
      </c>
      <c r="F362" s="172" t="s">
        <v>1605</v>
      </c>
      <c r="G362" s="18">
        <v>30.51</v>
      </c>
      <c r="H362" s="18">
        <f t="shared" si="31"/>
        <v>870450.3</v>
      </c>
      <c r="I362" s="184">
        <v>27.29</v>
      </c>
      <c r="J362" s="184">
        <f t="shared" si="32"/>
        <v>3.2200000000000024</v>
      </c>
      <c r="K362" s="185">
        <f t="shared" si="33"/>
        <v>91866.600000000064</v>
      </c>
      <c r="L362" s="186">
        <f t="shared" si="26"/>
        <v>0.10553916748607022</v>
      </c>
      <c r="M362" s="12" t="s">
        <v>22</v>
      </c>
      <c r="N362" s="12" t="s">
        <v>105</v>
      </c>
    </row>
    <row r="363" spans="1:14">
      <c r="A363" s="172" t="s">
        <v>327</v>
      </c>
      <c r="B363" s="181" t="s">
        <v>3466</v>
      </c>
      <c r="C363" s="12" t="s">
        <v>335</v>
      </c>
      <c r="D363" s="12" t="s">
        <v>336</v>
      </c>
      <c r="E363" s="182">
        <v>84000</v>
      </c>
      <c r="F363" s="172" t="s">
        <v>337</v>
      </c>
      <c r="G363" s="18">
        <v>35</v>
      </c>
      <c r="H363" s="18">
        <f t="shared" si="31"/>
        <v>2940000</v>
      </c>
      <c r="I363" s="184">
        <v>34.125</v>
      </c>
      <c r="J363" s="184">
        <f t="shared" si="32"/>
        <v>0.875</v>
      </c>
      <c r="K363" s="185">
        <f t="shared" si="33"/>
        <v>73500</v>
      </c>
      <c r="L363" s="186">
        <f t="shared" si="26"/>
        <v>2.5000000000000001E-2</v>
      </c>
      <c r="M363" s="12" t="s">
        <v>40</v>
      </c>
      <c r="N363" s="12" t="s">
        <v>39</v>
      </c>
    </row>
    <row r="364" spans="1:14">
      <c r="A364" s="172" t="s">
        <v>327</v>
      </c>
      <c r="B364" s="181" t="s">
        <v>3467</v>
      </c>
      <c r="C364" s="12" t="s">
        <v>617</v>
      </c>
      <c r="D364" s="12" t="s">
        <v>230</v>
      </c>
      <c r="E364" s="182">
        <v>3000</v>
      </c>
      <c r="F364" s="172" t="s">
        <v>37</v>
      </c>
      <c r="G364" s="18">
        <v>27.8</v>
      </c>
      <c r="H364" s="18">
        <f t="shared" si="31"/>
        <v>83400</v>
      </c>
      <c r="I364" s="184">
        <v>27.5</v>
      </c>
      <c r="J364" s="184">
        <f t="shared" si="32"/>
        <v>0.30000000000000071</v>
      </c>
      <c r="K364" s="185">
        <f t="shared" si="33"/>
        <v>900.00000000000216</v>
      </c>
      <c r="L364" s="186">
        <f t="shared" si="26"/>
        <v>1.0791366906474845E-2</v>
      </c>
      <c r="M364" s="12" t="s">
        <v>40</v>
      </c>
      <c r="N364" s="12" t="s">
        <v>39</v>
      </c>
    </row>
    <row r="365" spans="1:14">
      <c r="A365" s="172" t="s">
        <v>327</v>
      </c>
      <c r="B365" s="181" t="s">
        <v>3467</v>
      </c>
      <c r="C365" s="12" t="s">
        <v>617</v>
      </c>
      <c r="D365" s="12" t="s">
        <v>275</v>
      </c>
      <c r="E365" s="182">
        <v>3000</v>
      </c>
      <c r="F365" s="172" t="s">
        <v>37</v>
      </c>
      <c r="G365" s="18">
        <v>27.8</v>
      </c>
      <c r="H365" s="18">
        <f t="shared" si="31"/>
        <v>83400</v>
      </c>
      <c r="I365" s="184">
        <v>27.5</v>
      </c>
      <c r="J365" s="184">
        <f t="shared" si="32"/>
        <v>0.30000000000000071</v>
      </c>
      <c r="K365" s="185">
        <f t="shared" si="33"/>
        <v>900.00000000000216</v>
      </c>
      <c r="L365" s="186">
        <f t="shared" si="26"/>
        <v>1.0791366906474845E-2</v>
      </c>
      <c r="M365" s="12" t="s">
        <v>40</v>
      </c>
      <c r="N365" s="12" t="s">
        <v>39</v>
      </c>
    </row>
    <row r="366" spans="1:14">
      <c r="A366" s="172" t="s">
        <v>327</v>
      </c>
      <c r="B366" s="181" t="s">
        <v>3467</v>
      </c>
      <c r="C366" s="12" t="s">
        <v>617</v>
      </c>
      <c r="D366" s="12" t="s">
        <v>333</v>
      </c>
      <c r="E366" s="182">
        <v>3108</v>
      </c>
      <c r="F366" s="172" t="s">
        <v>37</v>
      </c>
      <c r="G366" s="18">
        <v>27.8</v>
      </c>
      <c r="H366" s="18">
        <f t="shared" si="31"/>
        <v>86402.400000000009</v>
      </c>
      <c r="I366" s="184">
        <v>27.5</v>
      </c>
      <c r="J366" s="184">
        <f t="shared" si="32"/>
        <v>0.30000000000000071</v>
      </c>
      <c r="K366" s="185">
        <f t="shared" si="33"/>
        <v>932.40000000000225</v>
      </c>
      <c r="L366" s="186">
        <f t="shared" si="26"/>
        <v>1.0791366906474845E-2</v>
      </c>
      <c r="M366" s="12" t="s">
        <v>40</v>
      </c>
      <c r="N366" s="12" t="s">
        <v>39</v>
      </c>
    </row>
    <row r="367" spans="1:14">
      <c r="A367" s="172" t="s">
        <v>327</v>
      </c>
      <c r="B367" s="181" t="s">
        <v>3468</v>
      </c>
      <c r="C367" s="12" t="s">
        <v>3235</v>
      </c>
      <c r="D367" s="12" t="s">
        <v>2345</v>
      </c>
      <c r="E367" s="182">
        <v>3000</v>
      </c>
      <c r="F367" s="172" t="s">
        <v>37</v>
      </c>
      <c r="G367" s="18">
        <v>27.4</v>
      </c>
      <c r="H367" s="18">
        <f t="shared" si="31"/>
        <v>82200</v>
      </c>
      <c r="I367" s="184">
        <v>27</v>
      </c>
      <c r="J367" s="184">
        <f t="shared" si="32"/>
        <v>0.39999999999999858</v>
      </c>
      <c r="K367" s="185">
        <f t="shared" si="33"/>
        <v>1199.9999999999957</v>
      </c>
      <c r="L367" s="186">
        <f t="shared" si="26"/>
        <v>1.4598540145985351E-2</v>
      </c>
      <c r="M367" s="12" t="s">
        <v>40</v>
      </c>
      <c r="N367" s="12" t="s">
        <v>39</v>
      </c>
    </row>
    <row r="368" spans="1:14">
      <c r="A368" s="172" t="s">
        <v>327</v>
      </c>
      <c r="B368" s="181" t="s">
        <v>3468</v>
      </c>
      <c r="C368" s="12" t="s">
        <v>3235</v>
      </c>
      <c r="D368" s="12" t="s">
        <v>274</v>
      </c>
      <c r="E368" s="182">
        <v>9000</v>
      </c>
      <c r="F368" s="172" t="s">
        <v>37</v>
      </c>
      <c r="G368" s="18">
        <v>27.4</v>
      </c>
      <c r="H368" s="18">
        <f t="shared" si="31"/>
        <v>246600</v>
      </c>
      <c r="I368" s="184">
        <v>27</v>
      </c>
      <c r="J368" s="184">
        <f t="shared" si="32"/>
        <v>0.39999999999999858</v>
      </c>
      <c r="K368" s="185">
        <f t="shared" si="33"/>
        <v>3599.9999999999873</v>
      </c>
      <c r="L368" s="186">
        <f t="shared" si="26"/>
        <v>1.4598540145985351E-2</v>
      </c>
      <c r="M368" s="12" t="s">
        <v>40</v>
      </c>
      <c r="N368" s="12" t="s">
        <v>39</v>
      </c>
    </row>
    <row r="369" spans="1:14">
      <c r="A369" s="180" t="s">
        <v>464</v>
      </c>
      <c r="B369" s="181" t="s">
        <v>3469</v>
      </c>
      <c r="C369" s="12" t="s">
        <v>617</v>
      </c>
      <c r="D369" s="138" t="s">
        <v>996</v>
      </c>
      <c r="E369" s="228">
        <v>6000</v>
      </c>
      <c r="F369" s="172" t="s">
        <v>37</v>
      </c>
      <c r="G369" s="229">
        <v>28</v>
      </c>
      <c r="H369" s="18">
        <f t="shared" ref="H369:H432" si="34">G369*E369</f>
        <v>168000</v>
      </c>
      <c r="I369" s="230">
        <v>27.5</v>
      </c>
      <c r="J369" s="184">
        <f t="shared" ref="J369:J432" si="35">G369-I369</f>
        <v>0.5</v>
      </c>
      <c r="K369" s="185">
        <f t="shared" ref="K369:K432" si="36">J369*E369</f>
        <v>3000</v>
      </c>
      <c r="L369" s="186">
        <f t="shared" ref="L369:L432" si="37">J369/G369</f>
        <v>1.7857142857142856E-2</v>
      </c>
      <c r="M369" s="12" t="s">
        <v>40</v>
      </c>
      <c r="N369" s="12" t="s">
        <v>39</v>
      </c>
    </row>
    <row r="370" spans="1:14">
      <c r="A370" s="172" t="s">
        <v>464</v>
      </c>
      <c r="B370" s="181" t="s">
        <v>3469</v>
      </c>
      <c r="C370" s="12" t="s">
        <v>617</v>
      </c>
      <c r="D370" s="140" t="s">
        <v>996</v>
      </c>
      <c r="E370" s="223">
        <v>3000</v>
      </c>
      <c r="F370" s="172" t="s">
        <v>37</v>
      </c>
      <c r="G370" s="229">
        <v>28</v>
      </c>
      <c r="H370" s="18">
        <f t="shared" si="34"/>
        <v>84000</v>
      </c>
      <c r="I370" s="230">
        <v>27.5</v>
      </c>
      <c r="J370" s="184">
        <f t="shared" si="35"/>
        <v>0.5</v>
      </c>
      <c r="K370" s="185">
        <f t="shared" si="36"/>
        <v>1500</v>
      </c>
      <c r="L370" s="186">
        <f t="shared" si="37"/>
        <v>1.7857142857142856E-2</v>
      </c>
      <c r="M370" s="12" t="s">
        <v>40</v>
      </c>
      <c r="N370" s="12" t="s">
        <v>39</v>
      </c>
    </row>
    <row r="371" spans="1:14">
      <c r="A371" s="172" t="s">
        <v>464</v>
      </c>
      <c r="B371" s="181" t="s">
        <v>3469</v>
      </c>
      <c r="C371" s="12" t="s">
        <v>617</v>
      </c>
      <c r="D371" s="140" t="s">
        <v>230</v>
      </c>
      <c r="E371" s="223">
        <v>3000</v>
      </c>
      <c r="F371" s="172" t="s">
        <v>37</v>
      </c>
      <c r="G371" s="229">
        <v>28</v>
      </c>
      <c r="H371" s="18">
        <f t="shared" si="34"/>
        <v>84000</v>
      </c>
      <c r="I371" s="230">
        <v>27.5</v>
      </c>
      <c r="J371" s="184">
        <f t="shared" si="35"/>
        <v>0.5</v>
      </c>
      <c r="K371" s="185">
        <f t="shared" si="36"/>
        <v>1500</v>
      </c>
      <c r="L371" s="186">
        <f t="shared" si="37"/>
        <v>1.7857142857142856E-2</v>
      </c>
      <c r="M371" s="12" t="s">
        <v>40</v>
      </c>
      <c r="N371" s="12" t="s">
        <v>39</v>
      </c>
    </row>
    <row r="372" spans="1:14">
      <c r="A372" s="172" t="s">
        <v>464</v>
      </c>
      <c r="B372" s="181" t="s">
        <v>3470</v>
      </c>
      <c r="C372" s="12" t="s">
        <v>270</v>
      </c>
      <c r="D372" s="140" t="s">
        <v>3471</v>
      </c>
      <c r="E372" s="223">
        <v>51</v>
      </c>
      <c r="F372" s="172" t="s">
        <v>1608</v>
      </c>
      <c r="G372" s="226">
        <v>175458</v>
      </c>
      <c r="H372" s="18">
        <f t="shared" si="34"/>
        <v>8948358</v>
      </c>
      <c r="I372" s="227">
        <v>166692</v>
      </c>
      <c r="J372" s="184">
        <f t="shared" si="35"/>
        <v>8766</v>
      </c>
      <c r="K372" s="185">
        <f t="shared" si="36"/>
        <v>447066</v>
      </c>
      <c r="L372" s="186">
        <f t="shared" si="37"/>
        <v>4.9960674349416957E-2</v>
      </c>
      <c r="M372" s="12" t="s">
        <v>40</v>
      </c>
      <c r="N372" s="12" t="s">
        <v>39</v>
      </c>
    </row>
    <row r="373" spans="1:14">
      <c r="A373" s="172" t="s">
        <v>464</v>
      </c>
      <c r="B373" s="181" t="s">
        <v>3472</v>
      </c>
      <c r="C373" s="12" t="s">
        <v>1119</v>
      </c>
      <c r="D373" s="140" t="s">
        <v>3473</v>
      </c>
      <c r="E373" s="223">
        <v>94</v>
      </c>
      <c r="F373" s="172" t="s">
        <v>1616</v>
      </c>
      <c r="G373" s="226">
        <v>230</v>
      </c>
      <c r="H373" s="18">
        <f t="shared" si="34"/>
        <v>21620</v>
      </c>
      <c r="I373" s="227">
        <v>220</v>
      </c>
      <c r="J373" s="184">
        <f t="shared" si="35"/>
        <v>10</v>
      </c>
      <c r="K373" s="185">
        <f t="shared" si="36"/>
        <v>940</v>
      </c>
      <c r="L373" s="186">
        <f t="shared" si="37"/>
        <v>4.3478260869565216E-2</v>
      </c>
      <c r="M373" s="12" t="s">
        <v>40</v>
      </c>
      <c r="N373" s="12" t="s">
        <v>39</v>
      </c>
    </row>
    <row r="374" spans="1:14">
      <c r="A374" s="172" t="s">
        <v>464</v>
      </c>
      <c r="B374" s="181" t="s">
        <v>3474</v>
      </c>
      <c r="C374" s="12" t="s">
        <v>1119</v>
      </c>
      <c r="D374" s="224" t="s">
        <v>3475</v>
      </c>
      <c r="E374" s="231">
        <v>652</v>
      </c>
      <c r="F374" s="172" t="s">
        <v>1616</v>
      </c>
      <c r="G374" s="232">
        <v>22</v>
      </c>
      <c r="H374" s="18">
        <f t="shared" si="34"/>
        <v>14344</v>
      </c>
      <c r="I374" s="233">
        <v>20</v>
      </c>
      <c r="J374" s="184">
        <f t="shared" si="35"/>
        <v>2</v>
      </c>
      <c r="K374" s="185">
        <f t="shared" si="36"/>
        <v>1304</v>
      </c>
      <c r="L374" s="186">
        <f t="shared" si="37"/>
        <v>9.0909090909090912E-2</v>
      </c>
      <c r="M374" s="12" t="s">
        <v>22</v>
      </c>
      <c r="N374" s="12" t="s">
        <v>39</v>
      </c>
    </row>
    <row r="375" spans="1:14">
      <c r="A375" s="172" t="s">
        <v>464</v>
      </c>
      <c r="B375" s="181" t="s">
        <v>3474</v>
      </c>
      <c r="C375" s="12" t="s">
        <v>1119</v>
      </c>
      <c r="D375" s="224" t="s">
        <v>3476</v>
      </c>
      <c r="E375" s="231">
        <v>1902</v>
      </c>
      <c r="F375" s="172" t="s">
        <v>1616</v>
      </c>
      <c r="G375" s="232">
        <v>28</v>
      </c>
      <c r="H375" s="18">
        <f t="shared" si="34"/>
        <v>53256</v>
      </c>
      <c r="I375" s="233">
        <v>26</v>
      </c>
      <c r="J375" s="184">
        <f t="shared" si="35"/>
        <v>2</v>
      </c>
      <c r="K375" s="185">
        <f t="shared" si="36"/>
        <v>3804</v>
      </c>
      <c r="L375" s="186">
        <f t="shared" si="37"/>
        <v>7.1428571428571425E-2</v>
      </c>
      <c r="M375" s="12" t="s">
        <v>22</v>
      </c>
      <c r="N375" s="12" t="s">
        <v>39</v>
      </c>
    </row>
    <row r="376" spans="1:14">
      <c r="A376" s="172" t="s">
        <v>464</v>
      </c>
      <c r="B376" s="181" t="s">
        <v>3474</v>
      </c>
      <c r="C376" s="12" t="s">
        <v>1119</v>
      </c>
      <c r="D376" s="234" t="s">
        <v>3477</v>
      </c>
      <c r="E376" s="235">
        <v>2376</v>
      </c>
      <c r="F376" s="172" t="s">
        <v>1616</v>
      </c>
      <c r="G376" s="236">
        <v>32</v>
      </c>
      <c r="H376" s="18">
        <f t="shared" si="34"/>
        <v>76032</v>
      </c>
      <c r="I376" s="237">
        <v>30</v>
      </c>
      <c r="J376" s="184">
        <f t="shared" si="35"/>
        <v>2</v>
      </c>
      <c r="K376" s="185">
        <f t="shared" si="36"/>
        <v>4752</v>
      </c>
      <c r="L376" s="186">
        <f t="shared" si="37"/>
        <v>6.25E-2</v>
      </c>
      <c r="M376" s="12" t="s">
        <v>22</v>
      </c>
      <c r="N376" s="12" t="s">
        <v>39</v>
      </c>
    </row>
    <row r="377" spans="1:14">
      <c r="A377" s="172" t="s">
        <v>464</v>
      </c>
      <c r="B377" s="181" t="s">
        <v>3474</v>
      </c>
      <c r="C377" s="12" t="s">
        <v>1119</v>
      </c>
      <c r="D377" s="238" t="s">
        <v>3478</v>
      </c>
      <c r="E377" s="239">
        <v>160</v>
      </c>
      <c r="F377" s="172" t="s">
        <v>1616</v>
      </c>
      <c r="G377" s="236">
        <v>30</v>
      </c>
      <c r="H377" s="18">
        <f t="shared" si="34"/>
        <v>4800</v>
      </c>
      <c r="I377" s="237">
        <v>28</v>
      </c>
      <c r="J377" s="184">
        <f t="shared" si="35"/>
        <v>2</v>
      </c>
      <c r="K377" s="185">
        <f t="shared" si="36"/>
        <v>320</v>
      </c>
      <c r="L377" s="186">
        <f t="shared" si="37"/>
        <v>6.6666666666666666E-2</v>
      </c>
      <c r="M377" s="12" t="s">
        <v>22</v>
      </c>
      <c r="N377" s="12" t="s">
        <v>39</v>
      </c>
    </row>
    <row r="378" spans="1:14">
      <c r="A378" s="172" t="s">
        <v>464</v>
      </c>
      <c r="B378" s="181" t="s">
        <v>3474</v>
      </c>
      <c r="C378" s="12" t="s">
        <v>1119</v>
      </c>
      <c r="D378" s="234" t="s">
        <v>3479</v>
      </c>
      <c r="E378" s="235">
        <v>432</v>
      </c>
      <c r="F378" s="172" t="s">
        <v>1616</v>
      </c>
      <c r="G378" s="236">
        <v>37</v>
      </c>
      <c r="H378" s="18">
        <f t="shared" si="34"/>
        <v>15984</v>
      </c>
      <c r="I378" s="237">
        <v>35</v>
      </c>
      <c r="J378" s="184">
        <f t="shared" si="35"/>
        <v>2</v>
      </c>
      <c r="K378" s="185">
        <f t="shared" si="36"/>
        <v>864</v>
      </c>
      <c r="L378" s="186">
        <f t="shared" si="37"/>
        <v>5.4054054054054057E-2</v>
      </c>
      <c r="M378" s="12" t="s">
        <v>22</v>
      </c>
      <c r="N378" s="12" t="s">
        <v>39</v>
      </c>
    </row>
    <row r="379" spans="1:14">
      <c r="A379" s="172" t="s">
        <v>464</v>
      </c>
      <c r="B379" s="181" t="s">
        <v>3480</v>
      </c>
      <c r="C379" s="12" t="s">
        <v>329</v>
      </c>
      <c r="D379" s="211" t="s">
        <v>3481</v>
      </c>
      <c r="E379" s="182">
        <v>120</v>
      </c>
      <c r="F379" s="172" t="s">
        <v>19</v>
      </c>
      <c r="G379" s="18">
        <v>540</v>
      </c>
      <c r="H379" s="18">
        <f t="shared" si="34"/>
        <v>64800</v>
      </c>
      <c r="I379" s="184">
        <v>520</v>
      </c>
      <c r="J379" s="184">
        <f t="shared" si="35"/>
        <v>20</v>
      </c>
      <c r="K379" s="185">
        <f t="shared" si="36"/>
        <v>2400</v>
      </c>
      <c r="L379" s="186">
        <f t="shared" si="37"/>
        <v>3.7037037037037035E-2</v>
      </c>
      <c r="M379" s="12" t="s">
        <v>22</v>
      </c>
      <c r="N379" s="12" t="s">
        <v>39</v>
      </c>
    </row>
    <row r="380" spans="1:14">
      <c r="A380" s="172" t="s">
        <v>464</v>
      </c>
      <c r="B380" s="181" t="s">
        <v>3480</v>
      </c>
      <c r="C380" s="12" t="s">
        <v>329</v>
      </c>
      <c r="D380" s="211" t="s">
        <v>3482</v>
      </c>
      <c r="E380" s="182">
        <v>60</v>
      </c>
      <c r="F380" s="172" t="s">
        <v>19</v>
      </c>
      <c r="G380" s="18">
        <v>490</v>
      </c>
      <c r="H380" s="18">
        <f t="shared" si="34"/>
        <v>29400</v>
      </c>
      <c r="I380" s="184">
        <v>470</v>
      </c>
      <c r="J380" s="184">
        <f t="shared" si="35"/>
        <v>20</v>
      </c>
      <c r="K380" s="185">
        <f t="shared" si="36"/>
        <v>1200</v>
      </c>
      <c r="L380" s="186">
        <f t="shared" si="37"/>
        <v>4.0816326530612242E-2</v>
      </c>
      <c r="M380" s="12" t="s">
        <v>22</v>
      </c>
      <c r="N380" s="12" t="s">
        <v>39</v>
      </c>
    </row>
    <row r="381" spans="1:14">
      <c r="A381" s="172" t="s">
        <v>464</v>
      </c>
      <c r="B381" s="181" t="s">
        <v>3480</v>
      </c>
      <c r="C381" s="12" t="s">
        <v>329</v>
      </c>
      <c r="D381" s="211" t="s">
        <v>3483</v>
      </c>
      <c r="E381" s="182">
        <v>60</v>
      </c>
      <c r="F381" s="172" t="s">
        <v>19</v>
      </c>
      <c r="G381" s="18">
        <v>280</v>
      </c>
      <c r="H381" s="18">
        <f t="shared" si="34"/>
        <v>16800</v>
      </c>
      <c r="I381" s="184">
        <v>260</v>
      </c>
      <c r="J381" s="184">
        <f t="shared" si="35"/>
        <v>20</v>
      </c>
      <c r="K381" s="185">
        <f t="shared" si="36"/>
        <v>1200</v>
      </c>
      <c r="L381" s="186">
        <f t="shared" si="37"/>
        <v>7.1428571428571425E-2</v>
      </c>
      <c r="M381" s="12" t="s">
        <v>22</v>
      </c>
      <c r="N381" s="12" t="s">
        <v>39</v>
      </c>
    </row>
    <row r="382" spans="1:14">
      <c r="A382" s="172" t="s">
        <v>464</v>
      </c>
      <c r="B382" s="181" t="s">
        <v>3484</v>
      </c>
      <c r="C382" s="12" t="s">
        <v>200</v>
      </c>
      <c r="D382" s="211" t="s">
        <v>3485</v>
      </c>
      <c r="E382" s="182">
        <v>5</v>
      </c>
      <c r="F382" s="172" t="s">
        <v>19</v>
      </c>
      <c r="G382" s="18">
        <v>3000</v>
      </c>
      <c r="H382" s="18">
        <f t="shared" si="34"/>
        <v>15000</v>
      </c>
      <c r="I382" s="184">
        <v>2300</v>
      </c>
      <c r="J382" s="184">
        <f t="shared" si="35"/>
        <v>700</v>
      </c>
      <c r="K382" s="185">
        <f t="shared" si="36"/>
        <v>3500</v>
      </c>
      <c r="L382" s="186">
        <f t="shared" si="37"/>
        <v>0.23333333333333334</v>
      </c>
      <c r="M382" s="12" t="s">
        <v>22</v>
      </c>
      <c r="N382" s="12" t="s">
        <v>39</v>
      </c>
    </row>
    <row r="383" spans="1:14">
      <c r="A383" s="172" t="s">
        <v>464</v>
      </c>
      <c r="B383" s="181" t="s">
        <v>3486</v>
      </c>
      <c r="C383" s="12" t="s">
        <v>1119</v>
      </c>
      <c r="D383" s="211" t="s">
        <v>3487</v>
      </c>
      <c r="E383" s="182">
        <v>94</v>
      </c>
      <c r="F383" s="172" t="s">
        <v>19</v>
      </c>
      <c r="G383" s="18">
        <v>380</v>
      </c>
      <c r="H383" s="18">
        <f t="shared" si="34"/>
        <v>35720</v>
      </c>
      <c r="I383" s="184">
        <v>360</v>
      </c>
      <c r="J383" s="184">
        <f t="shared" si="35"/>
        <v>20</v>
      </c>
      <c r="K383" s="185">
        <f t="shared" si="36"/>
        <v>1880</v>
      </c>
      <c r="L383" s="186">
        <f t="shared" si="37"/>
        <v>5.2631578947368418E-2</v>
      </c>
      <c r="M383" s="12" t="s">
        <v>40</v>
      </c>
      <c r="N383" s="12" t="s">
        <v>39</v>
      </c>
    </row>
    <row r="384" spans="1:14">
      <c r="A384" s="172" t="s">
        <v>464</v>
      </c>
      <c r="B384" s="181" t="s">
        <v>3488</v>
      </c>
      <c r="C384" s="12" t="s">
        <v>590</v>
      </c>
      <c r="D384" s="211" t="s">
        <v>3489</v>
      </c>
      <c r="E384" s="182">
        <v>1</v>
      </c>
      <c r="F384" s="172" t="s">
        <v>1608</v>
      </c>
      <c r="G384" s="18">
        <v>58500</v>
      </c>
      <c r="H384" s="18">
        <f t="shared" si="34"/>
        <v>58500</v>
      </c>
      <c r="I384" s="184">
        <v>56100</v>
      </c>
      <c r="J384" s="184">
        <f t="shared" si="35"/>
        <v>2400</v>
      </c>
      <c r="K384" s="185">
        <f t="shared" si="36"/>
        <v>2400</v>
      </c>
      <c r="L384" s="186">
        <f t="shared" si="37"/>
        <v>4.1025641025641026E-2</v>
      </c>
      <c r="M384" s="12" t="s">
        <v>22</v>
      </c>
      <c r="N384" s="12" t="s">
        <v>39</v>
      </c>
    </row>
    <row r="385" spans="1:14">
      <c r="A385" s="172" t="s">
        <v>464</v>
      </c>
      <c r="B385" s="181" t="s">
        <v>3488</v>
      </c>
      <c r="C385" s="12" t="s">
        <v>590</v>
      </c>
      <c r="D385" s="211" t="s">
        <v>3490</v>
      </c>
      <c r="E385" s="182">
        <v>3</v>
      </c>
      <c r="F385" s="172" t="s">
        <v>1608</v>
      </c>
      <c r="G385" s="18">
        <v>80000</v>
      </c>
      <c r="H385" s="18">
        <f t="shared" si="34"/>
        <v>240000</v>
      </c>
      <c r="I385" s="184">
        <v>77500</v>
      </c>
      <c r="J385" s="184">
        <f t="shared" si="35"/>
        <v>2500</v>
      </c>
      <c r="K385" s="185">
        <f t="shared" si="36"/>
        <v>7500</v>
      </c>
      <c r="L385" s="186">
        <f t="shared" si="37"/>
        <v>3.125E-2</v>
      </c>
      <c r="M385" s="12" t="s">
        <v>22</v>
      </c>
      <c r="N385" s="12" t="s">
        <v>39</v>
      </c>
    </row>
    <row r="386" spans="1:14">
      <c r="A386" s="172" t="s">
        <v>464</v>
      </c>
      <c r="B386" s="181" t="s">
        <v>3491</v>
      </c>
      <c r="C386" s="12" t="s">
        <v>329</v>
      </c>
      <c r="D386" s="211" t="s">
        <v>3492</v>
      </c>
      <c r="E386" s="182">
        <v>60</v>
      </c>
      <c r="F386" s="172" t="s">
        <v>19</v>
      </c>
      <c r="G386" s="18">
        <v>1950</v>
      </c>
      <c r="H386" s="18">
        <f t="shared" si="34"/>
        <v>117000</v>
      </c>
      <c r="I386" s="184">
        <v>1920</v>
      </c>
      <c r="J386" s="184">
        <f t="shared" si="35"/>
        <v>30</v>
      </c>
      <c r="K386" s="185">
        <f t="shared" si="36"/>
        <v>1800</v>
      </c>
      <c r="L386" s="186">
        <f t="shared" si="37"/>
        <v>1.5384615384615385E-2</v>
      </c>
      <c r="M386" s="12" t="s">
        <v>22</v>
      </c>
      <c r="N386" s="12" t="s">
        <v>39</v>
      </c>
    </row>
    <row r="387" spans="1:14">
      <c r="A387" s="172" t="s">
        <v>464</v>
      </c>
      <c r="B387" s="181" t="s">
        <v>3493</v>
      </c>
      <c r="C387" s="12" t="s">
        <v>94</v>
      </c>
      <c r="D387" s="211" t="s">
        <v>550</v>
      </c>
      <c r="E387" s="182">
        <v>200</v>
      </c>
      <c r="F387" s="172" t="s">
        <v>19</v>
      </c>
      <c r="G387" s="18">
        <v>50</v>
      </c>
      <c r="H387" s="18">
        <f>G387*E387</f>
        <v>10000</v>
      </c>
      <c r="I387" s="184">
        <v>47.56</v>
      </c>
      <c r="J387" s="184">
        <f t="shared" si="35"/>
        <v>2.4399999999999977</v>
      </c>
      <c r="K387" s="185">
        <f>J387*E387</f>
        <v>487.99999999999955</v>
      </c>
      <c r="L387" s="186">
        <f t="shared" si="37"/>
        <v>4.8799999999999955E-2</v>
      </c>
      <c r="M387" s="12" t="s">
        <v>22</v>
      </c>
      <c r="N387" s="12" t="s">
        <v>105</v>
      </c>
    </row>
    <row r="388" spans="1:14">
      <c r="A388" s="172" t="s">
        <v>464</v>
      </c>
      <c r="B388" s="181" t="s">
        <v>3493</v>
      </c>
      <c r="C388" s="12" t="s">
        <v>94</v>
      </c>
      <c r="D388" s="211" t="s">
        <v>546</v>
      </c>
      <c r="E388" s="182">
        <v>200</v>
      </c>
      <c r="F388" s="172" t="s">
        <v>19</v>
      </c>
      <c r="G388" s="18">
        <v>190</v>
      </c>
      <c r="H388" s="18">
        <f>G388*E388</f>
        <v>38000</v>
      </c>
      <c r="I388" s="184">
        <v>185.25</v>
      </c>
      <c r="J388" s="184">
        <f>G388-I388</f>
        <v>4.75</v>
      </c>
      <c r="K388" s="185">
        <f t="shared" si="36"/>
        <v>950</v>
      </c>
      <c r="L388" s="186">
        <f>J388/G388</f>
        <v>2.5000000000000001E-2</v>
      </c>
      <c r="M388" s="12" t="s">
        <v>22</v>
      </c>
      <c r="N388" s="12" t="s">
        <v>105</v>
      </c>
    </row>
    <row r="389" spans="1:14">
      <c r="A389" s="172" t="s">
        <v>464</v>
      </c>
      <c r="B389" s="181" t="s">
        <v>3493</v>
      </c>
      <c r="C389" s="12" t="s">
        <v>94</v>
      </c>
      <c r="D389" s="211" t="s">
        <v>457</v>
      </c>
      <c r="E389" s="182">
        <v>200</v>
      </c>
      <c r="F389" s="172" t="s">
        <v>19</v>
      </c>
      <c r="G389" s="18">
        <v>5.25</v>
      </c>
      <c r="H389" s="18">
        <f t="shared" si="34"/>
        <v>1050</v>
      </c>
      <c r="I389" s="184">
        <v>5.0999999999999996</v>
      </c>
      <c r="J389" s="184">
        <f t="shared" si="35"/>
        <v>0.15000000000000036</v>
      </c>
      <c r="K389" s="185">
        <f t="shared" si="36"/>
        <v>30.000000000000071</v>
      </c>
      <c r="L389" s="186">
        <f t="shared" si="37"/>
        <v>2.857142857142864E-2</v>
      </c>
      <c r="M389" s="12" t="s">
        <v>22</v>
      </c>
      <c r="N389" s="12" t="s">
        <v>105</v>
      </c>
    </row>
    <row r="390" spans="1:14">
      <c r="A390" s="172" t="s">
        <v>464</v>
      </c>
      <c r="B390" s="181" t="s">
        <v>3493</v>
      </c>
      <c r="C390" s="12" t="s">
        <v>94</v>
      </c>
      <c r="D390" s="211" t="s">
        <v>456</v>
      </c>
      <c r="E390" s="182">
        <v>300</v>
      </c>
      <c r="F390" s="172" t="s">
        <v>19</v>
      </c>
      <c r="G390" s="18">
        <v>2.6</v>
      </c>
      <c r="H390" s="18">
        <f t="shared" si="34"/>
        <v>780</v>
      </c>
      <c r="I390" s="184">
        <v>2.5499999999999998</v>
      </c>
      <c r="J390" s="184">
        <f t="shared" si="35"/>
        <v>5.0000000000000266E-2</v>
      </c>
      <c r="K390" s="185">
        <f t="shared" si="36"/>
        <v>15.00000000000008</v>
      </c>
      <c r="L390" s="186">
        <f t="shared" si="37"/>
        <v>1.9230769230769332E-2</v>
      </c>
      <c r="M390" s="12" t="s">
        <v>22</v>
      </c>
      <c r="N390" s="12" t="s">
        <v>105</v>
      </c>
    </row>
    <row r="391" spans="1:14">
      <c r="A391" s="172" t="s">
        <v>464</v>
      </c>
      <c r="B391" s="181" t="s">
        <v>3494</v>
      </c>
      <c r="C391" s="12" t="s">
        <v>270</v>
      </c>
      <c r="D391" s="211" t="s">
        <v>1244</v>
      </c>
      <c r="E391" s="182">
        <v>1</v>
      </c>
      <c r="F391" s="172" t="s">
        <v>1608</v>
      </c>
      <c r="G391" s="18">
        <v>149679</v>
      </c>
      <c r="H391" s="18">
        <f t="shared" si="34"/>
        <v>149679</v>
      </c>
      <c r="I391" s="184">
        <v>146691</v>
      </c>
      <c r="J391" s="184">
        <f t="shared" si="35"/>
        <v>2988</v>
      </c>
      <c r="K391" s="185">
        <f t="shared" si="36"/>
        <v>2988</v>
      </c>
      <c r="L391" s="186">
        <f t="shared" si="37"/>
        <v>1.9962720221273527E-2</v>
      </c>
      <c r="M391" s="12" t="s">
        <v>40</v>
      </c>
      <c r="N391" s="12" t="s">
        <v>105</v>
      </c>
    </row>
    <row r="392" spans="1:14">
      <c r="A392" s="172" t="s">
        <v>464</v>
      </c>
      <c r="B392" s="181" t="s">
        <v>3495</v>
      </c>
      <c r="C392" s="12" t="s">
        <v>192</v>
      </c>
      <c r="D392" s="211" t="s">
        <v>3496</v>
      </c>
      <c r="E392" s="182">
        <v>1</v>
      </c>
      <c r="F392" s="172" t="s">
        <v>19</v>
      </c>
      <c r="G392" s="18">
        <v>29900</v>
      </c>
      <c r="H392" s="18">
        <f t="shared" si="34"/>
        <v>29900</v>
      </c>
      <c r="I392" s="184">
        <v>17970</v>
      </c>
      <c r="J392" s="184">
        <f t="shared" si="35"/>
        <v>11930</v>
      </c>
      <c r="K392" s="185">
        <f t="shared" si="36"/>
        <v>11930</v>
      </c>
      <c r="L392" s="186">
        <f t="shared" si="37"/>
        <v>0.39899665551839464</v>
      </c>
      <c r="M392" s="12" t="s">
        <v>40</v>
      </c>
      <c r="N392" s="12" t="s">
        <v>105</v>
      </c>
    </row>
    <row r="393" spans="1:14">
      <c r="A393" s="172" t="s">
        <v>464</v>
      </c>
      <c r="B393" s="181" t="s">
        <v>3497</v>
      </c>
      <c r="C393" s="12" t="s">
        <v>68</v>
      </c>
      <c r="D393" s="211" t="s">
        <v>962</v>
      </c>
      <c r="E393" s="182">
        <v>976.8</v>
      </c>
      <c r="F393" s="172" t="s">
        <v>37</v>
      </c>
      <c r="G393" s="18">
        <v>375</v>
      </c>
      <c r="H393" s="18">
        <f t="shared" si="34"/>
        <v>366300</v>
      </c>
      <c r="I393" s="184">
        <v>370</v>
      </c>
      <c r="J393" s="184">
        <f t="shared" si="35"/>
        <v>5</v>
      </c>
      <c r="K393" s="185">
        <f t="shared" si="36"/>
        <v>4884</v>
      </c>
      <c r="L393" s="186">
        <f t="shared" si="37"/>
        <v>1.3333333333333334E-2</v>
      </c>
      <c r="M393" s="12" t="s">
        <v>40</v>
      </c>
      <c r="N393" s="12" t="s">
        <v>105</v>
      </c>
    </row>
    <row r="394" spans="1:14">
      <c r="A394" s="172" t="s">
        <v>464</v>
      </c>
      <c r="B394" s="181" t="s">
        <v>3498</v>
      </c>
      <c r="C394" s="181" t="s">
        <v>1042</v>
      </c>
      <c r="D394" s="211" t="s">
        <v>1141</v>
      </c>
      <c r="E394" s="182">
        <v>100</v>
      </c>
      <c r="F394" s="172" t="s">
        <v>37</v>
      </c>
      <c r="G394" s="18">
        <v>417</v>
      </c>
      <c r="H394" s="18">
        <f t="shared" si="34"/>
        <v>41700</v>
      </c>
      <c r="I394" s="184">
        <v>389</v>
      </c>
      <c r="J394" s="184">
        <f t="shared" si="35"/>
        <v>28</v>
      </c>
      <c r="K394" s="185">
        <f t="shared" si="36"/>
        <v>2800</v>
      </c>
      <c r="L394" s="186">
        <f t="shared" si="37"/>
        <v>6.7146282973621102E-2</v>
      </c>
      <c r="M394" s="12" t="s">
        <v>22</v>
      </c>
      <c r="N394" s="12" t="s">
        <v>105</v>
      </c>
    </row>
    <row r="395" spans="1:14">
      <c r="A395" s="172" t="s">
        <v>464</v>
      </c>
      <c r="B395" s="181" t="s">
        <v>3498</v>
      </c>
      <c r="C395" s="181" t="s">
        <v>1042</v>
      </c>
      <c r="D395" s="211" t="s">
        <v>1319</v>
      </c>
      <c r="E395" s="182">
        <v>100</v>
      </c>
      <c r="F395" s="172" t="s">
        <v>37</v>
      </c>
      <c r="G395" s="18">
        <v>417</v>
      </c>
      <c r="H395" s="18">
        <f t="shared" si="34"/>
        <v>41700</v>
      </c>
      <c r="I395" s="184">
        <v>394</v>
      </c>
      <c r="J395" s="184">
        <f t="shared" si="35"/>
        <v>23</v>
      </c>
      <c r="K395" s="185">
        <f t="shared" si="36"/>
        <v>2300</v>
      </c>
      <c r="L395" s="186">
        <f t="shared" si="37"/>
        <v>5.5155875299760189E-2</v>
      </c>
      <c r="M395" s="12" t="s">
        <v>22</v>
      </c>
      <c r="N395" s="12" t="s">
        <v>105</v>
      </c>
    </row>
    <row r="396" spans="1:14">
      <c r="A396" s="172" t="s">
        <v>464</v>
      </c>
      <c r="B396" s="181" t="s">
        <v>3499</v>
      </c>
      <c r="C396" s="181" t="s">
        <v>1042</v>
      </c>
      <c r="D396" s="211" t="s">
        <v>3500</v>
      </c>
      <c r="E396" s="182">
        <v>1427</v>
      </c>
      <c r="F396" s="172" t="s">
        <v>37</v>
      </c>
      <c r="G396" s="18">
        <v>404</v>
      </c>
      <c r="H396" s="18">
        <f t="shared" si="34"/>
        <v>576508</v>
      </c>
      <c r="I396" s="184">
        <v>372</v>
      </c>
      <c r="J396" s="184">
        <f t="shared" si="35"/>
        <v>32</v>
      </c>
      <c r="K396" s="185">
        <f t="shared" si="36"/>
        <v>45664</v>
      </c>
      <c r="L396" s="186">
        <f t="shared" si="37"/>
        <v>7.9207920792079209E-2</v>
      </c>
      <c r="M396" s="12" t="s">
        <v>22</v>
      </c>
      <c r="N396" s="12" t="s">
        <v>105</v>
      </c>
    </row>
    <row r="397" spans="1:14">
      <c r="A397" s="172" t="s">
        <v>464</v>
      </c>
      <c r="B397" s="181" t="s">
        <v>3501</v>
      </c>
      <c r="C397" s="12" t="s">
        <v>892</v>
      </c>
      <c r="D397" s="211" t="s">
        <v>3379</v>
      </c>
      <c r="E397" s="182">
        <v>188</v>
      </c>
      <c r="F397" s="172" t="s">
        <v>19</v>
      </c>
      <c r="G397" s="18">
        <v>490</v>
      </c>
      <c r="H397" s="18">
        <f t="shared" si="34"/>
        <v>92120</v>
      </c>
      <c r="I397" s="184">
        <v>480</v>
      </c>
      <c r="J397" s="184">
        <f t="shared" si="35"/>
        <v>10</v>
      </c>
      <c r="K397" s="185">
        <f t="shared" si="36"/>
        <v>1880</v>
      </c>
      <c r="L397" s="186">
        <f t="shared" si="37"/>
        <v>2.0408163265306121E-2</v>
      </c>
      <c r="M397" s="12" t="s">
        <v>40</v>
      </c>
      <c r="N397" s="12" t="s">
        <v>105</v>
      </c>
    </row>
    <row r="398" spans="1:14">
      <c r="A398" s="172" t="s">
        <v>464</v>
      </c>
      <c r="B398" s="181" t="s">
        <v>3502</v>
      </c>
      <c r="C398" s="181" t="s">
        <v>1042</v>
      </c>
      <c r="D398" s="211" t="s">
        <v>3500</v>
      </c>
      <c r="E398" s="182">
        <v>3337</v>
      </c>
      <c r="F398" s="172" t="s">
        <v>37</v>
      </c>
      <c r="G398" s="18">
        <v>404</v>
      </c>
      <c r="H398" s="18">
        <f t="shared" si="34"/>
        <v>1348148</v>
      </c>
      <c r="I398" s="184">
        <v>372</v>
      </c>
      <c r="J398" s="184">
        <f t="shared" si="35"/>
        <v>32</v>
      </c>
      <c r="K398" s="185">
        <f t="shared" si="36"/>
        <v>106784</v>
      </c>
      <c r="L398" s="186">
        <f t="shared" si="37"/>
        <v>7.9207920792079209E-2</v>
      </c>
      <c r="M398" s="12" t="s">
        <v>22</v>
      </c>
      <c r="N398" s="12" t="s">
        <v>105</v>
      </c>
    </row>
    <row r="399" spans="1:14">
      <c r="A399" s="172" t="s">
        <v>464</v>
      </c>
      <c r="B399" s="181" t="s">
        <v>3503</v>
      </c>
      <c r="C399" s="12" t="s">
        <v>68</v>
      </c>
      <c r="D399" s="211" t="s">
        <v>962</v>
      </c>
      <c r="E399" s="182">
        <v>2372.1</v>
      </c>
      <c r="F399" s="172" t="s">
        <v>37</v>
      </c>
      <c r="G399" s="18">
        <v>370</v>
      </c>
      <c r="H399" s="18">
        <f t="shared" si="34"/>
        <v>877677</v>
      </c>
      <c r="I399" s="184">
        <v>367</v>
      </c>
      <c r="J399" s="184">
        <f t="shared" si="35"/>
        <v>3</v>
      </c>
      <c r="K399" s="185">
        <f t="shared" si="36"/>
        <v>7116.2999999999993</v>
      </c>
      <c r="L399" s="186">
        <f t="shared" si="37"/>
        <v>8.1081081081081086E-3</v>
      </c>
      <c r="M399" s="12" t="s">
        <v>22</v>
      </c>
      <c r="N399" s="12" t="s">
        <v>105</v>
      </c>
    </row>
    <row r="400" spans="1:14">
      <c r="A400" s="172" t="s">
        <v>464</v>
      </c>
      <c r="B400" s="181" t="s">
        <v>3504</v>
      </c>
      <c r="C400" s="12" t="s">
        <v>1042</v>
      </c>
      <c r="D400" s="211" t="s">
        <v>631</v>
      </c>
      <c r="E400" s="182">
        <v>1300</v>
      </c>
      <c r="F400" s="172" t="s">
        <v>37</v>
      </c>
      <c r="G400" s="18">
        <v>372</v>
      </c>
      <c r="H400" s="18">
        <f t="shared" si="34"/>
        <v>483600</v>
      </c>
      <c r="I400" s="184">
        <v>349</v>
      </c>
      <c r="J400" s="184">
        <f t="shared" si="35"/>
        <v>23</v>
      </c>
      <c r="K400" s="185">
        <f t="shared" si="36"/>
        <v>29900</v>
      </c>
      <c r="L400" s="186">
        <f t="shared" si="37"/>
        <v>6.1827956989247312E-2</v>
      </c>
      <c r="M400" s="12" t="s">
        <v>40</v>
      </c>
      <c r="N400" s="12" t="s">
        <v>105</v>
      </c>
    </row>
    <row r="401" spans="1:14">
      <c r="A401" s="172" t="s">
        <v>464</v>
      </c>
      <c r="B401" s="181" t="s">
        <v>3505</v>
      </c>
      <c r="C401" s="12" t="s">
        <v>270</v>
      </c>
      <c r="D401" s="211" t="s">
        <v>3506</v>
      </c>
      <c r="E401" s="182">
        <v>1</v>
      </c>
      <c r="F401" s="172" t="s">
        <v>1608</v>
      </c>
      <c r="G401" s="18">
        <v>102876</v>
      </c>
      <c r="H401" s="18">
        <f t="shared" si="34"/>
        <v>102876</v>
      </c>
      <c r="I401" s="184">
        <v>100824</v>
      </c>
      <c r="J401" s="184">
        <f t="shared" si="35"/>
        <v>2052</v>
      </c>
      <c r="K401" s="185">
        <f t="shared" si="36"/>
        <v>2052</v>
      </c>
      <c r="L401" s="186">
        <f t="shared" si="37"/>
        <v>1.9946343170418757E-2</v>
      </c>
      <c r="M401" s="12" t="s">
        <v>40</v>
      </c>
      <c r="N401" s="12" t="s">
        <v>105</v>
      </c>
    </row>
    <row r="402" spans="1:14">
      <c r="A402" s="172" t="s">
        <v>464</v>
      </c>
      <c r="B402" s="181" t="s">
        <v>3507</v>
      </c>
      <c r="C402" s="12" t="s">
        <v>1042</v>
      </c>
      <c r="D402" s="211" t="s">
        <v>3508</v>
      </c>
      <c r="E402" s="182">
        <v>18000</v>
      </c>
      <c r="F402" s="172" t="s">
        <v>37</v>
      </c>
      <c r="G402" s="18">
        <v>372</v>
      </c>
      <c r="H402" s="18">
        <f t="shared" si="34"/>
        <v>6696000</v>
      </c>
      <c r="I402" s="184">
        <v>349</v>
      </c>
      <c r="J402" s="184">
        <f t="shared" si="35"/>
        <v>23</v>
      </c>
      <c r="K402" s="185">
        <f t="shared" si="36"/>
        <v>414000</v>
      </c>
      <c r="L402" s="186">
        <f t="shared" si="37"/>
        <v>6.1827956989247312E-2</v>
      </c>
      <c r="M402" s="12" t="s">
        <v>40</v>
      </c>
      <c r="N402" s="12" t="s">
        <v>105</v>
      </c>
    </row>
    <row r="403" spans="1:14">
      <c r="A403" s="172" t="s">
        <v>464</v>
      </c>
      <c r="B403" s="181" t="s">
        <v>3509</v>
      </c>
      <c r="C403" s="12" t="s">
        <v>192</v>
      </c>
      <c r="D403" s="211" t="s">
        <v>3510</v>
      </c>
      <c r="E403" s="182">
        <v>2</v>
      </c>
      <c r="F403" s="172" t="s">
        <v>19</v>
      </c>
      <c r="G403" s="18">
        <v>52790</v>
      </c>
      <c r="H403" s="18">
        <f t="shared" si="34"/>
        <v>105580</v>
      </c>
      <c r="I403" s="184">
        <v>51190</v>
      </c>
      <c r="J403" s="184">
        <f t="shared" si="35"/>
        <v>1600</v>
      </c>
      <c r="K403" s="185">
        <f t="shared" si="36"/>
        <v>3200</v>
      </c>
      <c r="L403" s="186">
        <f t="shared" si="37"/>
        <v>3.0308770600492519E-2</v>
      </c>
      <c r="M403" s="12" t="s">
        <v>40</v>
      </c>
      <c r="N403" s="12" t="s">
        <v>105</v>
      </c>
    </row>
    <row r="404" spans="1:14">
      <c r="A404" s="172" t="s">
        <v>464</v>
      </c>
      <c r="B404" s="181" t="s">
        <v>3511</v>
      </c>
      <c r="C404" s="12" t="s">
        <v>590</v>
      </c>
      <c r="D404" s="211" t="s">
        <v>3512</v>
      </c>
      <c r="E404" s="182">
        <v>3</v>
      </c>
      <c r="F404" s="172" t="s">
        <v>19</v>
      </c>
      <c r="G404" s="18">
        <v>6000</v>
      </c>
      <c r="H404" s="18">
        <f t="shared" si="34"/>
        <v>18000</v>
      </c>
      <c r="I404" s="184">
        <v>5700</v>
      </c>
      <c r="J404" s="184">
        <f t="shared" si="35"/>
        <v>300</v>
      </c>
      <c r="K404" s="185">
        <f t="shared" si="36"/>
        <v>900</v>
      </c>
      <c r="L404" s="186">
        <f t="shared" si="37"/>
        <v>0.05</v>
      </c>
      <c r="M404" s="12" t="s">
        <v>22</v>
      </c>
      <c r="N404" s="12" t="s">
        <v>39</v>
      </c>
    </row>
    <row r="405" spans="1:14">
      <c r="A405" s="172" t="s">
        <v>464</v>
      </c>
      <c r="B405" s="181" t="s">
        <v>3513</v>
      </c>
      <c r="C405" s="12" t="s">
        <v>590</v>
      </c>
      <c r="D405" s="211" t="s">
        <v>3363</v>
      </c>
      <c r="E405" s="182">
        <v>35</v>
      </c>
      <c r="F405" s="172" t="s">
        <v>302</v>
      </c>
      <c r="G405" s="18">
        <v>18000</v>
      </c>
      <c r="H405" s="18">
        <f t="shared" si="34"/>
        <v>630000</v>
      </c>
      <c r="I405" s="184">
        <v>15000</v>
      </c>
      <c r="J405" s="184">
        <f t="shared" si="35"/>
        <v>3000</v>
      </c>
      <c r="K405" s="185">
        <f t="shared" si="36"/>
        <v>105000</v>
      </c>
      <c r="L405" s="186">
        <f t="shared" si="37"/>
        <v>0.16666666666666666</v>
      </c>
      <c r="M405" s="12" t="s">
        <v>22</v>
      </c>
      <c r="N405" s="12" t="s">
        <v>39</v>
      </c>
    </row>
    <row r="406" spans="1:14">
      <c r="A406" s="172" t="s">
        <v>464</v>
      </c>
      <c r="B406" s="181" t="s">
        <v>3513</v>
      </c>
      <c r="C406" s="12" t="s">
        <v>590</v>
      </c>
      <c r="D406" s="211" t="s">
        <v>3364</v>
      </c>
      <c r="E406" s="182">
        <v>35</v>
      </c>
      <c r="F406" s="172" t="s">
        <v>302</v>
      </c>
      <c r="G406" s="18">
        <v>22000</v>
      </c>
      <c r="H406" s="18">
        <f t="shared" si="34"/>
        <v>770000</v>
      </c>
      <c r="I406" s="184">
        <v>18400</v>
      </c>
      <c r="J406" s="184">
        <f t="shared" si="35"/>
        <v>3600</v>
      </c>
      <c r="K406" s="185">
        <f t="shared" si="36"/>
        <v>126000</v>
      </c>
      <c r="L406" s="186">
        <f t="shared" si="37"/>
        <v>0.16363636363636364</v>
      </c>
      <c r="M406" s="12" t="s">
        <v>22</v>
      </c>
      <c r="N406" s="12" t="s">
        <v>39</v>
      </c>
    </row>
    <row r="407" spans="1:14">
      <c r="A407" s="172" t="s">
        <v>464</v>
      </c>
      <c r="B407" s="181" t="s">
        <v>3513</v>
      </c>
      <c r="C407" s="12" t="s">
        <v>590</v>
      </c>
      <c r="D407" s="211" t="s">
        <v>3514</v>
      </c>
      <c r="E407" s="182">
        <v>9</v>
      </c>
      <c r="F407" s="172" t="s">
        <v>302</v>
      </c>
      <c r="G407" s="18">
        <v>48500</v>
      </c>
      <c r="H407" s="18">
        <f t="shared" si="34"/>
        <v>436500</v>
      </c>
      <c r="I407" s="184">
        <v>45000</v>
      </c>
      <c r="J407" s="184">
        <f t="shared" si="35"/>
        <v>3500</v>
      </c>
      <c r="K407" s="185">
        <f t="shared" si="36"/>
        <v>31500</v>
      </c>
      <c r="L407" s="186">
        <f t="shared" si="37"/>
        <v>7.2164948453608241E-2</v>
      </c>
      <c r="M407" s="12" t="s">
        <v>22</v>
      </c>
      <c r="N407" s="12" t="s">
        <v>39</v>
      </c>
    </row>
    <row r="408" spans="1:14">
      <c r="A408" s="172" t="s">
        <v>464</v>
      </c>
      <c r="B408" s="181" t="s">
        <v>3513</v>
      </c>
      <c r="C408" s="12" t="s">
        <v>590</v>
      </c>
      <c r="D408" s="211" t="s">
        <v>3225</v>
      </c>
      <c r="E408" s="182">
        <v>30</v>
      </c>
      <c r="F408" s="172" t="s">
        <v>19</v>
      </c>
      <c r="G408" s="18">
        <v>6000</v>
      </c>
      <c r="H408" s="18">
        <f t="shared" si="34"/>
        <v>180000</v>
      </c>
      <c r="I408" s="184">
        <v>5700</v>
      </c>
      <c r="J408" s="184">
        <f t="shared" si="35"/>
        <v>300</v>
      </c>
      <c r="K408" s="185">
        <f t="shared" si="36"/>
        <v>9000</v>
      </c>
      <c r="L408" s="186">
        <f t="shared" si="37"/>
        <v>0.05</v>
      </c>
      <c r="M408" s="12" t="s">
        <v>22</v>
      </c>
      <c r="N408" s="12" t="s">
        <v>39</v>
      </c>
    </row>
    <row r="409" spans="1:14">
      <c r="A409" s="172" t="s">
        <v>464</v>
      </c>
      <c r="B409" s="181" t="s">
        <v>3515</v>
      </c>
      <c r="C409" s="12" t="s">
        <v>270</v>
      </c>
      <c r="D409" s="211" t="s">
        <v>3516</v>
      </c>
      <c r="E409" s="182">
        <v>14</v>
      </c>
      <c r="F409" s="172" t="s">
        <v>302</v>
      </c>
      <c r="G409" s="18">
        <v>188766</v>
      </c>
      <c r="H409" s="18">
        <f t="shared" si="34"/>
        <v>2642724</v>
      </c>
      <c r="I409" s="184">
        <v>184998</v>
      </c>
      <c r="J409" s="184">
        <f t="shared" si="35"/>
        <v>3768</v>
      </c>
      <c r="K409" s="185">
        <f t="shared" si="36"/>
        <v>52752</v>
      </c>
      <c r="L409" s="186">
        <f t="shared" si="37"/>
        <v>1.9961221830202474E-2</v>
      </c>
      <c r="M409" s="12" t="s">
        <v>40</v>
      </c>
      <c r="N409" s="12" t="s">
        <v>105</v>
      </c>
    </row>
    <row r="410" spans="1:14">
      <c r="A410" s="172" t="s">
        <v>464</v>
      </c>
      <c r="B410" s="181" t="s">
        <v>3517</v>
      </c>
      <c r="C410" s="12" t="s">
        <v>1042</v>
      </c>
      <c r="D410" s="211" t="s">
        <v>3260</v>
      </c>
      <c r="E410" s="182">
        <v>6395</v>
      </c>
      <c r="F410" s="172" t="s">
        <v>37</v>
      </c>
      <c r="G410" s="18">
        <v>372</v>
      </c>
      <c r="H410" s="18">
        <f t="shared" si="34"/>
        <v>2378940</v>
      </c>
      <c r="I410" s="184">
        <v>370</v>
      </c>
      <c r="J410" s="184">
        <f t="shared" si="35"/>
        <v>2</v>
      </c>
      <c r="K410" s="185">
        <f t="shared" si="36"/>
        <v>12790</v>
      </c>
      <c r="L410" s="186">
        <f t="shared" si="37"/>
        <v>5.3763440860215058E-3</v>
      </c>
      <c r="M410" s="12" t="s">
        <v>40</v>
      </c>
      <c r="N410" s="12" t="s">
        <v>105</v>
      </c>
    </row>
    <row r="411" spans="1:14">
      <c r="A411" s="172" t="s">
        <v>464</v>
      </c>
      <c r="B411" s="181" t="s">
        <v>3518</v>
      </c>
      <c r="C411" s="12" t="s">
        <v>166</v>
      </c>
      <c r="D411" s="211" t="s">
        <v>3062</v>
      </c>
      <c r="E411" s="182">
        <v>7600</v>
      </c>
      <c r="F411" s="172" t="s">
        <v>37</v>
      </c>
      <c r="G411" s="18">
        <v>30.51</v>
      </c>
      <c r="H411" s="18">
        <f t="shared" si="34"/>
        <v>231876</v>
      </c>
      <c r="I411" s="184">
        <v>26.28</v>
      </c>
      <c r="J411" s="184">
        <f t="shared" si="35"/>
        <v>4.2300000000000004</v>
      </c>
      <c r="K411" s="185">
        <f t="shared" si="36"/>
        <v>32148.000000000004</v>
      </c>
      <c r="L411" s="186">
        <f t="shared" si="37"/>
        <v>0.13864306784660768</v>
      </c>
      <c r="M411" s="12" t="s">
        <v>40</v>
      </c>
      <c r="N411" s="12" t="s">
        <v>105</v>
      </c>
    </row>
    <row r="412" spans="1:14">
      <c r="A412" s="172" t="s">
        <v>464</v>
      </c>
      <c r="B412" s="138" t="s">
        <v>3519</v>
      </c>
      <c r="C412" s="139" t="s">
        <v>17</v>
      </c>
      <c r="D412" s="139" t="s">
        <v>3520</v>
      </c>
      <c r="E412" s="138">
        <v>5</v>
      </c>
      <c r="F412" s="142" t="s">
        <v>19</v>
      </c>
      <c r="G412" s="139">
        <v>670</v>
      </c>
      <c r="H412" s="18">
        <f t="shared" si="34"/>
        <v>3350</v>
      </c>
      <c r="I412" s="240">
        <v>650</v>
      </c>
      <c r="J412" s="184">
        <f t="shared" si="35"/>
        <v>20</v>
      </c>
      <c r="K412" s="185">
        <f t="shared" si="36"/>
        <v>100</v>
      </c>
      <c r="L412" s="186">
        <f t="shared" si="37"/>
        <v>2.9850746268656716E-2</v>
      </c>
      <c r="M412" s="138" t="s">
        <v>40</v>
      </c>
      <c r="N412" s="12" t="s">
        <v>3424</v>
      </c>
    </row>
    <row r="413" spans="1:14">
      <c r="A413" s="172" t="s">
        <v>464</v>
      </c>
      <c r="B413" s="140" t="s">
        <v>3519</v>
      </c>
      <c r="C413" s="141" t="s">
        <v>17</v>
      </c>
      <c r="D413" s="141" t="s">
        <v>3521</v>
      </c>
      <c r="E413" s="140">
        <v>10</v>
      </c>
      <c r="F413" s="143" t="s">
        <v>19</v>
      </c>
      <c r="G413" s="141">
        <v>670</v>
      </c>
      <c r="H413" s="18">
        <f t="shared" si="34"/>
        <v>6700</v>
      </c>
      <c r="I413" s="241">
        <v>650</v>
      </c>
      <c r="J413" s="184">
        <f t="shared" si="35"/>
        <v>20</v>
      </c>
      <c r="K413" s="185">
        <f t="shared" si="36"/>
        <v>200</v>
      </c>
      <c r="L413" s="186">
        <f t="shared" si="37"/>
        <v>2.9850746268656716E-2</v>
      </c>
      <c r="M413" s="140" t="s">
        <v>40</v>
      </c>
      <c r="N413" s="12" t="s">
        <v>3424</v>
      </c>
    </row>
    <row r="414" spans="1:14">
      <c r="A414" s="172" t="s">
        <v>464</v>
      </c>
      <c r="B414" s="140" t="s">
        <v>3522</v>
      </c>
      <c r="C414" s="141" t="s">
        <v>505</v>
      </c>
      <c r="D414" s="141" t="s">
        <v>3523</v>
      </c>
      <c r="E414" s="140">
        <v>14</v>
      </c>
      <c r="F414" s="143" t="s">
        <v>19</v>
      </c>
      <c r="G414" s="242">
        <v>2000</v>
      </c>
      <c r="H414" s="18">
        <f t="shared" si="34"/>
        <v>28000</v>
      </c>
      <c r="I414" s="243">
        <v>1700</v>
      </c>
      <c r="J414" s="184">
        <f t="shared" si="35"/>
        <v>300</v>
      </c>
      <c r="K414" s="185">
        <f t="shared" si="36"/>
        <v>4200</v>
      </c>
      <c r="L414" s="186">
        <f t="shared" si="37"/>
        <v>0.15</v>
      </c>
      <c r="M414" s="140" t="s">
        <v>40</v>
      </c>
      <c r="N414" s="12" t="s">
        <v>3424</v>
      </c>
    </row>
    <row r="415" spans="1:14">
      <c r="A415" s="172" t="s">
        <v>464</v>
      </c>
      <c r="B415" s="140" t="s">
        <v>3524</v>
      </c>
      <c r="C415" s="141" t="s">
        <v>3525</v>
      </c>
      <c r="D415" s="244" t="s">
        <v>3526</v>
      </c>
      <c r="E415" s="140">
        <v>1</v>
      </c>
      <c r="F415" s="143" t="s">
        <v>285</v>
      </c>
      <c r="G415" s="141">
        <v>306.95999999999998</v>
      </c>
      <c r="H415" s="18">
        <f t="shared" si="34"/>
        <v>306.95999999999998</v>
      </c>
      <c r="I415" s="241">
        <v>0</v>
      </c>
      <c r="J415" s="184">
        <f t="shared" si="35"/>
        <v>306.95999999999998</v>
      </c>
      <c r="K415" s="185">
        <f t="shared" si="36"/>
        <v>306.95999999999998</v>
      </c>
      <c r="L415" s="186">
        <f t="shared" si="37"/>
        <v>1</v>
      </c>
      <c r="M415" s="140" t="s">
        <v>30</v>
      </c>
      <c r="N415" s="12" t="s">
        <v>3424</v>
      </c>
    </row>
    <row r="416" spans="1:14">
      <c r="A416" s="172" t="s">
        <v>464</v>
      </c>
      <c r="B416" s="140" t="s">
        <v>3527</v>
      </c>
      <c r="C416" s="141" t="s">
        <v>1935</v>
      </c>
      <c r="D416" s="141" t="s">
        <v>3528</v>
      </c>
      <c r="E416" s="140">
        <v>72</v>
      </c>
      <c r="F416" s="143" t="s">
        <v>19</v>
      </c>
      <c r="G416" s="141">
        <v>147</v>
      </c>
      <c r="H416" s="18">
        <f t="shared" si="34"/>
        <v>10584</v>
      </c>
      <c r="I416" s="241">
        <v>127</v>
      </c>
      <c r="J416" s="184">
        <f t="shared" si="35"/>
        <v>20</v>
      </c>
      <c r="K416" s="185">
        <f t="shared" si="36"/>
        <v>1440</v>
      </c>
      <c r="L416" s="186">
        <f t="shared" si="37"/>
        <v>0.1360544217687075</v>
      </c>
      <c r="M416" s="140" t="s">
        <v>40</v>
      </c>
      <c r="N416" s="12" t="s">
        <v>3424</v>
      </c>
    </row>
    <row r="417" spans="1:19">
      <c r="A417" s="172" t="s">
        <v>464</v>
      </c>
      <c r="B417" s="140" t="s">
        <v>3529</v>
      </c>
      <c r="C417" s="141" t="s">
        <v>171</v>
      </c>
      <c r="D417" s="244" t="s">
        <v>3530</v>
      </c>
      <c r="E417" s="140">
        <v>1</v>
      </c>
      <c r="F417" s="143" t="s">
        <v>3531</v>
      </c>
      <c r="G417" s="242">
        <v>60208.33</v>
      </c>
      <c r="H417" s="18">
        <f t="shared" si="34"/>
        <v>60208.33</v>
      </c>
      <c r="I417" s="241">
        <v>0</v>
      </c>
      <c r="J417" s="184">
        <f t="shared" si="35"/>
        <v>60208.33</v>
      </c>
      <c r="K417" s="185">
        <f t="shared" si="36"/>
        <v>60208.33</v>
      </c>
      <c r="L417" s="186">
        <f t="shared" si="37"/>
        <v>1</v>
      </c>
      <c r="M417" s="140" t="s">
        <v>30</v>
      </c>
      <c r="N417" s="12" t="s">
        <v>3424</v>
      </c>
    </row>
    <row r="418" spans="1:19">
      <c r="A418" s="172" t="s">
        <v>464</v>
      </c>
      <c r="B418" s="140" t="s">
        <v>3532</v>
      </c>
      <c r="C418" s="141" t="s">
        <v>522</v>
      </c>
      <c r="D418" s="141" t="s">
        <v>3533</v>
      </c>
      <c r="E418" s="140">
        <v>1</v>
      </c>
      <c r="F418" s="143" t="s">
        <v>285</v>
      </c>
      <c r="G418" s="141">
        <v>92.08</v>
      </c>
      <c r="H418" s="18">
        <f t="shared" si="34"/>
        <v>92.08</v>
      </c>
      <c r="I418" s="241">
        <v>0</v>
      </c>
      <c r="J418" s="184">
        <f t="shared" si="35"/>
        <v>92.08</v>
      </c>
      <c r="K418" s="185">
        <f t="shared" si="36"/>
        <v>92.08</v>
      </c>
      <c r="L418" s="186">
        <f t="shared" si="37"/>
        <v>1</v>
      </c>
      <c r="M418" s="140" t="s">
        <v>30</v>
      </c>
      <c r="N418" s="12" t="s">
        <v>3424</v>
      </c>
    </row>
    <row r="419" spans="1:19">
      <c r="A419" s="172" t="s">
        <v>464</v>
      </c>
      <c r="B419" s="140" t="s">
        <v>3534</v>
      </c>
      <c r="C419" s="141" t="s">
        <v>17</v>
      </c>
      <c r="D419" s="141" t="s">
        <v>3535</v>
      </c>
      <c r="E419" s="140">
        <v>40</v>
      </c>
      <c r="F419" s="143" t="s">
        <v>3311</v>
      </c>
      <c r="G419" s="141">
        <v>57</v>
      </c>
      <c r="H419" s="18">
        <f t="shared" si="34"/>
        <v>2280</v>
      </c>
      <c r="I419" s="241">
        <v>35</v>
      </c>
      <c r="J419" s="184">
        <f t="shared" si="35"/>
        <v>22</v>
      </c>
      <c r="K419" s="185">
        <f t="shared" si="36"/>
        <v>880</v>
      </c>
      <c r="L419" s="186">
        <f t="shared" si="37"/>
        <v>0.38596491228070173</v>
      </c>
      <c r="M419" s="140" t="s">
        <v>40</v>
      </c>
      <c r="N419" s="12" t="s">
        <v>3424</v>
      </c>
    </row>
    <row r="420" spans="1:19">
      <c r="A420" s="172" t="s">
        <v>464</v>
      </c>
      <c r="B420" s="140" t="s">
        <v>3536</v>
      </c>
      <c r="C420" s="141" t="s">
        <v>1948</v>
      </c>
      <c r="D420" s="141" t="s">
        <v>3537</v>
      </c>
      <c r="E420" s="140">
        <v>3</v>
      </c>
      <c r="F420" s="143" t="s">
        <v>19</v>
      </c>
      <c r="G420" s="141">
        <v>640</v>
      </c>
      <c r="H420" s="18">
        <f t="shared" si="34"/>
        <v>1920</v>
      </c>
      <c r="I420" s="241">
        <v>485</v>
      </c>
      <c r="J420" s="184">
        <f t="shared" si="35"/>
        <v>155</v>
      </c>
      <c r="K420" s="185">
        <f t="shared" si="36"/>
        <v>465</v>
      </c>
      <c r="L420" s="186">
        <f t="shared" si="37"/>
        <v>0.2421875</v>
      </c>
      <c r="M420" s="140" t="s">
        <v>40</v>
      </c>
      <c r="N420" s="12" t="s">
        <v>3424</v>
      </c>
    </row>
    <row r="421" spans="1:19">
      <c r="A421" s="172" t="s">
        <v>464</v>
      </c>
      <c r="B421" s="140" t="s">
        <v>3538</v>
      </c>
      <c r="C421" s="141" t="s">
        <v>1094</v>
      </c>
      <c r="D421" s="141" t="s">
        <v>3539</v>
      </c>
      <c r="E421" s="140">
        <v>3</v>
      </c>
      <c r="F421" s="143" t="s">
        <v>19</v>
      </c>
      <c r="G421" s="242">
        <v>2880</v>
      </c>
      <c r="H421" s="18">
        <f t="shared" si="34"/>
        <v>8640</v>
      </c>
      <c r="I421" s="243">
        <v>1940</v>
      </c>
      <c r="J421" s="184">
        <f t="shared" si="35"/>
        <v>940</v>
      </c>
      <c r="K421" s="185">
        <f t="shared" si="36"/>
        <v>2820</v>
      </c>
      <c r="L421" s="186">
        <f t="shared" si="37"/>
        <v>0.3263888888888889</v>
      </c>
      <c r="M421" s="140" t="s">
        <v>40</v>
      </c>
      <c r="N421" s="12" t="s">
        <v>3424</v>
      </c>
    </row>
    <row r="422" spans="1:19">
      <c r="A422" s="172" t="s">
        <v>464</v>
      </c>
      <c r="B422" s="140" t="s">
        <v>3540</v>
      </c>
      <c r="C422" s="141" t="s">
        <v>1390</v>
      </c>
      <c r="D422" s="141" t="s">
        <v>3541</v>
      </c>
      <c r="E422" s="140">
        <v>1</v>
      </c>
      <c r="F422" s="143" t="s">
        <v>3542</v>
      </c>
      <c r="G422" s="141">
        <v>280</v>
      </c>
      <c r="H422" s="18">
        <f t="shared" si="34"/>
        <v>280</v>
      </c>
      <c r="I422" s="241">
        <v>191.28</v>
      </c>
      <c r="J422" s="184">
        <f t="shared" si="35"/>
        <v>88.72</v>
      </c>
      <c r="K422" s="185">
        <f t="shared" si="36"/>
        <v>88.72</v>
      </c>
      <c r="L422" s="186">
        <f t="shared" si="37"/>
        <v>0.31685714285714284</v>
      </c>
      <c r="M422" s="140" t="s">
        <v>40</v>
      </c>
      <c r="N422" s="12" t="s">
        <v>3424</v>
      </c>
    </row>
    <row r="423" spans="1:19">
      <c r="A423" s="172" t="s">
        <v>464</v>
      </c>
      <c r="B423" s="140" t="s">
        <v>3543</v>
      </c>
      <c r="C423" s="141" t="s">
        <v>1948</v>
      </c>
      <c r="D423" s="141" t="s">
        <v>3544</v>
      </c>
      <c r="E423" s="140">
        <v>1</v>
      </c>
      <c r="F423" s="143" t="s">
        <v>19</v>
      </c>
      <c r="G423" s="242">
        <v>3290</v>
      </c>
      <c r="H423" s="18">
        <f t="shared" si="34"/>
        <v>3290</v>
      </c>
      <c r="I423" s="243">
        <v>1530</v>
      </c>
      <c r="J423" s="184">
        <f t="shared" si="35"/>
        <v>1760</v>
      </c>
      <c r="K423" s="185">
        <f t="shared" si="36"/>
        <v>1760</v>
      </c>
      <c r="L423" s="186">
        <f t="shared" si="37"/>
        <v>0.53495440729483279</v>
      </c>
      <c r="M423" s="140" t="s">
        <v>40</v>
      </c>
      <c r="N423" s="12" t="s">
        <v>3424</v>
      </c>
    </row>
    <row r="424" spans="1:19">
      <c r="A424" s="172" t="s">
        <v>464</v>
      </c>
      <c r="B424" s="140" t="s">
        <v>3545</v>
      </c>
      <c r="C424" s="141" t="s">
        <v>24</v>
      </c>
      <c r="D424" s="141" t="s">
        <v>3546</v>
      </c>
      <c r="E424" s="140">
        <v>6</v>
      </c>
      <c r="F424" s="143" t="s">
        <v>19</v>
      </c>
      <c r="G424" s="141">
        <v>165</v>
      </c>
      <c r="H424" s="18">
        <f t="shared" si="34"/>
        <v>990</v>
      </c>
      <c r="I424" s="241">
        <v>42</v>
      </c>
      <c r="J424" s="184">
        <f t="shared" si="35"/>
        <v>123</v>
      </c>
      <c r="K424" s="185">
        <f t="shared" si="36"/>
        <v>738</v>
      </c>
      <c r="L424" s="186">
        <f t="shared" si="37"/>
        <v>0.74545454545454548</v>
      </c>
      <c r="M424" s="140" t="s">
        <v>40</v>
      </c>
      <c r="N424" s="12" t="s">
        <v>3424</v>
      </c>
    </row>
    <row r="425" spans="1:19">
      <c r="A425" s="172" t="s">
        <v>464</v>
      </c>
      <c r="B425" s="140" t="s">
        <v>3545</v>
      </c>
      <c r="C425" s="141" t="s">
        <v>24</v>
      </c>
      <c r="D425" s="141" t="s">
        <v>3547</v>
      </c>
      <c r="E425" s="140">
        <v>6</v>
      </c>
      <c r="F425" s="143" t="s">
        <v>19</v>
      </c>
      <c r="G425" s="141">
        <v>44</v>
      </c>
      <c r="H425" s="18">
        <f t="shared" si="34"/>
        <v>264</v>
      </c>
      <c r="I425" s="241">
        <v>19</v>
      </c>
      <c r="J425" s="184">
        <f t="shared" si="35"/>
        <v>25</v>
      </c>
      <c r="K425" s="185">
        <f t="shared" si="36"/>
        <v>150</v>
      </c>
      <c r="L425" s="186">
        <f t="shared" si="37"/>
        <v>0.56818181818181823</v>
      </c>
      <c r="M425" s="140" t="s">
        <v>40</v>
      </c>
      <c r="N425" s="12" t="s">
        <v>3424</v>
      </c>
    </row>
    <row r="426" spans="1:19">
      <c r="A426" s="172" t="s">
        <v>464</v>
      </c>
      <c r="B426" s="140" t="s">
        <v>3545</v>
      </c>
      <c r="C426" s="141" t="s">
        <v>24</v>
      </c>
      <c r="D426" s="141" t="s">
        <v>3548</v>
      </c>
      <c r="E426" s="140">
        <v>4</v>
      </c>
      <c r="F426" s="143" t="s">
        <v>1415</v>
      </c>
      <c r="G426" s="141">
        <v>730</v>
      </c>
      <c r="H426" s="18">
        <f t="shared" si="34"/>
        <v>2920</v>
      </c>
      <c r="I426" s="241">
        <v>650</v>
      </c>
      <c r="J426" s="184">
        <f t="shared" si="35"/>
        <v>80</v>
      </c>
      <c r="K426" s="185">
        <f t="shared" si="36"/>
        <v>320</v>
      </c>
      <c r="L426" s="186">
        <f t="shared" si="37"/>
        <v>0.1095890410958904</v>
      </c>
      <c r="M426" s="140" t="s">
        <v>40</v>
      </c>
      <c r="N426" s="12" t="s">
        <v>3424</v>
      </c>
      <c r="S426" s="27" t="s">
        <v>15</v>
      </c>
    </row>
    <row r="427" spans="1:19">
      <c r="A427" s="172" t="s">
        <v>464</v>
      </c>
      <c r="B427" s="140" t="s">
        <v>3545</v>
      </c>
      <c r="C427" s="141" t="s">
        <v>24</v>
      </c>
      <c r="D427" s="141" t="s">
        <v>3549</v>
      </c>
      <c r="E427" s="140">
        <v>2</v>
      </c>
      <c r="F427" s="143" t="s">
        <v>1415</v>
      </c>
      <c r="G427" s="141">
        <v>730</v>
      </c>
      <c r="H427" s="18">
        <f t="shared" si="34"/>
        <v>1460</v>
      </c>
      <c r="I427" s="241">
        <v>650</v>
      </c>
      <c r="J427" s="184">
        <f t="shared" si="35"/>
        <v>80</v>
      </c>
      <c r="K427" s="185">
        <f t="shared" si="36"/>
        <v>160</v>
      </c>
      <c r="L427" s="186">
        <f t="shared" si="37"/>
        <v>0.1095890410958904</v>
      </c>
      <c r="M427" s="140" t="s">
        <v>40</v>
      </c>
      <c r="N427" s="12" t="s">
        <v>3424</v>
      </c>
      <c r="S427" s="27" t="s">
        <v>178</v>
      </c>
    </row>
    <row r="428" spans="1:19">
      <c r="A428" s="172" t="s">
        <v>464</v>
      </c>
      <c r="B428" s="140" t="s">
        <v>3550</v>
      </c>
      <c r="C428" s="141" t="s">
        <v>1409</v>
      </c>
      <c r="D428" s="141" t="s">
        <v>3551</v>
      </c>
      <c r="E428" s="140">
        <v>2</v>
      </c>
      <c r="F428" s="143" t="s">
        <v>19</v>
      </c>
      <c r="G428" s="242">
        <v>4750</v>
      </c>
      <c r="H428" s="18">
        <f t="shared" si="34"/>
        <v>9500</v>
      </c>
      <c r="I428" s="243">
        <v>4500</v>
      </c>
      <c r="J428" s="184">
        <f t="shared" si="35"/>
        <v>250</v>
      </c>
      <c r="K428" s="185">
        <f t="shared" si="36"/>
        <v>500</v>
      </c>
      <c r="L428" s="186">
        <f t="shared" si="37"/>
        <v>5.2631578947368418E-2</v>
      </c>
      <c r="M428" s="140" t="s">
        <v>40</v>
      </c>
      <c r="N428" s="12" t="s">
        <v>3424</v>
      </c>
      <c r="S428" s="27" t="s">
        <v>327</v>
      </c>
    </row>
    <row r="429" spans="1:19">
      <c r="A429" s="172" t="s">
        <v>464</v>
      </c>
      <c r="B429" s="140" t="s">
        <v>3552</v>
      </c>
      <c r="C429" s="141" t="s">
        <v>24</v>
      </c>
      <c r="D429" s="141" t="s">
        <v>3553</v>
      </c>
      <c r="E429" s="140">
        <v>1</v>
      </c>
      <c r="F429" s="143" t="s">
        <v>19</v>
      </c>
      <c r="G429" s="242">
        <v>1039.05</v>
      </c>
      <c r="H429" s="18">
        <f t="shared" si="34"/>
        <v>1039.05</v>
      </c>
      <c r="I429" s="241">
        <v>790</v>
      </c>
      <c r="J429" s="184">
        <f t="shared" si="35"/>
        <v>249.04999999999995</v>
      </c>
      <c r="K429" s="185">
        <f t="shared" si="36"/>
        <v>249.04999999999995</v>
      </c>
      <c r="L429" s="186">
        <f t="shared" si="37"/>
        <v>0.23969010153505602</v>
      </c>
      <c r="M429" s="140" t="s">
        <v>40</v>
      </c>
      <c r="N429" s="12" t="s">
        <v>3424</v>
      </c>
      <c r="S429" s="27" t="s">
        <v>464</v>
      </c>
    </row>
    <row r="430" spans="1:19">
      <c r="A430" s="172" t="s">
        <v>464</v>
      </c>
      <c r="B430" s="140" t="s">
        <v>3554</v>
      </c>
      <c r="C430" s="141" t="s">
        <v>1948</v>
      </c>
      <c r="D430" s="141" t="s">
        <v>3555</v>
      </c>
      <c r="E430" s="140">
        <v>1</v>
      </c>
      <c r="F430" s="143" t="s">
        <v>19</v>
      </c>
      <c r="G430" s="141">
        <v>640</v>
      </c>
      <c r="H430" s="18">
        <f t="shared" si="34"/>
        <v>640</v>
      </c>
      <c r="I430" s="241">
        <v>335</v>
      </c>
      <c r="J430" s="184">
        <f t="shared" si="35"/>
        <v>305</v>
      </c>
      <c r="K430" s="185">
        <f t="shared" si="36"/>
        <v>305</v>
      </c>
      <c r="L430" s="186">
        <f t="shared" si="37"/>
        <v>0.4765625</v>
      </c>
      <c r="M430" s="140" t="s">
        <v>40</v>
      </c>
      <c r="N430" s="12" t="s">
        <v>3424</v>
      </c>
      <c r="S430" s="27" t="s">
        <v>562</v>
      </c>
    </row>
    <row r="431" spans="1:19">
      <c r="A431" s="172" t="s">
        <v>464</v>
      </c>
      <c r="B431" s="140" t="s">
        <v>3556</v>
      </c>
      <c r="C431" s="141" t="s">
        <v>3557</v>
      </c>
      <c r="D431" s="141" t="s">
        <v>3558</v>
      </c>
      <c r="E431" s="140">
        <v>1</v>
      </c>
      <c r="F431" s="143" t="s">
        <v>285</v>
      </c>
      <c r="G431" s="141">
        <v>49.58</v>
      </c>
      <c r="H431" s="18">
        <f t="shared" si="34"/>
        <v>49.58</v>
      </c>
      <c r="I431" s="241">
        <v>0</v>
      </c>
      <c r="J431" s="184">
        <f t="shared" si="35"/>
        <v>49.58</v>
      </c>
      <c r="K431" s="185">
        <f t="shared" si="36"/>
        <v>49.58</v>
      </c>
      <c r="L431" s="186">
        <f t="shared" si="37"/>
        <v>1</v>
      </c>
      <c r="M431" s="140" t="s">
        <v>30</v>
      </c>
      <c r="N431" s="12" t="s">
        <v>3424</v>
      </c>
      <c r="S431" s="27" t="s">
        <v>696</v>
      </c>
    </row>
    <row r="432" spans="1:19">
      <c r="A432" s="172" t="s">
        <v>464</v>
      </c>
      <c r="B432" s="140" t="s">
        <v>3559</v>
      </c>
      <c r="C432" s="141" t="s">
        <v>24</v>
      </c>
      <c r="D432" s="141" t="s">
        <v>3560</v>
      </c>
      <c r="E432" s="140">
        <v>20</v>
      </c>
      <c r="F432" s="143" t="s">
        <v>19</v>
      </c>
      <c r="G432" s="141">
        <v>915</v>
      </c>
      <c r="H432" s="18">
        <f t="shared" si="34"/>
        <v>18300</v>
      </c>
      <c r="I432" s="241">
        <v>720</v>
      </c>
      <c r="J432" s="184">
        <f t="shared" si="35"/>
        <v>195</v>
      </c>
      <c r="K432" s="185">
        <f t="shared" si="36"/>
        <v>3900</v>
      </c>
      <c r="L432" s="186">
        <f t="shared" si="37"/>
        <v>0.21311475409836064</v>
      </c>
      <c r="M432" s="140" t="s">
        <v>40</v>
      </c>
      <c r="N432" s="12" t="s">
        <v>3424</v>
      </c>
      <c r="S432" s="27" t="s">
        <v>1</v>
      </c>
    </row>
    <row r="433" spans="1:19">
      <c r="A433" s="172" t="s">
        <v>464</v>
      </c>
      <c r="B433" s="140" t="s">
        <v>3561</v>
      </c>
      <c r="C433" s="141" t="s">
        <v>1948</v>
      </c>
      <c r="D433" s="141" t="s">
        <v>3562</v>
      </c>
      <c r="E433" s="140">
        <v>20</v>
      </c>
      <c r="F433" s="143" t="s">
        <v>19</v>
      </c>
      <c r="G433" s="141">
        <v>240</v>
      </c>
      <c r="H433" s="18">
        <f t="shared" ref="H433:H441" si="38">G433*E433</f>
        <v>4800</v>
      </c>
      <c r="I433" s="241">
        <v>195</v>
      </c>
      <c r="J433" s="184">
        <f t="shared" ref="J433:J441" si="39">G433-I433</f>
        <v>45</v>
      </c>
      <c r="K433" s="185">
        <f t="shared" ref="K433:K441" si="40">J433*E433</f>
        <v>900</v>
      </c>
      <c r="L433" s="186">
        <f t="shared" ref="L433:L441" si="41">J433/G433</f>
        <v>0.1875</v>
      </c>
      <c r="M433" s="140" t="s">
        <v>40</v>
      </c>
      <c r="N433" s="12" t="s">
        <v>3424</v>
      </c>
      <c r="S433" s="27" t="s">
        <v>895</v>
      </c>
    </row>
    <row r="434" spans="1:19">
      <c r="A434" s="172" t="s">
        <v>464</v>
      </c>
      <c r="B434" s="140" t="s">
        <v>3561</v>
      </c>
      <c r="C434" s="141" t="s">
        <v>1948</v>
      </c>
      <c r="D434" s="141" t="s">
        <v>1673</v>
      </c>
      <c r="E434" s="140">
        <v>30</v>
      </c>
      <c r="F434" s="143" t="s">
        <v>19</v>
      </c>
      <c r="G434" s="141">
        <v>215</v>
      </c>
      <c r="H434" s="18">
        <f t="shared" si="38"/>
        <v>6450</v>
      </c>
      <c r="I434" s="241">
        <v>185</v>
      </c>
      <c r="J434" s="184">
        <f t="shared" si="39"/>
        <v>30</v>
      </c>
      <c r="K434" s="185">
        <f t="shared" si="40"/>
        <v>900</v>
      </c>
      <c r="L434" s="186">
        <f t="shared" si="41"/>
        <v>0.13953488372093023</v>
      </c>
      <c r="M434" s="140" t="s">
        <v>40</v>
      </c>
      <c r="N434" s="12" t="s">
        <v>3424</v>
      </c>
      <c r="S434" s="27" t="s">
        <v>998</v>
      </c>
    </row>
    <row r="435" spans="1:19">
      <c r="A435" s="172" t="s">
        <v>464</v>
      </c>
      <c r="B435" s="181" t="s">
        <v>3563</v>
      </c>
      <c r="C435" s="12" t="s">
        <v>27</v>
      </c>
      <c r="D435" s="211" t="s">
        <v>3564</v>
      </c>
      <c r="E435" s="182">
        <v>20</v>
      </c>
      <c r="F435" s="143" t="s">
        <v>19</v>
      </c>
      <c r="G435" s="18">
        <v>272</v>
      </c>
      <c r="H435" s="18">
        <f t="shared" si="38"/>
        <v>5440</v>
      </c>
      <c r="I435" s="184">
        <v>260</v>
      </c>
      <c r="J435" s="184">
        <f t="shared" si="39"/>
        <v>12</v>
      </c>
      <c r="K435" s="185">
        <f t="shared" si="40"/>
        <v>240</v>
      </c>
      <c r="L435" s="186">
        <f t="shared" si="41"/>
        <v>4.4117647058823532E-2</v>
      </c>
      <c r="M435" s="12" t="s">
        <v>40</v>
      </c>
      <c r="N435" s="12" t="s">
        <v>105</v>
      </c>
      <c r="S435" s="27" t="s">
        <v>1083</v>
      </c>
    </row>
    <row r="436" spans="1:19">
      <c r="A436" s="172" t="s">
        <v>464</v>
      </c>
      <c r="B436" s="181" t="s">
        <v>3565</v>
      </c>
      <c r="C436" s="12" t="s">
        <v>3566</v>
      </c>
      <c r="D436" s="211" t="s">
        <v>3567</v>
      </c>
      <c r="E436" s="182">
        <v>10</v>
      </c>
      <c r="F436" s="172" t="s">
        <v>1608</v>
      </c>
      <c r="G436" s="18">
        <v>269640</v>
      </c>
      <c r="H436" s="18">
        <f t="shared" si="38"/>
        <v>2696400</v>
      </c>
      <c r="I436" s="184">
        <v>261936</v>
      </c>
      <c r="J436" s="184">
        <f t="shared" si="39"/>
        <v>7704</v>
      </c>
      <c r="K436" s="185">
        <f t="shared" si="40"/>
        <v>77040</v>
      </c>
      <c r="L436" s="186">
        <f t="shared" si="41"/>
        <v>2.8571428571428571E-2</v>
      </c>
      <c r="M436" s="12" t="s">
        <v>40</v>
      </c>
      <c r="N436" s="12" t="s">
        <v>39</v>
      </c>
      <c r="S436" s="27" t="s">
        <v>1295</v>
      </c>
    </row>
    <row r="437" spans="1:19">
      <c r="A437" s="172" t="s">
        <v>464</v>
      </c>
      <c r="B437" s="181" t="s">
        <v>3568</v>
      </c>
      <c r="C437" s="12" t="s">
        <v>590</v>
      </c>
      <c r="D437" s="211" t="s">
        <v>3225</v>
      </c>
      <c r="E437" s="182">
        <v>3</v>
      </c>
      <c r="F437" s="172" t="s">
        <v>1616</v>
      </c>
      <c r="G437" s="18">
        <v>6000</v>
      </c>
      <c r="H437" s="18">
        <f t="shared" si="38"/>
        <v>18000</v>
      </c>
      <c r="I437" s="184">
        <v>5700</v>
      </c>
      <c r="J437" s="184">
        <f t="shared" si="39"/>
        <v>300</v>
      </c>
      <c r="K437" s="185">
        <f t="shared" si="40"/>
        <v>900</v>
      </c>
      <c r="L437" s="186">
        <f t="shared" si="41"/>
        <v>0.05</v>
      </c>
      <c r="M437" s="12" t="s">
        <v>22</v>
      </c>
      <c r="N437" s="12" t="s">
        <v>39</v>
      </c>
      <c r="S437" s="27" t="s">
        <v>1400</v>
      </c>
    </row>
    <row r="438" spans="1:19">
      <c r="A438" s="172" t="s">
        <v>464</v>
      </c>
      <c r="B438" s="181" t="s">
        <v>3569</v>
      </c>
      <c r="C438" s="27" t="s">
        <v>335</v>
      </c>
      <c r="D438" s="12" t="s">
        <v>336</v>
      </c>
      <c r="E438" s="182">
        <v>126000</v>
      </c>
      <c r="F438" s="172" t="s">
        <v>337</v>
      </c>
      <c r="G438" s="18">
        <v>36</v>
      </c>
      <c r="H438" s="18">
        <f t="shared" si="38"/>
        <v>4536000</v>
      </c>
      <c r="I438" s="184">
        <v>35</v>
      </c>
      <c r="J438" s="184">
        <f t="shared" si="39"/>
        <v>1</v>
      </c>
      <c r="K438" s="185">
        <f t="shared" si="40"/>
        <v>126000</v>
      </c>
      <c r="L438" s="186">
        <f t="shared" si="41"/>
        <v>2.7777777777777776E-2</v>
      </c>
      <c r="M438" s="12" t="s">
        <v>20</v>
      </c>
      <c r="N438" s="12" t="s">
        <v>39</v>
      </c>
    </row>
    <row r="439" spans="1:19">
      <c r="A439" s="172" t="s">
        <v>464</v>
      </c>
      <c r="B439" s="181" t="s">
        <v>3570</v>
      </c>
      <c r="C439" s="12" t="s">
        <v>617</v>
      </c>
      <c r="D439" s="211" t="s">
        <v>233</v>
      </c>
      <c r="E439" s="182">
        <v>6000</v>
      </c>
      <c r="F439" s="172" t="s">
        <v>37</v>
      </c>
      <c r="G439" s="18">
        <v>27.8</v>
      </c>
      <c r="H439" s="18">
        <f t="shared" si="38"/>
        <v>166800</v>
      </c>
      <c r="I439" s="184">
        <v>27.5</v>
      </c>
      <c r="J439" s="184">
        <f t="shared" si="39"/>
        <v>0.30000000000000071</v>
      </c>
      <c r="K439" s="185">
        <f t="shared" si="40"/>
        <v>1800.0000000000043</v>
      </c>
      <c r="L439" s="186">
        <f t="shared" si="41"/>
        <v>1.0791366906474845E-2</v>
      </c>
      <c r="M439" s="12" t="s">
        <v>40</v>
      </c>
      <c r="N439" s="12" t="s">
        <v>39</v>
      </c>
    </row>
    <row r="440" spans="1:19">
      <c r="A440" s="172" t="s">
        <v>464</v>
      </c>
      <c r="B440" s="181" t="s">
        <v>3571</v>
      </c>
      <c r="C440" s="12" t="s">
        <v>617</v>
      </c>
      <c r="D440" s="211" t="s">
        <v>275</v>
      </c>
      <c r="E440" s="182">
        <v>3156</v>
      </c>
      <c r="F440" s="172" t="s">
        <v>37</v>
      </c>
      <c r="G440" s="18">
        <v>27.8</v>
      </c>
      <c r="H440" s="18">
        <f t="shared" si="38"/>
        <v>87736.8</v>
      </c>
      <c r="I440" s="184">
        <v>27.5</v>
      </c>
      <c r="J440" s="184">
        <f t="shared" si="39"/>
        <v>0.30000000000000071</v>
      </c>
      <c r="K440" s="185">
        <f t="shared" si="40"/>
        <v>946.80000000000223</v>
      </c>
      <c r="L440" s="186">
        <f t="shared" si="41"/>
        <v>1.0791366906474845E-2</v>
      </c>
      <c r="M440" s="12" t="s">
        <v>40</v>
      </c>
      <c r="N440" s="12" t="s">
        <v>39</v>
      </c>
    </row>
    <row r="441" spans="1:19">
      <c r="A441" s="172" t="s">
        <v>464</v>
      </c>
      <c r="B441" s="181" t="s">
        <v>3572</v>
      </c>
      <c r="C441" s="12" t="s">
        <v>617</v>
      </c>
      <c r="D441" s="211" t="s">
        <v>275</v>
      </c>
      <c r="E441" s="182">
        <v>3246</v>
      </c>
      <c r="F441" s="172" t="s">
        <v>37</v>
      </c>
      <c r="G441" s="18">
        <v>27.8</v>
      </c>
      <c r="H441" s="18">
        <f t="shared" si="38"/>
        <v>90238.8</v>
      </c>
      <c r="I441" s="184">
        <v>27.5</v>
      </c>
      <c r="J441" s="184">
        <f t="shared" si="39"/>
        <v>0.30000000000000071</v>
      </c>
      <c r="K441" s="185">
        <f t="shared" si="40"/>
        <v>973.80000000000234</v>
      </c>
      <c r="L441" s="186">
        <f t="shared" si="41"/>
        <v>1.0791366906474845E-2</v>
      </c>
      <c r="M441" s="12" t="s">
        <v>40</v>
      </c>
      <c r="N441" s="12" t="s">
        <v>39</v>
      </c>
    </row>
    <row r="442" spans="1:19">
      <c r="A442" s="245" t="s">
        <v>562</v>
      </c>
      <c r="B442" s="212" t="s">
        <v>3573</v>
      </c>
      <c r="C442" s="201" t="s">
        <v>107</v>
      </c>
      <c r="D442" s="246" t="s">
        <v>564</v>
      </c>
      <c r="E442" s="247">
        <v>20</v>
      </c>
      <c r="F442" s="172" t="s">
        <v>1616</v>
      </c>
      <c r="G442" s="248">
        <v>1400</v>
      </c>
      <c r="H442" s="248">
        <f>G442*E442</f>
        <v>28000</v>
      </c>
      <c r="I442" s="249">
        <v>980</v>
      </c>
      <c r="J442" s="249">
        <f t="shared" ref="J442:J505" si="42">G442-I442</f>
        <v>420</v>
      </c>
      <c r="K442" s="250">
        <f t="shared" ref="K442:K505" si="43">J442*E442</f>
        <v>8400</v>
      </c>
      <c r="L442" s="186">
        <f t="shared" ref="L442:L505" si="44">J442/G442</f>
        <v>0.3</v>
      </c>
      <c r="M442" s="12" t="s">
        <v>22</v>
      </c>
      <c r="N442" s="12" t="s">
        <v>105</v>
      </c>
    </row>
    <row r="443" spans="1:19">
      <c r="A443" s="144" t="s">
        <v>562</v>
      </c>
      <c r="B443" s="212" t="s">
        <v>3574</v>
      </c>
      <c r="C443" s="201" t="s">
        <v>68</v>
      </c>
      <c r="D443" s="251" t="s">
        <v>962</v>
      </c>
      <c r="E443" s="247">
        <v>1802.2</v>
      </c>
      <c r="F443" s="172" t="s">
        <v>37</v>
      </c>
      <c r="G443" s="248">
        <v>380</v>
      </c>
      <c r="H443" s="248">
        <f t="shared" ref="H443:H519" si="45">G443*E443</f>
        <v>684836</v>
      </c>
      <c r="I443" s="249">
        <v>365</v>
      </c>
      <c r="J443" s="249">
        <f t="shared" si="42"/>
        <v>15</v>
      </c>
      <c r="K443" s="250">
        <f t="shared" si="43"/>
        <v>27033</v>
      </c>
      <c r="L443" s="186">
        <f t="shared" si="44"/>
        <v>3.9473684210526314E-2</v>
      </c>
      <c r="M443" s="12" t="s">
        <v>22</v>
      </c>
      <c r="N443" s="12" t="s">
        <v>105</v>
      </c>
    </row>
    <row r="444" spans="1:19">
      <c r="A444" s="199" t="s">
        <v>562</v>
      </c>
      <c r="B444" s="212" t="s">
        <v>3575</v>
      </c>
      <c r="C444" s="201" t="s">
        <v>1042</v>
      </c>
      <c r="D444" s="252" t="s">
        <v>2988</v>
      </c>
      <c r="E444" s="198">
        <v>2846</v>
      </c>
      <c r="F444" s="172" t="s">
        <v>37</v>
      </c>
      <c r="G444" s="248">
        <v>385</v>
      </c>
      <c r="H444" s="248">
        <f t="shared" si="45"/>
        <v>1095710</v>
      </c>
      <c r="I444" s="249">
        <v>353</v>
      </c>
      <c r="J444" s="249">
        <f t="shared" si="42"/>
        <v>32</v>
      </c>
      <c r="K444" s="250">
        <f t="shared" si="43"/>
        <v>91072</v>
      </c>
      <c r="L444" s="186">
        <f t="shared" si="44"/>
        <v>8.3116883116883117E-2</v>
      </c>
      <c r="M444" s="12" t="s">
        <v>22</v>
      </c>
      <c r="N444" s="12" t="s">
        <v>105</v>
      </c>
    </row>
    <row r="445" spans="1:19">
      <c r="A445" s="144" t="s">
        <v>562</v>
      </c>
      <c r="B445" s="181" t="s">
        <v>3576</v>
      </c>
      <c r="C445" s="201" t="s">
        <v>1042</v>
      </c>
      <c r="D445" s="211" t="s">
        <v>3577</v>
      </c>
      <c r="E445" s="182">
        <v>11390</v>
      </c>
      <c r="F445" s="172" t="s">
        <v>37</v>
      </c>
      <c r="G445" s="253">
        <v>353</v>
      </c>
      <c r="H445" s="248">
        <f t="shared" si="45"/>
        <v>4020670</v>
      </c>
      <c r="I445" s="254">
        <v>349</v>
      </c>
      <c r="J445" s="254">
        <f t="shared" si="42"/>
        <v>4</v>
      </c>
      <c r="K445" s="185">
        <f t="shared" si="43"/>
        <v>45560</v>
      </c>
      <c r="L445" s="186">
        <f t="shared" si="44"/>
        <v>1.1331444759206799E-2</v>
      </c>
      <c r="M445" s="12" t="s">
        <v>20</v>
      </c>
      <c r="N445" s="12" t="s">
        <v>105</v>
      </c>
      <c r="O445" s="255"/>
    </row>
    <row r="446" spans="1:19">
      <c r="A446" s="199" t="s">
        <v>562</v>
      </c>
      <c r="B446" s="158" t="s">
        <v>3578</v>
      </c>
      <c r="C446" s="12" t="s">
        <v>94</v>
      </c>
      <c r="D446" s="211" t="s">
        <v>456</v>
      </c>
      <c r="E446" s="182">
        <v>300</v>
      </c>
      <c r="F446" s="172" t="s">
        <v>1616</v>
      </c>
      <c r="G446" s="253">
        <v>2.6</v>
      </c>
      <c r="H446" s="248">
        <f t="shared" si="45"/>
        <v>780</v>
      </c>
      <c r="I446" s="254">
        <v>2.5499999999999998</v>
      </c>
      <c r="J446" s="254">
        <f t="shared" si="42"/>
        <v>5.0000000000000266E-2</v>
      </c>
      <c r="K446" s="185">
        <f t="shared" si="43"/>
        <v>15.00000000000008</v>
      </c>
      <c r="L446" s="186">
        <f t="shared" si="44"/>
        <v>1.9230769230769332E-2</v>
      </c>
      <c r="M446" s="12" t="s">
        <v>22</v>
      </c>
      <c r="N446" s="12" t="s">
        <v>105</v>
      </c>
    </row>
    <row r="447" spans="1:19">
      <c r="A447" s="144" t="s">
        <v>562</v>
      </c>
      <c r="B447" s="256" t="s">
        <v>3579</v>
      </c>
      <c r="C447" s="12" t="s">
        <v>94</v>
      </c>
      <c r="D447" s="211" t="s">
        <v>458</v>
      </c>
      <c r="E447" s="182">
        <v>100</v>
      </c>
      <c r="F447" s="172" t="s">
        <v>1616</v>
      </c>
      <c r="G447" s="253">
        <v>9.5</v>
      </c>
      <c r="H447" s="248">
        <f t="shared" si="45"/>
        <v>950</v>
      </c>
      <c r="I447" s="254">
        <v>9.35</v>
      </c>
      <c r="J447" s="254">
        <f t="shared" si="42"/>
        <v>0.15000000000000036</v>
      </c>
      <c r="K447" s="185">
        <f t="shared" si="43"/>
        <v>15.000000000000036</v>
      </c>
      <c r="L447" s="186">
        <f t="shared" si="44"/>
        <v>1.5789473684210565E-2</v>
      </c>
      <c r="M447" s="12" t="s">
        <v>22</v>
      </c>
      <c r="N447" s="12" t="s">
        <v>105</v>
      </c>
    </row>
    <row r="448" spans="1:19">
      <c r="A448" s="144" t="s">
        <v>562</v>
      </c>
      <c r="B448" s="181" t="s">
        <v>3580</v>
      </c>
      <c r="C448" s="12" t="s">
        <v>3581</v>
      </c>
      <c r="D448" s="211" t="s">
        <v>3582</v>
      </c>
      <c r="E448" s="182">
        <v>5</v>
      </c>
      <c r="F448" s="172" t="s">
        <v>1608</v>
      </c>
      <c r="G448" s="253">
        <v>25500</v>
      </c>
      <c r="H448" s="248">
        <f t="shared" si="45"/>
        <v>127500</v>
      </c>
      <c r="I448" s="254">
        <v>24500</v>
      </c>
      <c r="J448" s="254">
        <f t="shared" si="42"/>
        <v>1000</v>
      </c>
      <c r="K448" s="185">
        <f t="shared" si="43"/>
        <v>5000</v>
      </c>
      <c r="L448" s="186">
        <f t="shared" si="44"/>
        <v>3.9215686274509803E-2</v>
      </c>
      <c r="M448" s="12" t="s">
        <v>22</v>
      </c>
      <c r="N448" s="12" t="s">
        <v>39</v>
      </c>
    </row>
    <row r="449" spans="1:14">
      <c r="A449" s="199" t="s">
        <v>562</v>
      </c>
      <c r="B449" s="181" t="s">
        <v>3580</v>
      </c>
      <c r="C449" s="12" t="s">
        <v>3581</v>
      </c>
      <c r="D449" s="211" t="s">
        <v>3583</v>
      </c>
      <c r="E449" s="182">
        <v>5</v>
      </c>
      <c r="F449" s="172" t="s">
        <v>1608</v>
      </c>
      <c r="G449" s="253">
        <v>122000</v>
      </c>
      <c r="H449" s="248">
        <f t="shared" si="45"/>
        <v>610000</v>
      </c>
      <c r="I449" s="254">
        <v>120000</v>
      </c>
      <c r="J449" s="254">
        <f t="shared" si="42"/>
        <v>2000</v>
      </c>
      <c r="K449" s="185">
        <f t="shared" si="43"/>
        <v>10000</v>
      </c>
      <c r="L449" s="186">
        <f t="shared" si="44"/>
        <v>1.6393442622950821E-2</v>
      </c>
      <c r="M449" s="12" t="s">
        <v>22</v>
      </c>
      <c r="N449" s="12" t="s">
        <v>39</v>
      </c>
    </row>
    <row r="450" spans="1:14">
      <c r="A450" s="144" t="s">
        <v>562</v>
      </c>
      <c r="B450" s="181" t="s">
        <v>3584</v>
      </c>
      <c r="C450" s="12" t="s">
        <v>3581</v>
      </c>
      <c r="D450" s="211" t="s">
        <v>3582</v>
      </c>
      <c r="E450" s="182">
        <v>8</v>
      </c>
      <c r="F450" s="172" t="s">
        <v>1608</v>
      </c>
      <c r="G450" s="253">
        <v>25500</v>
      </c>
      <c r="H450" s="248">
        <f t="shared" si="45"/>
        <v>204000</v>
      </c>
      <c r="I450" s="254">
        <v>24500</v>
      </c>
      <c r="J450" s="254">
        <f t="shared" si="42"/>
        <v>1000</v>
      </c>
      <c r="K450" s="185">
        <f t="shared" si="43"/>
        <v>8000</v>
      </c>
      <c r="L450" s="186">
        <f t="shared" si="44"/>
        <v>3.9215686274509803E-2</v>
      </c>
      <c r="M450" s="12" t="s">
        <v>22</v>
      </c>
      <c r="N450" s="12" t="s">
        <v>39</v>
      </c>
    </row>
    <row r="451" spans="1:14">
      <c r="A451" s="199" t="s">
        <v>562</v>
      </c>
      <c r="B451" s="181" t="s">
        <v>3584</v>
      </c>
      <c r="C451" s="12" t="s">
        <v>3581</v>
      </c>
      <c r="D451" s="211" t="s">
        <v>3583</v>
      </c>
      <c r="E451" s="182">
        <v>8</v>
      </c>
      <c r="F451" s="172" t="s">
        <v>1608</v>
      </c>
      <c r="G451" s="253">
        <v>122000</v>
      </c>
      <c r="H451" s="248">
        <f t="shared" si="45"/>
        <v>976000</v>
      </c>
      <c r="I451" s="254">
        <v>120000</v>
      </c>
      <c r="J451" s="254">
        <f t="shared" si="42"/>
        <v>2000</v>
      </c>
      <c r="K451" s="185">
        <f t="shared" si="43"/>
        <v>16000</v>
      </c>
      <c r="L451" s="186">
        <f t="shared" si="44"/>
        <v>1.6393442622950821E-2</v>
      </c>
      <c r="M451" s="12" t="s">
        <v>22</v>
      </c>
      <c r="N451" s="12" t="s">
        <v>39</v>
      </c>
    </row>
    <row r="452" spans="1:14">
      <c r="A452" s="144" t="s">
        <v>562</v>
      </c>
      <c r="B452" s="219" t="s">
        <v>3585</v>
      </c>
      <c r="C452" s="12" t="s">
        <v>68</v>
      </c>
      <c r="D452" s="211" t="s">
        <v>73</v>
      </c>
      <c r="E452" s="182">
        <v>1948.5</v>
      </c>
      <c r="F452" s="172" t="s">
        <v>37</v>
      </c>
      <c r="G452" s="253">
        <v>363</v>
      </c>
      <c r="H452" s="248">
        <f t="shared" si="45"/>
        <v>707305.5</v>
      </c>
      <c r="I452" s="254">
        <v>360</v>
      </c>
      <c r="J452" s="254">
        <f t="shared" si="42"/>
        <v>3</v>
      </c>
      <c r="K452" s="185">
        <f t="shared" si="43"/>
        <v>5845.5</v>
      </c>
      <c r="L452" s="186">
        <f t="shared" si="44"/>
        <v>8.2644628099173556E-3</v>
      </c>
      <c r="M452" s="12" t="s">
        <v>22</v>
      </c>
      <c r="N452" s="12" t="s">
        <v>105</v>
      </c>
    </row>
    <row r="453" spans="1:14">
      <c r="A453" s="144" t="s">
        <v>562</v>
      </c>
      <c r="B453" s="181" t="s">
        <v>3586</v>
      </c>
      <c r="C453" s="12" t="s">
        <v>1375</v>
      </c>
      <c r="D453" s="211" t="s">
        <v>1575</v>
      </c>
      <c r="E453" s="182">
        <v>19000</v>
      </c>
      <c r="F453" s="172" t="s">
        <v>337</v>
      </c>
      <c r="G453" s="253">
        <v>305</v>
      </c>
      <c r="H453" s="248">
        <f t="shared" si="45"/>
        <v>5795000</v>
      </c>
      <c r="I453" s="254">
        <v>304</v>
      </c>
      <c r="J453" s="254">
        <f t="shared" si="42"/>
        <v>1</v>
      </c>
      <c r="K453" s="185">
        <f t="shared" si="43"/>
        <v>19000</v>
      </c>
      <c r="L453" s="186">
        <f t="shared" si="44"/>
        <v>3.2786885245901639E-3</v>
      </c>
      <c r="M453" s="12" t="s">
        <v>40</v>
      </c>
      <c r="N453" s="12" t="s">
        <v>105</v>
      </c>
    </row>
    <row r="454" spans="1:14">
      <c r="A454" s="199" t="s">
        <v>562</v>
      </c>
      <c r="B454" s="181" t="s">
        <v>3587</v>
      </c>
      <c r="C454" s="12" t="s">
        <v>3320</v>
      </c>
      <c r="D454" s="211" t="s">
        <v>3322</v>
      </c>
      <c r="E454" s="182">
        <v>720</v>
      </c>
      <c r="F454" s="172" t="s">
        <v>1616</v>
      </c>
      <c r="G454" s="253">
        <v>162.5</v>
      </c>
      <c r="H454" s="248">
        <f t="shared" si="45"/>
        <v>117000</v>
      </c>
      <c r="I454" s="254">
        <v>155</v>
      </c>
      <c r="J454" s="254">
        <f t="shared" si="42"/>
        <v>7.5</v>
      </c>
      <c r="K454" s="185">
        <f t="shared" si="43"/>
        <v>5400</v>
      </c>
      <c r="L454" s="186">
        <f t="shared" si="44"/>
        <v>4.6153846153846156E-2</v>
      </c>
      <c r="M454" s="12" t="s">
        <v>40</v>
      </c>
      <c r="N454" s="12" t="s">
        <v>39</v>
      </c>
    </row>
    <row r="455" spans="1:14">
      <c r="A455" s="144" t="s">
        <v>562</v>
      </c>
      <c r="B455" s="181" t="s">
        <v>3588</v>
      </c>
      <c r="C455" s="12" t="s">
        <v>590</v>
      </c>
      <c r="D455" s="211" t="s">
        <v>3225</v>
      </c>
      <c r="E455" s="182">
        <v>2</v>
      </c>
      <c r="F455" s="172" t="s">
        <v>1616</v>
      </c>
      <c r="G455" s="253">
        <v>6000</v>
      </c>
      <c r="H455" s="248">
        <f t="shared" si="45"/>
        <v>12000</v>
      </c>
      <c r="I455" s="254">
        <v>5700</v>
      </c>
      <c r="J455" s="254">
        <f t="shared" si="42"/>
        <v>300</v>
      </c>
      <c r="K455" s="185">
        <f t="shared" si="43"/>
        <v>600</v>
      </c>
      <c r="L455" s="186">
        <f t="shared" si="44"/>
        <v>0.05</v>
      </c>
      <c r="M455" s="12" t="s">
        <v>22</v>
      </c>
      <c r="N455" s="12" t="s">
        <v>39</v>
      </c>
    </row>
    <row r="456" spans="1:14">
      <c r="A456" s="199" t="s">
        <v>562</v>
      </c>
      <c r="B456" s="181" t="s">
        <v>3589</v>
      </c>
      <c r="C456" s="12" t="s">
        <v>1042</v>
      </c>
      <c r="D456" s="211" t="s">
        <v>216</v>
      </c>
      <c r="E456" s="182">
        <v>3913</v>
      </c>
      <c r="F456" s="172" t="s">
        <v>37</v>
      </c>
      <c r="G456" s="253">
        <v>353</v>
      </c>
      <c r="H456" s="248">
        <f t="shared" si="45"/>
        <v>1381289</v>
      </c>
      <c r="I456" s="254">
        <v>352</v>
      </c>
      <c r="J456" s="254">
        <f t="shared" si="42"/>
        <v>1</v>
      </c>
      <c r="K456" s="185">
        <f t="shared" si="43"/>
        <v>3913</v>
      </c>
      <c r="L456" s="186">
        <f t="shared" si="44"/>
        <v>2.8328611898016999E-3</v>
      </c>
      <c r="M456" s="12" t="s">
        <v>40</v>
      </c>
      <c r="N456" s="12" t="s">
        <v>105</v>
      </c>
    </row>
    <row r="457" spans="1:14">
      <c r="A457" s="144" t="s">
        <v>562</v>
      </c>
      <c r="B457" s="181" t="s">
        <v>3590</v>
      </c>
      <c r="C457" s="12" t="s">
        <v>200</v>
      </c>
      <c r="D457" s="211" t="s">
        <v>3485</v>
      </c>
      <c r="E457" s="182">
        <v>9</v>
      </c>
      <c r="F457" s="172" t="s">
        <v>1616</v>
      </c>
      <c r="G457" s="253">
        <v>3000</v>
      </c>
      <c r="H457" s="248">
        <f t="shared" si="45"/>
        <v>27000</v>
      </c>
      <c r="I457" s="254">
        <v>2300</v>
      </c>
      <c r="J457" s="254">
        <f t="shared" si="42"/>
        <v>700</v>
      </c>
      <c r="K457" s="185">
        <f t="shared" si="43"/>
        <v>6300</v>
      </c>
      <c r="L457" s="186">
        <f t="shared" si="44"/>
        <v>0.23333333333333334</v>
      </c>
      <c r="M457" s="12" t="s">
        <v>22</v>
      </c>
      <c r="N457" s="12" t="s">
        <v>39</v>
      </c>
    </row>
    <row r="458" spans="1:14">
      <c r="A458" s="144" t="s">
        <v>562</v>
      </c>
      <c r="B458" s="181" t="s">
        <v>3591</v>
      </c>
      <c r="C458" s="12" t="s">
        <v>590</v>
      </c>
      <c r="D458" s="211" t="s">
        <v>3225</v>
      </c>
      <c r="E458" s="182">
        <v>17</v>
      </c>
      <c r="F458" s="172" t="s">
        <v>1616</v>
      </c>
      <c r="G458" s="253">
        <v>6000</v>
      </c>
      <c r="H458" s="248">
        <f t="shared" si="45"/>
        <v>102000</v>
      </c>
      <c r="I458" s="254">
        <v>5700</v>
      </c>
      <c r="J458" s="254">
        <f t="shared" si="42"/>
        <v>300</v>
      </c>
      <c r="K458" s="185">
        <f t="shared" si="43"/>
        <v>5100</v>
      </c>
      <c r="L458" s="186">
        <f t="shared" si="44"/>
        <v>0.05</v>
      </c>
      <c r="M458" s="12" t="s">
        <v>22</v>
      </c>
      <c r="N458" s="12" t="s">
        <v>39</v>
      </c>
    </row>
    <row r="459" spans="1:14">
      <c r="A459" s="199" t="s">
        <v>562</v>
      </c>
      <c r="B459" s="181" t="s">
        <v>3591</v>
      </c>
      <c r="C459" s="12" t="s">
        <v>590</v>
      </c>
      <c r="D459" s="211" t="s">
        <v>3592</v>
      </c>
      <c r="E459" s="182">
        <v>17</v>
      </c>
      <c r="F459" s="172" t="s">
        <v>1608</v>
      </c>
      <c r="G459" s="253">
        <v>82000</v>
      </c>
      <c r="H459" s="248">
        <f t="shared" si="45"/>
        <v>1394000</v>
      </c>
      <c r="I459" s="254">
        <v>79500</v>
      </c>
      <c r="J459" s="254">
        <f t="shared" si="42"/>
        <v>2500</v>
      </c>
      <c r="K459" s="185">
        <f t="shared" si="43"/>
        <v>42500</v>
      </c>
      <c r="L459" s="186">
        <f t="shared" si="44"/>
        <v>3.048780487804878E-2</v>
      </c>
      <c r="M459" s="12" t="s">
        <v>22</v>
      </c>
      <c r="N459" s="12" t="s">
        <v>39</v>
      </c>
    </row>
    <row r="460" spans="1:14">
      <c r="A460" s="144" t="s">
        <v>562</v>
      </c>
      <c r="B460" s="181" t="s">
        <v>3593</v>
      </c>
      <c r="C460" s="12" t="s">
        <v>1840</v>
      </c>
      <c r="D460" s="211" t="s">
        <v>3594</v>
      </c>
      <c r="E460" s="182">
        <v>1</v>
      </c>
      <c r="F460" s="172" t="s">
        <v>3531</v>
      </c>
      <c r="G460" s="253">
        <v>55981.31</v>
      </c>
      <c r="H460" s="248">
        <f t="shared" si="45"/>
        <v>55981.31</v>
      </c>
      <c r="I460" s="254">
        <v>55140.18</v>
      </c>
      <c r="J460" s="254">
        <f t="shared" si="42"/>
        <v>841.12999999999738</v>
      </c>
      <c r="K460" s="185">
        <f t="shared" si="43"/>
        <v>841.12999999999738</v>
      </c>
      <c r="L460" s="186">
        <f t="shared" si="44"/>
        <v>1.5025193229668927E-2</v>
      </c>
      <c r="M460" s="12" t="s">
        <v>40</v>
      </c>
      <c r="N460" s="12" t="s">
        <v>3424</v>
      </c>
    </row>
    <row r="461" spans="1:14">
      <c r="A461" s="199" t="s">
        <v>562</v>
      </c>
      <c r="B461" s="181" t="s">
        <v>3595</v>
      </c>
      <c r="C461" s="12" t="s">
        <v>1375</v>
      </c>
      <c r="D461" s="211" t="s">
        <v>502</v>
      </c>
      <c r="E461" s="182">
        <v>160000</v>
      </c>
      <c r="F461" s="172" t="s">
        <v>37</v>
      </c>
      <c r="G461" s="253">
        <v>52.8</v>
      </c>
      <c r="H461" s="248">
        <f t="shared" si="45"/>
        <v>8448000</v>
      </c>
      <c r="I461" s="254">
        <v>52.5</v>
      </c>
      <c r="J461" s="184">
        <f t="shared" si="42"/>
        <v>0.29999999999999716</v>
      </c>
      <c r="K461" s="185">
        <f t="shared" si="43"/>
        <v>47999.999999999549</v>
      </c>
      <c r="L461" s="186">
        <f t="shared" si="44"/>
        <v>5.6818181818181282E-3</v>
      </c>
      <c r="M461" s="12" t="s">
        <v>22</v>
      </c>
      <c r="N461" s="12" t="s">
        <v>39</v>
      </c>
    </row>
    <row r="462" spans="1:14">
      <c r="A462" s="144" t="s">
        <v>562</v>
      </c>
      <c r="B462" s="181" t="s">
        <v>3596</v>
      </c>
      <c r="C462" s="12" t="s">
        <v>192</v>
      </c>
      <c r="D462" s="211" t="s">
        <v>813</v>
      </c>
      <c r="E462" s="182">
        <v>120000</v>
      </c>
      <c r="F462" s="172" t="s">
        <v>37</v>
      </c>
      <c r="G462" s="18">
        <v>55</v>
      </c>
      <c r="H462" s="248">
        <f t="shared" si="45"/>
        <v>6600000</v>
      </c>
      <c r="I462" s="184">
        <v>51.25</v>
      </c>
      <c r="J462" s="184">
        <f t="shared" si="42"/>
        <v>3.75</v>
      </c>
      <c r="K462" s="185">
        <f t="shared" si="43"/>
        <v>450000</v>
      </c>
      <c r="L462" s="186">
        <f t="shared" si="44"/>
        <v>6.8181818181818177E-2</v>
      </c>
      <c r="M462" s="12" t="s">
        <v>22</v>
      </c>
      <c r="N462" s="12" t="s">
        <v>39</v>
      </c>
    </row>
    <row r="463" spans="1:14">
      <c r="A463" s="144" t="s">
        <v>562</v>
      </c>
      <c r="B463" s="181" t="s">
        <v>3597</v>
      </c>
      <c r="C463" s="12" t="s">
        <v>1375</v>
      </c>
      <c r="D463" s="211" t="s">
        <v>503</v>
      </c>
      <c r="E463" s="182">
        <v>180000</v>
      </c>
      <c r="F463" s="172" t="s">
        <v>37</v>
      </c>
      <c r="G463" s="18">
        <v>77</v>
      </c>
      <c r="H463" s="248">
        <f t="shared" si="45"/>
        <v>13860000</v>
      </c>
      <c r="I463" s="184">
        <v>75.45</v>
      </c>
      <c r="J463" s="184">
        <f t="shared" si="42"/>
        <v>1.5499999999999972</v>
      </c>
      <c r="K463" s="185">
        <f t="shared" si="43"/>
        <v>278999.99999999948</v>
      </c>
      <c r="L463" s="186">
        <f t="shared" si="44"/>
        <v>2.0129870129870091E-2</v>
      </c>
      <c r="M463" s="12" t="s">
        <v>22</v>
      </c>
      <c r="N463" s="12" t="s">
        <v>39</v>
      </c>
    </row>
    <row r="464" spans="1:14">
      <c r="A464" s="199" t="s">
        <v>562</v>
      </c>
      <c r="B464" s="181" t="s">
        <v>3598</v>
      </c>
      <c r="C464" s="12" t="s">
        <v>270</v>
      </c>
      <c r="D464" s="211" t="s">
        <v>3599</v>
      </c>
      <c r="E464" s="182">
        <v>4</v>
      </c>
      <c r="F464" s="172" t="s">
        <v>1616</v>
      </c>
      <c r="G464" s="18">
        <v>3865</v>
      </c>
      <c r="H464" s="248">
        <f t="shared" si="45"/>
        <v>15460</v>
      </c>
      <c r="I464" s="184">
        <v>3827</v>
      </c>
      <c r="J464" s="184">
        <f t="shared" si="42"/>
        <v>38</v>
      </c>
      <c r="K464" s="185">
        <f t="shared" si="43"/>
        <v>152</v>
      </c>
      <c r="L464" s="186">
        <f t="shared" si="44"/>
        <v>9.8318240620957308E-3</v>
      </c>
      <c r="M464" s="12" t="s">
        <v>40</v>
      </c>
      <c r="N464" s="12" t="s">
        <v>105</v>
      </c>
    </row>
    <row r="465" spans="1:14">
      <c r="A465" s="144" t="s">
        <v>562</v>
      </c>
      <c r="B465" s="181" t="s">
        <v>3600</v>
      </c>
      <c r="C465" s="211" t="s">
        <v>270</v>
      </c>
      <c r="D465" s="211" t="s">
        <v>1244</v>
      </c>
      <c r="E465" s="182">
        <v>17</v>
      </c>
      <c r="F465" s="172" t="s">
        <v>1608</v>
      </c>
      <c r="G465" s="18">
        <v>146691</v>
      </c>
      <c r="H465" s="248">
        <f t="shared" si="45"/>
        <v>2493747</v>
      </c>
      <c r="I465" s="184">
        <v>145227</v>
      </c>
      <c r="J465" s="184">
        <f t="shared" si="42"/>
        <v>1464</v>
      </c>
      <c r="K465" s="185">
        <f t="shared" si="43"/>
        <v>24888</v>
      </c>
      <c r="L465" s="186">
        <f t="shared" si="44"/>
        <v>9.9801623821502341E-3</v>
      </c>
      <c r="M465" s="12" t="s">
        <v>40</v>
      </c>
      <c r="N465" s="12" t="s">
        <v>105</v>
      </c>
    </row>
    <row r="466" spans="1:14">
      <c r="A466" s="199" t="s">
        <v>562</v>
      </c>
      <c r="B466" s="181" t="s">
        <v>3601</v>
      </c>
      <c r="C466" s="211" t="s">
        <v>304</v>
      </c>
      <c r="D466" s="211" t="s">
        <v>3602</v>
      </c>
      <c r="E466" s="182">
        <v>1</v>
      </c>
      <c r="F466" s="172" t="s">
        <v>1616</v>
      </c>
      <c r="G466" s="18">
        <v>16000</v>
      </c>
      <c r="H466" s="248">
        <f t="shared" si="45"/>
        <v>16000</v>
      </c>
      <c r="I466" s="184">
        <v>10000</v>
      </c>
      <c r="J466" s="184">
        <f t="shared" si="42"/>
        <v>6000</v>
      </c>
      <c r="K466" s="185">
        <f t="shared" si="43"/>
        <v>6000</v>
      </c>
      <c r="L466" s="186">
        <f t="shared" si="44"/>
        <v>0.375</v>
      </c>
      <c r="M466" s="12" t="s">
        <v>22</v>
      </c>
      <c r="N466" s="12" t="s">
        <v>105</v>
      </c>
    </row>
    <row r="467" spans="1:14">
      <c r="A467" s="144" t="s">
        <v>562</v>
      </c>
      <c r="B467" s="181" t="s">
        <v>3603</v>
      </c>
      <c r="C467" s="211" t="s">
        <v>1042</v>
      </c>
      <c r="D467" s="211" t="s">
        <v>287</v>
      </c>
      <c r="E467" s="182">
        <v>610</v>
      </c>
      <c r="F467" s="172" t="s">
        <v>37</v>
      </c>
      <c r="G467" s="18">
        <v>385</v>
      </c>
      <c r="H467" s="248">
        <f t="shared" si="45"/>
        <v>234850</v>
      </c>
      <c r="I467" s="184">
        <v>353</v>
      </c>
      <c r="J467" s="184">
        <f t="shared" si="42"/>
        <v>32</v>
      </c>
      <c r="K467" s="185">
        <f t="shared" si="43"/>
        <v>19520</v>
      </c>
      <c r="L467" s="186">
        <f t="shared" si="44"/>
        <v>8.3116883116883117E-2</v>
      </c>
      <c r="M467" s="12" t="s">
        <v>22</v>
      </c>
      <c r="N467" s="12" t="s">
        <v>105</v>
      </c>
    </row>
    <row r="468" spans="1:14">
      <c r="A468" s="144" t="s">
        <v>562</v>
      </c>
      <c r="B468" s="181" t="s">
        <v>3604</v>
      </c>
      <c r="C468" s="211" t="s">
        <v>94</v>
      </c>
      <c r="D468" s="211" t="s">
        <v>3605</v>
      </c>
      <c r="E468" s="182">
        <v>400</v>
      </c>
      <c r="F468" s="172" t="s">
        <v>1616</v>
      </c>
      <c r="G468" s="18">
        <v>15.5</v>
      </c>
      <c r="H468" s="248">
        <f t="shared" si="45"/>
        <v>6200</v>
      </c>
      <c r="I468" s="184">
        <v>14.76</v>
      </c>
      <c r="J468" s="184">
        <f t="shared" si="42"/>
        <v>0.74000000000000021</v>
      </c>
      <c r="K468" s="185">
        <f t="shared" si="43"/>
        <v>296.00000000000011</v>
      </c>
      <c r="L468" s="186">
        <f t="shared" si="44"/>
        <v>4.7741935483870984E-2</v>
      </c>
      <c r="M468" s="12" t="s">
        <v>22</v>
      </c>
      <c r="N468" s="12" t="s">
        <v>105</v>
      </c>
    </row>
    <row r="469" spans="1:14">
      <c r="A469" s="199" t="s">
        <v>562</v>
      </c>
      <c r="B469" s="181" t="s">
        <v>3604</v>
      </c>
      <c r="C469" s="211" t="s">
        <v>94</v>
      </c>
      <c r="D469" s="211" t="s">
        <v>613</v>
      </c>
      <c r="E469" s="182">
        <v>100</v>
      </c>
      <c r="F469" s="172" t="s">
        <v>1616</v>
      </c>
      <c r="G469" s="18">
        <v>26</v>
      </c>
      <c r="H469" s="248">
        <f t="shared" si="45"/>
        <v>2600</v>
      </c>
      <c r="I469" s="184">
        <v>24.6</v>
      </c>
      <c r="J469" s="184">
        <f t="shared" si="42"/>
        <v>1.3999999999999986</v>
      </c>
      <c r="K469" s="185">
        <f t="shared" si="43"/>
        <v>139.99999999999986</v>
      </c>
      <c r="L469" s="186">
        <f t="shared" si="44"/>
        <v>5.3846153846153794E-2</v>
      </c>
      <c r="M469" s="12" t="s">
        <v>22</v>
      </c>
      <c r="N469" s="12" t="s">
        <v>105</v>
      </c>
    </row>
    <row r="470" spans="1:14">
      <c r="A470" s="144" t="s">
        <v>562</v>
      </c>
      <c r="B470" s="181" t="s">
        <v>3604</v>
      </c>
      <c r="C470" s="211" t="s">
        <v>94</v>
      </c>
      <c r="D470" s="211" t="s">
        <v>550</v>
      </c>
      <c r="E470" s="182">
        <v>400</v>
      </c>
      <c r="F470" s="172" t="s">
        <v>1616</v>
      </c>
      <c r="G470" s="18">
        <v>50</v>
      </c>
      <c r="H470" s="248">
        <f t="shared" si="45"/>
        <v>20000</v>
      </c>
      <c r="I470" s="184">
        <v>47.56</v>
      </c>
      <c r="J470" s="184">
        <f t="shared" si="42"/>
        <v>2.4399999999999977</v>
      </c>
      <c r="K470" s="185">
        <f t="shared" si="43"/>
        <v>975.99999999999909</v>
      </c>
      <c r="L470" s="186">
        <f t="shared" si="44"/>
        <v>4.8799999999999955E-2</v>
      </c>
      <c r="M470" s="12" t="s">
        <v>22</v>
      </c>
      <c r="N470" s="12" t="s">
        <v>105</v>
      </c>
    </row>
    <row r="471" spans="1:14">
      <c r="A471" s="199" t="s">
        <v>562</v>
      </c>
      <c r="B471" s="181" t="s">
        <v>3604</v>
      </c>
      <c r="C471" s="211" t="s">
        <v>94</v>
      </c>
      <c r="D471" s="211" t="s">
        <v>546</v>
      </c>
      <c r="E471" s="182">
        <v>100</v>
      </c>
      <c r="F471" s="172" t="s">
        <v>1616</v>
      </c>
      <c r="G471" s="18">
        <v>190</v>
      </c>
      <c r="H471" s="248">
        <f t="shared" si="45"/>
        <v>19000</v>
      </c>
      <c r="I471" s="184">
        <v>182.25</v>
      </c>
      <c r="J471" s="184">
        <f t="shared" si="42"/>
        <v>7.75</v>
      </c>
      <c r="K471" s="185">
        <f t="shared" si="43"/>
        <v>775</v>
      </c>
      <c r="L471" s="186">
        <f t="shared" si="44"/>
        <v>4.0789473684210528E-2</v>
      </c>
      <c r="M471" s="12" t="s">
        <v>22</v>
      </c>
      <c r="N471" s="12" t="s">
        <v>105</v>
      </c>
    </row>
    <row r="472" spans="1:14">
      <c r="A472" s="144" t="s">
        <v>562</v>
      </c>
      <c r="B472" s="181" t="s">
        <v>3604</v>
      </c>
      <c r="C472" s="211" t="s">
        <v>94</v>
      </c>
      <c r="D472" s="211" t="s">
        <v>457</v>
      </c>
      <c r="E472" s="182">
        <v>200</v>
      </c>
      <c r="F472" s="172" t="s">
        <v>1616</v>
      </c>
      <c r="G472" s="18">
        <v>5.25</v>
      </c>
      <c r="H472" s="248">
        <f t="shared" si="45"/>
        <v>1050</v>
      </c>
      <c r="I472" s="184">
        <v>5.0999999999999996</v>
      </c>
      <c r="J472" s="184">
        <f t="shared" si="42"/>
        <v>0.15000000000000036</v>
      </c>
      <c r="K472" s="185">
        <f t="shared" si="43"/>
        <v>30.000000000000071</v>
      </c>
      <c r="L472" s="186">
        <f t="shared" si="44"/>
        <v>2.857142857142864E-2</v>
      </c>
      <c r="M472" s="12" t="s">
        <v>22</v>
      </c>
      <c r="N472" s="12" t="s">
        <v>105</v>
      </c>
    </row>
    <row r="473" spans="1:14">
      <c r="A473" s="144" t="s">
        <v>562</v>
      </c>
      <c r="B473" s="181" t="s">
        <v>3606</v>
      </c>
      <c r="C473" s="12" t="s">
        <v>35</v>
      </c>
      <c r="D473" s="211" t="s">
        <v>3260</v>
      </c>
      <c r="E473" s="182">
        <v>5303</v>
      </c>
      <c r="F473" s="172" t="s">
        <v>37</v>
      </c>
      <c r="G473" s="18">
        <v>385</v>
      </c>
      <c r="H473" s="248">
        <f t="shared" si="45"/>
        <v>2041655</v>
      </c>
      <c r="I473" s="184">
        <v>380</v>
      </c>
      <c r="J473" s="184">
        <f t="shared" si="42"/>
        <v>5</v>
      </c>
      <c r="K473" s="185">
        <f t="shared" si="43"/>
        <v>26515</v>
      </c>
      <c r="L473" s="186">
        <f t="shared" si="44"/>
        <v>1.2987012987012988E-2</v>
      </c>
      <c r="M473" s="12" t="s">
        <v>40</v>
      </c>
      <c r="N473" s="12" t="s">
        <v>105</v>
      </c>
    </row>
    <row r="474" spans="1:14">
      <c r="A474" s="199" t="s">
        <v>562</v>
      </c>
      <c r="B474" s="257" t="s">
        <v>3607</v>
      </c>
      <c r="C474" s="12" t="s">
        <v>68</v>
      </c>
      <c r="D474" s="211" t="s">
        <v>962</v>
      </c>
      <c r="E474" s="182">
        <v>1512.2</v>
      </c>
      <c r="F474" s="172" t="s">
        <v>37</v>
      </c>
      <c r="G474" s="18">
        <v>375</v>
      </c>
      <c r="H474" s="248">
        <f t="shared" si="45"/>
        <v>567075</v>
      </c>
      <c r="I474" s="184">
        <v>365</v>
      </c>
      <c r="J474" s="184">
        <f t="shared" si="42"/>
        <v>10</v>
      </c>
      <c r="K474" s="185">
        <f t="shared" si="43"/>
        <v>15122</v>
      </c>
      <c r="L474" s="186">
        <f t="shared" si="44"/>
        <v>2.6666666666666668E-2</v>
      </c>
      <c r="M474" s="12" t="s">
        <v>22</v>
      </c>
      <c r="N474" s="12" t="s">
        <v>105</v>
      </c>
    </row>
    <row r="475" spans="1:14">
      <c r="A475" s="144" t="s">
        <v>562</v>
      </c>
      <c r="B475" s="215" t="s">
        <v>3608</v>
      </c>
      <c r="C475" s="218" t="s">
        <v>892</v>
      </c>
      <c r="D475" s="211" t="s">
        <v>894</v>
      </c>
      <c r="E475" s="182">
        <v>75</v>
      </c>
      <c r="F475" s="172" t="s">
        <v>1616</v>
      </c>
      <c r="G475" s="18">
        <v>1460</v>
      </c>
      <c r="H475" s="248">
        <f t="shared" si="45"/>
        <v>109500</v>
      </c>
      <c r="I475" s="184">
        <v>1450</v>
      </c>
      <c r="J475" s="184">
        <f t="shared" si="42"/>
        <v>10</v>
      </c>
      <c r="K475" s="185">
        <f t="shared" si="43"/>
        <v>750</v>
      </c>
      <c r="L475" s="186">
        <f t="shared" si="44"/>
        <v>6.8493150684931503E-3</v>
      </c>
      <c r="M475" s="12" t="s">
        <v>40</v>
      </c>
      <c r="N475" s="12" t="s">
        <v>105</v>
      </c>
    </row>
    <row r="476" spans="1:14">
      <c r="A476" s="199" t="s">
        <v>562</v>
      </c>
      <c r="B476" s="258" t="s">
        <v>3608</v>
      </c>
      <c r="C476" s="218" t="s">
        <v>892</v>
      </c>
      <c r="D476" s="211" t="s">
        <v>3335</v>
      </c>
      <c r="E476" s="182">
        <v>1405</v>
      </c>
      <c r="F476" s="172" t="s">
        <v>1616</v>
      </c>
      <c r="G476" s="18">
        <v>750</v>
      </c>
      <c r="H476" s="248">
        <f t="shared" si="45"/>
        <v>1053750</v>
      </c>
      <c r="I476" s="184">
        <v>740</v>
      </c>
      <c r="J476" s="184">
        <f t="shared" si="42"/>
        <v>10</v>
      </c>
      <c r="K476" s="185">
        <f t="shared" si="43"/>
        <v>14050</v>
      </c>
      <c r="L476" s="186">
        <f t="shared" si="44"/>
        <v>1.3333333333333334E-2</v>
      </c>
      <c r="M476" s="12" t="s">
        <v>40</v>
      </c>
      <c r="N476" s="12" t="s">
        <v>105</v>
      </c>
    </row>
    <row r="477" spans="1:14">
      <c r="A477" s="144" t="s">
        <v>562</v>
      </c>
      <c r="B477" s="158" t="s">
        <v>3609</v>
      </c>
      <c r="C477" s="211" t="s">
        <v>3610</v>
      </c>
      <c r="D477" s="211" t="s">
        <v>3611</v>
      </c>
      <c r="E477" s="182">
        <v>28</v>
      </c>
      <c r="F477" s="172" t="s">
        <v>1616</v>
      </c>
      <c r="G477" s="18">
        <v>5500</v>
      </c>
      <c r="H477" s="248">
        <f t="shared" si="45"/>
        <v>154000</v>
      </c>
      <c r="I477" s="184">
        <v>5200</v>
      </c>
      <c r="J477" s="184">
        <f t="shared" si="42"/>
        <v>300</v>
      </c>
      <c r="K477" s="185">
        <f t="shared" si="43"/>
        <v>8400</v>
      </c>
      <c r="L477" s="186">
        <f t="shared" si="44"/>
        <v>5.4545454545454543E-2</v>
      </c>
      <c r="M477" s="12" t="s">
        <v>22</v>
      </c>
      <c r="N477" s="12" t="s">
        <v>105</v>
      </c>
    </row>
    <row r="478" spans="1:14">
      <c r="A478" s="144" t="s">
        <v>562</v>
      </c>
      <c r="B478" s="158" t="s">
        <v>3609</v>
      </c>
      <c r="C478" s="211" t="s">
        <v>3610</v>
      </c>
      <c r="D478" s="211" t="s">
        <v>3612</v>
      </c>
      <c r="E478" s="182">
        <v>28</v>
      </c>
      <c r="F478" s="172" t="s">
        <v>1616</v>
      </c>
      <c r="G478" s="18">
        <v>5500</v>
      </c>
      <c r="H478" s="248">
        <f t="shared" si="45"/>
        <v>154000</v>
      </c>
      <c r="I478" s="184">
        <v>5200</v>
      </c>
      <c r="J478" s="184">
        <f t="shared" si="42"/>
        <v>300</v>
      </c>
      <c r="K478" s="185">
        <f t="shared" si="43"/>
        <v>8400</v>
      </c>
      <c r="L478" s="186">
        <f t="shared" si="44"/>
        <v>5.4545454545454543E-2</v>
      </c>
      <c r="M478" s="12" t="s">
        <v>22</v>
      </c>
      <c r="N478" s="12" t="s">
        <v>105</v>
      </c>
    </row>
    <row r="479" spans="1:14">
      <c r="A479" s="199" t="s">
        <v>562</v>
      </c>
      <c r="B479" s="158" t="s">
        <v>3613</v>
      </c>
      <c r="C479" s="12" t="s">
        <v>708</v>
      </c>
      <c r="D479" s="211" t="s">
        <v>45</v>
      </c>
      <c r="E479" s="182">
        <v>1300</v>
      </c>
      <c r="F479" s="172" t="s">
        <v>37</v>
      </c>
      <c r="G479" s="18">
        <v>365.3</v>
      </c>
      <c r="H479" s="248">
        <f t="shared" si="45"/>
        <v>474890</v>
      </c>
      <c r="I479" s="184">
        <v>362.3</v>
      </c>
      <c r="J479" s="184">
        <f t="shared" si="42"/>
        <v>3</v>
      </c>
      <c r="K479" s="185">
        <f t="shared" si="43"/>
        <v>3900</v>
      </c>
      <c r="L479" s="186">
        <f t="shared" si="44"/>
        <v>8.2124281412537629E-3</v>
      </c>
      <c r="M479" s="12" t="s">
        <v>40</v>
      </c>
      <c r="N479" s="12" t="s">
        <v>105</v>
      </c>
    </row>
    <row r="480" spans="1:14">
      <c r="A480" s="144" t="s">
        <v>562</v>
      </c>
      <c r="B480" s="158" t="s">
        <v>3613</v>
      </c>
      <c r="C480" s="12" t="s">
        <v>708</v>
      </c>
      <c r="D480" s="211" t="s">
        <v>46</v>
      </c>
      <c r="E480" s="182">
        <v>500</v>
      </c>
      <c r="F480" s="172" t="s">
        <v>37</v>
      </c>
      <c r="G480" s="18">
        <v>365.46</v>
      </c>
      <c r="H480" s="248">
        <f t="shared" si="45"/>
        <v>182730</v>
      </c>
      <c r="I480" s="184">
        <v>362.46</v>
      </c>
      <c r="J480" s="184">
        <f t="shared" si="42"/>
        <v>3</v>
      </c>
      <c r="K480" s="185">
        <f t="shared" si="43"/>
        <v>1500</v>
      </c>
      <c r="L480" s="186">
        <f t="shared" si="44"/>
        <v>8.2088327039894927E-3</v>
      </c>
      <c r="M480" s="12" t="s">
        <v>40</v>
      </c>
      <c r="N480" s="12" t="s">
        <v>105</v>
      </c>
    </row>
    <row r="481" spans="1:14">
      <c r="A481" s="199" t="s">
        <v>562</v>
      </c>
      <c r="B481" s="158" t="s">
        <v>3613</v>
      </c>
      <c r="C481" s="12" t="s">
        <v>708</v>
      </c>
      <c r="D481" s="211" t="s">
        <v>49</v>
      </c>
      <c r="E481" s="182">
        <v>2030</v>
      </c>
      <c r="F481" s="172" t="s">
        <v>37</v>
      </c>
      <c r="G481" s="18">
        <v>366.66</v>
      </c>
      <c r="H481" s="248">
        <f t="shared" si="45"/>
        <v>744319.8</v>
      </c>
      <c r="I481" s="184">
        <v>363.66</v>
      </c>
      <c r="J481" s="184">
        <f t="shared" si="42"/>
        <v>3</v>
      </c>
      <c r="K481" s="185">
        <f t="shared" si="43"/>
        <v>6090</v>
      </c>
      <c r="L481" s="186">
        <f t="shared" si="44"/>
        <v>8.1819669448535415E-3</v>
      </c>
      <c r="M481" s="12" t="s">
        <v>40</v>
      </c>
      <c r="N481" s="12" t="s">
        <v>105</v>
      </c>
    </row>
    <row r="482" spans="1:14">
      <c r="A482" s="144" t="s">
        <v>562</v>
      </c>
      <c r="B482" s="158" t="s">
        <v>3613</v>
      </c>
      <c r="C482" s="12" t="s">
        <v>708</v>
      </c>
      <c r="D482" s="211" t="s">
        <v>206</v>
      </c>
      <c r="E482" s="182">
        <v>2300</v>
      </c>
      <c r="F482" s="172" t="s">
        <v>37</v>
      </c>
      <c r="G482" s="18">
        <v>365.07</v>
      </c>
      <c r="H482" s="248">
        <f t="shared" si="45"/>
        <v>839661</v>
      </c>
      <c r="I482" s="184">
        <v>362.07</v>
      </c>
      <c r="J482" s="184">
        <f t="shared" si="42"/>
        <v>3</v>
      </c>
      <c r="K482" s="185">
        <f t="shared" si="43"/>
        <v>6900</v>
      </c>
      <c r="L482" s="186">
        <f t="shared" si="44"/>
        <v>8.2176021037061384E-3</v>
      </c>
      <c r="M482" s="12" t="s">
        <v>40</v>
      </c>
      <c r="N482" s="12" t="s">
        <v>105</v>
      </c>
    </row>
    <row r="483" spans="1:14">
      <c r="A483" s="144" t="s">
        <v>562</v>
      </c>
      <c r="B483" s="158" t="s">
        <v>3613</v>
      </c>
      <c r="C483" s="12" t="s">
        <v>708</v>
      </c>
      <c r="D483" s="211" t="s">
        <v>51</v>
      </c>
      <c r="E483" s="182">
        <v>1300</v>
      </c>
      <c r="F483" s="172" t="s">
        <v>37</v>
      </c>
      <c r="G483" s="18">
        <v>367.8</v>
      </c>
      <c r="H483" s="248">
        <f t="shared" si="45"/>
        <v>478140</v>
      </c>
      <c r="I483" s="184">
        <v>364.8</v>
      </c>
      <c r="J483" s="184">
        <f t="shared" si="42"/>
        <v>3</v>
      </c>
      <c r="K483" s="185">
        <f t="shared" si="43"/>
        <v>3900</v>
      </c>
      <c r="L483" s="186">
        <f t="shared" si="44"/>
        <v>8.1566068515497546E-3</v>
      </c>
      <c r="M483" s="12" t="s">
        <v>40</v>
      </c>
      <c r="N483" s="12" t="s">
        <v>105</v>
      </c>
    </row>
    <row r="484" spans="1:14">
      <c r="A484" s="199" t="s">
        <v>562</v>
      </c>
      <c r="B484" s="158" t="s">
        <v>3614</v>
      </c>
      <c r="C484" s="12" t="s">
        <v>35</v>
      </c>
      <c r="D484" s="211" t="s">
        <v>3500</v>
      </c>
      <c r="E484" s="182">
        <v>1551</v>
      </c>
      <c r="F484" s="172" t="s">
        <v>37</v>
      </c>
      <c r="G484" s="18">
        <v>385</v>
      </c>
      <c r="H484" s="248">
        <f t="shared" si="45"/>
        <v>597135</v>
      </c>
      <c r="I484" s="184">
        <v>380</v>
      </c>
      <c r="J484" s="184">
        <f t="shared" si="42"/>
        <v>5</v>
      </c>
      <c r="K484" s="185">
        <f t="shared" si="43"/>
        <v>7755</v>
      </c>
      <c r="L484" s="186">
        <f t="shared" si="44"/>
        <v>1.2987012987012988E-2</v>
      </c>
      <c r="M484" s="12" t="s">
        <v>40</v>
      </c>
      <c r="N484" s="12" t="s">
        <v>105</v>
      </c>
    </row>
    <row r="485" spans="1:14">
      <c r="A485" s="144" t="s">
        <v>562</v>
      </c>
      <c r="B485" s="158" t="s">
        <v>3615</v>
      </c>
      <c r="C485" s="211" t="s">
        <v>708</v>
      </c>
      <c r="D485" s="211" t="s">
        <v>45</v>
      </c>
      <c r="E485" s="182">
        <v>1000</v>
      </c>
      <c r="F485" s="172" t="s">
        <v>37</v>
      </c>
      <c r="G485" s="18">
        <v>365.3</v>
      </c>
      <c r="H485" s="248">
        <f t="shared" si="45"/>
        <v>365300</v>
      </c>
      <c r="I485" s="184">
        <v>362.3</v>
      </c>
      <c r="J485" s="184">
        <f t="shared" si="42"/>
        <v>3</v>
      </c>
      <c r="K485" s="185">
        <f t="shared" si="43"/>
        <v>3000</v>
      </c>
      <c r="L485" s="186">
        <f t="shared" si="44"/>
        <v>8.2124281412537629E-3</v>
      </c>
      <c r="M485" s="12" t="s">
        <v>40</v>
      </c>
      <c r="N485" s="12" t="s">
        <v>105</v>
      </c>
    </row>
    <row r="486" spans="1:14">
      <c r="A486" s="199" t="s">
        <v>562</v>
      </c>
      <c r="B486" s="158" t="s">
        <v>3615</v>
      </c>
      <c r="C486" s="211" t="s">
        <v>708</v>
      </c>
      <c r="D486" s="211" t="s">
        <v>3616</v>
      </c>
      <c r="E486" s="182">
        <v>300</v>
      </c>
      <c r="F486" s="172" t="s">
        <v>37</v>
      </c>
      <c r="G486" s="18">
        <v>364.25</v>
      </c>
      <c r="H486" s="248">
        <f t="shared" si="45"/>
        <v>109275</v>
      </c>
      <c r="I486" s="184">
        <v>361.25</v>
      </c>
      <c r="J486" s="184">
        <f t="shared" si="42"/>
        <v>3</v>
      </c>
      <c r="K486" s="185">
        <f t="shared" si="43"/>
        <v>900</v>
      </c>
      <c r="L486" s="186">
        <f t="shared" si="44"/>
        <v>8.2361015785861365E-3</v>
      </c>
      <c r="M486" s="12" t="s">
        <v>40</v>
      </c>
      <c r="N486" s="12" t="s">
        <v>105</v>
      </c>
    </row>
    <row r="487" spans="1:14">
      <c r="A487" s="144" t="s">
        <v>562</v>
      </c>
      <c r="B487" s="158" t="s">
        <v>3615</v>
      </c>
      <c r="C487" s="211" t="s">
        <v>708</v>
      </c>
      <c r="D487" s="211" t="s">
        <v>207</v>
      </c>
      <c r="E487" s="182">
        <v>800</v>
      </c>
      <c r="F487" s="172" t="s">
        <v>37</v>
      </c>
      <c r="G487" s="18">
        <v>365.53</v>
      </c>
      <c r="H487" s="248">
        <f t="shared" si="45"/>
        <v>292424</v>
      </c>
      <c r="I487" s="184">
        <v>362.53</v>
      </c>
      <c r="J487" s="184">
        <f t="shared" si="42"/>
        <v>3</v>
      </c>
      <c r="K487" s="185">
        <f t="shared" si="43"/>
        <v>2400</v>
      </c>
      <c r="L487" s="186">
        <f t="shared" si="44"/>
        <v>8.207260689957049E-3</v>
      </c>
      <c r="M487" s="12" t="s">
        <v>40</v>
      </c>
      <c r="N487" s="12" t="s">
        <v>105</v>
      </c>
    </row>
    <row r="488" spans="1:14">
      <c r="A488" s="144" t="s">
        <v>562</v>
      </c>
      <c r="B488" s="158" t="s">
        <v>3615</v>
      </c>
      <c r="C488" s="211" t="s">
        <v>708</v>
      </c>
      <c r="D488" s="211" t="s">
        <v>52</v>
      </c>
      <c r="E488" s="182">
        <v>200</v>
      </c>
      <c r="F488" s="172" t="s">
        <v>37</v>
      </c>
      <c r="G488" s="18">
        <v>365.05</v>
      </c>
      <c r="H488" s="248">
        <f t="shared" si="45"/>
        <v>73010</v>
      </c>
      <c r="I488" s="184">
        <v>362.05</v>
      </c>
      <c r="J488" s="184">
        <f t="shared" si="42"/>
        <v>3</v>
      </c>
      <c r="K488" s="185">
        <f t="shared" si="43"/>
        <v>600</v>
      </c>
      <c r="L488" s="186">
        <f t="shared" si="44"/>
        <v>8.2180523215997798E-3</v>
      </c>
      <c r="M488" s="12" t="s">
        <v>40</v>
      </c>
      <c r="N488" s="12" t="s">
        <v>105</v>
      </c>
    </row>
    <row r="489" spans="1:14">
      <c r="A489" s="199" t="s">
        <v>562</v>
      </c>
      <c r="B489" s="158" t="s">
        <v>3615</v>
      </c>
      <c r="C489" s="211" t="s">
        <v>708</v>
      </c>
      <c r="D489" s="211" t="s">
        <v>51</v>
      </c>
      <c r="E489" s="182">
        <v>400</v>
      </c>
      <c r="F489" s="172" t="s">
        <v>37</v>
      </c>
      <c r="G489" s="18">
        <v>367.8</v>
      </c>
      <c r="H489" s="248">
        <f t="shared" si="45"/>
        <v>147120</v>
      </c>
      <c r="I489" s="184">
        <v>364.8</v>
      </c>
      <c r="J489" s="184">
        <f t="shared" si="42"/>
        <v>3</v>
      </c>
      <c r="K489" s="185">
        <f t="shared" si="43"/>
        <v>1200</v>
      </c>
      <c r="L489" s="186">
        <f t="shared" si="44"/>
        <v>8.1566068515497546E-3</v>
      </c>
      <c r="M489" s="12" t="s">
        <v>40</v>
      </c>
      <c r="N489" s="12" t="s">
        <v>105</v>
      </c>
    </row>
    <row r="490" spans="1:14">
      <c r="A490" s="144" t="s">
        <v>562</v>
      </c>
      <c r="B490" s="158" t="s">
        <v>3615</v>
      </c>
      <c r="C490" s="211" t="s">
        <v>708</v>
      </c>
      <c r="D490" s="211" t="s">
        <v>210</v>
      </c>
      <c r="E490" s="182">
        <v>1000</v>
      </c>
      <c r="F490" s="172" t="s">
        <v>37</v>
      </c>
      <c r="G490" s="18">
        <v>363.64</v>
      </c>
      <c r="H490" s="248">
        <f t="shared" si="45"/>
        <v>363640</v>
      </c>
      <c r="I490" s="184">
        <v>360.64</v>
      </c>
      <c r="J490" s="184">
        <f t="shared" si="42"/>
        <v>3</v>
      </c>
      <c r="K490" s="185">
        <f t="shared" si="43"/>
        <v>3000</v>
      </c>
      <c r="L490" s="186">
        <f t="shared" si="44"/>
        <v>8.2499175008249916E-3</v>
      </c>
      <c r="M490" s="12" t="s">
        <v>40</v>
      </c>
      <c r="N490" s="12" t="s">
        <v>105</v>
      </c>
    </row>
    <row r="491" spans="1:14">
      <c r="A491" s="199" t="s">
        <v>562</v>
      </c>
      <c r="B491" s="181" t="s">
        <v>3596</v>
      </c>
      <c r="C491" s="211" t="s">
        <v>1375</v>
      </c>
      <c r="D491" s="211" t="s">
        <v>813</v>
      </c>
      <c r="E491" s="182">
        <v>120000</v>
      </c>
      <c r="F491" s="172" t="s">
        <v>37</v>
      </c>
      <c r="G491" s="18">
        <v>51.8</v>
      </c>
      <c r="H491" s="248">
        <f t="shared" si="45"/>
        <v>6216000</v>
      </c>
      <c r="I491" s="184">
        <v>50</v>
      </c>
      <c r="J491" s="184">
        <f t="shared" si="42"/>
        <v>1.7999999999999972</v>
      </c>
      <c r="K491" s="185">
        <f t="shared" si="43"/>
        <v>215999.99999999965</v>
      </c>
      <c r="L491" s="186">
        <f t="shared" si="44"/>
        <v>3.4749034749034693E-2</v>
      </c>
      <c r="M491" s="12" t="s">
        <v>22</v>
      </c>
      <c r="N491" s="12" t="s">
        <v>39</v>
      </c>
    </row>
    <row r="492" spans="1:14">
      <c r="A492" s="144" t="s">
        <v>562</v>
      </c>
      <c r="B492" s="181" t="s">
        <v>3595</v>
      </c>
      <c r="C492" s="211" t="s">
        <v>1375</v>
      </c>
      <c r="D492" s="211" t="s">
        <v>502</v>
      </c>
      <c r="E492" s="182">
        <v>160000</v>
      </c>
      <c r="F492" s="172" t="s">
        <v>37</v>
      </c>
      <c r="G492" s="18">
        <v>52.8</v>
      </c>
      <c r="H492" s="248">
        <f t="shared" si="45"/>
        <v>8448000</v>
      </c>
      <c r="I492" s="184">
        <v>52.5</v>
      </c>
      <c r="J492" s="184">
        <f t="shared" si="42"/>
        <v>0.29999999999999716</v>
      </c>
      <c r="K492" s="185">
        <f t="shared" si="43"/>
        <v>47999.999999999549</v>
      </c>
      <c r="L492" s="186">
        <f t="shared" si="44"/>
        <v>5.6818181818181282E-3</v>
      </c>
      <c r="M492" s="12" t="s">
        <v>22</v>
      </c>
      <c r="N492" s="12" t="s">
        <v>39</v>
      </c>
    </row>
    <row r="493" spans="1:14">
      <c r="A493" s="144" t="s">
        <v>562</v>
      </c>
      <c r="B493" s="181" t="s">
        <v>3597</v>
      </c>
      <c r="C493" s="211" t="s">
        <v>1375</v>
      </c>
      <c r="D493" s="211" t="s">
        <v>503</v>
      </c>
      <c r="E493" s="182">
        <v>180000</v>
      </c>
      <c r="F493" s="172" t="s">
        <v>37</v>
      </c>
      <c r="G493" s="18">
        <v>77</v>
      </c>
      <c r="H493" s="248">
        <f t="shared" si="45"/>
        <v>13860000</v>
      </c>
      <c r="I493" s="184">
        <v>75.45</v>
      </c>
      <c r="J493" s="184">
        <f t="shared" si="42"/>
        <v>1.5499999999999972</v>
      </c>
      <c r="K493" s="185">
        <f t="shared" si="43"/>
        <v>278999.99999999948</v>
      </c>
      <c r="L493" s="186">
        <f t="shared" si="44"/>
        <v>2.0129870129870091E-2</v>
      </c>
      <c r="M493" s="12" t="s">
        <v>22</v>
      </c>
      <c r="N493" s="12" t="s">
        <v>39</v>
      </c>
    </row>
    <row r="494" spans="1:14">
      <c r="A494" s="199" t="s">
        <v>562</v>
      </c>
      <c r="B494" s="181" t="s">
        <v>3617</v>
      </c>
      <c r="C494" s="211" t="s">
        <v>335</v>
      </c>
      <c r="D494" s="211" t="s">
        <v>3618</v>
      </c>
      <c r="E494" s="182">
        <v>5016</v>
      </c>
      <c r="F494" s="172" t="s">
        <v>337</v>
      </c>
      <c r="G494" s="18">
        <v>75.14</v>
      </c>
      <c r="H494" s="248">
        <f t="shared" si="45"/>
        <v>376902.24</v>
      </c>
      <c r="I494" s="184">
        <v>75</v>
      </c>
      <c r="J494" s="184">
        <f t="shared" si="42"/>
        <v>0.14000000000000057</v>
      </c>
      <c r="K494" s="185">
        <f t="shared" si="43"/>
        <v>702.24000000000285</v>
      </c>
      <c r="L494" s="186">
        <f t="shared" si="44"/>
        <v>1.8631887143997945E-3</v>
      </c>
      <c r="M494" s="12" t="s">
        <v>40</v>
      </c>
      <c r="N494" s="12" t="s">
        <v>39</v>
      </c>
    </row>
    <row r="495" spans="1:14">
      <c r="A495" s="144" t="s">
        <v>562</v>
      </c>
      <c r="B495" s="181" t="s">
        <v>3619</v>
      </c>
      <c r="C495" s="211" t="s">
        <v>3620</v>
      </c>
      <c r="D495" s="211" t="s">
        <v>3621</v>
      </c>
      <c r="E495" s="182">
        <v>1</v>
      </c>
      <c r="F495" s="172" t="s">
        <v>285</v>
      </c>
      <c r="G495" s="18">
        <v>14000</v>
      </c>
      <c r="H495" s="248">
        <f t="shared" si="45"/>
        <v>14000</v>
      </c>
      <c r="I495" s="184">
        <v>13000</v>
      </c>
      <c r="J495" s="184">
        <f t="shared" si="42"/>
        <v>1000</v>
      </c>
      <c r="K495" s="185">
        <f t="shared" si="43"/>
        <v>1000</v>
      </c>
      <c r="L495" s="186">
        <f t="shared" si="44"/>
        <v>7.1428571428571425E-2</v>
      </c>
      <c r="M495" s="12" t="s">
        <v>22</v>
      </c>
      <c r="N495" s="12" t="s">
        <v>39</v>
      </c>
    </row>
    <row r="496" spans="1:14">
      <c r="A496" s="199" t="s">
        <v>562</v>
      </c>
      <c r="B496" s="181" t="s">
        <v>3622</v>
      </c>
      <c r="C496" s="211" t="s">
        <v>3620</v>
      </c>
      <c r="D496" s="211" t="s">
        <v>3623</v>
      </c>
      <c r="E496" s="182">
        <v>1</v>
      </c>
      <c r="F496" s="172" t="s">
        <v>285</v>
      </c>
      <c r="G496" s="18">
        <v>14000</v>
      </c>
      <c r="H496" s="248">
        <f t="shared" si="45"/>
        <v>14000</v>
      </c>
      <c r="I496" s="184">
        <v>13000</v>
      </c>
      <c r="J496" s="184">
        <f t="shared" si="42"/>
        <v>1000</v>
      </c>
      <c r="K496" s="185">
        <f t="shared" si="43"/>
        <v>1000</v>
      </c>
      <c r="L496" s="186">
        <f t="shared" si="44"/>
        <v>7.1428571428571425E-2</v>
      </c>
      <c r="M496" s="12" t="s">
        <v>22</v>
      </c>
      <c r="N496" s="12" t="s">
        <v>39</v>
      </c>
    </row>
    <row r="497" spans="1:14">
      <c r="A497" s="144" t="s">
        <v>562</v>
      </c>
      <c r="B497" s="158" t="s">
        <v>3624</v>
      </c>
      <c r="C497" s="211" t="s">
        <v>68</v>
      </c>
      <c r="D497" s="211" t="s">
        <v>962</v>
      </c>
      <c r="E497" s="182">
        <v>5248</v>
      </c>
      <c r="F497" s="172" t="s">
        <v>37</v>
      </c>
      <c r="G497" s="18">
        <v>365</v>
      </c>
      <c r="H497" s="248">
        <f t="shared" si="45"/>
        <v>1915520</v>
      </c>
      <c r="I497" s="184">
        <v>360</v>
      </c>
      <c r="J497" s="184">
        <f t="shared" si="42"/>
        <v>5</v>
      </c>
      <c r="K497" s="185">
        <f t="shared" si="43"/>
        <v>26240</v>
      </c>
      <c r="L497" s="186">
        <f t="shared" si="44"/>
        <v>1.3698630136986301E-2</v>
      </c>
      <c r="M497" s="12" t="s">
        <v>40</v>
      </c>
      <c r="N497" s="12" t="s">
        <v>105</v>
      </c>
    </row>
    <row r="498" spans="1:14">
      <c r="A498" s="144" t="s">
        <v>562</v>
      </c>
      <c r="B498" s="158" t="s">
        <v>3625</v>
      </c>
      <c r="C498" s="211" t="s">
        <v>107</v>
      </c>
      <c r="D498" s="211" t="s">
        <v>564</v>
      </c>
      <c r="E498" s="182">
        <v>20</v>
      </c>
      <c r="F498" s="172" t="s">
        <v>1616</v>
      </c>
      <c r="G498" s="18">
        <v>980</v>
      </c>
      <c r="H498" s="248">
        <f t="shared" si="45"/>
        <v>19600</v>
      </c>
      <c r="I498" s="184">
        <v>690</v>
      </c>
      <c r="J498" s="184">
        <f t="shared" si="42"/>
        <v>290</v>
      </c>
      <c r="K498" s="185">
        <f t="shared" si="43"/>
        <v>5800</v>
      </c>
      <c r="L498" s="186">
        <f t="shared" si="44"/>
        <v>0.29591836734693877</v>
      </c>
      <c r="M498" s="12" t="s">
        <v>40</v>
      </c>
      <c r="N498" s="12" t="s">
        <v>105</v>
      </c>
    </row>
    <row r="499" spans="1:14">
      <c r="A499" s="199" t="s">
        <v>562</v>
      </c>
      <c r="B499" s="158" t="s">
        <v>3625</v>
      </c>
      <c r="C499" s="211" t="s">
        <v>107</v>
      </c>
      <c r="D499" s="211" t="s">
        <v>1652</v>
      </c>
      <c r="E499" s="182">
        <v>60</v>
      </c>
      <c r="F499" s="172" t="s">
        <v>1616</v>
      </c>
      <c r="G499" s="18">
        <v>1260</v>
      </c>
      <c r="H499" s="248">
        <f t="shared" si="45"/>
        <v>75600</v>
      </c>
      <c r="I499" s="184">
        <v>985</v>
      </c>
      <c r="J499" s="184">
        <f t="shared" si="42"/>
        <v>275</v>
      </c>
      <c r="K499" s="185">
        <f t="shared" si="43"/>
        <v>16500</v>
      </c>
      <c r="L499" s="186">
        <f t="shared" si="44"/>
        <v>0.21825396825396826</v>
      </c>
      <c r="M499" s="12" t="s">
        <v>40</v>
      </c>
      <c r="N499" s="12" t="s">
        <v>105</v>
      </c>
    </row>
    <row r="500" spans="1:14">
      <c r="A500" s="144" t="s">
        <v>562</v>
      </c>
      <c r="B500" s="219" t="s">
        <v>3626</v>
      </c>
      <c r="C500" s="259" t="s">
        <v>2610</v>
      </c>
      <c r="D500" s="211" t="s">
        <v>982</v>
      </c>
      <c r="E500" s="182">
        <v>1000</v>
      </c>
      <c r="F500" s="172" t="s">
        <v>1616</v>
      </c>
      <c r="G500" s="18">
        <v>21.21</v>
      </c>
      <c r="H500" s="248">
        <f t="shared" si="45"/>
        <v>21210</v>
      </c>
      <c r="I500" s="184">
        <v>20.2</v>
      </c>
      <c r="J500" s="184">
        <f t="shared" si="42"/>
        <v>1.0100000000000016</v>
      </c>
      <c r="K500" s="185">
        <f t="shared" si="43"/>
        <v>1010.0000000000016</v>
      </c>
      <c r="L500" s="186">
        <f t="shared" si="44"/>
        <v>4.7619047619047693E-2</v>
      </c>
      <c r="M500" s="12" t="s">
        <v>40</v>
      </c>
      <c r="N500" s="12" t="s">
        <v>105</v>
      </c>
    </row>
    <row r="501" spans="1:14">
      <c r="A501" s="199" t="s">
        <v>562</v>
      </c>
      <c r="B501" s="181" t="s">
        <v>3627</v>
      </c>
      <c r="C501" s="211" t="s">
        <v>892</v>
      </c>
      <c r="D501" s="211" t="s">
        <v>894</v>
      </c>
      <c r="E501" s="182">
        <v>96</v>
      </c>
      <c r="F501" s="172" t="s">
        <v>1616</v>
      </c>
      <c r="G501" s="260">
        <v>1460</v>
      </c>
      <c r="H501" s="248">
        <f t="shared" si="45"/>
        <v>140160</v>
      </c>
      <c r="I501" s="184">
        <v>1450</v>
      </c>
      <c r="J501" s="184">
        <f t="shared" si="42"/>
        <v>10</v>
      </c>
      <c r="K501" s="185">
        <f t="shared" si="43"/>
        <v>960</v>
      </c>
      <c r="L501" s="186">
        <f t="shared" si="44"/>
        <v>6.8493150684931503E-3</v>
      </c>
      <c r="M501" s="12" t="s">
        <v>40</v>
      </c>
      <c r="N501" s="12" t="s">
        <v>105</v>
      </c>
    </row>
    <row r="502" spans="1:14">
      <c r="A502" s="144" t="s">
        <v>562</v>
      </c>
      <c r="B502" s="181" t="s">
        <v>3627</v>
      </c>
      <c r="C502" s="211" t="s">
        <v>892</v>
      </c>
      <c r="D502" s="211" t="s">
        <v>3335</v>
      </c>
      <c r="E502" s="182">
        <v>3</v>
      </c>
      <c r="F502" s="172" t="s">
        <v>1616</v>
      </c>
      <c r="G502" s="261">
        <v>750</v>
      </c>
      <c r="H502" s="248">
        <f t="shared" si="45"/>
        <v>2250</v>
      </c>
      <c r="I502" s="184">
        <v>740</v>
      </c>
      <c r="J502" s="184">
        <f t="shared" si="42"/>
        <v>10</v>
      </c>
      <c r="K502" s="185">
        <f t="shared" si="43"/>
        <v>30</v>
      </c>
      <c r="L502" s="186">
        <f t="shared" si="44"/>
        <v>1.3333333333333334E-2</v>
      </c>
      <c r="M502" s="12" t="s">
        <v>40</v>
      </c>
      <c r="N502" s="12" t="s">
        <v>105</v>
      </c>
    </row>
    <row r="503" spans="1:14">
      <c r="A503" s="144" t="s">
        <v>562</v>
      </c>
      <c r="B503" s="181" t="s">
        <v>3628</v>
      </c>
      <c r="C503" s="211" t="s">
        <v>3629</v>
      </c>
      <c r="D503" s="211" t="s">
        <v>3630</v>
      </c>
      <c r="E503" s="182">
        <v>3</v>
      </c>
      <c r="F503" s="172" t="s">
        <v>1608</v>
      </c>
      <c r="G503" s="18">
        <v>14800</v>
      </c>
      <c r="H503" s="248">
        <f t="shared" si="45"/>
        <v>44400</v>
      </c>
      <c r="I503" s="184">
        <v>14060</v>
      </c>
      <c r="J503" s="184">
        <f t="shared" si="42"/>
        <v>740</v>
      </c>
      <c r="K503" s="185">
        <f t="shared" si="43"/>
        <v>2220</v>
      </c>
      <c r="L503" s="186">
        <f t="shared" si="44"/>
        <v>0.05</v>
      </c>
      <c r="M503" s="12" t="s">
        <v>40</v>
      </c>
      <c r="N503" s="12" t="s">
        <v>39</v>
      </c>
    </row>
    <row r="504" spans="1:14">
      <c r="A504" s="199" t="s">
        <v>562</v>
      </c>
      <c r="B504" s="181" t="s">
        <v>3628</v>
      </c>
      <c r="C504" s="211" t="s">
        <v>3629</v>
      </c>
      <c r="D504" s="211" t="s">
        <v>3631</v>
      </c>
      <c r="E504" s="182">
        <v>11</v>
      </c>
      <c r="F504" s="172" t="s">
        <v>1608</v>
      </c>
      <c r="G504" s="18">
        <v>26800</v>
      </c>
      <c r="H504" s="248">
        <f t="shared" si="45"/>
        <v>294800</v>
      </c>
      <c r="I504" s="184">
        <v>25460</v>
      </c>
      <c r="J504" s="184">
        <f t="shared" si="42"/>
        <v>1340</v>
      </c>
      <c r="K504" s="185">
        <f t="shared" si="43"/>
        <v>14740</v>
      </c>
      <c r="L504" s="186">
        <f t="shared" si="44"/>
        <v>0.05</v>
      </c>
      <c r="M504" s="12" t="s">
        <v>40</v>
      </c>
      <c r="N504" s="12" t="s">
        <v>39</v>
      </c>
    </row>
    <row r="505" spans="1:14">
      <c r="A505" s="144" t="s">
        <v>562</v>
      </c>
      <c r="B505" s="181" t="s">
        <v>3628</v>
      </c>
      <c r="C505" s="211" t="s">
        <v>3629</v>
      </c>
      <c r="D505" s="211" t="s">
        <v>3632</v>
      </c>
      <c r="E505" s="182">
        <v>37</v>
      </c>
      <c r="F505" s="172" t="s">
        <v>1608</v>
      </c>
      <c r="G505" s="18">
        <v>26800</v>
      </c>
      <c r="H505" s="248">
        <f t="shared" si="45"/>
        <v>991600</v>
      </c>
      <c r="I505" s="184">
        <v>25460</v>
      </c>
      <c r="J505" s="184">
        <f t="shared" si="42"/>
        <v>1340</v>
      </c>
      <c r="K505" s="185">
        <f t="shared" si="43"/>
        <v>49580</v>
      </c>
      <c r="L505" s="186">
        <f t="shared" si="44"/>
        <v>0.05</v>
      </c>
      <c r="M505" s="12" t="s">
        <v>40</v>
      </c>
      <c r="N505" s="12" t="s">
        <v>39</v>
      </c>
    </row>
    <row r="506" spans="1:14">
      <c r="A506" s="199" t="s">
        <v>562</v>
      </c>
      <c r="B506" s="181" t="s">
        <v>3628</v>
      </c>
      <c r="C506" s="211" t="s">
        <v>3629</v>
      </c>
      <c r="D506" s="211" t="s">
        <v>3633</v>
      </c>
      <c r="E506" s="182">
        <v>17</v>
      </c>
      <c r="F506" s="172" t="s">
        <v>1608</v>
      </c>
      <c r="G506" s="18">
        <v>18500</v>
      </c>
      <c r="H506" s="248">
        <f t="shared" si="45"/>
        <v>314500</v>
      </c>
      <c r="I506" s="184">
        <v>17575</v>
      </c>
      <c r="J506" s="184">
        <f t="shared" ref="J506:J572" si="46">G506-I506</f>
        <v>925</v>
      </c>
      <c r="K506" s="185">
        <f t="shared" ref="K506:K570" si="47">J506*E506</f>
        <v>15725</v>
      </c>
      <c r="L506" s="186">
        <f t="shared" ref="L506:L572" si="48">J506/G506</f>
        <v>0.05</v>
      </c>
      <c r="M506" s="12" t="s">
        <v>40</v>
      </c>
      <c r="N506" s="12" t="s">
        <v>39</v>
      </c>
    </row>
    <row r="507" spans="1:14">
      <c r="A507" s="144" t="s">
        <v>562</v>
      </c>
      <c r="B507" s="181" t="s">
        <v>3634</v>
      </c>
      <c r="C507" s="211" t="s">
        <v>94</v>
      </c>
      <c r="D507" s="211" t="s">
        <v>3635</v>
      </c>
      <c r="E507" s="182">
        <v>400</v>
      </c>
      <c r="F507" s="172" t="s">
        <v>1616</v>
      </c>
      <c r="G507" s="18">
        <v>15.5</v>
      </c>
      <c r="H507" s="248">
        <f t="shared" si="45"/>
        <v>6200</v>
      </c>
      <c r="I507" s="184">
        <v>14.76</v>
      </c>
      <c r="J507" s="184">
        <f t="shared" si="46"/>
        <v>0.74000000000000021</v>
      </c>
      <c r="K507" s="185">
        <f t="shared" si="47"/>
        <v>296.00000000000011</v>
      </c>
      <c r="L507" s="186">
        <f t="shared" si="48"/>
        <v>4.7741935483870984E-2</v>
      </c>
      <c r="M507" s="12" t="s">
        <v>22</v>
      </c>
      <c r="N507" s="12" t="s">
        <v>105</v>
      </c>
    </row>
    <row r="508" spans="1:14">
      <c r="A508" s="144" t="s">
        <v>562</v>
      </c>
      <c r="B508" s="181" t="s">
        <v>3634</v>
      </c>
      <c r="C508" s="211" t="s">
        <v>94</v>
      </c>
      <c r="D508" s="211" t="s">
        <v>613</v>
      </c>
      <c r="E508" s="182">
        <v>100</v>
      </c>
      <c r="F508" s="172" t="s">
        <v>1616</v>
      </c>
      <c r="G508" s="18">
        <v>26</v>
      </c>
      <c r="H508" s="248">
        <f t="shared" si="45"/>
        <v>2600</v>
      </c>
      <c r="I508" s="184">
        <v>24.6</v>
      </c>
      <c r="J508" s="184">
        <f t="shared" si="46"/>
        <v>1.3999999999999986</v>
      </c>
      <c r="K508" s="185">
        <f t="shared" si="47"/>
        <v>139.99999999999986</v>
      </c>
      <c r="L508" s="186">
        <f t="shared" si="48"/>
        <v>5.3846153846153794E-2</v>
      </c>
      <c r="M508" s="12" t="s">
        <v>22</v>
      </c>
      <c r="N508" s="12" t="s">
        <v>105</v>
      </c>
    </row>
    <row r="509" spans="1:14">
      <c r="A509" s="199" t="s">
        <v>562</v>
      </c>
      <c r="B509" s="181" t="s">
        <v>3634</v>
      </c>
      <c r="C509" s="211" t="s">
        <v>94</v>
      </c>
      <c r="D509" s="211" t="s">
        <v>550</v>
      </c>
      <c r="E509" s="182">
        <v>100</v>
      </c>
      <c r="F509" s="172" t="s">
        <v>1616</v>
      </c>
      <c r="G509" s="18">
        <v>50</v>
      </c>
      <c r="H509" s="248">
        <f t="shared" si="45"/>
        <v>5000</v>
      </c>
      <c r="I509" s="184">
        <v>47.56</v>
      </c>
      <c r="J509" s="184">
        <f t="shared" si="46"/>
        <v>2.4399999999999977</v>
      </c>
      <c r="K509" s="185">
        <f t="shared" si="47"/>
        <v>243.99999999999977</v>
      </c>
      <c r="L509" s="186">
        <f t="shared" si="48"/>
        <v>4.8799999999999955E-2</v>
      </c>
      <c r="M509" s="12" t="s">
        <v>22</v>
      </c>
      <c r="N509" s="12" t="s">
        <v>105</v>
      </c>
    </row>
    <row r="510" spans="1:14">
      <c r="A510" s="144" t="s">
        <v>562</v>
      </c>
      <c r="B510" s="181" t="s">
        <v>3634</v>
      </c>
      <c r="C510" s="211" t="s">
        <v>94</v>
      </c>
      <c r="D510" s="211" t="s">
        <v>546</v>
      </c>
      <c r="E510" s="182">
        <v>100</v>
      </c>
      <c r="F510" s="172" t="s">
        <v>1616</v>
      </c>
      <c r="G510" s="18">
        <v>190</v>
      </c>
      <c r="H510" s="248">
        <f t="shared" si="45"/>
        <v>19000</v>
      </c>
      <c r="I510" s="184">
        <v>182.25</v>
      </c>
      <c r="J510" s="184">
        <f t="shared" si="46"/>
        <v>7.75</v>
      </c>
      <c r="K510" s="185">
        <f t="shared" si="47"/>
        <v>775</v>
      </c>
      <c r="L510" s="186">
        <f t="shared" si="48"/>
        <v>4.0789473684210528E-2</v>
      </c>
      <c r="M510" s="12" t="s">
        <v>22</v>
      </c>
      <c r="N510" s="12" t="s">
        <v>105</v>
      </c>
    </row>
    <row r="511" spans="1:14">
      <c r="A511" s="199" t="s">
        <v>562</v>
      </c>
      <c r="B511" s="181" t="s">
        <v>3634</v>
      </c>
      <c r="C511" s="211" t="s">
        <v>94</v>
      </c>
      <c r="D511" s="211" t="s">
        <v>457</v>
      </c>
      <c r="E511" s="182">
        <v>100</v>
      </c>
      <c r="F511" s="172" t="s">
        <v>1616</v>
      </c>
      <c r="G511" s="18">
        <v>5.25</v>
      </c>
      <c r="H511" s="248">
        <f t="shared" si="45"/>
        <v>525</v>
      </c>
      <c r="I511" s="184">
        <v>5.0999999999999996</v>
      </c>
      <c r="J511" s="184">
        <f t="shared" si="46"/>
        <v>0.15000000000000036</v>
      </c>
      <c r="K511" s="185">
        <f t="shared" si="47"/>
        <v>15.000000000000036</v>
      </c>
      <c r="L511" s="186">
        <f t="shared" si="48"/>
        <v>2.857142857142864E-2</v>
      </c>
      <c r="M511" s="12" t="s">
        <v>22</v>
      </c>
      <c r="N511" s="12" t="s">
        <v>105</v>
      </c>
    </row>
    <row r="512" spans="1:14">
      <c r="A512" s="144" t="s">
        <v>562</v>
      </c>
      <c r="B512" s="215" t="s">
        <v>3636</v>
      </c>
      <c r="C512" s="12" t="s">
        <v>166</v>
      </c>
      <c r="D512" s="211" t="s">
        <v>3062</v>
      </c>
      <c r="E512" s="182">
        <v>15380</v>
      </c>
      <c r="F512" s="172" t="s">
        <v>37</v>
      </c>
      <c r="G512" s="18">
        <v>31.2</v>
      </c>
      <c r="H512" s="248">
        <f t="shared" si="45"/>
        <v>479856</v>
      </c>
      <c r="I512" s="184">
        <v>27.59</v>
      </c>
      <c r="J512" s="184">
        <f t="shared" si="46"/>
        <v>3.6099999999999994</v>
      </c>
      <c r="K512" s="185">
        <f t="shared" si="47"/>
        <v>55521.799999999988</v>
      </c>
      <c r="L512" s="186">
        <f t="shared" si="48"/>
        <v>0.11570512820512818</v>
      </c>
      <c r="M512" s="12" t="s">
        <v>40</v>
      </c>
      <c r="N512" s="12" t="s">
        <v>105</v>
      </c>
    </row>
    <row r="513" spans="1:14">
      <c r="A513" s="144" t="s">
        <v>562</v>
      </c>
      <c r="B513" s="215" t="s">
        <v>3637</v>
      </c>
      <c r="C513" s="218" t="s">
        <v>2342</v>
      </c>
      <c r="D513" s="211" t="s">
        <v>3638</v>
      </c>
      <c r="E513" s="182">
        <v>25</v>
      </c>
      <c r="F513" s="172" t="s">
        <v>302</v>
      </c>
      <c r="G513" s="18">
        <v>2117.25</v>
      </c>
      <c r="H513" s="248">
        <f t="shared" si="45"/>
        <v>52931.25</v>
      </c>
      <c r="I513" s="184">
        <v>1962.88</v>
      </c>
      <c r="J513" s="184">
        <f t="shared" si="46"/>
        <v>154.36999999999989</v>
      </c>
      <c r="K513" s="185">
        <f t="shared" si="47"/>
        <v>3859.2499999999973</v>
      </c>
      <c r="L513" s="186">
        <f t="shared" si="48"/>
        <v>7.2910615184791541E-2</v>
      </c>
      <c r="M513" s="12" t="s">
        <v>40</v>
      </c>
      <c r="N513" s="12" t="s">
        <v>105</v>
      </c>
    </row>
    <row r="514" spans="1:14">
      <c r="A514" s="199" t="s">
        <v>562</v>
      </c>
      <c r="B514" s="215" t="s">
        <v>3639</v>
      </c>
      <c r="C514" s="218" t="s">
        <v>1430</v>
      </c>
      <c r="D514" s="211" t="s">
        <v>859</v>
      </c>
      <c r="E514" s="182">
        <v>7400</v>
      </c>
      <c r="F514" s="172" t="s">
        <v>337</v>
      </c>
      <c r="G514" s="18">
        <v>90</v>
      </c>
      <c r="H514" s="248">
        <f t="shared" si="45"/>
        <v>666000</v>
      </c>
      <c r="I514" s="184">
        <v>89.5</v>
      </c>
      <c r="J514" s="184">
        <f t="shared" si="46"/>
        <v>0.5</v>
      </c>
      <c r="K514" s="185">
        <f t="shared" si="47"/>
        <v>3700</v>
      </c>
      <c r="L514" s="186">
        <f t="shared" si="48"/>
        <v>5.5555555555555558E-3</v>
      </c>
      <c r="M514" s="12" t="s">
        <v>22</v>
      </c>
      <c r="N514" s="12" t="s">
        <v>39</v>
      </c>
    </row>
    <row r="515" spans="1:14">
      <c r="A515" s="144" t="s">
        <v>562</v>
      </c>
      <c r="B515" s="215" t="s">
        <v>3640</v>
      </c>
      <c r="C515" s="218" t="s">
        <v>3320</v>
      </c>
      <c r="D515" s="211" t="s">
        <v>3321</v>
      </c>
      <c r="E515" s="182">
        <v>80</v>
      </c>
      <c r="F515" s="172" t="s">
        <v>19</v>
      </c>
      <c r="G515" s="18">
        <v>154</v>
      </c>
      <c r="H515" s="248">
        <f t="shared" si="45"/>
        <v>12320</v>
      </c>
      <c r="I515" s="184">
        <v>136.4</v>
      </c>
      <c r="J515" s="184">
        <f t="shared" si="46"/>
        <v>17.599999999999994</v>
      </c>
      <c r="K515" s="185">
        <f t="shared" si="47"/>
        <v>1407.9999999999995</v>
      </c>
      <c r="L515" s="186">
        <f t="shared" si="48"/>
        <v>0.11428571428571425</v>
      </c>
      <c r="M515" s="12" t="s">
        <v>40</v>
      </c>
      <c r="N515" s="12" t="s">
        <v>39</v>
      </c>
    </row>
    <row r="516" spans="1:14">
      <c r="A516" s="199" t="s">
        <v>562</v>
      </c>
      <c r="B516" s="215" t="s">
        <v>3640</v>
      </c>
      <c r="C516" s="218" t="s">
        <v>3320</v>
      </c>
      <c r="D516" s="211" t="s">
        <v>3321</v>
      </c>
      <c r="E516" s="182">
        <v>80</v>
      </c>
      <c r="F516" s="172" t="s">
        <v>19</v>
      </c>
      <c r="G516" s="18">
        <v>154</v>
      </c>
      <c r="H516" s="248">
        <f t="shared" si="45"/>
        <v>12320</v>
      </c>
      <c r="I516" s="184">
        <v>136.4</v>
      </c>
      <c r="J516" s="184">
        <f t="shared" si="46"/>
        <v>17.599999999999994</v>
      </c>
      <c r="K516" s="185">
        <f t="shared" si="47"/>
        <v>1407.9999999999995</v>
      </c>
      <c r="L516" s="186">
        <f t="shared" si="48"/>
        <v>0.11428571428571425</v>
      </c>
      <c r="M516" s="12" t="s">
        <v>40</v>
      </c>
      <c r="N516" s="12" t="s">
        <v>39</v>
      </c>
    </row>
    <row r="517" spans="1:14">
      <c r="A517" s="144" t="s">
        <v>562</v>
      </c>
      <c r="B517" s="215" t="s">
        <v>3640</v>
      </c>
      <c r="C517" s="218" t="s">
        <v>3320</v>
      </c>
      <c r="D517" s="211" t="s">
        <v>3321</v>
      </c>
      <c r="E517" s="182">
        <v>80</v>
      </c>
      <c r="F517" s="172" t="s">
        <v>19</v>
      </c>
      <c r="G517" s="18">
        <v>154</v>
      </c>
      <c r="H517" s="248">
        <f t="shared" si="45"/>
        <v>12320</v>
      </c>
      <c r="I517" s="184">
        <v>136.4</v>
      </c>
      <c r="J517" s="184">
        <f t="shared" si="46"/>
        <v>17.599999999999994</v>
      </c>
      <c r="K517" s="185">
        <f t="shared" si="47"/>
        <v>1407.9999999999995</v>
      </c>
      <c r="L517" s="186">
        <f t="shared" si="48"/>
        <v>0.11428571428571425</v>
      </c>
      <c r="M517" s="12" t="s">
        <v>40</v>
      </c>
      <c r="N517" s="12" t="s">
        <v>39</v>
      </c>
    </row>
    <row r="518" spans="1:14">
      <c r="A518" s="144" t="s">
        <v>562</v>
      </c>
      <c r="B518" s="215" t="s">
        <v>3640</v>
      </c>
      <c r="C518" s="218" t="s">
        <v>3320</v>
      </c>
      <c r="D518" s="211" t="s">
        <v>3322</v>
      </c>
      <c r="E518" s="182">
        <v>360</v>
      </c>
      <c r="F518" s="172" t="s">
        <v>19</v>
      </c>
      <c r="G518" s="18">
        <v>250</v>
      </c>
      <c r="H518" s="248">
        <f t="shared" si="45"/>
        <v>90000</v>
      </c>
      <c r="I518" s="184">
        <v>155</v>
      </c>
      <c r="J518" s="184">
        <f t="shared" si="46"/>
        <v>95</v>
      </c>
      <c r="K518" s="185">
        <f t="shared" si="47"/>
        <v>34200</v>
      </c>
      <c r="L518" s="186">
        <f t="shared" si="48"/>
        <v>0.38</v>
      </c>
      <c r="M518" s="12" t="s">
        <v>40</v>
      </c>
      <c r="N518" s="12" t="s">
        <v>39</v>
      </c>
    </row>
    <row r="519" spans="1:14">
      <c r="A519" s="199" t="s">
        <v>562</v>
      </c>
      <c r="B519" s="215" t="s">
        <v>3640</v>
      </c>
      <c r="C519" s="218" t="s">
        <v>3320</v>
      </c>
      <c r="D519" s="211" t="s">
        <v>3322</v>
      </c>
      <c r="E519" s="182">
        <v>360</v>
      </c>
      <c r="F519" s="172" t="s">
        <v>19</v>
      </c>
      <c r="G519" s="18">
        <v>250</v>
      </c>
      <c r="H519" s="248">
        <f t="shared" si="45"/>
        <v>90000</v>
      </c>
      <c r="I519" s="184">
        <v>155</v>
      </c>
      <c r="J519" s="184">
        <f t="shared" si="46"/>
        <v>95</v>
      </c>
      <c r="K519" s="185">
        <f t="shared" si="47"/>
        <v>34200</v>
      </c>
      <c r="L519" s="186">
        <f t="shared" si="48"/>
        <v>0.38</v>
      </c>
      <c r="M519" s="12" t="s">
        <v>40</v>
      </c>
      <c r="N519" s="12" t="s">
        <v>39</v>
      </c>
    </row>
    <row r="520" spans="1:14">
      <c r="A520" s="144" t="s">
        <v>562</v>
      </c>
      <c r="B520" s="215" t="s">
        <v>3640</v>
      </c>
      <c r="C520" s="218" t="s">
        <v>3320</v>
      </c>
      <c r="D520" s="211" t="s">
        <v>3322</v>
      </c>
      <c r="E520" s="182">
        <v>360</v>
      </c>
      <c r="F520" s="172" t="s">
        <v>19</v>
      </c>
      <c r="G520" s="18">
        <v>250</v>
      </c>
      <c r="H520" s="248">
        <f t="shared" ref="H520:H572" si="49">G520*E520</f>
        <v>90000</v>
      </c>
      <c r="I520" s="184">
        <v>155</v>
      </c>
      <c r="J520" s="184">
        <f t="shared" si="46"/>
        <v>95</v>
      </c>
      <c r="K520" s="185">
        <f t="shared" si="47"/>
        <v>34200</v>
      </c>
      <c r="L520" s="186">
        <f t="shared" si="48"/>
        <v>0.38</v>
      </c>
      <c r="M520" s="12" t="s">
        <v>40</v>
      </c>
      <c r="N520" s="12" t="s">
        <v>39</v>
      </c>
    </row>
    <row r="521" spans="1:14">
      <c r="A521" s="199" t="s">
        <v>562</v>
      </c>
      <c r="B521" s="215" t="s">
        <v>3640</v>
      </c>
      <c r="C521" s="218" t="s">
        <v>3320</v>
      </c>
      <c r="D521" s="211" t="s">
        <v>3322</v>
      </c>
      <c r="E521" s="182">
        <v>360</v>
      </c>
      <c r="F521" s="172" t="s">
        <v>19</v>
      </c>
      <c r="G521" s="18">
        <v>250</v>
      </c>
      <c r="H521" s="248">
        <f t="shared" si="49"/>
        <v>90000</v>
      </c>
      <c r="I521" s="184">
        <v>155</v>
      </c>
      <c r="J521" s="184">
        <f t="shared" si="46"/>
        <v>95</v>
      </c>
      <c r="K521" s="185">
        <f t="shared" si="47"/>
        <v>34200</v>
      </c>
      <c r="L521" s="186">
        <f t="shared" si="48"/>
        <v>0.38</v>
      </c>
      <c r="M521" s="12" t="s">
        <v>40</v>
      </c>
      <c r="N521" s="12" t="s">
        <v>39</v>
      </c>
    </row>
    <row r="522" spans="1:14">
      <c r="A522" s="144" t="s">
        <v>562</v>
      </c>
      <c r="B522" s="215" t="s">
        <v>3640</v>
      </c>
      <c r="C522" s="218" t="s">
        <v>3320</v>
      </c>
      <c r="D522" s="211" t="s">
        <v>3322</v>
      </c>
      <c r="E522" s="182">
        <v>260</v>
      </c>
      <c r="F522" s="172" t="s">
        <v>19</v>
      </c>
      <c r="G522" s="18">
        <v>250</v>
      </c>
      <c r="H522" s="248">
        <f t="shared" si="49"/>
        <v>65000</v>
      </c>
      <c r="I522" s="184">
        <v>155</v>
      </c>
      <c r="J522" s="184">
        <f t="shared" si="46"/>
        <v>95</v>
      </c>
      <c r="K522" s="185">
        <f t="shared" si="47"/>
        <v>24700</v>
      </c>
      <c r="L522" s="186">
        <f t="shared" si="48"/>
        <v>0.38</v>
      </c>
      <c r="M522" s="12" t="s">
        <v>40</v>
      </c>
      <c r="N522" s="12" t="s">
        <v>39</v>
      </c>
    </row>
    <row r="523" spans="1:14">
      <c r="A523" s="144" t="s">
        <v>562</v>
      </c>
      <c r="B523" s="215" t="s">
        <v>3640</v>
      </c>
      <c r="C523" s="218" t="s">
        <v>3320</v>
      </c>
      <c r="D523" s="211" t="s">
        <v>3641</v>
      </c>
      <c r="E523" s="182">
        <v>4</v>
      </c>
      <c r="F523" s="172" t="s">
        <v>19</v>
      </c>
      <c r="G523" s="18">
        <v>40</v>
      </c>
      <c r="H523" s="248">
        <f t="shared" si="49"/>
        <v>160</v>
      </c>
      <c r="I523" s="184">
        <v>37.200000000000003</v>
      </c>
      <c r="J523" s="184">
        <f t="shared" si="46"/>
        <v>2.7999999999999972</v>
      </c>
      <c r="K523" s="185">
        <f t="shared" si="47"/>
        <v>11.199999999999989</v>
      </c>
      <c r="L523" s="186">
        <f t="shared" si="48"/>
        <v>6.9999999999999923E-2</v>
      </c>
      <c r="M523" s="12" t="s">
        <v>40</v>
      </c>
      <c r="N523" s="12" t="s">
        <v>39</v>
      </c>
    </row>
    <row r="524" spans="1:14">
      <c r="A524" s="199" t="s">
        <v>562</v>
      </c>
      <c r="B524" s="215" t="s">
        <v>3642</v>
      </c>
      <c r="C524" s="218" t="s">
        <v>1560</v>
      </c>
      <c r="D524" s="211" t="s">
        <v>3643</v>
      </c>
      <c r="E524" s="182">
        <v>1</v>
      </c>
      <c r="F524" s="172" t="s">
        <v>19</v>
      </c>
      <c r="G524" s="18">
        <v>8400</v>
      </c>
      <c r="H524" s="248">
        <f t="shared" si="49"/>
        <v>8400</v>
      </c>
      <c r="I524" s="184">
        <v>5000</v>
      </c>
      <c r="J524" s="184">
        <f t="shared" si="46"/>
        <v>3400</v>
      </c>
      <c r="K524" s="185">
        <f t="shared" si="47"/>
        <v>3400</v>
      </c>
      <c r="L524" s="186">
        <f t="shared" si="48"/>
        <v>0.40476190476190477</v>
      </c>
      <c r="M524" s="12" t="s">
        <v>40</v>
      </c>
      <c r="N524" s="12" t="s">
        <v>3424</v>
      </c>
    </row>
    <row r="525" spans="1:14">
      <c r="A525" s="144" t="s">
        <v>562</v>
      </c>
      <c r="B525" s="220" t="s">
        <v>3644</v>
      </c>
      <c r="C525" s="211" t="s">
        <v>24</v>
      </c>
      <c r="D525" s="211" t="s">
        <v>3645</v>
      </c>
      <c r="E525" s="182">
        <v>200</v>
      </c>
      <c r="F525" s="172" t="s">
        <v>19</v>
      </c>
      <c r="G525" s="18">
        <v>70</v>
      </c>
      <c r="H525" s="248">
        <f t="shared" si="49"/>
        <v>14000</v>
      </c>
      <c r="I525" s="184">
        <v>32</v>
      </c>
      <c r="J525" s="184">
        <f t="shared" si="46"/>
        <v>38</v>
      </c>
      <c r="K525" s="185">
        <f t="shared" si="47"/>
        <v>7600</v>
      </c>
      <c r="L525" s="186">
        <f t="shared" si="48"/>
        <v>0.54285714285714282</v>
      </c>
      <c r="M525" s="12" t="s">
        <v>40</v>
      </c>
      <c r="N525" s="12" t="s">
        <v>3424</v>
      </c>
    </row>
    <row r="526" spans="1:14">
      <c r="A526" s="199" t="s">
        <v>562</v>
      </c>
      <c r="B526" s="220" t="s">
        <v>3646</v>
      </c>
      <c r="C526" s="211" t="s">
        <v>118</v>
      </c>
      <c r="D526" s="211" t="s">
        <v>3647</v>
      </c>
      <c r="E526" s="182">
        <v>2</v>
      </c>
      <c r="F526" s="172" t="s">
        <v>2482</v>
      </c>
      <c r="G526" s="18">
        <v>290</v>
      </c>
      <c r="H526" s="248">
        <f t="shared" si="49"/>
        <v>580</v>
      </c>
      <c r="I526" s="184">
        <v>250</v>
      </c>
      <c r="J526" s="184">
        <f t="shared" si="46"/>
        <v>40</v>
      </c>
      <c r="K526" s="185">
        <f t="shared" si="47"/>
        <v>80</v>
      </c>
      <c r="L526" s="186">
        <f t="shared" si="48"/>
        <v>0.13793103448275862</v>
      </c>
      <c r="M526" s="12" t="s">
        <v>40</v>
      </c>
      <c r="N526" s="12" t="s">
        <v>3424</v>
      </c>
    </row>
    <row r="527" spans="1:14">
      <c r="A527" s="144" t="s">
        <v>562</v>
      </c>
      <c r="B527" s="220" t="s">
        <v>3648</v>
      </c>
      <c r="C527" s="262" t="s">
        <v>3649</v>
      </c>
      <c r="D527" s="262" t="s">
        <v>3650</v>
      </c>
      <c r="E527" s="182">
        <v>1</v>
      </c>
      <c r="F527" s="172" t="s">
        <v>285</v>
      </c>
      <c r="G527" s="18">
        <v>189.13</v>
      </c>
      <c r="H527" s="248">
        <f t="shared" si="49"/>
        <v>189.13</v>
      </c>
      <c r="I527" s="184"/>
      <c r="J527" s="184">
        <f t="shared" si="46"/>
        <v>189.13</v>
      </c>
      <c r="K527" s="185">
        <f t="shared" si="47"/>
        <v>189.13</v>
      </c>
      <c r="L527" s="186">
        <f t="shared" si="48"/>
        <v>1</v>
      </c>
      <c r="M527" s="12" t="s">
        <v>30</v>
      </c>
      <c r="N527" s="12" t="s">
        <v>3424</v>
      </c>
    </row>
    <row r="528" spans="1:14">
      <c r="A528" s="144" t="s">
        <v>562</v>
      </c>
      <c r="B528" s="220" t="s">
        <v>3651</v>
      </c>
      <c r="C528" s="211" t="s">
        <v>118</v>
      </c>
      <c r="D528" s="211" t="s">
        <v>3652</v>
      </c>
      <c r="E528" s="182">
        <v>2</v>
      </c>
      <c r="F528" s="172" t="s">
        <v>19</v>
      </c>
      <c r="G528" s="18">
        <v>890</v>
      </c>
      <c r="H528" s="248">
        <f t="shared" si="49"/>
        <v>1780</v>
      </c>
      <c r="I528" s="184">
        <v>585</v>
      </c>
      <c r="J528" s="184">
        <f t="shared" si="46"/>
        <v>305</v>
      </c>
      <c r="K528" s="185">
        <f t="shared" si="47"/>
        <v>610</v>
      </c>
      <c r="L528" s="186">
        <f t="shared" si="48"/>
        <v>0.34269662921348315</v>
      </c>
      <c r="M528" s="12" t="s">
        <v>40</v>
      </c>
      <c r="N528" s="12" t="s">
        <v>3424</v>
      </c>
    </row>
    <row r="529" spans="1:14">
      <c r="A529" s="199" t="s">
        <v>562</v>
      </c>
      <c r="B529" s="220" t="s">
        <v>3651</v>
      </c>
      <c r="C529" s="211" t="s">
        <v>118</v>
      </c>
      <c r="D529" s="211" t="s">
        <v>3653</v>
      </c>
      <c r="E529" s="182">
        <v>1</v>
      </c>
      <c r="F529" s="172" t="s">
        <v>19</v>
      </c>
      <c r="G529" s="18">
        <v>99</v>
      </c>
      <c r="H529" s="248">
        <f t="shared" si="49"/>
        <v>99</v>
      </c>
      <c r="I529" s="184">
        <v>80</v>
      </c>
      <c r="J529" s="184">
        <f t="shared" si="46"/>
        <v>19</v>
      </c>
      <c r="K529" s="185">
        <f t="shared" si="47"/>
        <v>19</v>
      </c>
      <c r="L529" s="186">
        <f t="shared" si="48"/>
        <v>0.19191919191919191</v>
      </c>
      <c r="M529" s="12" t="s">
        <v>40</v>
      </c>
      <c r="N529" s="12" t="s">
        <v>3424</v>
      </c>
    </row>
    <row r="530" spans="1:14">
      <c r="A530" s="144" t="s">
        <v>562</v>
      </c>
      <c r="B530" s="220" t="s">
        <v>3654</v>
      </c>
      <c r="C530" s="211" t="s">
        <v>24</v>
      </c>
      <c r="D530" s="211" t="s">
        <v>3655</v>
      </c>
      <c r="E530" s="182">
        <v>1</v>
      </c>
      <c r="F530" s="172" t="s">
        <v>19</v>
      </c>
      <c r="G530" s="18">
        <v>1719</v>
      </c>
      <c r="H530" s="248">
        <f t="shared" si="49"/>
        <v>1719</v>
      </c>
      <c r="I530" s="184">
        <v>1590</v>
      </c>
      <c r="J530" s="184">
        <f t="shared" si="46"/>
        <v>129</v>
      </c>
      <c r="K530" s="185">
        <f t="shared" si="47"/>
        <v>129</v>
      </c>
      <c r="L530" s="186">
        <f t="shared" si="48"/>
        <v>7.5043630017452012E-2</v>
      </c>
      <c r="M530" s="12" t="s">
        <v>40</v>
      </c>
      <c r="N530" s="12" t="s">
        <v>3424</v>
      </c>
    </row>
    <row r="531" spans="1:14">
      <c r="A531" s="199" t="s">
        <v>562</v>
      </c>
      <c r="B531" s="220" t="s">
        <v>3656</v>
      </c>
      <c r="C531" s="211" t="s">
        <v>118</v>
      </c>
      <c r="D531" s="211" t="s">
        <v>3657</v>
      </c>
      <c r="E531" s="182">
        <v>100</v>
      </c>
      <c r="F531" s="172" t="s">
        <v>615</v>
      </c>
      <c r="G531" s="18">
        <v>118</v>
      </c>
      <c r="H531" s="248">
        <f t="shared" si="49"/>
        <v>11800</v>
      </c>
      <c r="I531" s="184">
        <v>85</v>
      </c>
      <c r="J531" s="184">
        <f t="shared" si="46"/>
        <v>33</v>
      </c>
      <c r="K531" s="185">
        <f t="shared" si="47"/>
        <v>3300</v>
      </c>
      <c r="L531" s="186">
        <f t="shared" si="48"/>
        <v>0.27966101694915252</v>
      </c>
      <c r="M531" s="12" t="s">
        <v>40</v>
      </c>
      <c r="N531" s="12" t="s">
        <v>3424</v>
      </c>
    </row>
    <row r="532" spans="1:14">
      <c r="A532" s="144" t="s">
        <v>562</v>
      </c>
      <c r="B532" s="220" t="s">
        <v>3656</v>
      </c>
      <c r="C532" s="211" t="s">
        <v>118</v>
      </c>
      <c r="D532" s="211" t="s">
        <v>3658</v>
      </c>
      <c r="E532" s="182">
        <v>100</v>
      </c>
      <c r="F532" s="172" t="s">
        <v>615</v>
      </c>
      <c r="G532" s="18">
        <v>84</v>
      </c>
      <c r="H532" s="248">
        <f t="shared" si="49"/>
        <v>8400</v>
      </c>
      <c r="I532" s="184">
        <v>57</v>
      </c>
      <c r="J532" s="184">
        <f t="shared" si="46"/>
        <v>27</v>
      </c>
      <c r="K532" s="185">
        <f t="shared" si="47"/>
        <v>2700</v>
      </c>
      <c r="L532" s="186">
        <f t="shared" si="48"/>
        <v>0.32142857142857145</v>
      </c>
      <c r="M532" s="12" t="s">
        <v>40</v>
      </c>
      <c r="N532" s="12" t="s">
        <v>3424</v>
      </c>
    </row>
    <row r="533" spans="1:14">
      <c r="A533" s="144" t="s">
        <v>562</v>
      </c>
      <c r="B533" s="220" t="s">
        <v>3656</v>
      </c>
      <c r="C533" s="211" t="s">
        <v>118</v>
      </c>
      <c r="D533" s="211" t="s">
        <v>3659</v>
      </c>
      <c r="E533" s="182">
        <v>100</v>
      </c>
      <c r="F533" s="172" t="s">
        <v>615</v>
      </c>
      <c r="G533" s="18">
        <v>64</v>
      </c>
      <c r="H533" s="248">
        <f t="shared" si="49"/>
        <v>6400</v>
      </c>
      <c r="I533" s="184">
        <v>39</v>
      </c>
      <c r="J533" s="184">
        <f t="shared" si="46"/>
        <v>25</v>
      </c>
      <c r="K533" s="185">
        <f t="shared" si="47"/>
        <v>2500</v>
      </c>
      <c r="L533" s="186">
        <f t="shared" si="48"/>
        <v>0.390625</v>
      </c>
      <c r="M533" s="12" t="s">
        <v>40</v>
      </c>
      <c r="N533" s="12" t="s">
        <v>3424</v>
      </c>
    </row>
    <row r="534" spans="1:14">
      <c r="A534" s="199" t="s">
        <v>562</v>
      </c>
      <c r="B534" s="220" t="s">
        <v>3656</v>
      </c>
      <c r="C534" s="211" t="s">
        <v>118</v>
      </c>
      <c r="D534" s="211" t="s">
        <v>3660</v>
      </c>
      <c r="E534" s="182">
        <v>24</v>
      </c>
      <c r="F534" s="172" t="s">
        <v>19</v>
      </c>
      <c r="G534" s="18">
        <v>389</v>
      </c>
      <c r="H534" s="248">
        <f t="shared" si="49"/>
        <v>9336</v>
      </c>
      <c r="I534" s="184">
        <v>355</v>
      </c>
      <c r="J534" s="184">
        <f t="shared" si="46"/>
        <v>34</v>
      </c>
      <c r="K534" s="185">
        <f t="shared" si="47"/>
        <v>816</v>
      </c>
      <c r="L534" s="186">
        <f t="shared" si="48"/>
        <v>8.7403598971722368E-2</v>
      </c>
      <c r="M534" s="12" t="s">
        <v>40</v>
      </c>
      <c r="N534" s="12" t="s">
        <v>3424</v>
      </c>
    </row>
    <row r="535" spans="1:14">
      <c r="A535" s="144" t="s">
        <v>562</v>
      </c>
      <c r="B535" s="220" t="s">
        <v>3661</v>
      </c>
      <c r="C535" s="211" t="s">
        <v>57</v>
      </c>
      <c r="D535" s="211" t="s">
        <v>3662</v>
      </c>
      <c r="E535" s="182">
        <v>1</v>
      </c>
      <c r="F535" s="172" t="s">
        <v>19</v>
      </c>
      <c r="G535" s="18">
        <v>835000</v>
      </c>
      <c r="H535" s="248">
        <f t="shared" si="49"/>
        <v>835000</v>
      </c>
      <c r="I535" s="184">
        <v>815000</v>
      </c>
      <c r="J535" s="184">
        <f t="shared" si="46"/>
        <v>20000</v>
      </c>
      <c r="K535" s="185">
        <f t="shared" si="47"/>
        <v>20000</v>
      </c>
      <c r="L535" s="186">
        <f t="shared" si="48"/>
        <v>2.3952095808383235E-2</v>
      </c>
      <c r="M535" s="12" t="s">
        <v>30</v>
      </c>
      <c r="N535" s="12" t="s">
        <v>3424</v>
      </c>
    </row>
    <row r="536" spans="1:14">
      <c r="A536" s="199" t="s">
        <v>562</v>
      </c>
      <c r="B536" s="220" t="s">
        <v>3663</v>
      </c>
      <c r="C536" s="211" t="s">
        <v>110</v>
      </c>
      <c r="D536" s="211" t="s">
        <v>3664</v>
      </c>
      <c r="E536" s="182">
        <v>1</v>
      </c>
      <c r="F536" s="172" t="s">
        <v>302</v>
      </c>
      <c r="G536" s="18">
        <v>9500</v>
      </c>
      <c r="H536" s="248">
        <f t="shared" si="49"/>
        <v>9500</v>
      </c>
      <c r="I536" s="184">
        <v>7000</v>
      </c>
      <c r="J536" s="184">
        <f t="shared" si="46"/>
        <v>2500</v>
      </c>
      <c r="K536" s="185">
        <f t="shared" si="47"/>
        <v>2500</v>
      </c>
      <c r="L536" s="186">
        <f t="shared" si="48"/>
        <v>0.26315789473684209</v>
      </c>
      <c r="M536" s="12" t="s">
        <v>40</v>
      </c>
      <c r="N536" s="12" t="s">
        <v>3424</v>
      </c>
    </row>
    <row r="537" spans="1:14">
      <c r="A537" s="144" t="s">
        <v>562</v>
      </c>
      <c r="B537" s="220" t="s">
        <v>3663</v>
      </c>
      <c r="C537" s="211" t="s">
        <v>110</v>
      </c>
      <c r="D537" s="211" t="s">
        <v>3665</v>
      </c>
      <c r="E537" s="182">
        <v>1</v>
      </c>
      <c r="F537" s="172" t="s">
        <v>19</v>
      </c>
      <c r="G537" s="18">
        <v>2800</v>
      </c>
      <c r="H537" s="248">
        <f t="shared" si="49"/>
        <v>2800</v>
      </c>
      <c r="I537" s="184">
        <v>500</v>
      </c>
      <c r="J537" s="184">
        <f t="shared" si="46"/>
        <v>2300</v>
      </c>
      <c r="K537" s="185">
        <f t="shared" si="47"/>
        <v>2300</v>
      </c>
      <c r="L537" s="186">
        <f t="shared" si="48"/>
        <v>0.8214285714285714</v>
      </c>
      <c r="M537" s="12" t="s">
        <v>40</v>
      </c>
      <c r="N537" s="12" t="s">
        <v>3424</v>
      </c>
    </row>
    <row r="538" spans="1:14">
      <c r="A538" s="144" t="s">
        <v>562</v>
      </c>
      <c r="B538" s="220" t="s">
        <v>3663</v>
      </c>
      <c r="C538" s="211" t="s">
        <v>110</v>
      </c>
      <c r="D538" s="211" t="s">
        <v>3666</v>
      </c>
      <c r="E538" s="182">
        <v>1</v>
      </c>
      <c r="F538" s="172" t="s">
        <v>285</v>
      </c>
      <c r="G538" s="18">
        <v>5500</v>
      </c>
      <c r="H538" s="248">
        <f t="shared" si="49"/>
        <v>5500</v>
      </c>
      <c r="I538" s="184">
        <v>4000</v>
      </c>
      <c r="J538" s="184">
        <f t="shared" si="46"/>
        <v>1500</v>
      </c>
      <c r="K538" s="185">
        <f t="shared" si="47"/>
        <v>1500</v>
      </c>
      <c r="L538" s="186">
        <f t="shared" si="48"/>
        <v>0.27272727272727271</v>
      </c>
      <c r="M538" s="12" t="s">
        <v>40</v>
      </c>
      <c r="N538" s="12" t="s">
        <v>3424</v>
      </c>
    </row>
    <row r="539" spans="1:14">
      <c r="A539" s="199" t="s">
        <v>562</v>
      </c>
      <c r="B539" s="220" t="s">
        <v>3667</v>
      </c>
      <c r="C539" s="211" t="s">
        <v>3557</v>
      </c>
      <c r="D539" s="211" t="s">
        <v>3668</v>
      </c>
      <c r="E539" s="182">
        <v>1</v>
      </c>
      <c r="F539" s="172" t="s">
        <v>285</v>
      </c>
      <c r="G539" s="18">
        <v>292.19</v>
      </c>
      <c r="H539" s="248">
        <f t="shared" si="49"/>
        <v>292.19</v>
      </c>
      <c r="I539" s="184"/>
      <c r="J539" s="184">
        <f t="shared" si="46"/>
        <v>292.19</v>
      </c>
      <c r="K539" s="185">
        <f t="shared" si="47"/>
        <v>292.19</v>
      </c>
      <c r="L539" s="186">
        <f t="shared" si="48"/>
        <v>1</v>
      </c>
      <c r="M539" s="12" t="s">
        <v>30</v>
      </c>
      <c r="N539" s="12" t="s">
        <v>3424</v>
      </c>
    </row>
    <row r="540" spans="1:14">
      <c r="A540" s="144" t="s">
        <v>562</v>
      </c>
      <c r="B540" s="220" t="s">
        <v>3669</v>
      </c>
      <c r="C540" s="211" t="s">
        <v>24</v>
      </c>
      <c r="D540" s="211" t="s">
        <v>3670</v>
      </c>
      <c r="E540" s="182">
        <v>6</v>
      </c>
      <c r="F540" s="172" t="s">
        <v>19</v>
      </c>
      <c r="G540" s="18">
        <v>69</v>
      </c>
      <c r="H540" s="248">
        <f t="shared" si="49"/>
        <v>414</v>
      </c>
      <c r="I540" s="184">
        <v>42</v>
      </c>
      <c r="J540" s="184">
        <f t="shared" si="46"/>
        <v>27</v>
      </c>
      <c r="K540" s="185">
        <f t="shared" si="47"/>
        <v>162</v>
      </c>
      <c r="L540" s="186">
        <f t="shared" si="48"/>
        <v>0.39130434782608697</v>
      </c>
      <c r="M540" s="12" t="s">
        <v>40</v>
      </c>
      <c r="N540" s="12" t="s">
        <v>3424</v>
      </c>
    </row>
    <row r="541" spans="1:14">
      <c r="A541" s="199" t="s">
        <v>562</v>
      </c>
      <c r="B541" s="220" t="s">
        <v>3669</v>
      </c>
      <c r="C541" s="211" t="s">
        <v>24</v>
      </c>
      <c r="D541" s="211" t="s">
        <v>3671</v>
      </c>
      <c r="E541" s="182">
        <v>6</v>
      </c>
      <c r="F541" s="172" t="s">
        <v>19</v>
      </c>
      <c r="G541" s="18">
        <v>22</v>
      </c>
      <c r="H541" s="248">
        <f t="shared" si="49"/>
        <v>132</v>
      </c>
      <c r="I541" s="184">
        <v>18</v>
      </c>
      <c r="J541" s="184">
        <f t="shared" si="46"/>
        <v>4</v>
      </c>
      <c r="K541" s="185">
        <f t="shared" si="47"/>
        <v>24</v>
      </c>
      <c r="L541" s="186">
        <f t="shared" si="48"/>
        <v>0.18181818181818182</v>
      </c>
      <c r="M541" s="12" t="s">
        <v>40</v>
      </c>
      <c r="N541" s="12" t="s">
        <v>3424</v>
      </c>
    </row>
    <row r="542" spans="1:14">
      <c r="A542" s="144" t="s">
        <v>562</v>
      </c>
      <c r="B542" s="220" t="s">
        <v>3672</v>
      </c>
      <c r="C542" s="211" t="s">
        <v>24</v>
      </c>
      <c r="D542" s="211" t="s">
        <v>3673</v>
      </c>
      <c r="E542" s="182">
        <v>3</v>
      </c>
      <c r="F542" s="172" t="s">
        <v>19</v>
      </c>
      <c r="G542" s="18">
        <v>480</v>
      </c>
      <c r="H542" s="248">
        <f t="shared" si="49"/>
        <v>1440</v>
      </c>
      <c r="I542" s="184">
        <v>360</v>
      </c>
      <c r="J542" s="184">
        <f t="shared" si="46"/>
        <v>120</v>
      </c>
      <c r="K542" s="185">
        <f t="shared" si="47"/>
        <v>360</v>
      </c>
      <c r="L542" s="186">
        <f t="shared" si="48"/>
        <v>0.25</v>
      </c>
      <c r="M542" s="12" t="s">
        <v>40</v>
      </c>
      <c r="N542" s="12" t="s">
        <v>3424</v>
      </c>
    </row>
    <row r="543" spans="1:14">
      <c r="A543" s="144" t="s">
        <v>562</v>
      </c>
      <c r="B543" s="220" t="s">
        <v>3674</v>
      </c>
      <c r="C543" s="211" t="s">
        <v>1948</v>
      </c>
      <c r="D543" s="211" t="s">
        <v>3675</v>
      </c>
      <c r="E543" s="182">
        <v>3</v>
      </c>
      <c r="F543" s="172" t="s">
        <v>19</v>
      </c>
      <c r="G543" s="18">
        <v>1290</v>
      </c>
      <c r="H543" s="248">
        <f t="shared" si="49"/>
        <v>3870</v>
      </c>
      <c r="I543" s="184">
        <v>840.75</v>
      </c>
      <c r="J543" s="184">
        <f t="shared" si="46"/>
        <v>449.25</v>
      </c>
      <c r="K543" s="185">
        <f t="shared" si="47"/>
        <v>1347.75</v>
      </c>
      <c r="L543" s="186">
        <f t="shared" si="48"/>
        <v>0.34825581395348837</v>
      </c>
      <c r="M543" s="12" t="s">
        <v>40</v>
      </c>
      <c r="N543" s="12" t="s">
        <v>3424</v>
      </c>
    </row>
    <row r="544" spans="1:14">
      <c r="A544" s="199" t="s">
        <v>562</v>
      </c>
      <c r="B544" s="220" t="s">
        <v>3676</v>
      </c>
      <c r="C544" s="211" t="s">
        <v>1948</v>
      </c>
      <c r="D544" s="211" t="s">
        <v>3677</v>
      </c>
      <c r="E544" s="182">
        <v>1</v>
      </c>
      <c r="F544" s="172" t="s">
        <v>19</v>
      </c>
      <c r="G544" s="18">
        <v>4590</v>
      </c>
      <c r="H544" s="248">
        <f t="shared" si="49"/>
        <v>4590</v>
      </c>
      <c r="I544" s="184">
        <v>2810</v>
      </c>
      <c r="J544" s="184">
        <f t="shared" si="46"/>
        <v>1780</v>
      </c>
      <c r="K544" s="185">
        <f t="shared" si="47"/>
        <v>1780</v>
      </c>
      <c r="L544" s="186">
        <f t="shared" si="48"/>
        <v>0.3877995642701525</v>
      </c>
      <c r="M544" s="12" t="s">
        <v>40</v>
      </c>
      <c r="N544" s="12" t="s">
        <v>3424</v>
      </c>
    </row>
    <row r="545" spans="1:14">
      <c r="A545" s="144" t="s">
        <v>562</v>
      </c>
      <c r="B545" s="220" t="s">
        <v>3678</v>
      </c>
      <c r="C545" s="211" t="s">
        <v>118</v>
      </c>
      <c r="D545" s="211" t="s">
        <v>3679</v>
      </c>
      <c r="E545" s="182">
        <v>10</v>
      </c>
      <c r="F545" s="172" t="s">
        <v>798</v>
      </c>
      <c r="G545" s="18">
        <v>217.57</v>
      </c>
      <c r="H545" s="248">
        <f t="shared" si="49"/>
        <v>2175.6999999999998</v>
      </c>
      <c r="I545" s="184">
        <v>180</v>
      </c>
      <c r="J545" s="184">
        <f t="shared" si="46"/>
        <v>37.569999999999993</v>
      </c>
      <c r="K545" s="185">
        <f t="shared" si="47"/>
        <v>375.69999999999993</v>
      </c>
      <c r="L545" s="186">
        <f t="shared" si="48"/>
        <v>0.17268005699315161</v>
      </c>
      <c r="M545" s="12" t="s">
        <v>40</v>
      </c>
      <c r="N545" s="12" t="s">
        <v>3424</v>
      </c>
    </row>
    <row r="546" spans="1:14">
      <c r="A546" s="199" t="s">
        <v>562</v>
      </c>
      <c r="B546" s="220" t="s">
        <v>3678</v>
      </c>
      <c r="C546" s="211" t="s">
        <v>118</v>
      </c>
      <c r="D546" s="211" t="s">
        <v>3680</v>
      </c>
      <c r="E546" s="182">
        <v>5</v>
      </c>
      <c r="F546" s="172" t="s">
        <v>19</v>
      </c>
      <c r="G546" s="18">
        <v>47.14</v>
      </c>
      <c r="H546" s="248">
        <f t="shared" si="49"/>
        <v>235.7</v>
      </c>
      <c r="I546" s="184">
        <v>45</v>
      </c>
      <c r="J546" s="184">
        <f t="shared" si="46"/>
        <v>2.1400000000000006</v>
      </c>
      <c r="K546" s="185">
        <f t="shared" si="47"/>
        <v>10.700000000000003</v>
      </c>
      <c r="L546" s="186">
        <f t="shared" si="48"/>
        <v>4.5396690708527802E-2</v>
      </c>
      <c r="M546" s="12" t="s">
        <v>40</v>
      </c>
      <c r="N546" s="12" t="s">
        <v>3424</v>
      </c>
    </row>
    <row r="547" spans="1:14">
      <c r="A547" s="144" t="s">
        <v>562</v>
      </c>
      <c r="B547" s="220" t="s">
        <v>3681</v>
      </c>
      <c r="C547" s="211" t="s">
        <v>3682</v>
      </c>
      <c r="D547" s="211" t="s">
        <v>3683</v>
      </c>
      <c r="E547" s="182">
        <v>1</v>
      </c>
      <c r="F547" s="172" t="s">
        <v>285</v>
      </c>
      <c r="G547" s="18">
        <v>51.35</v>
      </c>
      <c r="H547" s="248">
        <f t="shared" si="49"/>
        <v>51.35</v>
      </c>
      <c r="I547" s="184"/>
      <c r="J547" s="184">
        <f t="shared" si="46"/>
        <v>51.35</v>
      </c>
      <c r="K547" s="185">
        <f t="shared" si="47"/>
        <v>51.35</v>
      </c>
      <c r="L547" s="186">
        <f t="shared" si="48"/>
        <v>1</v>
      </c>
      <c r="M547" s="12" t="s">
        <v>30</v>
      </c>
      <c r="N547" s="12" t="s">
        <v>3424</v>
      </c>
    </row>
    <row r="548" spans="1:14">
      <c r="A548" s="144" t="s">
        <v>562</v>
      </c>
      <c r="B548" s="220" t="s">
        <v>3684</v>
      </c>
      <c r="C548" s="211" t="s">
        <v>17</v>
      </c>
      <c r="D548" s="211" t="s">
        <v>3685</v>
      </c>
      <c r="E548" s="182">
        <v>1</v>
      </c>
      <c r="F548" s="172" t="s">
        <v>19</v>
      </c>
      <c r="G548" s="18">
        <v>4850</v>
      </c>
      <c r="H548" s="248">
        <f t="shared" si="49"/>
        <v>4850</v>
      </c>
      <c r="I548" s="184">
        <v>1790</v>
      </c>
      <c r="J548" s="184">
        <f t="shared" si="46"/>
        <v>3060</v>
      </c>
      <c r="K548" s="185">
        <f t="shared" si="47"/>
        <v>3060</v>
      </c>
      <c r="L548" s="186">
        <f t="shared" si="48"/>
        <v>0.63092783505154637</v>
      </c>
      <c r="M548" s="12" t="s">
        <v>40</v>
      </c>
      <c r="N548" s="12" t="s">
        <v>3424</v>
      </c>
    </row>
    <row r="549" spans="1:14">
      <c r="A549" s="199" t="s">
        <v>562</v>
      </c>
      <c r="B549" s="220" t="s">
        <v>3686</v>
      </c>
      <c r="C549" s="211" t="s">
        <v>1390</v>
      </c>
      <c r="D549" s="211" t="s">
        <v>3687</v>
      </c>
      <c r="E549" s="182">
        <v>1</v>
      </c>
      <c r="F549" s="172" t="s">
        <v>19</v>
      </c>
      <c r="G549" s="18">
        <v>380</v>
      </c>
      <c r="H549" s="248">
        <f t="shared" si="49"/>
        <v>380</v>
      </c>
      <c r="I549" s="184">
        <v>182.24</v>
      </c>
      <c r="J549" s="184">
        <f t="shared" si="46"/>
        <v>197.76</v>
      </c>
      <c r="K549" s="185">
        <f t="shared" si="47"/>
        <v>197.76</v>
      </c>
      <c r="L549" s="186">
        <f t="shared" si="48"/>
        <v>0.5204210526315789</v>
      </c>
      <c r="M549" s="12" t="s">
        <v>40</v>
      </c>
      <c r="N549" s="12" t="s">
        <v>3424</v>
      </c>
    </row>
    <row r="550" spans="1:14">
      <c r="A550" s="144" t="s">
        <v>562</v>
      </c>
      <c r="B550" s="220" t="s">
        <v>3686</v>
      </c>
      <c r="C550" s="211" t="s">
        <v>1390</v>
      </c>
      <c r="D550" s="211" t="s">
        <v>3688</v>
      </c>
      <c r="E550" s="182">
        <v>1</v>
      </c>
      <c r="F550" s="172" t="s">
        <v>19</v>
      </c>
      <c r="G550" s="18">
        <v>220</v>
      </c>
      <c r="H550" s="248">
        <f t="shared" si="49"/>
        <v>220</v>
      </c>
      <c r="I550" s="184">
        <v>179.55</v>
      </c>
      <c r="J550" s="184">
        <f t="shared" si="46"/>
        <v>40.449999999999989</v>
      </c>
      <c r="K550" s="185">
        <f t="shared" si="47"/>
        <v>40.449999999999989</v>
      </c>
      <c r="L550" s="186">
        <f t="shared" si="48"/>
        <v>0.18386363636363631</v>
      </c>
      <c r="M550" s="12" t="s">
        <v>40</v>
      </c>
      <c r="N550" s="12" t="s">
        <v>3424</v>
      </c>
    </row>
    <row r="551" spans="1:14">
      <c r="A551" s="199" t="s">
        <v>562</v>
      </c>
      <c r="B551" s="220" t="s">
        <v>3686</v>
      </c>
      <c r="C551" s="211" t="s">
        <v>1390</v>
      </c>
      <c r="D551" s="211" t="s">
        <v>3689</v>
      </c>
      <c r="E551" s="182">
        <v>10</v>
      </c>
      <c r="F551" s="172" t="s">
        <v>19</v>
      </c>
      <c r="G551" s="18">
        <v>59</v>
      </c>
      <c r="H551" s="248">
        <f t="shared" si="49"/>
        <v>590</v>
      </c>
      <c r="I551" s="184">
        <v>45.33</v>
      </c>
      <c r="J551" s="184">
        <f t="shared" si="46"/>
        <v>13.670000000000002</v>
      </c>
      <c r="K551" s="185">
        <f t="shared" si="47"/>
        <v>136.70000000000002</v>
      </c>
      <c r="L551" s="186">
        <f t="shared" si="48"/>
        <v>0.23169491525423733</v>
      </c>
      <c r="M551" s="12" t="s">
        <v>40</v>
      </c>
      <c r="N551" s="12" t="s">
        <v>3424</v>
      </c>
    </row>
    <row r="552" spans="1:14">
      <c r="A552" s="144" t="s">
        <v>562</v>
      </c>
      <c r="B552" s="220" t="s">
        <v>3690</v>
      </c>
      <c r="C552" s="211" t="s">
        <v>110</v>
      </c>
      <c r="D552" s="211" t="s">
        <v>3691</v>
      </c>
      <c r="E552" s="182">
        <v>2</v>
      </c>
      <c r="F552" s="172" t="s">
        <v>302</v>
      </c>
      <c r="G552" s="18">
        <v>1078.79</v>
      </c>
      <c r="H552" s="248">
        <f t="shared" si="49"/>
        <v>2157.58</v>
      </c>
      <c r="I552" s="184">
        <v>750</v>
      </c>
      <c r="J552" s="184">
        <f t="shared" si="46"/>
        <v>328.78999999999996</v>
      </c>
      <c r="K552" s="185">
        <f t="shared" si="47"/>
        <v>657.57999999999993</v>
      </c>
      <c r="L552" s="186">
        <f t="shared" si="48"/>
        <v>0.30477664791108555</v>
      </c>
      <c r="M552" s="12" t="s">
        <v>40</v>
      </c>
      <c r="N552" s="12" t="s">
        <v>3424</v>
      </c>
    </row>
    <row r="553" spans="1:14">
      <c r="A553" s="144" t="s">
        <v>562</v>
      </c>
      <c r="B553" s="220" t="s">
        <v>3692</v>
      </c>
      <c r="C553" s="211" t="s">
        <v>1948</v>
      </c>
      <c r="D553" s="211" t="s">
        <v>2479</v>
      </c>
      <c r="E553" s="182">
        <v>5</v>
      </c>
      <c r="F553" s="172" t="s">
        <v>19</v>
      </c>
      <c r="G553" s="18">
        <v>3990</v>
      </c>
      <c r="H553" s="248">
        <f t="shared" si="49"/>
        <v>19950</v>
      </c>
      <c r="I553" s="184">
        <v>3325</v>
      </c>
      <c r="J553" s="184">
        <f t="shared" si="46"/>
        <v>665</v>
      </c>
      <c r="K553" s="185">
        <f t="shared" si="47"/>
        <v>3325</v>
      </c>
      <c r="L553" s="186">
        <f t="shared" si="48"/>
        <v>0.16666666666666666</v>
      </c>
      <c r="M553" s="12" t="s">
        <v>40</v>
      </c>
      <c r="N553" s="12" t="s">
        <v>3424</v>
      </c>
    </row>
    <row r="554" spans="1:14">
      <c r="A554" s="199" t="s">
        <v>562</v>
      </c>
      <c r="B554" s="220" t="s">
        <v>3693</v>
      </c>
      <c r="C554" s="211" t="s">
        <v>17</v>
      </c>
      <c r="D554" s="211" t="s">
        <v>3694</v>
      </c>
      <c r="E554" s="182">
        <v>1</v>
      </c>
      <c r="F554" s="172" t="s">
        <v>19</v>
      </c>
      <c r="G554" s="18">
        <v>1290</v>
      </c>
      <c r="H554" s="248">
        <f t="shared" si="49"/>
        <v>1290</v>
      </c>
      <c r="I554" s="184">
        <v>1100</v>
      </c>
      <c r="J554" s="184">
        <f t="shared" si="46"/>
        <v>190</v>
      </c>
      <c r="K554" s="185">
        <f t="shared" si="47"/>
        <v>190</v>
      </c>
      <c r="L554" s="186">
        <f t="shared" si="48"/>
        <v>0.14728682170542637</v>
      </c>
      <c r="M554" s="12" t="s">
        <v>40</v>
      </c>
      <c r="N554" s="12" t="s">
        <v>3424</v>
      </c>
    </row>
    <row r="555" spans="1:14">
      <c r="A555" s="144" t="s">
        <v>562</v>
      </c>
      <c r="B555" s="220" t="s">
        <v>3693</v>
      </c>
      <c r="C555" s="211" t="s">
        <v>17</v>
      </c>
      <c r="D555" s="211" t="s">
        <v>3695</v>
      </c>
      <c r="E555" s="182">
        <v>6</v>
      </c>
      <c r="F555" s="172" t="s">
        <v>19</v>
      </c>
      <c r="G555" s="18">
        <v>479</v>
      </c>
      <c r="H555" s="248">
        <f t="shared" si="49"/>
        <v>2874</v>
      </c>
      <c r="I555" s="184">
        <v>450</v>
      </c>
      <c r="J555" s="184">
        <f t="shared" si="46"/>
        <v>29</v>
      </c>
      <c r="K555" s="185">
        <f t="shared" si="47"/>
        <v>174</v>
      </c>
      <c r="L555" s="186">
        <f t="shared" si="48"/>
        <v>6.0542797494780795E-2</v>
      </c>
      <c r="M555" s="12" t="s">
        <v>40</v>
      </c>
      <c r="N555" s="12" t="s">
        <v>3424</v>
      </c>
    </row>
    <row r="556" spans="1:14">
      <c r="A556" s="199" t="s">
        <v>562</v>
      </c>
      <c r="B556" s="220" t="s">
        <v>3696</v>
      </c>
      <c r="C556" s="211" t="s">
        <v>2602</v>
      </c>
      <c r="D556" s="211" t="s">
        <v>3697</v>
      </c>
      <c r="E556" s="182">
        <v>20</v>
      </c>
      <c r="F556" s="172" t="s">
        <v>19</v>
      </c>
      <c r="G556" s="18">
        <v>482</v>
      </c>
      <c r="H556" s="248">
        <f t="shared" si="49"/>
        <v>9640</v>
      </c>
      <c r="I556" s="184">
        <v>450</v>
      </c>
      <c r="J556" s="184">
        <f t="shared" si="46"/>
        <v>32</v>
      </c>
      <c r="K556" s="185">
        <f t="shared" si="47"/>
        <v>640</v>
      </c>
      <c r="L556" s="186">
        <f t="shared" si="48"/>
        <v>6.6390041493775934E-2</v>
      </c>
      <c r="M556" s="12" t="s">
        <v>40</v>
      </c>
      <c r="N556" s="12" t="s">
        <v>3424</v>
      </c>
    </row>
    <row r="557" spans="1:14">
      <c r="A557" s="144" t="s">
        <v>562</v>
      </c>
      <c r="B557" s="220" t="s">
        <v>3698</v>
      </c>
      <c r="C557" s="211" t="s">
        <v>1948</v>
      </c>
      <c r="D557" s="211" t="s">
        <v>3699</v>
      </c>
      <c r="E557" s="182">
        <v>4</v>
      </c>
      <c r="F557" s="172" t="s">
        <v>19</v>
      </c>
      <c r="G557" s="18">
        <v>2500</v>
      </c>
      <c r="H557" s="248">
        <f t="shared" si="49"/>
        <v>10000</v>
      </c>
      <c r="I557" s="184">
        <v>2209.6999999999998</v>
      </c>
      <c r="J557" s="184">
        <f t="shared" si="46"/>
        <v>290.30000000000018</v>
      </c>
      <c r="K557" s="185">
        <f t="shared" si="47"/>
        <v>1161.2000000000007</v>
      </c>
      <c r="L557" s="186">
        <f t="shared" si="48"/>
        <v>0.11612000000000007</v>
      </c>
      <c r="M557" s="12" t="s">
        <v>40</v>
      </c>
      <c r="N557" s="12" t="s">
        <v>3424</v>
      </c>
    </row>
    <row r="558" spans="1:14">
      <c r="A558" s="144" t="s">
        <v>562</v>
      </c>
      <c r="B558" s="220" t="s">
        <v>3700</v>
      </c>
      <c r="C558" s="211" t="s">
        <v>57</v>
      </c>
      <c r="D558" s="211" t="s">
        <v>3701</v>
      </c>
      <c r="E558" s="182">
        <v>1</v>
      </c>
      <c r="F558" s="172" t="s">
        <v>285</v>
      </c>
      <c r="G558" s="18">
        <v>313.25</v>
      </c>
      <c r="H558" s="248">
        <f t="shared" si="49"/>
        <v>313.25</v>
      </c>
      <c r="I558" s="184"/>
      <c r="J558" s="184">
        <f t="shared" si="46"/>
        <v>313.25</v>
      </c>
      <c r="K558" s="185">
        <f t="shared" si="47"/>
        <v>313.25</v>
      </c>
      <c r="L558" s="186">
        <f t="shared" si="48"/>
        <v>1</v>
      </c>
      <c r="M558" s="12" t="s">
        <v>30</v>
      </c>
      <c r="N558" s="12" t="s">
        <v>3424</v>
      </c>
    </row>
    <row r="559" spans="1:14">
      <c r="A559" s="199" t="s">
        <v>562</v>
      </c>
      <c r="B559" s="220" t="s">
        <v>3702</v>
      </c>
      <c r="C559" s="211" t="s">
        <v>17</v>
      </c>
      <c r="D559" s="211" t="s">
        <v>1731</v>
      </c>
      <c r="E559" s="182">
        <v>2</v>
      </c>
      <c r="F559" s="172" t="s">
        <v>3703</v>
      </c>
      <c r="G559" s="18">
        <v>5600</v>
      </c>
      <c r="H559" s="248">
        <f t="shared" si="49"/>
        <v>11200</v>
      </c>
      <c r="I559" s="184">
        <v>4950</v>
      </c>
      <c r="J559" s="184">
        <f t="shared" si="46"/>
        <v>650</v>
      </c>
      <c r="K559" s="185">
        <f t="shared" si="47"/>
        <v>1300</v>
      </c>
      <c r="L559" s="186">
        <f t="shared" si="48"/>
        <v>0.11607142857142858</v>
      </c>
      <c r="M559" s="12" t="s">
        <v>40</v>
      </c>
      <c r="N559" s="12" t="s">
        <v>3424</v>
      </c>
    </row>
    <row r="560" spans="1:14">
      <c r="A560" s="144" t="s">
        <v>562</v>
      </c>
      <c r="B560" s="220" t="s">
        <v>3704</v>
      </c>
      <c r="C560" s="211" t="s">
        <v>1461</v>
      </c>
      <c r="D560" s="211" t="s">
        <v>3705</v>
      </c>
      <c r="E560" s="182">
        <v>1</v>
      </c>
      <c r="F560" s="172" t="s">
        <v>285</v>
      </c>
      <c r="G560" s="18">
        <v>195000</v>
      </c>
      <c r="H560" s="248">
        <f t="shared" si="49"/>
        <v>195000</v>
      </c>
      <c r="I560" s="184">
        <v>190000</v>
      </c>
      <c r="J560" s="184">
        <f t="shared" si="46"/>
        <v>5000</v>
      </c>
      <c r="K560" s="185">
        <f t="shared" si="47"/>
        <v>5000</v>
      </c>
      <c r="L560" s="186">
        <f t="shared" si="48"/>
        <v>2.564102564102564E-2</v>
      </c>
      <c r="M560" s="12" t="s">
        <v>40</v>
      </c>
      <c r="N560" s="12" t="s">
        <v>3424</v>
      </c>
    </row>
    <row r="561" spans="1:14">
      <c r="A561" s="199" t="s">
        <v>562</v>
      </c>
      <c r="B561" s="220" t="s">
        <v>3706</v>
      </c>
      <c r="C561" s="211" t="s">
        <v>17</v>
      </c>
      <c r="D561" s="211" t="s">
        <v>3707</v>
      </c>
      <c r="E561" s="182">
        <v>1</v>
      </c>
      <c r="F561" s="172" t="s">
        <v>19</v>
      </c>
      <c r="G561" s="18">
        <v>9450</v>
      </c>
      <c r="H561" s="248">
        <f t="shared" si="49"/>
        <v>9450</v>
      </c>
      <c r="I561" s="184">
        <v>8890</v>
      </c>
      <c r="J561" s="184">
        <f t="shared" si="46"/>
        <v>560</v>
      </c>
      <c r="K561" s="185">
        <f t="shared" si="47"/>
        <v>560</v>
      </c>
      <c r="L561" s="186">
        <f t="shared" si="48"/>
        <v>5.9259259259259262E-2</v>
      </c>
      <c r="M561" s="12" t="s">
        <v>40</v>
      </c>
      <c r="N561" s="12" t="s">
        <v>3424</v>
      </c>
    </row>
    <row r="562" spans="1:14">
      <c r="A562" s="144" t="s">
        <v>562</v>
      </c>
      <c r="B562" s="220" t="s">
        <v>3708</v>
      </c>
      <c r="C562" s="211" t="s">
        <v>17</v>
      </c>
      <c r="D562" s="211" t="s">
        <v>3709</v>
      </c>
      <c r="E562" s="182">
        <v>1</v>
      </c>
      <c r="F562" s="172" t="s">
        <v>19</v>
      </c>
      <c r="G562" s="18">
        <v>4650</v>
      </c>
      <c r="H562" s="248">
        <f t="shared" si="49"/>
        <v>4650</v>
      </c>
      <c r="I562" s="184">
        <v>3000</v>
      </c>
      <c r="J562" s="184">
        <f t="shared" si="46"/>
        <v>1650</v>
      </c>
      <c r="K562" s="185">
        <f t="shared" si="47"/>
        <v>1650</v>
      </c>
      <c r="L562" s="186">
        <f t="shared" si="48"/>
        <v>0.35483870967741937</v>
      </c>
      <c r="M562" s="12" t="s">
        <v>40</v>
      </c>
      <c r="N562" s="12" t="s">
        <v>3424</v>
      </c>
    </row>
    <row r="563" spans="1:14">
      <c r="A563" s="144" t="s">
        <v>562</v>
      </c>
      <c r="B563" s="220" t="s">
        <v>3710</v>
      </c>
      <c r="C563" s="211" t="s">
        <v>17</v>
      </c>
      <c r="D563" s="211" t="s">
        <v>1731</v>
      </c>
      <c r="E563" s="182">
        <v>2</v>
      </c>
      <c r="F563" s="172" t="s">
        <v>3703</v>
      </c>
      <c r="G563" s="18">
        <v>5600</v>
      </c>
      <c r="H563" s="248">
        <f t="shared" si="49"/>
        <v>11200</v>
      </c>
      <c r="I563" s="184">
        <v>4950</v>
      </c>
      <c r="J563" s="184">
        <f t="shared" si="46"/>
        <v>650</v>
      </c>
      <c r="K563" s="185">
        <f t="shared" si="47"/>
        <v>1300</v>
      </c>
      <c r="L563" s="186">
        <f t="shared" si="48"/>
        <v>0.11607142857142858</v>
      </c>
      <c r="M563" s="12" t="s">
        <v>40</v>
      </c>
      <c r="N563" s="12" t="s">
        <v>3424</v>
      </c>
    </row>
    <row r="564" spans="1:14">
      <c r="A564" s="199" t="s">
        <v>562</v>
      </c>
      <c r="B564" s="220" t="s">
        <v>3711</v>
      </c>
      <c r="C564" s="211" t="s">
        <v>17</v>
      </c>
      <c r="D564" s="211" t="s">
        <v>3712</v>
      </c>
      <c r="E564" s="182">
        <v>3</v>
      </c>
      <c r="F564" s="172" t="s">
        <v>19</v>
      </c>
      <c r="G564" s="18">
        <v>480</v>
      </c>
      <c r="H564" s="248">
        <f t="shared" si="49"/>
        <v>1440</v>
      </c>
      <c r="I564" s="184">
        <v>325</v>
      </c>
      <c r="J564" s="184">
        <f t="shared" si="46"/>
        <v>155</v>
      </c>
      <c r="K564" s="185">
        <f t="shared" si="47"/>
        <v>465</v>
      </c>
      <c r="L564" s="186">
        <f t="shared" si="48"/>
        <v>0.32291666666666669</v>
      </c>
      <c r="M564" s="12" t="s">
        <v>40</v>
      </c>
      <c r="N564" s="12" t="s">
        <v>3424</v>
      </c>
    </row>
    <row r="565" spans="1:14">
      <c r="A565" s="144" t="s">
        <v>562</v>
      </c>
      <c r="B565" s="220" t="s">
        <v>3713</v>
      </c>
      <c r="C565" s="211" t="s">
        <v>17</v>
      </c>
      <c r="D565" s="211" t="s">
        <v>3714</v>
      </c>
      <c r="E565" s="182">
        <v>2</v>
      </c>
      <c r="F565" s="172" t="s">
        <v>19</v>
      </c>
      <c r="G565" s="18">
        <v>547</v>
      </c>
      <c r="H565" s="248">
        <f t="shared" si="49"/>
        <v>1094</v>
      </c>
      <c r="I565" s="184">
        <v>350</v>
      </c>
      <c r="J565" s="184">
        <f t="shared" si="46"/>
        <v>197</v>
      </c>
      <c r="K565" s="185">
        <f t="shared" si="47"/>
        <v>394</v>
      </c>
      <c r="L565" s="186">
        <f t="shared" si="48"/>
        <v>0.36014625228519198</v>
      </c>
      <c r="M565" s="12" t="s">
        <v>40</v>
      </c>
      <c r="N565" s="12" t="s">
        <v>3424</v>
      </c>
    </row>
    <row r="566" spans="1:14">
      <c r="A566" s="199" t="s">
        <v>562</v>
      </c>
      <c r="B566" s="220" t="s">
        <v>3713</v>
      </c>
      <c r="C566" s="211" t="s">
        <v>17</v>
      </c>
      <c r="D566" s="211" t="s">
        <v>3715</v>
      </c>
      <c r="E566" s="182">
        <v>2</v>
      </c>
      <c r="F566" s="172" t="s">
        <v>19</v>
      </c>
      <c r="G566" s="18">
        <v>563</v>
      </c>
      <c r="H566" s="248">
        <f t="shared" si="49"/>
        <v>1126</v>
      </c>
      <c r="I566" s="184">
        <v>375</v>
      </c>
      <c r="J566" s="184">
        <f t="shared" si="46"/>
        <v>188</v>
      </c>
      <c r="K566" s="185">
        <f t="shared" si="47"/>
        <v>376</v>
      </c>
      <c r="L566" s="186">
        <f t="shared" si="48"/>
        <v>0.3339253996447602</v>
      </c>
      <c r="M566" s="12" t="s">
        <v>40</v>
      </c>
      <c r="N566" s="12" t="s">
        <v>3424</v>
      </c>
    </row>
    <row r="567" spans="1:14">
      <c r="A567" s="144" t="s">
        <v>562</v>
      </c>
      <c r="B567" s="220" t="s">
        <v>3713</v>
      </c>
      <c r="C567" s="211" t="s">
        <v>17</v>
      </c>
      <c r="D567" s="211" t="s">
        <v>3716</v>
      </c>
      <c r="E567" s="182">
        <v>2</v>
      </c>
      <c r="F567" s="172" t="s">
        <v>19</v>
      </c>
      <c r="G567" s="18">
        <v>573</v>
      </c>
      <c r="H567" s="248">
        <f t="shared" si="49"/>
        <v>1146</v>
      </c>
      <c r="I567" s="184">
        <v>395</v>
      </c>
      <c r="J567" s="184">
        <f t="shared" si="46"/>
        <v>178</v>
      </c>
      <c r="K567" s="185">
        <f t="shared" si="47"/>
        <v>356</v>
      </c>
      <c r="L567" s="186">
        <f t="shared" si="48"/>
        <v>0.31064572425828968</v>
      </c>
      <c r="M567" s="12" t="s">
        <v>40</v>
      </c>
      <c r="N567" s="12" t="s">
        <v>3424</v>
      </c>
    </row>
    <row r="568" spans="1:14">
      <c r="A568" s="144" t="s">
        <v>562</v>
      </c>
      <c r="B568" s="220" t="s">
        <v>3713</v>
      </c>
      <c r="C568" s="211" t="s">
        <v>17</v>
      </c>
      <c r="D568" s="211" t="s">
        <v>3717</v>
      </c>
      <c r="E568" s="182">
        <v>2</v>
      </c>
      <c r="F568" s="172" t="s">
        <v>19</v>
      </c>
      <c r="G568" s="18">
        <v>573</v>
      </c>
      <c r="H568" s="248">
        <f t="shared" si="49"/>
        <v>1146</v>
      </c>
      <c r="I568" s="184">
        <v>395</v>
      </c>
      <c r="J568" s="184">
        <f t="shared" si="46"/>
        <v>178</v>
      </c>
      <c r="K568" s="185">
        <f t="shared" si="47"/>
        <v>356</v>
      </c>
      <c r="L568" s="186">
        <f t="shared" si="48"/>
        <v>0.31064572425828968</v>
      </c>
      <c r="M568" s="12" t="s">
        <v>40</v>
      </c>
      <c r="N568" s="12" t="s">
        <v>3424</v>
      </c>
    </row>
    <row r="569" spans="1:14">
      <c r="A569" s="199" t="s">
        <v>562</v>
      </c>
      <c r="B569" s="220" t="s">
        <v>3718</v>
      </c>
      <c r="C569" s="211" t="s">
        <v>617</v>
      </c>
      <c r="D569" s="211" t="s">
        <v>233</v>
      </c>
      <c r="E569" s="182">
        <v>9000</v>
      </c>
      <c r="F569" s="172" t="s">
        <v>231</v>
      </c>
      <c r="G569" s="18">
        <v>28</v>
      </c>
      <c r="H569" s="248">
        <f t="shared" si="49"/>
        <v>252000</v>
      </c>
      <c r="I569" s="184">
        <v>27.5</v>
      </c>
      <c r="J569" s="184">
        <f t="shared" si="46"/>
        <v>0.5</v>
      </c>
      <c r="K569" s="185">
        <f t="shared" si="47"/>
        <v>4500</v>
      </c>
      <c r="L569" s="186">
        <f t="shared" si="48"/>
        <v>1.7857142857142856E-2</v>
      </c>
      <c r="M569" s="12" t="s">
        <v>40</v>
      </c>
      <c r="N569" s="12" t="s">
        <v>39</v>
      </c>
    </row>
    <row r="570" spans="1:14">
      <c r="A570" s="199" t="s">
        <v>562</v>
      </c>
      <c r="B570" s="220" t="s">
        <v>3719</v>
      </c>
      <c r="C570" s="12" t="s">
        <v>335</v>
      </c>
      <c r="D570" s="12" t="s">
        <v>336</v>
      </c>
      <c r="E570" s="182">
        <v>112000</v>
      </c>
      <c r="F570" s="172" t="s">
        <v>337</v>
      </c>
      <c r="G570" s="18">
        <v>36</v>
      </c>
      <c r="H570" s="248">
        <f t="shared" si="49"/>
        <v>4032000</v>
      </c>
      <c r="I570" s="184">
        <v>35</v>
      </c>
      <c r="J570" s="184">
        <f t="shared" si="46"/>
        <v>1</v>
      </c>
      <c r="K570" s="185">
        <f t="shared" si="47"/>
        <v>112000</v>
      </c>
      <c r="L570" s="186">
        <f t="shared" si="48"/>
        <v>2.7777777777777776E-2</v>
      </c>
      <c r="M570" s="12" t="s">
        <v>20</v>
      </c>
      <c r="N570" s="12" t="s">
        <v>39</v>
      </c>
    </row>
    <row r="571" spans="1:14">
      <c r="A571" s="199" t="s">
        <v>562</v>
      </c>
      <c r="B571" s="220" t="s">
        <v>3720</v>
      </c>
      <c r="C571" s="12" t="s">
        <v>2167</v>
      </c>
      <c r="D571" s="12" t="s">
        <v>2502</v>
      </c>
      <c r="E571" s="182">
        <v>10000</v>
      </c>
      <c r="F571" s="172" t="s">
        <v>337</v>
      </c>
      <c r="G571" s="18">
        <f>3.9*33</f>
        <v>128.69999999999999</v>
      </c>
      <c r="H571" s="248">
        <f t="shared" si="49"/>
        <v>1287000</v>
      </c>
      <c r="I571" s="184">
        <f>3.5*33</f>
        <v>115.5</v>
      </c>
      <c r="J571" s="184">
        <f t="shared" si="46"/>
        <v>13.199999999999989</v>
      </c>
      <c r="K571" s="185">
        <f t="shared" ref="K571:K572" si="50">J571*E571</f>
        <v>131999.99999999988</v>
      </c>
      <c r="L571" s="186">
        <f t="shared" si="48"/>
        <v>0.10256410256410249</v>
      </c>
      <c r="M571" s="12" t="s">
        <v>40</v>
      </c>
      <c r="N571" s="12" t="s">
        <v>105</v>
      </c>
    </row>
    <row r="572" spans="1:14">
      <c r="A572" s="199" t="s">
        <v>562</v>
      </c>
      <c r="B572" s="220" t="s">
        <v>3639</v>
      </c>
      <c r="C572" s="12" t="s">
        <v>1430</v>
      </c>
      <c r="D572" s="12" t="s">
        <v>3721</v>
      </c>
      <c r="E572" s="182">
        <v>7400</v>
      </c>
      <c r="F572" s="172" t="s">
        <v>337</v>
      </c>
      <c r="G572" s="18">
        <v>90</v>
      </c>
      <c r="H572" s="248">
        <f t="shared" si="49"/>
        <v>666000</v>
      </c>
      <c r="I572" s="184">
        <v>89.5</v>
      </c>
      <c r="J572" s="184">
        <f t="shared" si="46"/>
        <v>0.5</v>
      </c>
      <c r="K572" s="185">
        <f t="shared" si="50"/>
        <v>3700</v>
      </c>
      <c r="L572" s="186">
        <f t="shared" si="48"/>
        <v>5.5555555555555558E-3</v>
      </c>
      <c r="M572" s="12" t="s">
        <v>22</v>
      </c>
      <c r="N572" s="12" t="s">
        <v>105</v>
      </c>
    </row>
    <row r="573" spans="1:14">
      <c r="A573" s="245" t="s">
        <v>696</v>
      </c>
      <c r="B573" s="219" t="s">
        <v>3722</v>
      </c>
      <c r="C573" s="201" t="s">
        <v>68</v>
      </c>
      <c r="D573" s="246" t="s">
        <v>962</v>
      </c>
      <c r="E573" s="263">
        <v>1743.7</v>
      </c>
      <c r="F573" s="172" t="s">
        <v>37</v>
      </c>
      <c r="G573" s="264">
        <v>375</v>
      </c>
      <c r="H573" s="248">
        <f t="shared" ref="H573:H598" si="51">G573*E573</f>
        <v>653887.5</v>
      </c>
      <c r="I573" s="265">
        <v>365</v>
      </c>
      <c r="J573" s="265">
        <f t="shared" ref="J573:J636" si="52">G573-I573</f>
        <v>10</v>
      </c>
      <c r="K573" s="250">
        <f t="shared" ref="K573:K636" si="53">J573*E573</f>
        <v>17437</v>
      </c>
      <c r="L573" s="186">
        <f t="shared" ref="L573:L636" si="54">J573/G573</f>
        <v>2.6666666666666668E-2</v>
      </c>
      <c r="M573" s="12" t="s">
        <v>22</v>
      </c>
      <c r="N573" s="12" t="s">
        <v>105</v>
      </c>
    </row>
    <row r="574" spans="1:14">
      <c r="A574" s="144" t="s">
        <v>696</v>
      </c>
      <c r="B574" s="213" t="s">
        <v>3723</v>
      </c>
      <c r="C574" s="208" t="s">
        <v>279</v>
      </c>
      <c r="D574" s="208" t="s">
        <v>3724</v>
      </c>
      <c r="E574" s="247">
        <v>3200</v>
      </c>
      <c r="F574" s="266" t="s">
        <v>19</v>
      </c>
      <c r="G574" s="248">
        <v>18.239999999999998</v>
      </c>
      <c r="H574" s="248">
        <f t="shared" si="51"/>
        <v>58367.999999999993</v>
      </c>
      <c r="I574" s="249">
        <v>16.420000000000002</v>
      </c>
      <c r="J574" s="249">
        <f t="shared" si="52"/>
        <v>1.8199999999999967</v>
      </c>
      <c r="K574" s="267">
        <f t="shared" si="53"/>
        <v>5823.9999999999891</v>
      </c>
      <c r="L574" s="268">
        <f t="shared" si="54"/>
        <v>9.9780701754385789E-2</v>
      </c>
      <c r="M574" s="12" t="s">
        <v>40</v>
      </c>
      <c r="N574" s="12" t="s">
        <v>105</v>
      </c>
    </row>
    <row r="575" spans="1:14">
      <c r="A575" s="144" t="s">
        <v>696</v>
      </c>
      <c r="B575" s="213" t="s">
        <v>3725</v>
      </c>
      <c r="C575" s="208" t="s">
        <v>107</v>
      </c>
      <c r="D575" s="208" t="s">
        <v>3726</v>
      </c>
      <c r="E575" s="247">
        <v>114</v>
      </c>
      <c r="F575" s="266" t="s">
        <v>19</v>
      </c>
      <c r="G575" s="248">
        <v>1155</v>
      </c>
      <c r="H575" s="248">
        <f t="shared" si="51"/>
        <v>131670</v>
      </c>
      <c r="I575" s="249">
        <v>985</v>
      </c>
      <c r="J575" s="249">
        <f t="shared" si="52"/>
        <v>170</v>
      </c>
      <c r="K575" s="267">
        <f t="shared" si="53"/>
        <v>19380</v>
      </c>
      <c r="L575" s="268">
        <f t="shared" si="54"/>
        <v>0.1471861471861472</v>
      </c>
      <c r="M575" s="12" t="s">
        <v>40</v>
      </c>
      <c r="N575" s="12" t="s">
        <v>105</v>
      </c>
    </row>
    <row r="576" spans="1:14">
      <c r="A576" s="144" t="s">
        <v>696</v>
      </c>
      <c r="B576" s="213" t="s">
        <v>3725</v>
      </c>
      <c r="C576" s="208" t="s">
        <v>107</v>
      </c>
      <c r="D576" s="208" t="s">
        <v>564</v>
      </c>
      <c r="E576" s="247">
        <v>40</v>
      </c>
      <c r="F576" s="266" t="s">
        <v>19</v>
      </c>
      <c r="G576" s="248">
        <v>910</v>
      </c>
      <c r="H576" s="248">
        <f t="shared" si="51"/>
        <v>36400</v>
      </c>
      <c r="I576" s="249">
        <v>690</v>
      </c>
      <c r="J576" s="249">
        <f t="shared" si="52"/>
        <v>220</v>
      </c>
      <c r="K576" s="267">
        <f t="shared" si="53"/>
        <v>8800</v>
      </c>
      <c r="L576" s="268">
        <f t="shared" si="54"/>
        <v>0.24175824175824176</v>
      </c>
      <c r="M576" s="12" t="s">
        <v>40</v>
      </c>
      <c r="N576" s="12" t="s">
        <v>105</v>
      </c>
    </row>
    <row r="577" spans="1:14">
      <c r="A577" s="144" t="s">
        <v>696</v>
      </c>
      <c r="B577" s="213" t="s">
        <v>3727</v>
      </c>
      <c r="C577" s="208" t="s">
        <v>94</v>
      </c>
      <c r="D577" s="27" t="s">
        <v>971</v>
      </c>
      <c r="E577" s="269">
        <v>480</v>
      </c>
      <c r="F577" s="144" t="s">
        <v>615</v>
      </c>
      <c r="G577" s="270">
        <v>100</v>
      </c>
      <c r="H577" s="248">
        <f>G577*E577</f>
        <v>48000</v>
      </c>
      <c r="I577" s="249">
        <v>91.85</v>
      </c>
      <c r="J577" s="249">
        <f>G577-I577</f>
        <v>8.1500000000000057</v>
      </c>
      <c r="K577" s="267">
        <f t="shared" si="53"/>
        <v>3912.0000000000027</v>
      </c>
      <c r="L577" s="268">
        <f t="shared" si="54"/>
        <v>8.1500000000000059E-2</v>
      </c>
      <c r="M577" s="12" t="s">
        <v>22</v>
      </c>
      <c r="N577" s="12" t="s">
        <v>105</v>
      </c>
    </row>
    <row r="578" spans="1:14">
      <c r="A578" s="144" t="s">
        <v>696</v>
      </c>
      <c r="B578" s="271" t="s">
        <v>3728</v>
      </c>
      <c r="C578" s="208" t="s">
        <v>1042</v>
      </c>
      <c r="D578" s="208" t="s">
        <v>711</v>
      </c>
      <c r="E578" s="247">
        <v>1059</v>
      </c>
      <c r="F578" s="7" t="s">
        <v>37</v>
      </c>
      <c r="G578" s="248">
        <v>382</v>
      </c>
      <c r="H578" s="248">
        <f t="shared" si="51"/>
        <v>404538</v>
      </c>
      <c r="I578" s="249">
        <v>357</v>
      </c>
      <c r="J578" s="249">
        <f t="shared" si="52"/>
        <v>25</v>
      </c>
      <c r="K578" s="267">
        <f t="shared" si="53"/>
        <v>26475</v>
      </c>
      <c r="L578" s="268">
        <f t="shared" si="54"/>
        <v>6.5445026178010471E-2</v>
      </c>
      <c r="M578" s="12" t="s">
        <v>22</v>
      </c>
      <c r="N578" s="12" t="s">
        <v>105</v>
      </c>
    </row>
    <row r="579" spans="1:14">
      <c r="A579" s="144" t="s">
        <v>696</v>
      </c>
      <c r="B579" s="158" t="s">
        <v>3729</v>
      </c>
      <c r="C579" s="272" t="s">
        <v>17</v>
      </c>
      <c r="D579" s="208" t="s">
        <v>3730</v>
      </c>
      <c r="E579" s="247">
        <v>30</v>
      </c>
      <c r="F579" s="144" t="s">
        <v>19</v>
      </c>
      <c r="G579" s="248">
        <v>2950</v>
      </c>
      <c r="H579" s="248">
        <f t="shared" si="51"/>
        <v>88500</v>
      </c>
      <c r="I579" s="249">
        <v>2800</v>
      </c>
      <c r="J579" s="249">
        <f t="shared" si="52"/>
        <v>150</v>
      </c>
      <c r="K579" s="267">
        <f t="shared" si="53"/>
        <v>4500</v>
      </c>
      <c r="L579" s="268">
        <f t="shared" si="54"/>
        <v>5.0847457627118647E-2</v>
      </c>
      <c r="M579" s="12" t="s">
        <v>40</v>
      </c>
      <c r="N579" s="12" t="s">
        <v>105</v>
      </c>
    </row>
    <row r="580" spans="1:14">
      <c r="A580" s="144" t="s">
        <v>696</v>
      </c>
      <c r="B580" s="256" t="s">
        <v>3731</v>
      </c>
      <c r="C580" s="208" t="s">
        <v>1042</v>
      </c>
      <c r="D580" s="208" t="s">
        <v>711</v>
      </c>
      <c r="E580" s="247">
        <v>1038</v>
      </c>
      <c r="F580" s="144" t="s">
        <v>37</v>
      </c>
      <c r="G580" s="248">
        <v>382</v>
      </c>
      <c r="H580" s="248">
        <f t="shared" si="51"/>
        <v>396516</v>
      </c>
      <c r="I580" s="249">
        <v>357</v>
      </c>
      <c r="J580" s="249">
        <f t="shared" si="52"/>
        <v>25</v>
      </c>
      <c r="K580" s="267">
        <f t="shared" si="53"/>
        <v>25950</v>
      </c>
      <c r="L580" s="268">
        <f t="shared" si="54"/>
        <v>6.5445026178010471E-2</v>
      </c>
      <c r="M580" s="12" t="s">
        <v>22</v>
      </c>
      <c r="N580" s="12" t="s">
        <v>105</v>
      </c>
    </row>
    <row r="581" spans="1:14">
      <c r="A581" s="144" t="s">
        <v>696</v>
      </c>
      <c r="B581" s="213" t="s">
        <v>3732</v>
      </c>
      <c r="C581" s="208" t="s">
        <v>200</v>
      </c>
      <c r="D581" s="208" t="s">
        <v>3733</v>
      </c>
      <c r="E581" s="247">
        <v>2</v>
      </c>
      <c r="F581" s="144" t="s">
        <v>302</v>
      </c>
      <c r="G581" s="248">
        <v>75000</v>
      </c>
      <c r="H581" s="248">
        <f t="shared" si="51"/>
        <v>150000</v>
      </c>
      <c r="I581" s="249">
        <v>73000</v>
      </c>
      <c r="J581" s="249">
        <f t="shared" si="52"/>
        <v>2000</v>
      </c>
      <c r="K581" s="267">
        <f t="shared" si="53"/>
        <v>4000</v>
      </c>
      <c r="L581" s="268">
        <f t="shared" si="54"/>
        <v>2.6666666666666668E-2</v>
      </c>
      <c r="M581" s="12" t="s">
        <v>40</v>
      </c>
      <c r="N581" s="12" t="s">
        <v>39</v>
      </c>
    </row>
    <row r="582" spans="1:14">
      <c r="A582" s="144" t="s">
        <v>696</v>
      </c>
      <c r="B582" s="219" t="s">
        <v>3734</v>
      </c>
      <c r="C582" s="208" t="s">
        <v>283</v>
      </c>
      <c r="D582" s="208" t="s">
        <v>3735</v>
      </c>
      <c r="E582" s="247">
        <v>1</v>
      </c>
      <c r="F582" s="144" t="s">
        <v>285</v>
      </c>
      <c r="G582" s="248">
        <v>42500</v>
      </c>
      <c r="H582" s="248">
        <f t="shared" si="51"/>
        <v>42500</v>
      </c>
      <c r="I582" s="249">
        <v>42000</v>
      </c>
      <c r="J582" s="249">
        <f t="shared" si="52"/>
        <v>500</v>
      </c>
      <c r="K582" s="267">
        <f t="shared" si="53"/>
        <v>500</v>
      </c>
      <c r="L582" s="268">
        <f t="shared" si="54"/>
        <v>1.1764705882352941E-2</v>
      </c>
      <c r="M582" s="12" t="s">
        <v>40</v>
      </c>
      <c r="N582" s="12" t="s">
        <v>105</v>
      </c>
    </row>
    <row r="583" spans="1:14">
      <c r="A583" s="144" t="s">
        <v>696</v>
      </c>
      <c r="B583" s="213" t="s">
        <v>3736</v>
      </c>
      <c r="C583" s="208" t="s">
        <v>329</v>
      </c>
      <c r="D583" s="208" t="s">
        <v>3737</v>
      </c>
      <c r="E583" s="247">
        <v>25</v>
      </c>
      <c r="F583" s="144" t="s">
        <v>19</v>
      </c>
      <c r="G583" s="248">
        <v>160</v>
      </c>
      <c r="H583" s="248">
        <f t="shared" si="51"/>
        <v>4000</v>
      </c>
      <c r="I583" s="249">
        <v>150</v>
      </c>
      <c r="J583" s="249">
        <f t="shared" si="52"/>
        <v>10</v>
      </c>
      <c r="K583" s="267">
        <f t="shared" si="53"/>
        <v>250</v>
      </c>
      <c r="L583" s="268">
        <f t="shared" si="54"/>
        <v>6.25E-2</v>
      </c>
      <c r="M583" s="12" t="s">
        <v>22</v>
      </c>
      <c r="N583" s="12" t="s">
        <v>39</v>
      </c>
    </row>
    <row r="584" spans="1:14">
      <c r="A584" s="144" t="s">
        <v>696</v>
      </c>
      <c r="B584" s="213" t="s">
        <v>3738</v>
      </c>
      <c r="C584" s="208" t="s">
        <v>174</v>
      </c>
      <c r="D584" s="208" t="s">
        <v>3739</v>
      </c>
      <c r="E584" s="247">
        <v>25</v>
      </c>
      <c r="F584" s="144" t="s">
        <v>19</v>
      </c>
      <c r="G584" s="248">
        <v>2000</v>
      </c>
      <c r="H584" s="248">
        <f t="shared" si="51"/>
        <v>50000</v>
      </c>
      <c r="I584" s="249">
        <v>1750</v>
      </c>
      <c r="J584" s="249">
        <f t="shared" si="52"/>
        <v>250</v>
      </c>
      <c r="K584" s="267">
        <f t="shared" si="53"/>
        <v>6250</v>
      </c>
      <c r="L584" s="268">
        <f t="shared" si="54"/>
        <v>0.125</v>
      </c>
      <c r="M584" s="12" t="s">
        <v>40</v>
      </c>
      <c r="N584" s="12" t="s">
        <v>105</v>
      </c>
    </row>
    <row r="585" spans="1:14">
      <c r="A585" s="144" t="s">
        <v>696</v>
      </c>
      <c r="B585" s="219" t="s">
        <v>3740</v>
      </c>
      <c r="C585" s="208" t="s">
        <v>68</v>
      </c>
      <c r="D585" s="208" t="s">
        <v>962</v>
      </c>
      <c r="E585" s="247">
        <v>3054.6</v>
      </c>
      <c r="F585" s="144" t="s">
        <v>37</v>
      </c>
      <c r="G585" s="248">
        <v>380</v>
      </c>
      <c r="H585" s="248">
        <f t="shared" si="51"/>
        <v>1160748</v>
      </c>
      <c r="I585" s="249">
        <v>365</v>
      </c>
      <c r="J585" s="249">
        <f t="shared" si="52"/>
        <v>15</v>
      </c>
      <c r="K585" s="267">
        <f t="shared" si="53"/>
        <v>45819</v>
      </c>
      <c r="L585" s="268">
        <f t="shared" si="54"/>
        <v>3.9473684210526314E-2</v>
      </c>
      <c r="M585" s="12" t="s">
        <v>22</v>
      </c>
      <c r="N585" s="12" t="s">
        <v>105</v>
      </c>
    </row>
    <row r="586" spans="1:14">
      <c r="A586" s="144" t="s">
        <v>696</v>
      </c>
      <c r="B586" s="213" t="s">
        <v>3741</v>
      </c>
      <c r="C586" s="208" t="s">
        <v>94</v>
      </c>
      <c r="D586" s="208" t="s">
        <v>613</v>
      </c>
      <c r="E586" s="247">
        <v>200</v>
      </c>
      <c r="F586" s="144" t="s">
        <v>19</v>
      </c>
      <c r="G586" s="248">
        <v>26</v>
      </c>
      <c r="H586" s="248">
        <f t="shared" si="51"/>
        <v>5200</v>
      </c>
      <c r="I586" s="249">
        <v>24.6</v>
      </c>
      <c r="J586" s="249">
        <f t="shared" si="52"/>
        <v>1.3999999999999986</v>
      </c>
      <c r="K586" s="267">
        <f t="shared" si="53"/>
        <v>279.99999999999972</v>
      </c>
      <c r="L586" s="268">
        <f t="shared" si="54"/>
        <v>5.3846153846153794E-2</v>
      </c>
      <c r="M586" s="12" t="s">
        <v>22</v>
      </c>
      <c r="N586" s="12" t="s">
        <v>105</v>
      </c>
    </row>
    <row r="587" spans="1:14">
      <c r="A587" s="144" t="s">
        <v>696</v>
      </c>
      <c r="B587" s="213" t="s">
        <v>3741</v>
      </c>
      <c r="C587" s="208" t="s">
        <v>94</v>
      </c>
      <c r="D587" s="208" t="s">
        <v>550</v>
      </c>
      <c r="E587" s="247">
        <v>200</v>
      </c>
      <c r="F587" s="144" t="s">
        <v>19</v>
      </c>
      <c r="G587" s="248">
        <v>50</v>
      </c>
      <c r="H587" s="248">
        <f t="shared" si="51"/>
        <v>10000</v>
      </c>
      <c r="I587" s="249">
        <v>47.56</v>
      </c>
      <c r="J587" s="249">
        <f t="shared" si="52"/>
        <v>2.4399999999999977</v>
      </c>
      <c r="K587" s="267">
        <f t="shared" si="53"/>
        <v>487.99999999999955</v>
      </c>
      <c r="L587" s="268">
        <f t="shared" si="54"/>
        <v>4.8799999999999955E-2</v>
      </c>
      <c r="M587" s="12" t="s">
        <v>22</v>
      </c>
      <c r="N587" s="12" t="s">
        <v>105</v>
      </c>
    </row>
    <row r="588" spans="1:14">
      <c r="A588" s="144" t="s">
        <v>696</v>
      </c>
      <c r="B588" s="213" t="s">
        <v>3741</v>
      </c>
      <c r="C588" s="208" t="s">
        <v>94</v>
      </c>
      <c r="D588" s="27" t="s">
        <v>546</v>
      </c>
      <c r="E588" s="247">
        <v>100</v>
      </c>
      <c r="F588" s="144" t="s">
        <v>19</v>
      </c>
      <c r="G588" s="248">
        <v>190</v>
      </c>
      <c r="H588" s="248">
        <f t="shared" si="51"/>
        <v>19000</v>
      </c>
      <c r="I588" s="249">
        <v>182.25</v>
      </c>
      <c r="J588" s="249">
        <f t="shared" si="52"/>
        <v>7.75</v>
      </c>
      <c r="K588" s="267">
        <f t="shared" si="53"/>
        <v>775</v>
      </c>
      <c r="L588" s="268">
        <f t="shared" si="54"/>
        <v>4.0789473684210528E-2</v>
      </c>
      <c r="M588" s="12" t="s">
        <v>22</v>
      </c>
      <c r="N588" s="12" t="s">
        <v>105</v>
      </c>
    </row>
    <row r="589" spans="1:14">
      <c r="A589" s="144" t="s">
        <v>696</v>
      </c>
      <c r="B589" s="213" t="s">
        <v>3742</v>
      </c>
      <c r="C589" s="208" t="s">
        <v>107</v>
      </c>
      <c r="D589" s="208" t="s">
        <v>816</v>
      </c>
      <c r="E589" s="247">
        <v>12</v>
      </c>
      <c r="F589" s="144" t="s">
        <v>19</v>
      </c>
      <c r="G589" s="248">
        <v>2900</v>
      </c>
      <c r="H589" s="248">
        <f t="shared" si="51"/>
        <v>34800</v>
      </c>
      <c r="I589" s="249">
        <v>2625</v>
      </c>
      <c r="J589" s="249">
        <f t="shared" si="52"/>
        <v>275</v>
      </c>
      <c r="K589" s="267">
        <f t="shared" si="53"/>
        <v>3300</v>
      </c>
      <c r="L589" s="268">
        <f t="shared" si="54"/>
        <v>9.4827586206896547E-2</v>
      </c>
      <c r="M589" s="12" t="s">
        <v>22</v>
      </c>
      <c r="N589" s="12" t="s">
        <v>105</v>
      </c>
    </row>
    <row r="590" spans="1:14">
      <c r="A590" s="144" t="s">
        <v>696</v>
      </c>
      <c r="B590" s="219" t="s">
        <v>3743</v>
      </c>
      <c r="C590" s="208" t="s">
        <v>1042</v>
      </c>
      <c r="D590" s="208" t="s">
        <v>609</v>
      </c>
      <c r="E590" s="247">
        <v>627</v>
      </c>
      <c r="F590" s="144" t="s">
        <v>37</v>
      </c>
      <c r="G590" s="248">
        <v>382</v>
      </c>
      <c r="H590" s="248">
        <f t="shared" si="51"/>
        <v>239514</v>
      </c>
      <c r="I590" s="249">
        <v>357</v>
      </c>
      <c r="J590" s="249">
        <f t="shared" si="52"/>
        <v>25</v>
      </c>
      <c r="K590" s="267">
        <f t="shared" si="53"/>
        <v>15675</v>
      </c>
      <c r="L590" s="268">
        <f t="shared" si="54"/>
        <v>6.5445026178010471E-2</v>
      </c>
      <c r="M590" s="12" t="s">
        <v>22</v>
      </c>
      <c r="N590" s="12" t="s">
        <v>105</v>
      </c>
    </row>
    <row r="591" spans="1:14">
      <c r="A591" s="144" t="s">
        <v>696</v>
      </c>
      <c r="B591" s="213" t="s">
        <v>3744</v>
      </c>
      <c r="C591" s="208" t="s">
        <v>192</v>
      </c>
      <c r="D591" s="208" t="s">
        <v>3745</v>
      </c>
      <c r="E591" s="247">
        <v>1</v>
      </c>
      <c r="F591" s="144" t="s">
        <v>19</v>
      </c>
      <c r="G591" s="248">
        <v>35900</v>
      </c>
      <c r="H591" s="248">
        <f t="shared" si="51"/>
        <v>35900</v>
      </c>
      <c r="I591" s="249">
        <v>31970</v>
      </c>
      <c r="J591" s="249">
        <f t="shared" si="52"/>
        <v>3930</v>
      </c>
      <c r="K591" s="267">
        <f t="shared" si="53"/>
        <v>3930</v>
      </c>
      <c r="L591" s="268">
        <f t="shared" si="54"/>
        <v>0.10947075208913649</v>
      </c>
      <c r="M591" s="12" t="s">
        <v>22</v>
      </c>
      <c r="N591" s="12" t="s">
        <v>105</v>
      </c>
    </row>
    <row r="592" spans="1:14">
      <c r="A592" s="144" t="s">
        <v>696</v>
      </c>
      <c r="B592" s="213" t="s">
        <v>3746</v>
      </c>
      <c r="C592" s="208" t="s">
        <v>94</v>
      </c>
      <c r="D592" s="208" t="s">
        <v>613</v>
      </c>
      <c r="E592" s="247">
        <v>100</v>
      </c>
      <c r="F592" s="144" t="s">
        <v>19</v>
      </c>
      <c r="G592" s="248">
        <v>26</v>
      </c>
      <c r="H592" s="248">
        <f t="shared" si="51"/>
        <v>2600</v>
      </c>
      <c r="I592" s="249">
        <v>24.6</v>
      </c>
      <c r="J592" s="249">
        <f t="shared" si="52"/>
        <v>1.3999999999999986</v>
      </c>
      <c r="K592" s="267">
        <f t="shared" si="53"/>
        <v>139.99999999999986</v>
      </c>
      <c r="L592" s="268">
        <f t="shared" si="54"/>
        <v>5.3846153846153794E-2</v>
      </c>
      <c r="M592" s="12" t="s">
        <v>22</v>
      </c>
      <c r="N592" s="12" t="s">
        <v>105</v>
      </c>
    </row>
    <row r="593" spans="1:14">
      <c r="A593" s="144" t="s">
        <v>696</v>
      </c>
      <c r="B593" s="213" t="s">
        <v>3746</v>
      </c>
      <c r="C593" s="208" t="s">
        <v>94</v>
      </c>
      <c r="D593" s="208" t="s">
        <v>457</v>
      </c>
      <c r="E593" s="247">
        <v>100</v>
      </c>
      <c r="F593" s="144" t="s">
        <v>19</v>
      </c>
      <c r="G593" s="248">
        <v>5.25</v>
      </c>
      <c r="H593" s="248">
        <f t="shared" si="51"/>
        <v>525</v>
      </c>
      <c r="I593" s="249">
        <v>5.0999999999999996</v>
      </c>
      <c r="J593" s="249">
        <f t="shared" si="52"/>
        <v>0.15000000000000036</v>
      </c>
      <c r="K593" s="267">
        <f t="shared" si="53"/>
        <v>15.000000000000036</v>
      </c>
      <c r="L593" s="268">
        <f t="shared" si="54"/>
        <v>2.857142857142864E-2</v>
      </c>
      <c r="M593" s="12" t="s">
        <v>22</v>
      </c>
      <c r="N593" s="12" t="s">
        <v>105</v>
      </c>
    </row>
    <row r="594" spans="1:14">
      <c r="A594" s="144" t="s">
        <v>696</v>
      </c>
      <c r="B594" s="213" t="s">
        <v>3747</v>
      </c>
      <c r="C594" s="208" t="s">
        <v>3620</v>
      </c>
      <c r="D594" s="208" t="s">
        <v>3748</v>
      </c>
      <c r="E594" s="247">
        <v>2</v>
      </c>
      <c r="F594" s="144" t="s">
        <v>285</v>
      </c>
      <c r="G594" s="248">
        <v>14000</v>
      </c>
      <c r="H594" s="248">
        <f t="shared" si="51"/>
        <v>28000</v>
      </c>
      <c r="I594" s="249">
        <v>13000</v>
      </c>
      <c r="J594" s="249">
        <f t="shared" si="52"/>
        <v>1000</v>
      </c>
      <c r="K594" s="267">
        <f t="shared" si="53"/>
        <v>2000</v>
      </c>
      <c r="L594" s="268">
        <f t="shared" si="54"/>
        <v>7.1428571428571425E-2</v>
      </c>
      <c r="M594" s="12" t="s">
        <v>22</v>
      </c>
      <c r="N594" s="12" t="s">
        <v>39</v>
      </c>
    </row>
    <row r="595" spans="1:14">
      <c r="A595" s="144" t="s">
        <v>696</v>
      </c>
      <c r="B595" s="213" t="s">
        <v>3749</v>
      </c>
      <c r="C595" s="208" t="s">
        <v>1042</v>
      </c>
      <c r="D595" s="208" t="s">
        <v>711</v>
      </c>
      <c r="E595" s="247">
        <v>2399</v>
      </c>
      <c r="F595" s="144" t="s">
        <v>37</v>
      </c>
      <c r="G595" s="248">
        <v>382</v>
      </c>
      <c r="H595" s="248">
        <f t="shared" si="51"/>
        <v>916418</v>
      </c>
      <c r="I595" s="249">
        <v>357</v>
      </c>
      <c r="J595" s="249">
        <f t="shared" si="52"/>
        <v>25</v>
      </c>
      <c r="K595" s="267">
        <f t="shared" si="53"/>
        <v>59975</v>
      </c>
      <c r="L595" s="268">
        <f t="shared" si="54"/>
        <v>6.5445026178010471E-2</v>
      </c>
      <c r="M595" s="12" t="s">
        <v>22</v>
      </c>
      <c r="N595" s="12" t="s">
        <v>105</v>
      </c>
    </row>
    <row r="596" spans="1:14">
      <c r="A596" s="144" t="s">
        <v>696</v>
      </c>
      <c r="B596" s="213" t="s">
        <v>3750</v>
      </c>
      <c r="C596" s="208" t="s">
        <v>94</v>
      </c>
      <c r="D596" s="208" t="s">
        <v>613</v>
      </c>
      <c r="E596" s="247">
        <v>200</v>
      </c>
      <c r="F596" s="144" t="s">
        <v>19</v>
      </c>
      <c r="G596" s="248">
        <v>26</v>
      </c>
      <c r="H596" s="248">
        <f t="shared" si="51"/>
        <v>5200</v>
      </c>
      <c r="I596" s="249">
        <v>24.6</v>
      </c>
      <c r="J596" s="249">
        <f t="shared" si="52"/>
        <v>1.3999999999999986</v>
      </c>
      <c r="K596" s="267">
        <f t="shared" si="53"/>
        <v>279.99999999999972</v>
      </c>
      <c r="L596" s="268">
        <f t="shared" si="54"/>
        <v>5.3846153846153794E-2</v>
      </c>
      <c r="M596" s="12" t="s">
        <v>22</v>
      </c>
      <c r="N596" s="12" t="s">
        <v>105</v>
      </c>
    </row>
    <row r="597" spans="1:14">
      <c r="A597" s="144" t="s">
        <v>696</v>
      </c>
      <c r="B597" s="213" t="s">
        <v>3750</v>
      </c>
      <c r="C597" s="208" t="s">
        <v>94</v>
      </c>
      <c r="D597" s="208" t="s">
        <v>550</v>
      </c>
      <c r="E597" s="247">
        <v>200</v>
      </c>
      <c r="F597" s="144" t="s">
        <v>19</v>
      </c>
      <c r="G597" s="248">
        <v>50</v>
      </c>
      <c r="H597" s="248">
        <f t="shared" si="51"/>
        <v>10000</v>
      </c>
      <c r="I597" s="249">
        <v>47.56</v>
      </c>
      <c r="J597" s="249">
        <f t="shared" si="52"/>
        <v>2.4399999999999977</v>
      </c>
      <c r="K597" s="267">
        <f t="shared" si="53"/>
        <v>487.99999999999955</v>
      </c>
      <c r="L597" s="268">
        <f t="shared" si="54"/>
        <v>4.8799999999999955E-2</v>
      </c>
      <c r="M597" s="12" t="s">
        <v>22</v>
      </c>
      <c r="N597" s="12" t="s">
        <v>105</v>
      </c>
    </row>
    <row r="598" spans="1:14">
      <c r="A598" s="144" t="s">
        <v>696</v>
      </c>
      <c r="B598" s="213" t="s">
        <v>3750</v>
      </c>
      <c r="C598" s="208" t="s">
        <v>94</v>
      </c>
      <c r="D598" s="208" t="s">
        <v>458</v>
      </c>
      <c r="E598" s="247">
        <v>100</v>
      </c>
      <c r="F598" s="144" t="s">
        <v>19</v>
      </c>
      <c r="G598" s="248">
        <v>9.5</v>
      </c>
      <c r="H598" s="248">
        <f t="shared" si="51"/>
        <v>950</v>
      </c>
      <c r="I598" s="249">
        <v>9.35</v>
      </c>
      <c r="J598" s="249">
        <f t="shared" si="52"/>
        <v>0.15000000000000036</v>
      </c>
      <c r="K598" s="267">
        <f t="shared" si="53"/>
        <v>15.000000000000036</v>
      </c>
      <c r="L598" s="268">
        <f t="shared" si="54"/>
        <v>1.5789473684210565E-2</v>
      </c>
      <c r="M598" s="12" t="s">
        <v>22</v>
      </c>
      <c r="N598" s="12" t="s">
        <v>105</v>
      </c>
    </row>
    <row r="599" spans="1:14">
      <c r="A599" s="144" t="s">
        <v>696</v>
      </c>
      <c r="B599" s="213" t="s">
        <v>3751</v>
      </c>
      <c r="C599" s="208" t="s">
        <v>118</v>
      </c>
      <c r="D599" s="208" t="s">
        <v>3752</v>
      </c>
      <c r="E599" s="247">
        <v>4</v>
      </c>
      <c r="F599" s="144" t="s">
        <v>19</v>
      </c>
      <c r="G599" s="248">
        <v>166</v>
      </c>
      <c r="H599" s="248">
        <v>664</v>
      </c>
      <c r="I599" s="249">
        <v>78</v>
      </c>
      <c r="J599" s="249">
        <f t="shared" si="52"/>
        <v>88</v>
      </c>
      <c r="K599" s="267">
        <f t="shared" si="53"/>
        <v>352</v>
      </c>
      <c r="L599" s="268">
        <f t="shared" si="54"/>
        <v>0.53012048192771088</v>
      </c>
      <c r="M599" s="12" t="s">
        <v>40</v>
      </c>
      <c r="N599" s="12" t="s">
        <v>105</v>
      </c>
    </row>
    <row r="600" spans="1:14">
      <c r="A600" s="144" t="s">
        <v>696</v>
      </c>
      <c r="B600" s="213" t="s">
        <v>3751</v>
      </c>
      <c r="C600" s="208" t="s">
        <v>118</v>
      </c>
      <c r="D600" s="208" t="s">
        <v>3753</v>
      </c>
      <c r="E600" s="247">
        <v>4</v>
      </c>
      <c r="F600" s="144" t="s">
        <v>19</v>
      </c>
      <c r="G600" s="248">
        <v>57</v>
      </c>
      <c r="H600" s="248">
        <v>228</v>
      </c>
      <c r="I600" s="249">
        <v>25</v>
      </c>
      <c r="J600" s="249">
        <f t="shared" si="52"/>
        <v>32</v>
      </c>
      <c r="K600" s="267">
        <f t="shared" si="53"/>
        <v>128</v>
      </c>
      <c r="L600" s="268">
        <f t="shared" si="54"/>
        <v>0.56140350877192979</v>
      </c>
      <c r="M600" s="12" t="s">
        <v>40</v>
      </c>
      <c r="N600" s="12" t="s">
        <v>105</v>
      </c>
    </row>
    <row r="601" spans="1:14">
      <c r="A601" s="144" t="s">
        <v>696</v>
      </c>
      <c r="B601" s="213" t="s">
        <v>3754</v>
      </c>
      <c r="C601" s="208" t="s">
        <v>118</v>
      </c>
      <c r="D601" s="208" t="s">
        <v>3755</v>
      </c>
      <c r="E601" s="247">
        <v>1</v>
      </c>
      <c r="F601" s="144" t="s">
        <v>19</v>
      </c>
      <c r="G601" s="248">
        <v>6550</v>
      </c>
      <c r="H601" s="248">
        <v>6550</v>
      </c>
      <c r="I601" s="249">
        <v>6026</v>
      </c>
      <c r="J601" s="249">
        <f t="shared" si="52"/>
        <v>524</v>
      </c>
      <c r="K601" s="267">
        <f t="shared" si="53"/>
        <v>524</v>
      </c>
      <c r="L601" s="268">
        <f t="shared" si="54"/>
        <v>0.08</v>
      </c>
      <c r="M601" s="12" t="s">
        <v>40</v>
      </c>
      <c r="N601" s="12" t="s">
        <v>105</v>
      </c>
    </row>
    <row r="602" spans="1:14">
      <c r="A602" s="144" t="s">
        <v>696</v>
      </c>
      <c r="B602" s="213" t="s">
        <v>3756</v>
      </c>
      <c r="C602" s="208" t="s">
        <v>1948</v>
      </c>
      <c r="D602" s="208" t="s">
        <v>3757</v>
      </c>
      <c r="E602" s="247">
        <v>20</v>
      </c>
      <c r="F602" s="144" t="s">
        <v>19</v>
      </c>
      <c r="G602" s="248">
        <v>350</v>
      </c>
      <c r="H602" s="248">
        <v>7000</v>
      </c>
      <c r="I602" s="249">
        <v>271.8</v>
      </c>
      <c r="J602" s="249">
        <f t="shared" si="52"/>
        <v>78.199999999999989</v>
      </c>
      <c r="K602" s="267">
        <f t="shared" si="53"/>
        <v>1563.9999999999998</v>
      </c>
      <c r="L602" s="268">
        <f t="shared" si="54"/>
        <v>0.22342857142857139</v>
      </c>
      <c r="M602" s="12" t="s">
        <v>40</v>
      </c>
      <c r="N602" s="12" t="s">
        <v>105</v>
      </c>
    </row>
    <row r="603" spans="1:14">
      <c r="A603" s="144" t="s">
        <v>696</v>
      </c>
      <c r="B603" s="213" t="s">
        <v>3758</v>
      </c>
      <c r="C603" s="208" t="s">
        <v>1948</v>
      </c>
      <c r="D603" s="208" t="s">
        <v>3759</v>
      </c>
      <c r="E603" s="247">
        <v>1</v>
      </c>
      <c r="F603" s="144" t="s">
        <v>19</v>
      </c>
      <c r="G603" s="248">
        <v>13000</v>
      </c>
      <c r="H603" s="248">
        <v>13000</v>
      </c>
      <c r="I603" s="249">
        <v>8235</v>
      </c>
      <c r="J603" s="249">
        <f t="shared" si="52"/>
        <v>4765</v>
      </c>
      <c r="K603" s="267">
        <f t="shared" si="53"/>
        <v>4765</v>
      </c>
      <c r="L603" s="268">
        <f t="shared" si="54"/>
        <v>0.36653846153846154</v>
      </c>
      <c r="M603" s="12" t="s">
        <v>40</v>
      </c>
      <c r="N603" s="12" t="s">
        <v>105</v>
      </c>
    </row>
    <row r="604" spans="1:14">
      <c r="A604" s="144" t="s">
        <v>696</v>
      </c>
      <c r="B604" s="213" t="s">
        <v>3760</v>
      </c>
      <c r="C604" s="208" t="s">
        <v>118</v>
      </c>
      <c r="D604" s="208" t="s">
        <v>3761</v>
      </c>
      <c r="E604" s="247">
        <v>5</v>
      </c>
      <c r="F604" s="144" t="s">
        <v>19</v>
      </c>
      <c r="G604" s="248">
        <v>155</v>
      </c>
      <c r="H604" s="248">
        <v>775</v>
      </c>
      <c r="I604" s="249">
        <v>95</v>
      </c>
      <c r="J604" s="249">
        <f t="shared" si="52"/>
        <v>60</v>
      </c>
      <c r="K604" s="267">
        <f t="shared" si="53"/>
        <v>300</v>
      </c>
      <c r="L604" s="268">
        <f t="shared" si="54"/>
        <v>0.38709677419354838</v>
      </c>
      <c r="M604" s="12" t="s">
        <v>40</v>
      </c>
      <c r="N604" s="12" t="s">
        <v>105</v>
      </c>
    </row>
    <row r="605" spans="1:14">
      <c r="A605" s="144" t="s">
        <v>696</v>
      </c>
      <c r="B605" s="213" t="s">
        <v>3760</v>
      </c>
      <c r="C605" s="208" t="s">
        <v>118</v>
      </c>
      <c r="D605" s="208" t="s">
        <v>3762</v>
      </c>
      <c r="E605" s="247">
        <v>2</v>
      </c>
      <c r="F605" s="144" t="s">
        <v>19</v>
      </c>
      <c r="G605" s="248">
        <v>790</v>
      </c>
      <c r="H605" s="248">
        <v>1580</v>
      </c>
      <c r="I605" s="249">
        <v>655.99</v>
      </c>
      <c r="J605" s="249">
        <f t="shared" si="52"/>
        <v>134.01</v>
      </c>
      <c r="K605" s="267">
        <f t="shared" si="53"/>
        <v>268.02</v>
      </c>
      <c r="L605" s="268">
        <f t="shared" si="54"/>
        <v>0.16963291139240505</v>
      </c>
      <c r="M605" s="12" t="s">
        <v>40</v>
      </c>
      <c r="N605" s="12" t="s">
        <v>105</v>
      </c>
    </row>
    <row r="606" spans="1:14">
      <c r="A606" s="144" t="s">
        <v>696</v>
      </c>
      <c r="B606" s="213" t="s">
        <v>3760</v>
      </c>
      <c r="C606" s="208" t="s">
        <v>118</v>
      </c>
      <c r="D606" s="208" t="s">
        <v>3763</v>
      </c>
      <c r="E606" s="247">
        <v>5</v>
      </c>
      <c r="F606" s="144" t="s">
        <v>19</v>
      </c>
      <c r="G606" s="248">
        <v>1390</v>
      </c>
      <c r="H606" s="248">
        <v>6950</v>
      </c>
      <c r="I606" s="249">
        <v>1103.22</v>
      </c>
      <c r="J606" s="249">
        <f t="shared" si="52"/>
        <v>286.77999999999997</v>
      </c>
      <c r="K606" s="267">
        <f t="shared" si="53"/>
        <v>1433.8999999999999</v>
      </c>
      <c r="L606" s="268">
        <f t="shared" si="54"/>
        <v>0.2063165467625899</v>
      </c>
      <c r="M606" s="12" t="s">
        <v>40</v>
      </c>
      <c r="N606" s="12" t="s">
        <v>105</v>
      </c>
    </row>
    <row r="607" spans="1:14">
      <c r="A607" s="144" t="s">
        <v>696</v>
      </c>
      <c r="B607" s="213" t="s">
        <v>3760</v>
      </c>
      <c r="C607" s="208" t="s">
        <v>118</v>
      </c>
      <c r="D607" s="208" t="s">
        <v>3764</v>
      </c>
      <c r="E607" s="247">
        <v>2</v>
      </c>
      <c r="F607" s="144" t="s">
        <v>19</v>
      </c>
      <c r="G607" s="248">
        <v>1450</v>
      </c>
      <c r="H607" s="248">
        <v>2900</v>
      </c>
      <c r="I607" s="249">
        <v>1230.8599999999999</v>
      </c>
      <c r="J607" s="249">
        <f t="shared" si="52"/>
        <v>219.1400000000001</v>
      </c>
      <c r="K607" s="267">
        <f t="shared" si="53"/>
        <v>438.2800000000002</v>
      </c>
      <c r="L607" s="268">
        <f t="shared" si="54"/>
        <v>0.15113103448275869</v>
      </c>
      <c r="M607" s="12" t="s">
        <v>40</v>
      </c>
      <c r="N607" s="12" t="s">
        <v>105</v>
      </c>
    </row>
    <row r="608" spans="1:14">
      <c r="A608" s="144" t="s">
        <v>696</v>
      </c>
      <c r="B608" s="213" t="s">
        <v>3765</v>
      </c>
      <c r="C608" s="208" t="s">
        <v>1948</v>
      </c>
      <c r="D608" s="208" t="s">
        <v>3766</v>
      </c>
      <c r="E608" s="247">
        <v>100</v>
      </c>
      <c r="F608" s="144" t="s">
        <v>19</v>
      </c>
      <c r="G608" s="248">
        <v>50</v>
      </c>
      <c r="H608" s="248">
        <v>5000</v>
      </c>
      <c r="I608" s="249">
        <v>42.3</v>
      </c>
      <c r="J608" s="249">
        <f t="shared" si="52"/>
        <v>7.7000000000000028</v>
      </c>
      <c r="K608" s="267">
        <f t="shared" si="53"/>
        <v>770.00000000000023</v>
      </c>
      <c r="L608" s="268">
        <f t="shared" si="54"/>
        <v>0.15400000000000005</v>
      </c>
      <c r="M608" s="12" t="s">
        <v>40</v>
      </c>
      <c r="N608" s="12" t="s">
        <v>105</v>
      </c>
    </row>
    <row r="609" spans="1:15">
      <c r="A609" s="144" t="s">
        <v>696</v>
      </c>
      <c r="B609" s="213" t="s">
        <v>3765</v>
      </c>
      <c r="C609" s="208" t="s">
        <v>1948</v>
      </c>
      <c r="D609" s="208" t="s">
        <v>3767</v>
      </c>
      <c r="E609" s="247">
        <v>40</v>
      </c>
      <c r="F609" s="144" t="s">
        <v>19</v>
      </c>
      <c r="G609" s="248">
        <v>210</v>
      </c>
      <c r="H609" s="248">
        <v>8400</v>
      </c>
      <c r="I609" s="249">
        <v>124.2</v>
      </c>
      <c r="J609" s="249">
        <f t="shared" si="52"/>
        <v>85.8</v>
      </c>
      <c r="K609" s="267">
        <f t="shared" si="53"/>
        <v>3432</v>
      </c>
      <c r="L609" s="268">
        <f t="shared" si="54"/>
        <v>0.40857142857142859</v>
      </c>
      <c r="M609" s="12" t="s">
        <v>40</v>
      </c>
      <c r="N609" s="12" t="s">
        <v>105</v>
      </c>
    </row>
    <row r="610" spans="1:15">
      <c r="A610" s="144" t="s">
        <v>696</v>
      </c>
      <c r="B610" s="213" t="s">
        <v>3765</v>
      </c>
      <c r="C610" s="208" t="s">
        <v>1948</v>
      </c>
      <c r="D610" s="208" t="s">
        <v>3768</v>
      </c>
      <c r="E610" s="247">
        <v>20</v>
      </c>
      <c r="F610" s="144" t="s">
        <v>19</v>
      </c>
      <c r="G610" s="248">
        <v>570</v>
      </c>
      <c r="H610" s="248">
        <v>11400</v>
      </c>
      <c r="I610" s="249">
        <v>435</v>
      </c>
      <c r="J610" s="249">
        <f t="shared" si="52"/>
        <v>135</v>
      </c>
      <c r="K610" s="267">
        <f t="shared" si="53"/>
        <v>2700</v>
      </c>
      <c r="L610" s="268">
        <f t="shared" si="54"/>
        <v>0.23684210526315788</v>
      </c>
      <c r="M610" s="12" t="s">
        <v>40</v>
      </c>
      <c r="N610" s="12" t="s">
        <v>105</v>
      </c>
    </row>
    <row r="611" spans="1:15">
      <c r="A611" s="144" t="s">
        <v>696</v>
      </c>
      <c r="B611" s="213" t="s">
        <v>3765</v>
      </c>
      <c r="C611" s="208" t="s">
        <v>1948</v>
      </c>
      <c r="D611" s="208" t="s">
        <v>3769</v>
      </c>
      <c r="E611" s="247">
        <v>5</v>
      </c>
      <c r="F611" s="144" t="s">
        <v>19</v>
      </c>
      <c r="G611" s="248">
        <v>250</v>
      </c>
      <c r="H611" s="248">
        <v>1250</v>
      </c>
      <c r="I611" s="249">
        <v>109.8</v>
      </c>
      <c r="J611" s="249">
        <f t="shared" si="52"/>
        <v>140.19999999999999</v>
      </c>
      <c r="K611" s="267">
        <f t="shared" si="53"/>
        <v>701</v>
      </c>
      <c r="L611" s="268">
        <f t="shared" si="54"/>
        <v>0.56079999999999997</v>
      </c>
      <c r="M611" s="12" t="s">
        <v>40</v>
      </c>
      <c r="N611" s="12" t="s">
        <v>105</v>
      </c>
      <c r="O611" s="273"/>
    </row>
    <row r="612" spans="1:15">
      <c r="A612" s="144" t="s">
        <v>696</v>
      </c>
      <c r="B612" s="213" t="s">
        <v>3770</v>
      </c>
      <c r="C612" s="208" t="s">
        <v>125</v>
      </c>
      <c r="D612" s="208" t="s">
        <v>3771</v>
      </c>
      <c r="E612" s="247">
        <v>1</v>
      </c>
      <c r="F612" s="144" t="s">
        <v>285</v>
      </c>
      <c r="G612" s="248">
        <v>785972</v>
      </c>
      <c r="H612" s="248">
        <v>750000</v>
      </c>
      <c r="I612" s="249">
        <v>750000</v>
      </c>
      <c r="J612" s="249">
        <f t="shared" si="52"/>
        <v>35972</v>
      </c>
      <c r="K612" s="267">
        <f t="shared" si="53"/>
        <v>35972</v>
      </c>
      <c r="L612" s="268">
        <f t="shared" si="54"/>
        <v>4.5767533703490709E-2</v>
      </c>
      <c r="M612" s="12" t="s">
        <v>40</v>
      </c>
      <c r="N612" s="12" t="s">
        <v>105</v>
      </c>
    </row>
    <row r="613" spans="1:15">
      <c r="A613" s="144" t="s">
        <v>696</v>
      </c>
      <c r="B613" s="213" t="s">
        <v>3772</v>
      </c>
      <c r="C613" s="208" t="s">
        <v>17</v>
      </c>
      <c r="D613" s="208" t="s">
        <v>3773</v>
      </c>
      <c r="E613" s="247">
        <v>20</v>
      </c>
      <c r="F613" s="144" t="s">
        <v>499</v>
      </c>
      <c r="G613" s="248">
        <v>25</v>
      </c>
      <c r="H613" s="248">
        <v>500</v>
      </c>
      <c r="I613" s="249">
        <v>18</v>
      </c>
      <c r="J613" s="249">
        <f t="shared" si="52"/>
        <v>7</v>
      </c>
      <c r="K613" s="267">
        <f t="shared" si="53"/>
        <v>140</v>
      </c>
      <c r="L613" s="268">
        <f t="shared" si="54"/>
        <v>0.28000000000000003</v>
      </c>
      <c r="M613" s="12" t="s">
        <v>40</v>
      </c>
      <c r="N613" s="12" t="s">
        <v>105</v>
      </c>
    </row>
    <row r="614" spans="1:15">
      <c r="A614" s="144" t="s">
        <v>696</v>
      </c>
      <c r="B614" s="213" t="s">
        <v>3774</v>
      </c>
      <c r="C614" s="208" t="s">
        <v>24</v>
      </c>
      <c r="D614" s="208" t="s">
        <v>3775</v>
      </c>
      <c r="E614" s="247">
        <v>10</v>
      </c>
      <c r="F614" s="144" t="s">
        <v>19</v>
      </c>
      <c r="G614" s="248">
        <v>2350</v>
      </c>
      <c r="H614" s="248">
        <v>23500</v>
      </c>
      <c r="I614" s="249">
        <v>2100</v>
      </c>
      <c r="J614" s="249">
        <f t="shared" si="52"/>
        <v>250</v>
      </c>
      <c r="K614" s="267">
        <f t="shared" si="53"/>
        <v>2500</v>
      </c>
      <c r="L614" s="268">
        <f t="shared" si="54"/>
        <v>0.10638297872340426</v>
      </c>
      <c r="M614" s="12" t="s">
        <v>40</v>
      </c>
      <c r="N614" s="12" t="s">
        <v>105</v>
      </c>
    </row>
    <row r="615" spans="1:15">
      <c r="A615" s="144" t="s">
        <v>696</v>
      </c>
      <c r="B615" s="213" t="s">
        <v>3776</v>
      </c>
      <c r="C615" s="208" t="s">
        <v>110</v>
      </c>
      <c r="D615" s="208" t="s">
        <v>3777</v>
      </c>
      <c r="E615" s="247">
        <v>6</v>
      </c>
      <c r="F615" s="144" t="s">
        <v>19</v>
      </c>
      <c r="G615" s="248">
        <v>450</v>
      </c>
      <c r="H615" s="248">
        <v>2700</v>
      </c>
      <c r="I615" s="249">
        <v>380</v>
      </c>
      <c r="J615" s="249">
        <f t="shared" si="52"/>
        <v>70</v>
      </c>
      <c r="K615" s="267">
        <f t="shared" si="53"/>
        <v>420</v>
      </c>
      <c r="L615" s="268">
        <f t="shared" si="54"/>
        <v>0.15555555555555556</v>
      </c>
      <c r="M615" s="12" t="s">
        <v>40</v>
      </c>
      <c r="N615" s="12" t="s">
        <v>105</v>
      </c>
    </row>
    <row r="616" spans="1:15">
      <c r="A616" s="144" t="s">
        <v>696</v>
      </c>
      <c r="B616" s="213" t="s">
        <v>3778</v>
      </c>
      <c r="C616" s="208" t="s">
        <v>1948</v>
      </c>
      <c r="D616" s="208" t="s">
        <v>3779</v>
      </c>
      <c r="E616" s="247">
        <v>24</v>
      </c>
      <c r="F616" s="144" t="s">
        <v>19</v>
      </c>
      <c r="G616" s="248">
        <v>249</v>
      </c>
      <c r="H616" s="248">
        <v>5976</v>
      </c>
      <c r="I616" s="249">
        <v>117.3</v>
      </c>
      <c r="J616" s="249">
        <f t="shared" si="52"/>
        <v>131.69999999999999</v>
      </c>
      <c r="K616" s="267">
        <f t="shared" si="53"/>
        <v>3160.7999999999997</v>
      </c>
      <c r="L616" s="268">
        <f t="shared" si="54"/>
        <v>0.52891566265060241</v>
      </c>
      <c r="M616" s="12" t="s">
        <v>40</v>
      </c>
      <c r="N616" s="12" t="s">
        <v>105</v>
      </c>
    </row>
    <row r="617" spans="1:15">
      <c r="A617" s="144" t="s">
        <v>696</v>
      </c>
      <c r="B617" s="213" t="s">
        <v>3780</v>
      </c>
      <c r="C617" s="208" t="s">
        <v>1948</v>
      </c>
      <c r="D617" s="208" t="s">
        <v>3781</v>
      </c>
      <c r="E617" s="247">
        <v>1</v>
      </c>
      <c r="F617" s="144" t="s">
        <v>19</v>
      </c>
      <c r="G617" s="248">
        <v>11680</v>
      </c>
      <c r="H617" s="248">
        <v>11680</v>
      </c>
      <c r="I617" s="249">
        <v>9360</v>
      </c>
      <c r="J617" s="249">
        <f t="shared" si="52"/>
        <v>2320</v>
      </c>
      <c r="K617" s="267">
        <f t="shared" si="53"/>
        <v>2320</v>
      </c>
      <c r="L617" s="268">
        <f t="shared" si="54"/>
        <v>0.19863013698630136</v>
      </c>
      <c r="M617" s="12" t="s">
        <v>40</v>
      </c>
      <c r="N617" s="12" t="s">
        <v>105</v>
      </c>
    </row>
    <row r="618" spans="1:15">
      <c r="A618" s="144" t="s">
        <v>696</v>
      </c>
      <c r="B618" s="213" t="s">
        <v>3782</v>
      </c>
      <c r="C618" s="208" t="s">
        <v>1390</v>
      </c>
      <c r="D618" s="208" t="s">
        <v>3783</v>
      </c>
      <c r="E618" s="247">
        <v>3</v>
      </c>
      <c r="F618" s="144" t="s">
        <v>19</v>
      </c>
      <c r="G618" s="248">
        <v>159</v>
      </c>
      <c r="H618" s="248">
        <v>477</v>
      </c>
      <c r="I618" s="249">
        <v>91.52</v>
      </c>
      <c r="J618" s="249">
        <f t="shared" si="52"/>
        <v>67.48</v>
      </c>
      <c r="K618" s="267">
        <f t="shared" si="53"/>
        <v>202.44</v>
      </c>
      <c r="L618" s="268">
        <f t="shared" si="54"/>
        <v>0.42440251572327048</v>
      </c>
      <c r="M618" s="12" t="s">
        <v>40</v>
      </c>
      <c r="N618" s="12" t="s">
        <v>105</v>
      </c>
    </row>
    <row r="619" spans="1:15">
      <c r="A619" s="144" t="s">
        <v>696</v>
      </c>
      <c r="B619" s="213" t="s">
        <v>3784</v>
      </c>
      <c r="C619" s="208" t="s">
        <v>24</v>
      </c>
      <c r="D619" s="208" t="s">
        <v>3785</v>
      </c>
      <c r="E619" s="247">
        <v>1</v>
      </c>
      <c r="F619" s="144" t="s">
        <v>19</v>
      </c>
      <c r="G619" s="248">
        <v>220</v>
      </c>
      <c r="H619" s="248">
        <v>220</v>
      </c>
      <c r="I619" s="249">
        <v>209</v>
      </c>
      <c r="J619" s="249">
        <f t="shared" si="52"/>
        <v>11</v>
      </c>
      <c r="K619" s="267">
        <f t="shared" si="53"/>
        <v>11</v>
      </c>
      <c r="L619" s="268">
        <f t="shared" si="54"/>
        <v>0.05</v>
      </c>
      <c r="M619" s="12" t="s">
        <v>40</v>
      </c>
      <c r="N619" s="12" t="s">
        <v>105</v>
      </c>
    </row>
    <row r="620" spans="1:15">
      <c r="A620" s="144" t="s">
        <v>696</v>
      </c>
      <c r="B620" s="213" t="s">
        <v>3784</v>
      </c>
      <c r="C620" s="208" t="s">
        <v>24</v>
      </c>
      <c r="D620" s="208" t="s">
        <v>3786</v>
      </c>
      <c r="E620" s="247">
        <v>2</v>
      </c>
      <c r="F620" s="144" t="s">
        <v>19</v>
      </c>
      <c r="G620" s="248">
        <v>45</v>
      </c>
      <c r="H620" s="248">
        <v>90</v>
      </c>
      <c r="I620" s="249">
        <v>32</v>
      </c>
      <c r="J620" s="249">
        <f t="shared" si="52"/>
        <v>13</v>
      </c>
      <c r="K620" s="267">
        <f t="shared" si="53"/>
        <v>26</v>
      </c>
      <c r="L620" s="268">
        <f t="shared" si="54"/>
        <v>0.28888888888888886</v>
      </c>
      <c r="M620" s="12" t="s">
        <v>40</v>
      </c>
      <c r="N620" s="12" t="s">
        <v>105</v>
      </c>
    </row>
    <row r="621" spans="1:15">
      <c r="A621" s="144" t="s">
        <v>696</v>
      </c>
      <c r="B621" s="213" t="s">
        <v>3784</v>
      </c>
      <c r="C621" s="208" t="s">
        <v>24</v>
      </c>
      <c r="D621" s="208" t="s">
        <v>3787</v>
      </c>
      <c r="E621" s="247">
        <v>1</v>
      </c>
      <c r="F621" s="144" t="s">
        <v>19</v>
      </c>
      <c r="G621" s="248">
        <v>149</v>
      </c>
      <c r="H621" s="248">
        <v>149</v>
      </c>
      <c r="I621" s="249">
        <v>95</v>
      </c>
      <c r="J621" s="249">
        <f t="shared" si="52"/>
        <v>54</v>
      </c>
      <c r="K621" s="267">
        <f t="shared" si="53"/>
        <v>54</v>
      </c>
      <c r="L621" s="268">
        <f t="shared" si="54"/>
        <v>0.36241610738255031</v>
      </c>
      <c r="M621" s="12" t="s">
        <v>40</v>
      </c>
      <c r="N621" s="12" t="s">
        <v>105</v>
      </c>
    </row>
    <row r="622" spans="1:15">
      <c r="A622" s="144" t="s">
        <v>696</v>
      </c>
      <c r="B622" s="213" t="s">
        <v>3788</v>
      </c>
      <c r="C622" s="208" t="s">
        <v>17</v>
      </c>
      <c r="D622" s="208" t="s">
        <v>3789</v>
      </c>
      <c r="E622" s="247">
        <v>1</v>
      </c>
      <c r="F622" s="144" t="s">
        <v>19</v>
      </c>
      <c r="G622" s="248">
        <v>690</v>
      </c>
      <c r="H622" s="248">
        <v>690</v>
      </c>
      <c r="I622" s="249">
        <v>550</v>
      </c>
      <c r="J622" s="249">
        <f t="shared" si="52"/>
        <v>140</v>
      </c>
      <c r="K622" s="267">
        <f t="shared" si="53"/>
        <v>140</v>
      </c>
      <c r="L622" s="268">
        <f t="shared" si="54"/>
        <v>0.20289855072463769</v>
      </c>
      <c r="M622" s="12" t="s">
        <v>40</v>
      </c>
      <c r="N622" s="12" t="s">
        <v>105</v>
      </c>
    </row>
    <row r="623" spans="1:15">
      <c r="A623" s="144" t="s">
        <v>696</v>
      </c>
      <c r="B623" s="213" t="s">
        <v>3790</v>
      </c>
      <c r="C623" s="208" t="s">
        <v>24</v>
      </c>
      <c r="D623" s="208" t="s">
        <v>3791</v>
      </c>
      <c r="E623" s="247">
        <v>1</v>
      </c>
      <c r="F623" s="144" t="s">
        <v>19</v>
      </c>
      <c r="G623" s="248">
        <v>8000</v>
      </c>
      <c r="H623" s="248">
        <v>8000</v>
      </c>
      <c r="I623" s="249">
        <v>7390</v>
      </c>
      <c r="J623" s="249">
        <f t="shared" si="52"/>
        <v>610</v>
      </c>
      <c r="K623" s="267">
        <f t="shared" si="53"/>
        <v>610</v>
      </c>
      <c r="L623" s="268">
        <f t="shared" si="54"/>
        <v>7.6249999999999998E-2</v>
      </c>
      <c r="M623" s="12" t="s">
        <v>40</v>
      </c>
      <c r="N623" s="12" t="s">
        <v>105</v>
      </c>
    </row>
    <row r="624" spans="1:15">
      <c r="A624" s="144" t="s">
        <v>696</v>
      </c>
      <c r="B624" s="213" t="s">
        <v>3790</v>
      </c>
      <c r="C624" s="208" t="s">
        <v>24</v>
      </c>
      <c r="D624" s="208" t="s">
        <v>3792</v>
      </c>
      <c r="E624" s="247">
        <v>2</v>
      </c>
      <c r="F624" s="144" t="s">
        <v>19</v>
      </c>
      <c r="G624" s="248">
        <v>450</v>
      </c>
      <c r="H624" s="248">
        <v>900</v>
      </c>
      <c r="I624" s="249">
        <v>296</v>
      </c>
      <c r="J624" s="249">
        <f t="shared" si="52"/>
        <v>154</v>
      </c>
      <c r="K624" s="267">
        <f t="shared" si="53"/>
        <v>308</v>
      </c>
      <c r="L624" s="268">
        <f t="shared" si="54"/>
        <v>0.34222222222222221</v>
      </c>
      <c r="M624" s="12" t="s">
        <v>40</v>
      </c>
      <c r="N624" s="12" t="s">
        <v>105</v>
      </c>
    </row>
    <row r="625" spans="1:15">
      <c r="A625" s="144" t="s">
        <v>696</v>
      </c>
      <c r="B625" s="213" t="s">
        <v>3793</v>
      </c>
      <c r="C625" s="208" t="s">
        <v>118</v>
      </c>
      <c r="D625" s="208" t="s">
        <v>3794</v>
      </c>
      <c r="E625" s="247">
        <v>7</v>
      </c>
      <c r="F625" s="144" t="s">
        <v>19</v>
      </c>
      <c r="G625" s="248">
        <v>1430</v>
      </c>
      <c r="H625" s="248">
        <v>10010</v>
      </c>
      <c r="I625" s="249">
        <v>750</v>
      </c>
      <c r="J625" s="249">
        <f t="shared" si="52"/>
        <v>680</v>
      </c>
      <c r="K625" s="267">
        <f t="shared" si="53"/>
        <v>4760</v>
      </c>
      <c r="L625" s="268">
        <f t="shared" si="54"/>
        <v>0.47552447552447552</v>
      </c>
      <c r="M625" s="12" t="s">
        <v>40</v>
      </c>
      <c r="N625" s="12" t="s">
        <v>105</v>
      </c>
    </row>
    <row r="626" spans="1:15">
      <c r="A626" s="144" t="s">
        <v>696</v>
      </c>
      <c r="B626" s="213" t="s">
        <v>3793</v>
      </c>
      <c r="C626" s="208" t="s">
        <v>118</v>
      </c>
      <c r="D626" s="208" t="s">
        <v>3795</v>
      </c>
      <c r="E626" s="247">
        <v>5</v>
      </c>
      <c r="F626" s="144" t="s">
        <v>19</v>
      </c>
      <c r="G626" s="248">
        <v>2360</v>
      </c>
      <c r="H626" s="248">
        <v>11800</v>
      </c>
      <c r="I626" s="249">
        <v>1080</v>
      </c>
      <c r="J626" s="249">
        <f t="shared" si="52"/>
        <v>1280</v>
      </c>
      <c r="K626" s="267">
        <f t="shared" si="53"/>
        <v>6400</v>
      </c>
      <c r="L626" s="268">
        <f t="shared" si="54"/>
        <v>0.5423728813559322</v>
      </c>
      <c r="M626" s="12" t="s">
        <v>40</v>
      </c>
      <c r="N626" s="12" t="s">
        <v>105</v>
      </c>
    </row>
    <row r="627" spans="1:15">
      <c r="A627" s="144" t="s">
        <v>696</v>
      </c>
      <c r="B627" s="213" t="s">
        <v>3796</v>
      </c>
      <c r="C627" s="208" t="s">
        <v>118</v>
      </c>
      <c r="D627" s="208" t="s">
        <v>3797</v>
      </c>
      <c r="E627" s="247">
        <v>1</v>
      </c>
      <c r="F627" s="144" t="s">
        <v>19</v>
      </c>
      <c r="G627" s="248">
        <v>1435</v>
      </c>
      <c r="H627" s="248">
        <v>1435</v>
      </c>
      <c r="I627" s="249">
        <v>950</v>
      </c>
      <c r="J627" s="249">
        <f t="shared" si="52"/>
        <v>485</v>
      </c>
      <c r="K627" s="267">
        <f t="shared" si="53"/>
        <v>485</v>
      </c>
      <c r="L627" s="268">
        <f t="shared" si="54"/>
        <v>0.33797909407665505</v>
      </c>
      <c r="M627" s="12" t="s">
        <v>40</v>
      </c>
      <c r="N627" s="12" t="s">
        <v>105</v>
      </c>
    </row>
    <row r="628" spans="1:15">
      <c r="A628" s="144" t="s">
        <v>696</v>
      </c>
      <c r="B628" s="213" t="s">
        <v>3798</v>
      </c>
      <c r="C628" s="208" t="s">
        <v>24</v>
      </c>
      <c r="D628" s="208" t="s">
        <v>3799</v>
      </c>
      <c r="E628" s="247">
        <v>50</v>
      </c>
      <c r="F628" s="144" t="s">
        <v>19</v>
      </c>
      <c r="G628" s="248">
        <v>99</v>
      </c>
      <c r="H628" s="248">
        <v>4950</v>
      </c>
      <c r="I628" s="249">
        <v>45</v>
      </c>
      <c r="J628" s="249">
        <f t="shared" si="52"/>
        <v>54</v>
      </c>
      <c r="K628" s="267">
        <f t="shared" si="53"/>
        <v>2700</v>
      </c>
      <c r="L628" s="268">
        <f t="shared" si="54"/>
        <v>0.54545454545454541</v>
      </c>
      <c r="M628" s="12" t="s">
        <v>40</v>
      </c>
      <c r="N628" s="12" t="s">
        <v>105</v>
      </c>
      <c r="O628" s="193"/>
    </row>
    <row r="629" spans="1:15">
      <c r="A629" s="144" t="s">
        <v>696</v>
      </c>
      <c r="B629" s="213" t="s">
        <v>3800</v>
      </c>
      <c r="C629" s="208" t="s">
        <v>118</v>
      </c>
      <c r="D629" s="208" t="s">
        <v>3801</v>
      </c>
      <c r="E629" s="247">
        <v>10</v>
      </c>
      <c r="F629" s="144" t="s">
        <v>19</v>
      </c>
      <c r="G629" s="248">
        <v>100</v>
      </c>
      <c r="H629" s="248">
        <v>1000</v>
      </c>
      <c r="I629" s="249">
        <v>92</v>
      </c>
      <c r="J629" s="249">
        <f t="shared" si="52"/>
        <v>8</v>
      </c>
      <c r="K629" s="267">
        <f t="shared" si="53"/>
        <v>80</v>
      </c>
      <c r="L629" s="268">
        <f t="shared" si="54"/>
        <v>0.08</v>
      </c>
      <c r="M629" s="12" t="s">
        <v>40</v>
      </c>
      <c r="N629" s="12" t="s">
        <v>105</v>
      </c>
      <c r="O629" s="193"/>
    </row>
    <row r="630" spans="1:15">
      <c r="A630" s="144" t="s">
        <v>696</v>
      </c>
      <c r="B630" s="213" t="s">
        <v>3800</v>
      </c>
      <c r="C630" s="208" t="s">
        <v>118</v>
      </c>
      <c r="D630" s="208" t="s">
        <v>3802</v>
      </c>
      <c r="E630" s="247">
        <v>4</v>
      </c>
      <c r="F630" s="144" t="s">
        <v>19</v>
      </c>
      <c r="G630" s="248">
        <v>615</v>
      </c>
      <c r="H630" s="248">
        <v>2460</v>
      </c>
      <c r="I630" s="249">
        <v>495</v>
      </c>
      <c r="J630" s="249">
        <f t="shared" si="52"/>
        <v>120</v>
      </c>
      <c r="K630" s="267">
        <f t="shared" si="53"/>
        <v>480</v>
      </c>
      <c r="L630" s="268">
        <f t="shared" si="54"/>
        <v>0.1951219512195122</v>
      </c>
      <c r="M630" s="12" t="s">
        <v>40</v>
      </c>
      <c r="N630" s="12" t="s">
        <v>105</v>
      </c>
      <c r="O630" s="193"/>
    </row>
    <row r="631" spans="1:15">
      <c r="A631" s="144" t="s">
        <v>696</v>
      </c>
      <c r="B631" s="213" t="s">
        <v>3803</v>
      </c>
      <c r="C631" s="208" t="s">
        <v>1948</v>
      </c>
      <c r="D631" s="208" t="s">
        <v>3804</v>
      </c>
      <c r="E631" s="247">
        <v>3</v>
      </c>
      <c r="F631" s="144" t="s">
        <v>3805</v>
      </c>
      <c r="G631" s="248">
        <v>760</v>
      </c>
      <c r="H631" s="248">
        <v>2280</v>
      </c>
      <c r="I631" s="249">
        <v>418.5</v>
      </c>
      <c r="J631" s="249">
        <f t="shared" si="52"/>
        <v>341.5</v>
      </c>
      <c r="K631" s="267">
        <f t="shared" si="53"/>
        <v>1024.5</v>
      </c>
      <c r="L631" s="268">
        <f t="shared" si="54"/>
        <v>0.44934210526315788</v>
      </c>
      <c r="M631" s="12" t="s">
        <v>40</v>
      </c>
      <c r="N631" s="12" t="s">
        <v>105</v>
      </c>
    </row>
    <row r="632" spans="1:15">
      <c r="A632" s="144" t="s">
        <v>696</v>
      </c>
      <c r="B632" s="213" t="s">
        <v>3806</v>
      </c>
      <c r="C632" s="208" t="s">
        <v>1390</v>
      </c>
      <c r="D632" s="208" t="s">
        <v>3807</v>
      </c>
      <c r="E632" s="247">
        <v>5</v>
      </c>
      <c r="F632" s="144" t="s">
        <v>3805</v>
      </c>
      <c r="G632" s="248">
        <v>250</v>
      </c>
      <c r="H632" s="248">
        <v>1250</v>
      </c>
      <c r="I632" s="249">
        <v>49.07</v>
      </c>
      <c r="J632" s="249">
        <f t="shared" si="52"/>
        <v>200.93</v>
      </c>
      <c r="K632" s="267">
        <f t="shared" si="53"/>
        <v>1004.6500000000001</v>
      </c>
      <c r="L632" s="268">
        <f t="shared" si="54"/>
        <v>0.80371999999999999</v>
      </c>
      <c r="M632" s="12" t="s">
        <v>40</v>
      </c>
      <c r="N632" s="12" t="s">
        <v>105</v>
      </c>
    </row>
    <row r="633" spans="1:15">
      <c r="A633" s="144" t="s">
        <v>696</v>
      </c>
      <c r="B633" s="213" t="s">
        <v>3808</v>
      </c>
      <c r="C633" s="208" t="s">
        <v>24</v>
      </c>
      <c r="D633" s="208" t="s">
        <v>3809</v>
      </c>
      <c r="E633" s="247">
        <v>500</v>
      </c>
      <c r="F633" s="144" t="s">
        <v>19</v>
      </c>
      <c r="G633" s="248">
        <v>2</v>
      </c>
      <c r="H633" s="248">
        <v>1000</v>
      </c>
      <c r="I633" s="249">
        <v>1</v>
      </c>
      <c r="J633" s="249">
        <f t="shared" si="52"/>
        <v>1</v>
      </c>
      <c r="K633" s="267">
        <f t="shared" si="53"/>
        <v>500</v>
      </c>
      <c r="L633" s="268">
        <f t="shared" si="54"/>
        <v>0.5</v>
      </c>
      <c r="M633" s="12" t="s">
        <v>40</v>
      </c>
      <c r="N633" s="12" t="s">
        <v>105</v>
      </c>
    </row>
    <row r="634" spans="1:15">
      <c r="A634" s="144" t="s">
        <v>696</v>
      </c>
      <c r="B634" s="213" t="s">
        <v>3808</v>
      </c>
      <c r="C634" s="208" t="s">
        <v>24</v>
      </c>
      <c r="D634" s="208" t="s">
        <v>3810</v>
      </c>
      <c r="E634" s="247">
        <v>500</v>
      </c>
      <c r="F634" s="144" t="s">
        <v>19</v>
      </c>
      <c r="G634" s="248">
        <v>2</v>
      </c>
      <c r="H634" s="248">
        <v>1000</v>
      </c>
      <c r="I634" s="249">
        <v>1</v>
      </c>
      <c r="J634" s="249">
        <f t="shared" si="52"/>
        <v>1</v>
      </c>
      <c r="K634" s="267">
        <f t="shared" si="53"/>
        <v>500</v>
      </c>
      <c r="L634" s="268">
        <f t="shared" si="54"/>
        <v>0.5</v>
      </c>
      <c r="M634" s="12" t="s">
        <v>40</v>
      </c>
      <c r="N634" s="12" t="s">
        <v>105</v>
      </c>
    </row>
    <row r="635" spans="1:15">
      <c r="A635" s="144" t="s">
        <v>696</v>
      </c>
      <c r="B635" s="213" t="s">
        <v>3808</v>
      </c>
      <c r="C635" s="208" t="s">
        <v>24</v>
      </c>
      <c r="D635" s="208" t="s">
        <v>3811</v>
      </c>
      <c r="E635" s="247">
        <v>500</v>
      </c>
      <c r="F635" s="144" t="s">
        <v>19</v>
      </c>
      <c r="G635" s="248">
        <v>2</v>
      </c>
      <c r="H635" s="248">
        <v>1000</v>
      </c>
      <c r="I635" s="249">
        <v>1</v>
      </c>
      <c r="J635" s="249">
        <f t="shared" si="52"/>
        <v>1</v>
      </c>
      <c r="K635" s="267">
        <f t="shared" si="53"/>
        <v>500</v>
      </c>
      <c r="L635" s="268">
        <f t="shared" si="54"/>
        <v>0.5</v>
      </c>
      <c r="M635" s="12" t="s">
        <v>40</v>
      </c>
      <c r="N635" s="12" t="s">
        <v>105</v>
      </c>
    </row>
    <row r="636" spans="1:15">
      <c r="A636" s="144" t="s">
        <v>696</v>
      </c>
      <c r="B636" s="213" t="s">
        <v>3808</v>
      </c>
      <c r="C636" s="208" t="s">
        <v>24</v>
      </c>
      <c r="D636" s="208" t="s">
        <v>3812</v>
      </c>
      <c r="E636" s="247">
        <v>20</v>
      </c>
      <c r="F636" s="144" t="s">
        <v>19</v>
      </c>
      <c r="G636" s="248">
        <v>130</v>
      </c>
      <c r="H636" s="248">
        <v>2600</v>
      </c>
      <c r="I636" s="249">
        <v>89</v>
      </c>
      <c r="J636" s="249">
        <f t="shared" si="52"/>
        <v>41</v>
      </c>
      <c r="K636" s="267">
        <f t="shared" si="53"/>
        <v>820</v>
      </c>
      <c r="L636" s="268">
        <f t="shared" si="54"/>
        <v>0.31538461538461537</v>
      </c>
      <c r="M636" s="12" t="s">
        <v>40</v>
      </c>
      <c r="N636" s="12" t="s">
        <v>105</v>
      </c>
    </row>
    <row r="637" spans="1:15">
      <c r="A637" s="144" t="s">
        <v>696</v>
      </c>
      <c r="B637" s="213" t="s">
        <v>3813</v>
      </c>
      <c r="C637" s="208" t="s">
        <v>1948</v>
      </c>
      <c r="D637" s="208" t="s">
        <v>2931</v>
      </c>
      <c r="E637" s="247">
        <v>20</v>
      </c>
      <c r="F637" s="144" t="s">
        <v>798</v>
      </c>
      <c r="G637" s="248">
        <v>150</v>
      </c>
      <c r="H637" s="248">
        <v>3000</v>
      </c>
      <c r="I637" s="249">
        <v>104.5</v>
      </c>
      <c r="J637" s="249">
        <f t="shared" ref="J637:J658" si="55">G637-I637</f>
        <v>45.5</v>
      </c>
      <c r="K637" s="267">
        <f t="shared" ref="K637:K658" si="56">J637*E637</f>
        <v>910</v>
      </c>
      <c r="L637" s="268">
        <f t="shared" ref="L637:L658" si="57">J637/G637</f>
        <v>0.30333333333333334</v>
      </c>
      <c r="M637" s="12" t="s">
        <v>40</v>
      </c>
      <c r="N637" s="12" t="s">
        <v>105</v>
      </c>
    </row>
    <row r="638" spans="1:15">
      <c r="A638" s="144" t="s">
        <v>696</v>
      </c>
      <c r="B638" s="213" t="s">
        <v>3814</v>
      </c>
      <c r="C638" s="208" t="s">
        <v>24</v>
      </c>
      <c r="D638" s="208" t="s">
        <v>3815</v>
      </c>
      <c r="E638" s="247">
        <v>2</v>
      </c>
      <c r="F638" s="144" t="s">
        <v>19</v>
      </c>
      <c r="G638" s="248">
        <v>291.2</v>
      </c>
      <c r="H638" s="248">
        <v>582.4</v>
      </c>
      <c r="I638" s="249">
        <v>92</v>
      </c>
      <c r="J638" s="249">
        <f t="shared" si="55"/>
        <v>199.2</v>
      </c>
      <c r="K638" s="267">
        <f t="shared" si="56"/>
        <v>398.4</v>
      </c>
      <c r="L638" s="268">
        <f t="shared" si="57"/>
        <v>0.68406593406593408</v>
      </c>
      <c r="M638" s="12" t="s">
        <v>40</v>
      </c>
      <c r="N638" s="12" t="s">
        <v>105</v>
      </c>
    </row>
    <row r="639" spans="1:15">
      <c r="A639" s="144" t="s">
        <v>696</v>
      </c>
      <c r="B639" s="213" t="s">
        <v>3816</v>
      </c>
      <c r="C639" s="208" t="s">
        <v>1948</v>
      </c>
      <c r="D639" s="208" t="s">
        <v>3817</v>
      </c>
      <c r="E639" s="247">
        <v>2</v>
      </c>
      <c r="F639" s="144" t="s">
        <v>19</v>
      </c>
      <c r="G639" s="248">
        <v>159</v>
      </c>
      <c r="H639" s="248">
        <v>318</v>
      </c>
      <c r="I639" s="249">
        <v>53.1</v>
      </c>
      <c r="J639" s="249">
        <f t="shared" si="55"/>
        <v>105.9</v>
      </c>
      <c r="K639" s="267">
        <f t="shared" si="56"/>
        <v>211.8</v>
      </c>
      <c r="L639" s="268">
        <f t="shared" si="57"/>
        <v>0.66603773584905668</v>
      </c>
      <c r="M639" s="12" t="s">
        <v>40</v>
      </c>
      <c r="N639" s="12" t="s">
        <v>105</v>
      </c>
    </row>
    <row r="640" spans="1:15">
      <c r="A640" s="144" t="s">
        <v>696</v>
      </c>
      <c r="B640" s="213" t="s">
        <v>3818</v>
      </c>
      <c r="C640" s="208" t="s">
        <v>17</v>
      </c>
      <c r="D640" s="208" t="s">
        <v>3819</v>
      </c>
      <c r="E640" s="247">
        <v>1</v>
      </c>
      <c r="F640" s="144" t="s">
        <v>19</v>
      </c>
      <c r="G640" s="248">
        <v>39500</v>
      </c>
      <c r="H640" s="248">
        <f t="shared" ref="H640:H654" si="58">G640*E640</f>
        <v>39500</v>
      </c>
      <c r="I640" s="249">
        <v>39300</v>
      </c>
      <c r="J640" s="249">
        <f t="shared" si="55"/>
        <v>200</v>
      </c>
      <c r="K640" s="267">
        <f t="shared" si="56"/>
        <v>200</v>
      </c>
      <c r="L640" s="268">
        <f t="shared" si="57"/>
        <v>5.0632911392405064E-3</v>
      </c>
      <c r="M640" s="12" t="s">
        <v>22</v>
      </c>
      <c r="N640" s="12" t="s">
        <v>39</v>
      </c>
    </row>
    <row r="641" spans="1:15">
      <c r="A641" s="144" t="s">
        <v>696</v>
      </c>
      <c r="B641" s="213" t="s">
        <v>3820</v>
      </c>
      <c r="C641" s="208" t="s">
        <v>398</v>
      </c>
      <c r="D641" s="208" t="s">
        <v>3821</v>
      </c>
      <c r="E641" s="247">
        <v>2</v>
      </c>
      <c r="F641" s="144" t="s">
        <v>3822</v>
      </c>
      <c r="G641" s="248">
        <v>15000</v>
      </c>
      <c r="H641" s="248">
        <f t="shared" si="58"/>
        <v>30000</v>
      </c>
      <c r="I641" s="249">
        <v>8500</v>
      </c>
      <c r="J641" s="249">
        <f t="shared" si="55"/>
        <v>6500</v>
      </c>
      <c r="K641" s="267">
        <f t="shared" si="56"/>
        <v>13000</v>
      </c>
      <c r="L641" s="268">
        <f t="shared" si="57"/>
        <v>0.43333333333333335</v>
      </c>
      <c r="M641" s="12" t="s">
        <v>40</v>
      </c>
      <c r="N641" s="12" t="s">
        <v>39</v>
      </c>
      <c r="O641" s="274" t="s">
        <v>5843</v>
      </c>
    </row>
    <row r="642" spans="1:15">
      <c r="A642" s="144" t="s">
        <v>696</v>
      </c>
      <c r="B642" s="213" t="s">
        <v>3820</v>
      </c>
      <c r="C642" s="208" t="s">
        <v>398</v>
      </c>
      <c r="D642" s="208" t="s">
        <v>3823</v>
      </c>
      <c r="E642" s="247">
        <v>1</v>
      </c>
      <c r="F642" s="144" t="s">
        <v>3822</v>
      </c>
      <c r="G642" s="248">
        <v>15000</v>
      </c>
      <c r="H642" s="248">
        <f t="shared" si="58"/>
        <v>15000</v>
      </c>
      <c r="I642" s="249">
        <v>8500</v>
      </c>
      <c r="J642" s="249">
        <f t="shared" si="55"/>
        <v>6500</v>
      </c>
      <c r="K642" s="267">
        <f t="shared" si="56"/>
        <v>6500</v>
      </c>
      <c r="L642" s="268">
        <f t="shared" si="57"/>
        <v>0.43333333333333335</v>
      </c>
      <c r="M642" s="12" t="s">
        <v>40</v>
      </c>
      <c r="N642" s="12" t="s">
        <v>39</v>
      </c>
      <c r="O642" s="274" t="s">
        <v>5843</v>
      </c>
    </row>
    <row r="643" spans="1:15">
      <c r="A643" s="144" t="s">
        <v>696</v>
      </c>
      <c r="B643" s="213" t="s">
        <v>3824</v>
      </c>
      <c r="C643" s="208" t="s">
        <v>2294</v>
      </c>
      <c r="D643" s="208" t="s">
        <v>3825</v>
      </c>
      <c r="E643" s="247">
        <v>1</v>
      </c>
      <c r="F643" s="144" t="s">
        <v>285</v>
      </c>
      <c r="G643" s="248">
        <v>486711.5</v>
      </c>
      <c r="H643" s="248">
        <f t="shared" si="58"/>
        <v>486711.5</v>
      </c>
      <c r="I643" s="249">
        <v>455000</v>
      </c>
      <c r="J643" s="249">
        <f t="shared" si="55"/>
        <v>31711.5</v>
      </c>
      <c r="K643" s="267">
        <f t="shared" si="56"/>
        <v>31711.5</v>
      </c>
      <c r="L643" s="268">
        <f t="shared" si="57"/>
        <v>6.515461418109085E-2</v>
      </c>
      <c r="M643" s="12" t="s">
        <v>40</v>
      </c>
      <c r="N643" s="12" t="s">
        <v>105</v>
      </c>
    </row>
    <row r="644" spans="1:15">
      <c r="A644" s="144" t="s">
        <v>696</v>
      </c>
      <c r="B644" s="213" t="s">
        <v>3826</v>
      </c>
      <c r="C644" s="208" t="s">
        <v>1042</v>
      </c>
      <c r="D644" s="208" t="s">
        <v>711</v>
      </c>
      <c r="E644" s="247">
        <v>2679</v>
      </c>
      <c r="F644" s="144" t="s">
        <v>37</v>
      </c>
      <c r="G644" s="248">
        <v>382</v>
      </c>
      <c r="H644" s="248">
        <f t="shared" si="58"/>
        <v>1023378</v>
      </c>
      <c r="I644" s="249">
        <v>357</v>
      </c>
      <c r="J644" s="249">
        <f t="shared" si="55"/>
        <v>25</v>
      </c>
      <c r="K644" s="267">
        <f t="shared" si="56"/>
        <v>66975</v>
      </c>
      <c r="L644" s="268">
        <f t="shared" si="57"/>
        <v>6.5445026178010471E-2</v>
      </c>
      <c r="M644" s="12" t="s">
        <v>22</v>
      </c>
      <c r="N644" s="12" t="s">
        <v>105</v>
      </c>
    </row>
    <row r="645" spans="1:15">
      <c r="A645" s="144" t="s">
        <v>696</v>
      </c>
      <c r="B645" s="213" t="s">
        <v>3827</v>
      </c>
      <c r="C645" s="208" t="s">
        <v>1042</v>
      </c>
      <c r="D645" s="208" t="s">
        <v>889</v>
      </c>
      <c r="E645" s="247">
        <v>227</v>
      </c>
      <c r="F645" s="144" t="s">
        <v>37</v>
      </c>
      <c r="G645" s="248">
        <v>382</v>
      </c>
      <c r="H645" s="248">
        <f t="shared" si="58"/>
        <v>86714</v>
      </c>
      <c r="I645" s="249">
        <v>357</v>
      </c>
      <c r="J645" s="249">
        <f t="shared" si="55"/>
        <v>25</v>
      </c>
      <c r="K645" s="267">
        <f t="shared" si="56"/>
        <v>5675</v>
      </c>
      <c r="L645" s="268">
        <f t="shared" si="57"/>
        <v>6.5445026178010471E-2</v>
      </c>
      <c r="M645" s="12" t="s">
        <v>22</v>
      </c>
      <c r="N645" s="12" t="s">
        <v>105</v>
      </c>
    </row>
    <row r="646" spans="1:15">
      <c r="A646" s="144" t="s">
        <v>696</v>
      </c>
      <c r="B646" s="213" t="s">
        <v>3828</v>
      </c>
      <c r="C646" s="208" t="s">
        <v>617</v>
      </c>
      <c r="D646" s="208" t="s">
        <v>996</v>
      </c>
      <c r="E646" s="247">
        <v>6150</v>
      </c>
      <c r="F646" s="144" t="s">
        <v>37</v>
      </c>
      <c r="G646" s="248">
        <v>28</v>
      </c>
      <c r="H646" s="248">
        <f t="shared" si="58"/>
        <v>172200</v>
      </c>
      <c r="I646" s="249">
        <v>27.5</v>
      </c>
      <c r="J646" s="249">
        <f t="shared" si="55"/>
        <v>0.5</v>
      </c>
      <c r="K646" s="267">
        <f t="shared" si="56"/>
        <v>3075</v>
      </c>
      <c r="L646" s="268">
        <f t="shared" si="57"/>
        <v>1.7857142857142856E-2</v>
      </c>
      <c r="M646" s="12" t="s">
        <v>22</v>
      </c>
      <c r="N646" s="12" t="s">
        <v>39</v>
      </c>
    </row>
    <row r="647" spans="1:15">
      <c r="A647" s="144" t="s">
        <v>696</v>
      </c>
      <c r="B647" s="213" t="s">
        <v>3828</v>
      </c>
      <c r="C647" s="208" t="s">
        <v>617</v>
      </c>
      <c r="D647" s="208" t="s">
        <v>275</v>
      </c>
      <c r="E647" s="247">
        <v>3080</v>
      </c>
      <c r="F647" s="144" t="s">
        <v>37</v>
      </c>
      <c r="G647" s="248">
        <v>28</v>
      </c>
      <c r="H647" s="248">
        <f t="shared" si="58"/>
        <v>86240</v>
      </c>
      <c r="I647" s="249">
        <v>27.5</v>
      </c>
      <c r="J647" s="249">
        <f t="shared" si="55"/>
        <v>0.5</v>
      </c>
      <c r="K647" s="267">
        <f t="shared" si="56"/>
        <v>1540</v>
      </c>
      <c r="L647" s="268">
        <f t="shared" si="57"/>
        <v>1.7857142857142856E-2</v>
      </c>
      <c r="M647" s="12" t="s">
        <v>22</v>
      </c>
      <c r="N647" s="12" t="s">
        <v>39</v>
      </c>
    </row>
    <row r="648" spans="1:15">
      <c r="A648" s="144" t="s">
        <v>696</v>
      </c>
      <c r="B648" s="213" t="s">
        <v>3829</v>
      </c>
      <c r="C648" s="208" t="s">
        <v>617</v>
      </c>
      <c r="D648" s="208" t="s">
        <v>275</v>
      </c>
      <c r="E648" s="247">
        <v>6000</v>
      </c>
      <c r="F648" s="144" t="s">
        <v>37</v>
      </c>
      <c r="G648" s="248">
        <v>28</v>
      </c>
      <c r="H648" s="248">
        <f t="shared" si="58"/>
        <v>168000</v>
      </c>
      <c r="I648" s="249">
        <v>27.5</v>
      </c>
      <c r="J648" s="249">
        <f t="shared" si="55"/>
        <v>0.5</v>
      </c>
      <c r="K648" s="267">
        <f t="shared" si="56"/>
        <v>3000</v>
      </c>
      <c r="L648" s="268">
        <f t="shared" si="57"/>
        <v>1.7857142857142856E-2</v>
      </c>
      <c r="M648" s="12" t="s">
        <v>22</v>
      </c>
      <c r="N648" s="12" t="s">
        <v>39</v>
      </c>
    </row>
    <row r="649" spans="1:15">
      <c r="A649" s="144" t="s">
        <v>696</v>
      </c>
      <c r="B649" s="213" t="s">
        <v>3829</v>
      </c>
      <c r="C649" s="208" t="s">
        <v>617</v>
      </c>
      <c r="D649" s="208" t="s">
        <v>230</v>
      </c>
      <c r="E649" s="247">
        <v>3000</v>
      </c>
      <c r="F649" s="144" t="s">
        <v>37</v>
      </c>
      <c r="G649" s="248">
        <v>28</v>
      </c>
      <c r="H649" s="248">
        <f t="shared" si="58"/>
        <v>84000</v>
      </c>
      <c r="I649" s="249">
        <v>27.5</v>
      </c>
      <c r="J649" s="249">
        <f t="shared" si="55"/>
        <v>0.5</v>
      </c>
      <c r="K649" s="267">
        <f t="shared" si="56"/>
        <v>1500</v>
      </c>
      <c r="L649" s="268">
        <f t="shared" si="57"/>
        <v>1.7857142857142856E-2</v>
      </c>
      <c r="M649" s="12" t="s">
        <v>22</v>
      </c>
      <c r="N649" s="12" t="s">
        <v>39</v>
      </c>
    </row>
    <row r="650" spans="1:15">
      <c r="A650" s="144" t="s">
        <v>696</v>
      </c>
      <c r="B650" s="213" t="s">
        <v>3829</v>
      </c>
      <c r="C650" s="208" t="s">
        <v>617</v>
      </c>
      <c r="D650" s="208" t="s">
        <v>996</v>
      </c>
      <c r="E650" s="247">
        <v>3000</v>
      </c>
      <c r="F650" s="144" t="s">
        <v>37</v>
      </c>
      <c r="G650" s="248">
        <v>28</v>
      </c>
      <c r="H650" s="248">
        <f t="shared" si="58"/>
        <v>84000</v>
      </c>
      <c r="I650" s="249">
        <v>27.5</v>
      </c>
      <c r="J650" s="249">
        <f t="shared" si="55"/>
        <v>0.5</v>
      </c>
      <c r="K650" s="267">
        <f t="shared" si="56"/>
        <v>1500</v>
      </c>
      <c r="L650" s="268">
        <f t="shared" si="57"/>
        <v>1.7857142857142856E-2</v>
      </c>
      <c r="M650" s="12" t="s">
        <v>22</v>
      </c>
      <c r="N650" s="12" t="s">
        <v>39</v>
      </c>
    </row>
    <row r="651" spans="1:15">
      <c r="A651" s="144" t="s">
        <v>696</v>
      </c>
      <c r="B651" s="213" t="s">
        <v>3829</v>
      </c>
      <c r="C651" s="208" t="s">
        <v>617</v>
      </c>
      <c r="D651" s="208" t="s">
        <v>233</v>
      </c>
      <c r="E651" s="247">
        <v>6000</v>
      </c>
      <c r="F651" s="144" t="s">
        <v>37</v>
      </c>
      <c r="G651" s="248">
        <v>28</v>
      </c>
      <c r="H651" s="248">
        <f t="shared" si="58"/>
        <v>168000</v>
      </c>
      <c r="I651" s="249">
        <v>27.5</v>
      </c>
      <c r="J651" s="249">
        <f t="shared" si="55"/>
        <v>0.5</v>
      </c>
      <c r="K651" s="267">
        <f t="shared" si="56"/>
        <v>3000</v>
      </c>
      <c r="L651" s="268">
        <f t="shared" si="57"/>
        <v>1.7857142857142856E-2</v>
      </c>
      <c r="M651" s="12" t="s">
        <v>22</v>
      </c>
      <c r="N651" s="12" t="s">
        <v>39</v>
      </c>
    </row>
    <row r="652" spans="1:15">
      <c r="A652" s="144" t="s">
        <v>696</v>
      </c>
      <c r="B652" s="213" t="s">
        <v>3830</v>
      </c>
      <c r="C652" s="208" t="s">
        <v>3620</v>
      </c>
      <c r="D652" s="208" t="s">
        <v>3831</v>
      </c>
      <c r="E652" s="247">
        <v>1</v>
      </c>
      <c r="F652" s="144" t="s">
        <v>285</v>
      </c>
      <c r="G652" s="248">
        <v>14000</v>
      </c>
      <c r="H652" s="248">
        <f t="shared" si="58"/>
        <v>14000</v>
      </c>
      <c r="I652" s="249">
        <v>13500</v>
      </c>
      <c r="J652" s="249">
        <f t="shared" si="55"/>
        <v>500</v>
      </c>
      <c r="K652" s="267">
        <f t="shared" si="56"/>
        <v>500</v>
      </c>
      <c r="L652" s="268">
        <f t="shared" si="57"/>
        <v>3.5714285714285712E-2</v>
      </c>
      <c r="M652" s="12" t="s">
        <v>22</v>
      </c>
      <c r="N652" s="12" t="s">
        <v>39</v>
      </c>
    </row>
    <row r="653" spans="1:15">
      <c r="A653" s="144" t="s">
        <v>696</v>
      </c>
      <c r="B653" s="213" t="s">
        <v>3832</v>
      </c>
      <c r="C653" s="208" t="s">
        <v>3620</v>
      </c>
      <c r="D653" s="208" t="s">
        <v>3833</v>
      </c>
      <c r="E653" s="247">
        <v>1</v>
      </c>
      <c r="F653" s="144" t="s">
        <v>285</v>
      </c>
      <c r="G653" s="248">
        <v>14000</v>
      </c>
      <c r="H653" s="248">
        <f t="shared" si="58"/>
        <v>14000</v>
      </c>
      <c r="I653" s="249">
        <v>13000</v>
      </c>
      <c r="J653" s="249">
        <f t="shared" si="55"/>
        <v>1000</v>
      </c>
      <c r="K653" s="267">
        <f t="shared" si="56"/>
        <v>1000</v>
      </c>
      <c r="L653" s="268">
        <f t="shared" si="57"/>
        <v>7.1428571428571425E-2</v>
      </c>
      <c r="M653" s="12" t="s">
        <v>22</v>
      </c>
      <c r="N653" s="12" t="s">
        <v>39</v>
      </c>
    </row>
    <row r="654" spans="1:15">
      <c r="A654" s="144" t="s">
        <v>696</v>
      </c>
      <c r="B654" s="271" t="s">
        <v>3834</v>
      </c>
      <c r="C654" s="208" t="s">
        <v>3620</v>
      </c>
      <c r="D654" s="208" t="s">
        <v>3835</v>
      </c>
      <c r="E654" s="263">
        <v>1</v>
      </c>
      <c r="F654" s="275" t="s">
        <v>285</v>
      </c>
      <c r="G654" s="264">
        <v>14000</v>
      </c>
      <c r="H654" s="264">
        <f t="shared" si="58"/>
        <v>14000</v>
      </c>
      <c r="I654" s="265">
        <v>13000</v>
      </c>
      <c r="J654" s="265">
        <f t="shared" si="55"/>
        <v>1000</v>
      </c>
      <c r="K654" s="267">
        <f t="shared" si="56"/>
        <v>1000</v>
      </c>
      <c r="L654" s="268">
        <f t="shared" si="57"/>
        <v>7.1428571428571425E-2</v>
      </c>
      <c r="M654" s="201" t="s">
        <v>22</v>
      </c>
      <c r="N654" s="201" t="s">
        <v>39</v>
      </c>
    </row>
    <row r="655" spans="1:15">
      <c r="A655" s="276" t="s">
        <v>696</v>
      </c>
      <c r="B655" s="181" t="s">
        <v>3836</v>
      </c>
      <c r="C655" s="277" t="s">
        <v>335</v>
      </c>
      <c r="D655" s="277" t="s">
        <v>336</v>
      </c>
      <c r="E655" s="182">
        <v>56000</v>
      </c>
      <c r="F655" s="172" t="s">
        <v>337</v>
      </c>
      <c r="G655" s="278">
        <v>36</v>
      </c>
      <c r="H655" s="18">
        <f>G655*E655</f>
        <v>2016000</v>
      </c>
      <c r="I655" s="184">
        <v>35</v>
      </c>
      <c r="J655" s="184">
        <f t="shared" si="55"/>
        <v>1</v>
      </c>
      <c r="K655" s="185">
        <f t="shared" si="56"/>
        <v>56000</v>
      </c>
      <c r="L655" s="186">
        <f t="shared" si="57"/>
        <v>2.7777777777777776E-2</v>
      </c>
      <c r="M655" s="12" t="s">
        <v>40</v>
      </c>
      <c r="N655" s="201" t="s">
        <v>39</v>
      </c>
    </row>
    <row r="656" spans="1:15">
      <c r="A656" s="276" t="s">
        <v>696</v>
      </c>
      <c r="B656" s="181" t="s">
        <v>3837</v>
      </c>
      <c r="C656" s="277" t="s">
        <v>335</v>
      </c>
      <c r="D656" s="277" t="s">
        <v>336</v>
      </c>
      <c r="E656" s="182">
        <v>14000</v>
      </c>
      <c r="F656" s="172" t="s">
        <v>337</v>
      </c>
      <c r="G656" s="278">
        <v>36</v>
      </c>
      <c r="H656" s="18">
        <f t="shared" ref="H656:H658" si="59">G656*E656</f>
        <v>504000</v>
      </c>
      <c r="I656" s="184">
        <v>35</v>
      </c>
      <c r="J656" s="184">
        <f t="shared" si="55"/>
        <v>1</v>
      </c>
      <c r="K656" s="185">
        <f t="shared" si="56"/>
        <v>14000</v>
      </c>
      <c r="L656" s="186">
        <f t="shared" si="57"/>
        <v>2.7777777777777776E-2</v>
      </c>
      <c r="M656" s="12" t="s">
        <v>40</v>
      </c>
      <c r="N656" s="201" t="s">
        <v>39</v>
      </c>
    </row>
    <row r="657" spans="1:14">
      <c r="A657" s="276" t="s">
        <v>696</v>
      </c>
      <c r="B657" s="181" t="s">
        <v>3838</v>
      </c>
      <c r="C657" s="277" t="s">
        <v>335</v>
      </c>
      <c r="D657" s="277" t="s">
        <v>336</v>
      </c>
      <c r="E657" s="182">
        <v>14000</v>
      </c>
      <c r="F657" s="172" t="s">
        <v>337</v>
      </c>
      <c r="G657" s="278">
        <v>35</v>
      </c>
      <c r="H657" s="18">
        <f t="shared" si="59"/>
        <v>490000</v>
      </c>
      <c r="I657" s="184">
        <v>33.75</v>
      </c>
      <c r="J657" s="184">
        <f t="shared" si="55"/>
        <v>1.25</v>
      </c>
      <c r="K657" s="185">
        <f t="shared" si="56"/>
        <v>17500</v>
      </c>
      <c r="L657" s="186">
        <f t="shared" si="57"/>
        <v>3.5714285714285712E-2</v>
      </c>
      <c r="M657" s="12" t="s">
        <v>40</v>
      </c>
      <c r="N657" s="201" t="s">
        <v>39</v>
      </c>
    </row>
    <row r="658" spans="1:14">
      <c r="A658" s="276" t="s">
        <v>696</v>
      </c>
      <c r="B658" s="181" t="s">
        <v>3839</v>
      </c>
      <c r="C658" s="277" t="s">
        <v>335</v>
      </c>
      <c r="D658" s="277" t="s">
        <v>336</v>
      </c>
      <c r="E658" s="182">
        <v>28000</v>
      </c>
      <c r="F658" s="172" t="s">
        <v>337</v>
      </c>
      <c r="G658" s="278">
        <v>35</v>
      </c>
      <c r="H658" s="18">
        <f t="shared" si="59"/>
        <v>980000</v>
      </c>
      <c r="I658" s="184">
        <v>33.75</v>
      </c>
      <c r="J658" s="184">
        <f t="shared" si="55"/>
        <v>1.25</v>
      </c>
      <c r="K658" s="185">
        <f t="shared" si="56"/>
        <v>35000</v>
      </c>
      <c r="L658" s="186">
        <f t="shared" si="57"/>
        <v>3.5714285714285712E-2</v>
      </c>
      <c r="M658" s="12" t="s">
        <v>40</v>
      </c>
      <c r="N658" s="201" t="s">
        <v>39</v>
      </c>
    </row>
    <row r="659" spans="1:14">
      <c r="A659" s="245" t="s">
        <v>1</v>
      </c>
      <c r="B659" s="212" t="s">
        <v>3840</v>
      </c>
      <c r="C659" s="201" t="s">
        <v>708</v>
      </c>
      <c r="D659" s="246" t="s">
        <v>1134</v>
      </c>
      <c r="E659" s="263">
        <v>300</v>
      </c>
      <c r="F659" s="266" t="s">
        <v>37</v>
      </c>
      <c r="G659" s="264">
        <v>382.4</v>
      </c>
      <c r="H659" s="264">
        <f>G659*E659</f>
        <v>114720</v>
      </c>
      <c r="I659" s="265">
        <v>375.58</v>
      </c>
      <c r="J659" s="265">
        <f t="shared" ref="J659:J722" si="60">G659-I659</f>
        <v>6.8199999999999932</v>
      </c>
      <c r="K659" s="250">
        <f t="shared" ref="K659:K722" si="61">J659*E659</f>
        <v>2045.999999999998</v>
      </c>
      <c r="L659" s="186">
        <f t="shared" ref="L659:L722" si="62">J659/G659</f>
        <v>1.7834728033472788E-2</v>
      </c>
      <c r="M659" s="12" t="s">
        <v>40</v>
      </c>
      <c r="N659" s="12" t="s">
        <v>105</v>
      </c>
    </row>
    <row r="660" spans="1:14">
      <c r="A660" s="144" t="s">
        <v>1</v>
      </c>
      <c r="B660" s="212" t="s">
        <v>3840</v>
      </c>
      <c r="C660" s="201" t="s">
        <v>708</v>
      </c>
      <c r="D660" s="208" t="s">
        <v>208</v>
      </c>
      <c r="E660" s="247">
        <v>500</v>
      </c>
      <c r="F660" s="266" t="s">
        <v>37</v>
      </c>
      <c r="G660" s="248">
        <v>373.83</v>
      </c>
      <c r="H660" s="264">
        <f t="shared" ref="H660:H723" si="63">G660*E660</f>
        <v>186915</v>
      </c>
      <c r="I660" s="249">
        <v>367.01</v>
      </c>
      <c r="J660" s="249">
        <f t="shared" si="60"/>
        <v>6.8199999999999932</v>
      </c>
      <c r="K660" s="267">
        <f t="shared" si="61"/>
        <v>3409.9999999999964</v>
      </c>
      <c r="L660" s="268">
        <f t="shared" si="62"/>
        <v>1.8243586657036605E-2</v>
      </c>
      <c r="M660" s="12" t="s">
        <v>40</v>
      </c>
      <c r="N660" s="12" t="s">
        <v>105</v>
      </c>
    </row>
    <row r="661" spans="1:14">
      <c r="A661" s="144" t="s">
        <v>1</v>
      </c>
      <c r="B661" s="212" t="s">
        <v>3840</v>
      </c>
      <c r="C661" s="201" t="s">
        <v>708</v>
      </c>
      <c r="D661" s="279" t="s">
        <v>709</v>
      </c>
      <c r="E661" s="247">
        <v>1300</v>
      </c>
      <c r="F661" s="266" t="s">
        <v>37</v>
      </c>
      <c r="G661" s="264">
        <v>374.09</v>
      </c>
      <c r="H661" s="264">
        <f t="shared" si="63"/>
        <v>486316.99999999994</v>
      </c>
      <c r="I661" s="280">
        <v>367.27</v>
      </c>
      <c r="J661" s="265">
        <f t="shared" si="60"/>
        <v>6.8199999999999932</v>
      </c>
      <c r="K661" s="267">
        <f t="shared" si="61"/>
        <v>8865.9999999999909</v>
      </c>
      <c r="L661" s="268">
        <f t="shared" si="62"/>
        <v>1.823090700098905E-2</v>
      </c>
      <c r="M661" s="12" t="s">
        <v>40</v>
      </c>
      <c r="N661" s="12" t="s">
        <v>105</v>
      </c>
    </row>
    <row r="662" spans="1:14">
      <c r="A662" s="144" t="s">
        <v>1</v>
      </c>
      <c r="B662" s="212" t="s">
        <v>3840</v>
      </c>
      <c r="C662" s="201" t="s">
        <v>708</v>
      </c>
      <c r="D662" s="208" t="s">
        <v>3841</v>
      </c>
      <c r="E662" s="247">
        <v>400</v>
      </c>
      <c r="F662" s="266" t="s">
        <v>37</v>
      </c>
      <c r="G662" s="248">
        <v>375.69</v>
      </c>
      <c r="H662" s="264">
        <f t="shared" si="63"/>
        <v>150276</v>
      </c>
      <c r="I662" s="156">
        <v>368.87</v>
      </c>
      <c r="J662" s="265">
        <f t="shared" si="60"/>
        <v>6.8199999999999932</v>
      </c>
      <c r="K662" s="267">
        <f t="shared" si="61"/>
        <v>2727.9999999999973</v>
      </c>
      <c r="L662" s="268">
        <f t="shared" si="62"/>
        <v>1.8153264659692813E-2</v>
      </c>
      <c r="M662" s="12" t="s">
        <v>40</v>
      </c>
      <c r="N662" s="12" t="s">
        <v>105</v>
      </c>
    </row>
    <row r="663" spans="1:14">
      <c r="A663" s="144" t="s">
        <v>1</v>
      </c>
      <c r="B663" s="212" t="s">
        <v>3840</v>
      </c>
      <c r="C663" s="201" t="s">
        <v>708</v>
      </c>
      <c r="D663" s="208" t="s">
        <v>1662</v>
      </c>
      <c r="E663" s="247">
        <v>300</v>
      </c>
      <c r="F663" s="266" t="s">
        <v>37</v>
      </c>
      <c r="G663" s="248">
        <v>374.28</v>
      </c>
      <c r="H663" s="264">
        <f t="shared" si="63"/>
        <v>112283.99999999999</v>
      </c>
      <c r="I663" s="249">
        <v>367.46</v>
      </c>
      <c r="J663" s="265">
        <f t="shared" si="60"/>
        <v>6.8199999999999932</v>
      </c>
      <c r="K663" s="267">
        <f t="shared" si="61"/>
        <v>2045.999999999998</v>
      </c>
      <c r="L663" s="268">
        <f t="shared" si="62"/>
        <v>1.8221652238965463E-2</v>
      </c>
      <c r="M663" s="12" t="s">
        <v>40</v>
      </c>
      <c r="N663" s="12" t="s">
        <v>105</v>
      </c>
    </row>
    <row r="664" spans="1:14">
      <c r="A664" s="144" t="s">
        <v>1</v>
      </c>
      <c r="B664" s="212" t="s">
        <v>3840</v>
      </c>
      <c r="C664" s="201" t="s">
        <v>708</v>
      </c>
      <c r="D664" s="279" t="s">
        <v>3842</v>
      </c>
      <c r="E664" s="263">
        <v>2300</v>
      </c>
      <c r="F664" s="266" t="s">
        <v>37</v>
      </c>
      <c r="G664" s="264">
        <v>373.56</v>
      </c>
      <c r="H664" s="264">
        <f t="shared" si="63"/>
        <v>859188</v>
      </c>
      <c r="I664" s="280">
        <v>366.74</v>
      </c>
      <c r="J664" s="265">
        <f t="shared" si="60"/>
        <v>6.8199999999999932</v>
      </c>
      <c r="K664" s="267">
        <f t="shared" si="61"/>
        <v>15685.999999999984</v>
      </c>
      <c r="L664" s="268">
        <f t="shared" si="62"/>
        <v>1.8256772673733785E-2</v>
      </c>
      <c r="M664" s="12" t="s">
        <v>40</v>
      </c>
      <c r="N664" s="12" t="s">
        <v>105</v>
      </c>
    </row>
    <row r="665" spans="1:14">
      <c r="A665" s="144" t="s">
        <v>1</v>
      </c>
      <c r="B665" s="213" t="s">
        <v>3843</v>
      </c>
      <c r="C665" s="208" t="s">
        <v>892</v>
      </c>
      <c r="D665" s="208" t="s">
        <v>3844</v>
      </c>
      <c r="E665" s="247">
        <v>100</v>
      </c>
      <c r="F665" s="144" t="s">
        <v>19</v>
      </c>
      <c r="G665" s="248">
        <v>1250</v>
      </c>
      <c r="H665" s="264">
        <f t="shared" si="63"/>
        <v>125000</v>
      </c>
      <c r="I665" s="156">
        <v>1162.5</v>
      </c>
      <c r="J665" s="265">
        <f t="shared" si="60"/>
        <v>87.5</v>
      </c>
      <c r="K665" s="267">
        <f t="shared" si="61"/>
        <v>8750</v>
      </c>
      <c r="L665" s="268">
        <f t="shared" si="62"/>
        <v>7.0000000000000007E-2</v>
      </c>
      <c r="M665" s="12" t="s">
        <v>40</v>
      </c>
      <c r="N665" s="12" t="s">
        <v>105</v>
      </c>
    </row>
    <row r="666" spans="1:14">
      <c r="A666" s="144" t="s">
        <v>1</v>
      </c>
      <c r="B666" s="159" t="s">
        <v>3845</v>
      </c>
      <c r="C666" s="209" t="s">
        <v>200</v>
      </c>
      <c r="D666" s="209" t="s">
        <v>2322</v>
      </c>
      <c r="E666" s="281">
        <v>1</v>
      </c>
      <c r="F666" s="144" t="s">
        <v>1608</v>
      </c>
      <c r="G666" s="282">
        <v>48500</v>
      </c>
      <c r="H666" s="264">
        <f t="shared" si="63"/>
        <v>48500</v>
      </c>
      <c r="I666" s="283">
        <v>46000</v>
      </c>
      <c r="J666" s="265">
        <f t="shared" si="60"/>
        <v>2500</v>
      </c>
      <c r="K666" s="267">
        <f t="shared" si="61"/>
        <v>2500</v>
      </c>
      <c r="L666" s="268">
        <f t="shared" si="62"/>
        <v>5.1546391752577317E-2</v>
      </c>
      <c r="M666" s="12" t="s">
        <v>40</v>
      </c>
      <c r="N666" s="12" t="s">
        <v>39</v>
      </c>
    </row>
    <row r="667" spans="1:14">
      <c r="A667" s="144" t="s">
        <v>1</v>
      </c>
      <c r="B667" s="159" t="s">
        <v>3846</v>
      </c>
      <c r="C667" s="209" t="s">
        <v>3847</v>
      </c>
      <c r="D667" s="209" t="s">
        <v>3848</v>
      </c>
      <c r="E667" s="281">
        <v>103</v>
      </c>
      <c r="F667" s="144" t="s">
        <v>19</v>
      </c>
      <c r="G667" s="282">
        <f>312*39</f>
        <v>12168</v>
      </c>
      <c r="H667" s="264">
        <f t="shared" si="63"/>
        <v>1253304</v>
      </c>
      <c r="I667" s="283">
        <f>306*39</f>
        <v>11934</v>
      </c>
      <c r="J667" s="265">
        <f t="shared" si="60"/>
        <v>234</v>
      </c>
      <c r="K667" s="267">
        <f t="shared" si="61"/>
        <v>24102</v>
      </c>
      <c r="L667" s="268">
        <f t="shared" si="62"/>
        <v>1.9230769230769232E-2</v>
      </c>
      <c r="M667" s="12" t="s">
        <v>40</v>
      </c>
      <c r="N667" s="12" t="s">
        <v>39</v>
      </c>
    </row>
    <row r="668" spans="1:14">
      <c r="A668" s="144" t="s">
        <v>1</v>
      </c>
      <c r="B668" s="159" t="s">
        <v>3846</v>
      </c>
      <c r="C668" s="209" t="s">
        <v>3847</v>
      </c>
      <c r="D668" s="209" t="s">
        <v>3849</v>
      </c>
      <c r="E668" s="281">
        <v>93</v>
      </c>
      <c r="F668" s="144" t="s">
        <v>19</v>
      </c>
      <c r="G668" s="282">
        <f>435*39</f>
        <v>16965</v>
      </c>
      <c r="H668" s="264">
        <f t="shared" si="63"/>
        <v>1577745</v>
      </c>
      <c r="I668" s="283">
        <f>426*39</f>
        <v>16614</v>
      </c>
      <c r="J668" s="265">
        <f t="shared" si="60"/>
        <v>351</v>
      </c>
      <c r="K668" s="267">
        <f t="shared" si="61"/>
        <v>32643</v>
      </c>
      <c r="L668" s="268">
        <f t="shared" si="62"/>
        <v>2.0689655172413793E-2</v>
      </c>
      <c r="M668" s="12" t="s">
        <v>40</v>
      </c>
      <c r="N668" s="12" t="s">
        <v>39</v>
      </c>
    </row>
    <row r="669" spans="1:14">
      <c r="A669" s="144" t="s">
        <v>1</v>
      </c>
      <c r="B669" s="159" t="s">
        <v>3850</v>
      </c>
      <c r="C669" s="209" t="s">
        <v>1658</v>
      </c>
      <c r="D669" s="209" t="s">
        <v>2771</v>
      </c>
      <c r="E669" s="281">
        <v>74</v>
      </c>
      <c r="F669" s="144" t="s">
        <v>1608</v>
      </c>
      <c r="G669" s="282">
        <f>87.3*39</f>
        <v>3404.7</v>
      </c>
      <c r="H669" s="264">
        <f t="shared" si="63"/>
        <v>251947.8</v>
      </c>
      <c r="I669" s="283">
        <f>84*39</f>
        <v>3276</v>
      </c>
      <c r="J669" s="265">
        <f t="shared" si="60"/>
        <v>128.69999999999982</v>
      </c>
      <c r="K669" s="267">
        <f t="shared" si="61"/>
        <v>9523.7999999999865</v>
      </c>
      <c r="L669" s="268">
        <f t="shared" si="62"/>
        <v>3.7800687285223317E-2</v>
      </c>
      <c r="M669" s="12" t="s">
        <v>40</v>
      </c>
      <c r="N669" s="12" t="s">
        <v>39</v>
      </c>
    </row>
    <row r="670" spans="1:14">
      <c r="A670" s="144" t="s">
        <v>1</v>
      </c>
      <c r="B670" s="159" t="s">
        <v>3851</v>
      </c>
      <c r="C670" s="209" t="s">
        <v>3620</v>
      </c>
      <c r="D670" s="209" t="s">
        <v>3852</v>
      </c>
      <c r="E670" s="281">
        <v>1</v>
      </c>
      <c r="F670" s="144" t="s">
        <v>285</v>
      </c>
      <c r="G670" s="282">
        <v>13500</v>
      </c>
      <c r="H670" s="264">
        <f t="shared" si="63"/>
        <v>13500</v>
      </c>
      <c r="I670" s="283">
        <v>13000</v>
      </c>
      <c r="J670" s="265">
        <f t="shared" si="60"/>
        <v>500</v>
      </c>
      <c r="K670" s="267">
        <f t="shared" si="61"/>
        <v>500</v>
      </c>
      <c r="L670" s="268">
        <f t="shared" si="62"/>
        <v>3.7037037037037035E-2</v>
      </c>
      <c r="M670" s="12" t="s">
        <v>40</v>
      </c>
      <c r="N670" s="12" t="s">
        <v>39</v>
      </c>
    </row>
    <row r="671" spans="1:14">
      <c r="A671" s="144" t="s">
        <v>1</v>
      </c>
      <c r="B671" s="159" t="s">
        <v>3851</v>
      </c>
      <c r="C671" s="209" t="s">
        <v>3620</v>
      </c>
      <c r="D671" s="209" t="s">
        <v>3853</v>
      </c>
      <c r="E671" s="281">
        <v>1</v>
      </c>
      <c r="F671" s="144" t="s">
        <v>285</v>
      </c>
      <c r="G671" s="282">
        <v>13500</v>
      </c>
      <c r="H671" s="264">
        <f t="shared" si="63"/>
        <v>13500</v>
      </c>
      <c r="I671" s="283">
        <v>13000</v>
      </c>
      <c r="J671" s="265">
        <f t="shared" si="60"/>
        <v>500</v>
      </c>
      <c r="K671" s="267">
        <f t="shared" si="61"/>
        <v>500</v>
      </c>
      <c r="L671" s="268">
        <f t="shared" si="62"/>
        <v>3.7037037037037035E-2</v>
      </c>
      <c r="M671" s="12" t="s">
        <v>40</v>
      </c>
      <c r="N671" s="12" t="s">
        <v>39</v>
      </c>
    </row>
    <row r="672" spans="1:14">
      <c r="A672" s="144" t="s">
        <v>1</v>
      </c>
      <c r="B672" s="159" t="s">
        <v>3854</v>
      </c>
      <c r="C672" s="209" t="s">
        <v>200</v>
      </c>
      <c r="D672" s="209" t="s">
        <v>3485</v>
      </c>
      <c r="E672" s="281">
        <v>2</v>
      </c>
      <c r="F672" s="144" t="s">
        <v>19</v>
      </c>
      <c r="G672" s="282">
        <v>3000</v>
      </c>
      <c r="H672" s="264">
        <f t="shared" si="63"/>
        <v>6000</v>
      </c>
      <c r="I672" s="283">
        <v>2300</v>
      </c>
      <c r="J672" s="265">
        <f t="shared" si="60"/>
        <v>700</v>
      </c>
      <c r="K672" s="267">
        <f t="shared" si="61"/>
        <v>1400</v>
      </c>
      <c r="L672" s="268">
        <f t="shared" si="62"/>
        <v>0.23333333333333334</v>
      </c>
      <c r="M672" s="12" t="s">
        <v>40</v>
      </c>
      <c r="N672" s="12" t="s">
        <v>39</v>
      </c>
    </row>
    <row r="673" spans="1:14">
      <c r="A673" s="144" t="s">
        <v>1</v>
      </c>
      <c r="B673" s="159" t="s">
        <v>3855</v>
      </c>
      <c r="C673" s="209" t="s">
        <v>892</v>
      </c>
      <c r="D673" s="209" t="s">
        <v>3856</v>
      </c>
      <c r="E673" s="281">
        <v>1</v>
      </c>
      <c r="F673" s="144" t="s">
        <v>3857</v>
      </c>
      <c r="G673" s="282">
        <v>540720</v>
      </c>
      <c r="H673" s="264">
        <f t="shared" si="63"/>
        <v>540720</v>
      </c>
      <c r="I673" s="283">
        <v>526660</v>
      </c>
      <c r="J673" s="265">
        <f t="shared" si="60"/>
        <v>14060</v>
      </c>
      <c r="K673" s="267">
        <f t="shared" si="61"/>
        <v>14060</v>
      </c>
      <c r="L673" s="268">
        <f t="shared" si="62"/>
        <v>2.6002367214084925E-2</v>
      </c>
      <c r="M673" s="12" t="s">
        <v>40</v>
      </c>
      <c r="N673" s="12" t="s">
        <v>105</v>
      </c>
    </row>
    <row r="674" spans="1:14">
      <c r="A674" s="144" t="s">
        <v>1</v>
      </c>
      <c r="B674" s="159" t="s">
        <v>3858</v>
      </c>
      <c r="C674" s="209" t="s">
        <v>192</v>
      </c>
      <c r="D674" s="209" t="s">
        <v>2837</v>
      </c>
      <c r="E674" s="281">
        <v>146</v>
      </c>
      <c r="F674" s="144" t="s">
        <v>19</v>
      </c>
      <c r="G674" s="282">
        <v>9235</v>
      </c>
      <c r="H674" s="264">
        <f t="shared" si="63"/>
        <v>1348310</v>
      </c>
      <c r="I674" s="283">
        <v>9000</v>
      </c>
      <c r="J674" s="265">
        <f t="shared" si="60"/>
        <v>235</v>
      </c>
      <c r="K674" s="267">
        <f t="shared" si="61"/>
        <v>34310</v>
      </c>
      <c r="L674" s="268">
        <f t="shared" si="62"/>
        <v>2.5446670276123445E-2</v>
      </c>
      <c r="M674" s="12" t="s">
        <v>40</v>
      </c>
      <c r="N674" s="12" t="s">
        <v>105</v>
      </c>
    </row>
    <row r="675" spans="1:14">
      <c r="A675" s="144" t="s">
        <v>1</v>
      </c>
      <c r="B675" s="159" t="s">
        <v>3859</v>
      </c>
      <c r="C675" s="209" t="s">
        <v>17</v>
      </c>
      <c r="D675" s="209" t="s">
        <v>3860</v>
      </c>
      <c r="E675" s="281">
        <v>3</v>
      </c>
      <c r="F675" s="144" t="s">
        <v>19</v>
      </c>
      <c r="G675" s="282">
        <v>450</v>
      </c>
      <c r="H675" s="264">
        <f t="shared" si="63"/>
        <v>1350</v>
      </c>
      <c r="I675" s="283">
        <v>179</v>
      </c>
      <c r="J675" s="265">
        <f t="shared" si="60"/>
        <v>271</v>
      </c>
      <c r="K675" s="267">
        <f t="shared" si="61"/>
        <v>813</v>
      </c>
      <c r="L675" s="268">
        <f t="shared" si="62"/>
        <v>0.60222222222222221</v>
      </c>
      <c r="M675" s="12" t="s">
        <v>22</v>
      </c>
      <c r="N675" s="12" t="s">
        <v>105</v>
      </c>
    </row>
    <row r="676" spans="1:14">
      <c r="A676" s="144" t="s">
        <v>1</v>
      </c>
      <c r="B676" s="159" t="s">
        <v>3861</v>
      </c>
      <c r="C676" s="209" t="s">
        <v>3862</v>
      </c>
      <c r="D676" s="209" t="s">
        <v>3863</v>
      </c>
      <c r="E676" s="281">
        <v>1</v>
      </c>
      <c r="F676" s="144" t="s">
        <v>285</v>
      </c>
      <c r="G676" s="282">
        <v>285000</v>
      </c>
      <c r="H676" s="264">
        <f t="shared" si="63"/>
        <v>285000</v>
      </c>
      <c r="I676" s="283">
        <v>277500</v>
      </c>
      <c r="J676" s="265">
        <f t="shared" si="60"/>
        <v>7500</v>
      </c>
      <c r="K676" s="267">
        <f t="shared" si="61"/>
        <v>7500</v>
      </c>
      <c r="L676" s="268">
        <f t="shared" si="62"/>
        <v>2.6315789473684209E-2</v>
      </c>
      <c r="M676" s="12" t="s">
        <v>40</v>
      </c>
      <c r="N676" s="12" t="s">
        <v>105</v>
      </c>
    </row>
    <row r="677" spans="1:14">
      <c r="A677" s="284" t="s">
        <v>1</v>
      </c>
      <c r="B677" s="159" t="s">
        <v>3864</v>
      </c>
      <c r="C677" s="209" t="s">
        <v>2840</v>
      </c>
      <c r="D677" s="209" t="s">
        <v>2841</v>
      </c>
      <c r="E677" s="281">
        <v>1600</v>
      </c>
      <c r="F677" s="144" t="s">
        <v>19</v>
      </c>
      <c r="G677" s="282">
        <v>2285</v>
      </c>
      <c r="H677" s="264">
        <f t="shared" si="63"/>
        <v>3656000</v>
      </c>
      <c r="I677" s="283">
        <v>2245</v>
      </c>
      <c r="J677" s="265">
        <f t="shared" si="60"/>
        <v>40</v>
      </c>
      <c r="K677" s="267">
        <f t="shared" si="61"/>
        <v>64000</v>
      </c>
      <c r="L677" s="268">
        <f t="shared" si="62"/>
        <v>1.7505470459518599E-2</v>
      </c>
      <c r="M677" s="12" t="s">
        <v>40</v>
      </c>
      <c r="N677" s="12" t="s">
        <v>105</v>
      </c>
    </row>
    <row r="678" spans="1:14">
      <c r="A678" s="284" t="s">
        <v>1</v>
      </c>
      <c r="B678" s="159" t="s">
        <v>3865</v>
      </c>
      <c r="C678" s="209" t="s">
        <v>107</v>
      </c>
      <c r="D678" s="209" t="s">
        <v>1652</v>
      </c>
      <c r="E678" s="281">
        <v>606</v>
      </c>
      <c r="F678" s="144" t="s">
        <v>19</v>
      </c>
      <c r="G678" s="282">
        <v>1092</v>
      </c>
      <c r="H678" s="264">
        <f t="shared" si="63"/>
        <v>661752</v>
      </c>
      <c r="I678" s="283">
        <v>985</v>
      </c>
      <c r="J678" s="265">
        <f t="shared" si="60"/>
        <v>107</v>
      </c>
      <c r="K678" s="267">
        <f t="shared" si="61"/>
        <v>64842</v>
      </c>
      <c r="L678" s="268">
        <f t="shared" si="62"/>
        <v>9.7985347985347984E-2</v>
      </c>
      <c r="M678" s="12" t="s">
        <v>40</v>
      </c>
      <c r="N678" s="12" t="s">
        <v>105</v>
      </c>
    </row>
    <row r="679" spans="1:14">
      <c r="A679" s="284" t="s">
        <v>1</v>
      </c>
      <c r="B679" s="159" t="s">
        <v>3866</v>
      </c>
      <c r="C679" s="209" t="s">
        <v>2342</v>
      </c>
      <c r="D679" s="209" t="s">
        <v>779</v>
      </c>
      <c r="E679" s="281">
        <v>20</v>
      </c>
      <c r="F679" s="284" t="s">
        <v>302</v>
      </c>
      <c r="G679" s="282">
        <v>4867</v>
      </c>
      <c r="H679" s="264">
        <f t="shared" si="63"/>
        <v>97340</v>
      </c>
      <c r="I679" s="283">
        <v>4759</v>
      </c>
      <c r="J679" s="265">
        <f t="shared" si="60"/>
        <v>108</v>
      </c>
      <c r="K679" s="267">
        <f t="shared" si="61"/>
        <v>2160</v>
      </c>
      <c r="L679" s="268">
        <f t="shared" si="62"/>
        <v>2.2190260941031437E-2</v>
      </c>
      <c r="M679" s="12" t="s">
        <v>40</v>
      </c>
      <c r="N679" s="12" t="s">
        <v>105</v>
      </c>
    </row>
    <row r="680" spans="1:14">
      <c r="A680" s="284" t="s">
        <v>1</v>
      </c>
      <c r="B680" s="159" t="s">
        <v>3867</v>
      </c>
      <c r="C680" s="209" t="s">
        <v>192</v>
      </c>
      <c r="D680" s="209" t="s">
        <v>3868</v>
      </c>
      <c r="E680" s="281">
        <v>1</v>
      </c>
      <c r="F680" s="144" t="s">
        <v>19</v>
      </c>
      <c r="G680" s="282">
        <v>44130</v>
      </c>
      <c r="H680" s="264">
        <f t="shared" si="63"/>
        <v>44130</v>
      </c>
      <c r="I680" s="283">
        <v>42810</v>
      </c>
      <c r="J680" s="265">
        <f t="shared" si="60"/>
        <v>1320</v>
      </c>
      <c r="K680" s="267">
        <f t="shared" si="61"/>
        <v>1320</v>
      </c>
      <c r="L680" s="268">
        <f t="shared" si="62"/>
        <v>2.9911624745071381E-2</v>
      </c>
      <c r="M680" s="12" t="s">
        <v>40</v>
      </c>
      <c r="N680" s="12" t="s">
        <v>105</v>
      </c>
    </row>
    <row r="681" spans="1:14">
      <c r="A681" s="284" t="s">
        <v>1</v>
      </c>
      <c r="B681" s="159" t="s">
        <v>3869</v>
      </c>
      <c r="C681" s="209" t="s">
        <v>1042</v>
      </c>
      <c r="D681" s="209" t="s">
        <v>644</v>
      </c>
      <c r="E681" s="281">
        <v>729</v>
      </c>
      <c r="F681" s="284" t="s">
        <v>37</v>
      </c>
      <c r="G681" s="282">
        <v>394</v>
      </c>
      <c r="H681" s="264">
        <f t="shared" si="63"/>
        <v>287226</v>
      </c>
      <c r="I681" s="283">
        <v>364</v>
      </c>
      <c r="J681" s="265">
        <f t="shared" si="60"/>
        <v>30</v>
      </c>
      <c r="K681" s="267">
        <f t="shared" si="61"/>
        <v>21870</v>
      </c>
      <c r="L681" s="268">
        <f t="shared" si="62"/>
        <v>7.6142131979695438E-2</v>
      </c>
      <c r="M681" s="12" t="s">
        <v>22</v>
      </c>
      <c r="N681" s="12" t="s">
        <v>105</v>
      </c>
    </row>
    <row r="682" spans="1:14">
      <c r="A682" s="284" t="s">
        <v>1</v>
      </c>
      <c r="B682" s="159" t="s">
        <v>3870</v>
      </c>
      <c r="C682" s="209" t="s">
        <v>17</v>
      </c>
      <c r="D682" s="209" t="s">
        <v>3871</v>
      </c>
      <c r="E682" s="281">
        <v>1</v>
      </c>
      <c r="F682" s="144" t="s">
        <v>19</v>
      </c>
      <c r="G682" s="282">
        <v>135</v>
      </c>
      <c r="H682" s="264">
        <f t="shared" si="63"/>
        <v>135</v>
      </c>
      <c r="I682" s="283">
        <v>99</v>
      </c>
      <c r="J682" s="265">
        <f t="shared" si="60"/>
        <v>36</v>
      </c>
      <c r="K682" s="267">
        <f t="shared" si="61"/>
        <v>36</v>
      </c>
      <c r="L682" s="268">
        <f t="shared" si="62"/>
        <v>0.26666666666666666</v>
      </c>
      <c r="M682" s="12" t="s">
        <v>22</v>
      </c>
      <c r="N682" s="12" t="s">
        <v>105</v>
      </c>
    </row>
    <row r="683" spans="1:14">
      <c r="A683" s="284" t="s">
        <v>1</v>
      </c>
      <c r="B683" s="159" t="s">
        <v>3870</v>
      </c>
      <c r="C683" s="209" t="s">
        <v>17</v>
      </c>
      <c r="D683" s="209" t="s">
        <v>3872</v>
      </c>
      <c r="E683" s="281">
        <v>1</v>
      </c>
      <c r="F683" s="144" t="s">
        <v>19</v>
      </c>
      <c r="G683" s="282">
        <v>6520</v>
      </c>
      <c r="H683" s="264">
        <f t="shared" si="63"/>
        <v>6520</v>
      </c>
      <c r="I683" s="283">
        <v>3990</v>
      </c>
      <c r="J683" s="265">
        <f t="shared" si="60"/>
        <v>2530</v>
      </c>
      <c r="K683" s="267">
        <f t="shared" si="61"/>
        <v>2530</v>
      </c>
      <c r="L683" s="268">
        <f t="shared" si="62"/>
        <v>0.3880368098159509</v>
      </c>
      <c r="M683" s="12" t="s">
        <v>22</v>
      </c>
      <c r="N683" s="12" t="s">
        <v>105</v>
      </c>
    </row>
    <row r="684" spans="1:14">
      <c r="A684" s="284" t="s">
        <v>1</v>
      </c>
      <c r="B684" s="159" t="s">
        <v>3873</v>
      </c>
      <c r="C684" s="209" t="s">
        <v>497</v>
      </c>
      <c r="D684" s="209" t="s">
        <v>498</v>
      </c>
      <c r="E684" s="281">
        <v>20000</v>
      </c>
      <c r="F684" s="284" t="s">
        <v>37</v>
      </c>
      <c r="G684" s="282">
        <v>94.47</v>
      </c>
      <c r="H684" s="264">
        <f t="shared" si="63"/>
        <v>1889400</v>
      </c>
      <c r="I684" s="283">
        <v>93</v>
      </c>
      <c r="J684" s="265">
        <f t="shared" si="60"/>
        <v>1.4699999999999989</v>
      </c>
      <c r="K684" s="267">
        <f t="shared" si="61"/>
        <v>29399.999999999978</v>
      </c>
      <c r="L684" s="268">
        <f t="shared" si="62"/>
        <v>1.5560495395363595E-2</v>
      </c>
      <c r="M684" s="12" t="s">
        <v>40</v>
      </c>
      <c r="N684" s="12" t="s">
        <v>39</v>
      </c>
    </row>
    <row r="685" spans="1:14">
      <c r="A685" s="284" t="s">
        <v>1</v>
      </c>
      <c r="B685" s="159" t="s">
        <v>3874</v>
      </c>
      <c r="C685" s="209" t="s">
        <v>1227</v>
      </c>
      <c r="D685" s="209" t="s">
        <v>3250</v>
      </c>
      <c r="E685" s="281">
        <v>460</v>
      </c>
      <c r="F685" s="144" t="s">
        <v>19</v>
      </c>
      <c r="G685" s="282">
        <v>3480</v>
      </c>
      <c r="H685" s="264">
        <f>G685*E685</f>
        <v>1600800</v>
      </c>
      <c r="I685" s="283">
        <v>3340</v>
      </c>
      <c r="J685" s="265">
        <f t="shared" si="60"/>
        <v>140</v>
      </c>
      <c r="K685" s="267">
        <f t="shared" si="61"/>
        <v>64400</v>
      </c>
      <c r="L685" s="268">
        <f t="shared" si="62"/>
        <v>4.0229885057471264E-2</v>
      </c>
      <c r="M685" s="12" t="s">
        <v>40</v>
      </c>
      <c r="N685" s="12" t="s">
        <v>39</v>
      </c>
    </row>
    <row r="686" spans="1:14">
      <c r="A686" s="284" t="s">
        <v>1</v>
      </c>
      <c r="B686" s="159" t="s">
        <v>3874</v>
      </c>
      <c r="C686" s="209" t="s">
        <v>1227</v>
      </c>
      <c r="D686" s="209" t="s">
        <v>3875</v>
      </c>
      <c r="E686" s="281">
        <v>126</v>
      </c>
      <c r="F686" s="144" t="s">
        <v>19</v>
      </c>
      <c r="G686" s="282">
        <v>375</v>
      </c>
      <c r="H686" s="264">
        <f t="shared" si="63"/>
        <v>47250</v>
      </c>
      <c r="I686" s="283">
        <v>360</v>
      </c>
      <c r="J686" s="265">
        <f t="shared" si="60"/>
        <v>15</v>
      </c>
      <c r="K686" s="267">
        <f t="shared" si="61"/>
        <v>1890</v>
      </c>
      <c r="L686" s="268">
        <f t="shared" si="62"/>
        <v>0.04</v>
      </c>
      <c r="M686" s="12" t="s">
        <v>40</v>
      </c>
      <c r="N686" s="12" t="s">
        <v>39</v>
      </c>
    </row>
    <row r="687" spans="1:14">
      <c r="A687" s="284" t="s">
        <v>1</v>
      </c>
      <c r="B687" s="159" t="s">
        <v>3874</v>
      </c>
      <c r="C687" s="209" t="s">
        <v>1227</v>
      </c>
      <c r="D687" s="209" t="s">
        <v>3876</v>
      </c>
      <c r="E687" s="281">
        <v>168</v>
      </c>
      <c r="F687" s="144" t="s">
        <v>19</v>
      </c>
      <c r="G687" s="282">
        <v>1480</v>
      </c>
      <c r="H687" s="264">
        <f t="shared" si="63"/>
        <v>248640</v>
      </c>
      <c r="I687" s="283">
        <v>1420</v>
      </c>
      <c r="J687" s="265">
        <f t="shared" si="60"/>
        <v>60</v>
      </c>
      <c r="K687" s="267">
        <f t="shared" si="61"/>
        <v>10080</v>
      </c>
      <c r="L687" s="268">
        <f t="shared" si="62"/>
        <v>4.0540540540540543E-2</v>
      </c>
      <c r="M687" s="12" t="s">
        <v>40</v>
      </c>
      <c r="N687" s="12" t="s">
        <v>39</v>
      </c>
    </row>
    <row r="688" spans="1:14">
      <c r="A688" s="284" t="s">
        <v>1</v>
      </c>
      <c r="B688" s="159" t="s">
        <v>3877</v>
      </c>
      <c r="C688" s="209" t="s">
        <v>1488</v>
      </c>
      <c r="D688" s="209" t="s">
        <v>962</v>
      </c>
      <c r="E688" s="281">
        <v>726</v>
      </c>
      <c r="F688" s="284" t="s">
        <v>37</v>
      </c>
      <c r="G688" s="282">
        <v>383</v>
      </c>
      <c r="H688" s="264">
        <f t="shared" si="63"/>
        <v>278058</v>
      </c>
      <c r="I688" s="283">
        <v>375</v>
      </c>
      <c r="J688" s="265">
        <f t="shared" si="60"/>
        <v>8</v>
      </c>
      <c r="K688" s="267">
        <f t="shared" si="61"/>
        <v>5808</v>
      </c>
      <c r="L688" s="268">
        <f t="shared" si="62"/>
        <v>2.0887728459530026E-2</v>
      </c>
      <c r="M688" s="12" t="s">
        <v>22</v>
      </c>
      <c r="N688" s="12" t="s">
        <v>105</v>
      </c>
    </row>
    <row r="689" spans="1:14">
      <c r="A689" s="284" t="s">
        <v>1</v>
      </c>
      <c r="B689" s="159" t="s">
        <v>3878</v>
      </c>
      <c r="C689" s="209" t="s">
        <v>329</v>
      </c>
      <c r="D689" s="209" t="s">
        <v>380</v>
      </c>
      <c r="E689" s="281">
        <v>30</v>
      </c>
      <c r="F689" s="284" t="s">
        <v>2541</v>
      </c>
      <c r="G689" s="282">
        <v>4850</v>
      </c>
      <c r="H689" s="264">
        <f t="shared" si="63"/>
        <v>145500</v>
      </c>
      <c r="I689" s="283">
        <v>4720</v>
      </c>
      <c r="J689" s="265">
        <f t="shared" si="60"/>
        <v>130</v>
      </c>
      <c r="K689" s="267">
        <f t="shared" si="61"/>
        <v>3900</v>
      </c>
      <c r="L689" s="268">
        <f t="shared" si="62"/>
        <v>2.6804123711340205E-2</v>
      </c>
      <c r="M689" s="12" t="s">
        <v>40</v>
      </c>
      <c r="N689" s="12" t="s">
        <v>39</v>
      </c>
    </row>
    <row r="690" spans="1:14">
      <c r="A690" s="284" t="s">
        <v>1</v>
      </c>
      <c r="B690" s="159" t="s">
        <v>3878</v>
      </c>
      <c r="C690" s="209" t="s">
        <v>329</v>
      </c>
      <c r="D690" s="209" t="s">
        <v>3879</v>
      </c>
      <c r="E690" s="281">
        <v>30</v>
      </c>
      <c r="F690" s="284" t="s">
        <v>2541</v>
      </c>
      <c r="G690" s="282">
        <v>1680</v>
      </c>
      <c r="H690" s="264">
        <f t="shared" si="63"/>
        <v>50400</v>
      </c>
      <c r="I690" s="283">
        <v>1650</v>
      </c>
      <c r="J690" s="265">
        <f t="shared" si="60"/>
        <v>30</v>
      </c>
      <c r="K690" s="267">
        <f t="shared" si="61"/>
        <v>900</v>
      </c>
      <c r="L690" s="268">
        <f t="shared" si="62"/>
        <v>1.7857142857142856E-2</v>
      </c>
      <c r="M690" s="12" t="s">
        <v>40</v>
      </c>
      <c r="N690" s="12" t="s">
        <v>39</v>
      </c>
    </row>
    <row r="691" spans="1:14">
      <c r="A691" s="284" t="s">
        <v>1</v>
      </c>
      <c r="B691" s="159" t="s">
        <v>3878</v>
      </c>
      <c r="C691" s="209" t="s">
        <v>329</v>
      </c>
      <c r="D691" s="209" t="s">
        <v>1367</v>
      </c>
      <c r="E691" s="281">
        <v>40</v>
      </c>
      <c r="F691" s="284" t="s">
        <v>1368</v>
      </c>
      <c r="G691" s="282">
        <v>1940</v>
      </c>
      <c r="H691" s="264">
        <f t="shared" si="63"/>
        <v>77600</v>
      </c>
      <c r="I691" s="283">
        <v>1925</v>
      </c>
      <c r="J691" s="265">
        <f t="shared" si="60"/>
        <v>15</v>
      </c>
      <c r="K691" s="267">
        <f t="shared" si="61"/>
        <v>600</v>
      </c>
      <c r="L691" s="268">
        <f t="shared" si="62"/>
        <v>7.7319587628865982E-3</v>
      </c>
      <c r="M691" s="12" t="s">
        <v>40</v>
      </c>
      <c r="N691" s="12" t="s">
        <v>39</v>
      </c>
    </row>
    <row r="692" spans="1:14">
      <c r="A692" s="284" t="s">
        <v>1</v>
      </c>
      <c r="B692" s="159" t="s">
        <v>3878</v>
      </c>
      <c r="C692" s="209" t="s">
        <v>329</v>
      </c>
      <c r="D692" s="209" t="s">
        <v>3880</v>
      </c>
      <c r="E692" s="281">
        <v>30</v>
      </c>
      <c r="F692" s="284" t="s">
        <v>1368</v>
      </c>
      <c r="G692" s="282">
        <v>2700</v>
      </c>
      <c r="H692" s="264">
        <f t="shared" si="63"/>
        <v>81000</v>
      </c>
      <c r="I692" s="283">
        <v>2690</v>
      </c>
      <c r="J692" s="265">
        <f t="shared" si="60"/>
        <v>10</v>
      </c>
      <c r="K692" s="267">
        <f t="shared" si="61"/>
        <v>300</v>
      </c>
      <c r="L692" s="268">
        <f t="shared" si="62"/>
        <v>3.7037037037037038E-3</v>
      </c>
      <c r="M692" s="12" t="s">
        <v>40</v>
      </c>
      <c r="N692" s="12" t="s">
        <v>39</v>
      </c>
    </row>
    <row r="693" spans="1:14">
      <c r="A693" s="284" t="s">
        <v>1</v>
      </c>
      <c r="B693" s="159" t="s">
        <v>3878</v>
      </c>
      <c r="C693" s="209" t="s">
        <v>329</v>
      </c>
      <c r="D693" s="209" t="s">
        <v>3881</v>
      </c>
      <c r="E693" s="281">
        <v>144</v>
      </c>
      <c r="F693" s="284" t="s">
        <v>1368</v>
      </c>
      <c r="G693" s="282">
        <v>6555</v>
      </c>
      <c r="H693" s="264">
        <f t="shared" si="63"/>
        <v>943920</v>
      </c>
      <c r="I693" s="283">
        <v>6495</v>
      </c>
      <c r="J693" s="265">
        <f t="shared" si="60"/>
        <v>60</v>
      </c>
      <c r="K693" s="267">
        <f t="shared" si="61"/>
        <v>8640</v>
      </c>
      <c r="L693" s="268">
        <f t="shared" si="62"/>
        <v>9.1533180778032037E-3</v>
      </c>
      <c r="M693" s="12" t="s">
        <v>40</v>
      </c>
      <c r="N693" s="12" t="s">
        <v>39</v>
      </c>
    </row>
    <row r="694" spans="1:14">
      <c r="A694" s="284" t="s">
        <v>1</v>
      </c>
      <c r="B694" s="159" t="s">
        <v>3878</v>
      </c>
      <c r="C694" s="209" t="s">
        <v>329</v>
      </c>
      <c r="D694" s="209" t="s">
        <v>3882</v>
      </c>
      <c r="E694" s="281">
        <v>38</v>
      </c>
      <c r="F694" s="284" t="s">
        <v>1368</v>
      </c>
      <c r="G694" s="282">
        <v>5395</v>
      </c>
      <c r="H694" s="264">
        <f>G694*E694</f>
        <v>205010</v>
      </c>
      <c r="I694" s="283">
        <v>5275</v>
      </c>
      <c r="J694" s="265">
        <f t="shared" si="60"/>
        <v>120</v>
      </c>
      <c r="K694" s="267">
        <f t="shared" si="61"/>
        <v>4560</v>
      </c>
      <c r="L694" s="268">
        <f t="shared" si="62"/>
        <v>2.2242817423540315E-2</v>
      </c>
      <c r="M694" s="12" t="s">
        <v>40</v>
      </c>
      <c r="N694" s="12" t="s">
        <v>39</v>
      </c>
    </row>
    <row r="695" spans="1:14">
      <c r="A695" s="284" t="s">
        <v>1</v>
      </c>
      <c r="B695" s="159" t="s">
        <v>3878</v>
      </c>
      <c r="C695" s="209" t="s">
        <v>329</v>
      </c>
      <c r="D695" s="209" t="s">
        <v>2161</v>
      </c>
      <c r="E695" s="281">
        <v>20</v>
      </c>
      <c r="F695" s="284" t="s">
        <v>1368</v>
      </c>
      <c r="G695" s="282">
        <v>2900</v>
      </c>
      <c r="H695" s="264">
        <f t="shared" si="63"/>
        <v>58000</v>
      </c>
      <c r="I695" s="283">
        <v>2750</v>
      </c>
      <c r="J695" s="265">
        <f t="shared" si="60"/>
        <v>150</v>
      </c>
      <c r="K695" s="267">
        <f t="shared" si="61"/>
        <v>3000</v>
      </c>
      <c r="L695" s="268">
        <f t="shared" si="62"/>
        <v>5.1724137931034482E-2</v>
      </c>
      <c r="M695" s="12" t="s">
        <v>40</v>
      </c>
      <c r="N695" s="12" t="s">
        <v>39</v>
      </c>
    </row>
    <row r="696" spans="1:14">
      <c r="A696" s="284" t="s">
        <v>1</v>
      </c>
      <c r="B696" s="285" t="s">
        <v>3883</v>
      </c>
      <c r="C696" s="209" t="s">
        <v>1042</v>
      </c>
      <c r="D696" s="209" t="s">
        <v>711</v>
      </c>
      <c r="E696" s="281">
        <v>1005</v>
      </c>
      <c r="F696" s="284" t="s">
        <v>37</v>
      </c>
      <c r="G696" s="282">
        <v>394</v>
      </c>
      <c r="H696" s="264">
        <f t="shared" si="63"/>
        <v>395970</v>
      </c>
      <c r="I696" s="283">
        <v>364</v>
      </c>
      <c r="J696" s="265">
        <f t="shared" si="60"/>
        <v>30</v>
      </c>
      <c r="K696" s="267">
        <f t="shared" si="61"/>
        <v>30150</v>
      </c>
      <c r="L696" s="268">
        <f t="shared" si="62"/>
        <v>7.6142131979695438E-2</v>
      </c>
      <c r="M696" s="12" t="s">
        <v>22</v>
      </c>
      <c r="N696" s="12" t="s">
        <v>105</v>
      </c>
    </row>
    <row r="697" spans="1:14">
      <c r="A697" s="284" t="s">
        <v>1</v>
      </c>
      <c r="B697" s="159" t="s">
        <v>3884</v>
      </c>
      <c r="C697" s="209" t="s">
        <v>3885</v>
      </c>
      <c r="D697" s="209" t="s">
        <v>3516</v>
      </c>
      <c r="E697" s="281">
        <v>46</v>
      </c>
      <c r="F697" s="284" t="s">
        <v>302</v>
      </c>
      <c r="G697" s="282">
        <v>184998</v>
      </c>
      <c r="H697" s="264">
        <f t="shared" si="63"/>
        <v>8509908</v>
      </c>
      <c r="I697" s="283">
        <v>174942</v>
      </c>
      <c r="J697" s="265">
        <f t="shared" si="60"/>
        <v>10056</v>
      </c>
      <c r="K697" s="267">
        <f t="shared" si="61"/>
        <v>462576</v>
      </c>
      <c r="L697" s="268">
        <f t="shared" si="62"/>
        <v>5.4357344403723286E-2</v>
      </c>
      <c r="M697" s="12" t="s">
        <v>40</v>
      </c>
      <c r="N697" s="12" t="s">
        <v>39</v>
      </c>
    </row>
    <row r="698" spans="1:14">
      <c r="A698" s="284" t="s">
        <v>1</v>
      </c>
      <c r="B698" s="159" t="s">
        <v>3884</v>
      </c>
      <c r="C698" s="209" t="s">
        <v>3885</v>
      </c>
      <c r="D698" s="209" t="s">
        <v>3471</v>
      </c>
      <c r="E698" s="281">
        <v>29</v>
      </c>
      <c r="F698" s="284" t="s">
        <v>302</v>
      </c>
      <c r="G698" s="282">
        <v>166692</v>
      </c>
      <c r="H698" s="264">
        <f t="shared" si="63"/>
        <v>4834068</v>
      </c>
      <c r="I698" s="283">
        <v>165036</v>
      </c>
      <c r="J698" s="265">
        <f t="shared" si="60"/>
        <v>1656</v>
      </c>
      <c r="K698" s="267">
        <f t="shared" si="61"/>
        <v>48024</v>
      </c>
      <c r="L698" s="268">
        <f t="shared" si="62"/>
        <v>9.9344899575264552E-3</v>
      </c>
      <c r="M698" s="12" t="s">
        <v>40</v>
      </c>
      <c r="N698" s="12" t="s">
        <v>39</v>
      </c>
    </row>
    <row r="699" spans="1:14">
      <c r="A699" s="284" t="s">
        <v>1</v>
      </c>
      <c r="B699" s="159" t="s">
        <v>3886</v>
      </c>
      <c r="C699" s="209" t="s">
        <v>698</v>
      </c>
      <c r="D699" s="209" t="s">
        <v>3887</v>
      </c>
      <c r="E699" s="281">
        <v>24</v>
      </c>
      <c r="F699" s="284" t="s">
        <v>302</v>
      </c>
      <c r="G699" s="282">
        <v>9865</v>
      </c>
      <c r="H699" s="264">
        <f t="shared" si="63"/>
        <v>236760</v>
      </c>
      <c r="I699" s="283">
        <v>9365</v>
      </c>
      <c r="J699" s="265">
        <f t="shared" si="60"/>
        <v>500</v>
      </c>
      <c r="K699" s="267">
        <f t="shared" si="61"/>
        <v>12000</v>
      </c>
      <c r="L699" s="268">
        <f t="shared" si="62"/>
        <v>5.0684237202230108E-2</v>
      </c>
      <c r="M699" s="12" t="s">
        <v>40</v>
      </c>
      <c r="N699" s="12" t="s">
        <v>39</v>
      </c>
    </row>
    <row r="700" spans="1:14">
      <c r="A700" s="284" t="s">
        <v>1</v>
      </c>
      <c r="B700" s="286" t="s">
        <v>3886</v>
      </c>
      <c r="C700" s="287" t="s">
        <v>698</v>
      </c>
      <c r="D700" s="209" t="s">
        <v>3888</v>
      </c>
      <c r="E700" s="281">
        <v>12</v>
      </c>
      <c r="F700" s="284" t="s">
        <v>302</v>
      </c>
      <c r="G700" s="282">
        <v>13437</v>
      </c>
      <c r="H700" s="264">
        <f t="shared" si="63"/>
        <v>161244</v>
      </c>
      <c r="I700" s="283">
        <v>11432</v>
      </c>
      <c r="J700" s="265">
        <f t="shared" si="60"/>
        <v>2005</v>
      </c>
      <c r="K700" s="267">
        <f t="shared" si="61"/>
        <v>24060</v>
      </c>
      <c r="L700" s="268">
        <f t="shared" si="62"/>
        <v>0.14921485450621419</v>
      </c>
      <c r="M700" s="12" t="s">
        <v>40</v>
      </c>
      <c r="N700" s="12" t="s">
        <v>39</v>
      </c>
    </row>
    <row r="701" spans="1:14">
      <c r="A701" s="288" t="s">
        <v>1</v>
      </c>
      <c r="B701" s="215" t="s">
        <v>3889</v>
      </c>
      <c r="C701" s="208" t="s">
        <v>94</v>
      </c>
      <c r="D701" s="289" t="s">
        <v>1038</v>
      </c>
      <c r="E701" s="281">
        <v>200</v>
      </c>
      <c r="F701" s="284" t="s">
        <v>19</v>
      </c>
      <c r="G701" s="282">
        <v>15.5</v>
      </c>
      <c r="H701" s="264">
        <f t="shared" si="63"/>
        <v>3100</v>
      </c>
      <c r="I701" s="283">
        <v>14.76</v>
      </c>
      <c r="J701" s="265">
        <f t="shared" si="60"/>
        <v>0.74000000000000021</v>
      </c>
      <c r="K701" s="267">
        <f t="shared" si="61"/>
        <v>148.00000000000006</v>
      </c>
      <c r="L701" s="268">
        <f t="shared" si="62"/>
        <v>4.7741935483870984E-2</v>
      </c>
      <c r="M701" s="12" t="s">
        <v>22</v>
      </c>
      <c r="N701" s="12" t="s">
        <v>105</v>
      </c>
    </row>
    <row r="702" spans="1:14">
      <c r="A702" s="288" t="s">
        <v>1</v>
      </c>
      <c r="B702" s="215" t="s">
        <v>3889</v>
      </c>
      <c r="C702" s="208" t="s">
        <v>94</v>
      </c>
      <c r="D702" s="289" t="s">
        <v>550</v>
      </c>
      <c r="E702" s="281">
        <v>300</v>
      </c>
      <c r="F702" s="284" t="s">
        <v>19</v>
      </c>
      <c r="G702" s="282">
        <v>50</v>
      </c>
      <c r="H702" s="264">
        <f t="shared" si="63"/>
        <v>15000</v>
      </c>
      <c r="I702" s="283">
        <v>47.56</v>
      </c>
      <c r="J702" s="265">
        <f t="shared" si="60"/>
        <v>2.4399999999999977</v>
      </c>
      <c r="K702" s="267">
        <f t="shared" si="61"/>
        <v>731.99999999999932</v>
      </c>
      <c r="L702" s="268">
        <f t="shared" si="62"/>
        <v>4.8799999999999955E-2</v>
      </c>
      <c r="M702" s="12" t="s">
        <v>22</v>
      </c>
      <c r="N702" s="12" t="s">
        <v>105</v>
      </c>
    </row>
    <row r="703" spans="1:14">
      <c r="A703" s="288" t="s">
        <v>1</v>
      </c>
      <c r="B703" s="215" t="s">
        <v>3889</v>
      </c>
      <c r="C703" s="208" t="s">
        <v>94</v>
      </c>
      <c r="D703" s="289" t="s">
        <v>546</v>
      </c>
      <c r="E703" s="281">
        <v>200</v>
      </c>
      <c r="F703" s="284" t="s">
        <v>19</v>
      </c>
      <c r="G703" s="282">
        <v>190</v>
      </c>
      <c r="H703" s="264">
        <f t="shared" si="63"/>
        <v>38000</v>
      </c>
      <c r="I703" s="283">
        <v>182.25</v>
      </c>
      <c r="J703" s="265">
        <f t="shared" si="60"/>
        <v>7.75</v>
      </c>
      <c r="K703" s="267">
        <f t="shared" si="61"/>
        <v>1550</v>
      </c>
      <c r="L703" s="268">
        <f t="shared" si="62"/>
        <v>4.0789473684210528E-2</v>
      </c>
      <c r="M703" s="12" t="s">
        <v>22</v>
      </c>
      <c r="N703" s="12" t="s">
        <v>105</v>
      </c>
    </row>
    <row r="704" spans="1:14">
      <c r="A704" s="288" t="s">
        <v>1</v>
      </c>
      <c r="B704" s="215" t="s">
        <v>3889</v>
      </c>
      <c r="C704" s="208" t="s">
        <v>94</v>
      </c>
      <c r="D704" s="289" t="s">
        <v>457</v>
      </c>
      <c r="E704" s="281">
        <v>200</v>
      </c>
      <c r="F704" s="284" t="s">
        <v>19</v>
      </c>
      <c r="G704" s="282">
        <v>5.25</v>
      </c>
      <c r="H704" s="264">
        <f t="shared" si="63"/>
        <v>1050</v>
      </c>
      <c r="I704" s="283">
        <v>5.0999999999999996</v>
      </c>
      <c r="J704" s="265">
        <f t="shared" si="60"/>
        <v>0.15000000000000036</v>
      </c>
      <c r="K704" s="267">
        <f t="shared" si="61"/>
        <v>30.000000000000071</v>
      </c>
      <c r="L704" s="268">
        <f t="shared" si="62"/>
        <v>2.857142857142864E-2</v>
      </c>
      <c r="M704" s="12" t="s">
        <v>22</v>
      </c>
      <c r="N704" s="12" t="s">
        <v>105</v>
      </c>
    </row>
    <row r="705" spans="1:14">
      <c r="A705" s="288" t="s">
        <v>1</v>
      </c>
      <c r="B705" s="215" t="s">
        <v>3889</v>
      </c>
      <c r="C705" s="208" t="s">
        <v>94</v>
      </c>
      <c r="D705" s="289" t="s">
        <v>458</v>
      </c>
      <c r="E705" s="281">
        <v>100</v>
      </c>
      <c r="F705" s="284" t="s">
        <v>19</v>
      </c>
      <c r="G705" s="282">
        <v>9.5</v>
      </c>
      <c r="H705" s="264">
        <f t="shared" si="63"/>
        <v>950</v>
      </c>
      <c r="I705" s="283">
        <v>9.35</v>
      </c>
      <c r="J705" s="265">
        <f t="shared" si="60"/>
        <v>0.15000000000000036</v>
      </c>
      <c r="K705" s="267">
        <f t="shared" si="61"/>
        <v>15.000000000000036</v>
      </c>
      <c r="L705" s="268">
        <f t="shared" si="62"/>
        <v>1.5789473684210565E-2</v>
      </c>
      <c r="M705" s="12" t="s">
        <v>22</v>
      </c>
      <c r="N705" s="12" t="s">
        <v>105</v>
      </c>
    </row>
    <row r="706" spans="1:14">
      <c r="A706" s="288" t="s">
        <v>1</v>
      </c>
      <c r="B706" s="159" t="s">
        <v>3890</v>
      </c>
      <c r="C706" s="209" t="s">
        <v>78</v>
      </c>
      <c r="D706" s="209" t="s">
        <v>3891</v>
      </c>
      <c r="E706" s="281">
        <v>20</v>
      </c>
      <c r="F706" s="284" t="s">
        <v>19</v>
      </c>
      <c r="G706" s="282">
        <v>80</v>
      </c>
      <c r="H706" s="264">
        <f t="shared" si="63"/>
        <v>1600</v>
      </c>
      <c r="I706" s="283">
        <v>60</v>
      </c>
      <c r="J706" s="265">
        <f t="shared" si="60"/>
        <v>20</v>
      </c>
      <c r="K706" s="267">
        <f t="shared" si="61"/>
        <v>400</v>
      </c>
      <c r="L706" s="268">
        <f t="shared" si="62"/>
        <v>0.25</v>
      </c>
      <c r="M706" s="12" t="s">
        <v>40</v>
      </c>
      <c r="N706" s="12" t="s">
        <v>105</v>
      </c>
    </row>
    <row r="707" spans="1:14">
      <c r="A707" s="288" t="s">
        <v>1</v>
      </c>
      <c r="B707" s="159" t="s">
        <v>3892</v>
      </c>
      <c r="C707" s="209" t="s">
        <v>3893</v>
      </c>
      <c r="D707" s="209" t="s">
        <v>3894</v>
      </c>
      <c r="E707" s="281">
        <v>42</v>
      </c>
      <c r="F707" s="284" t="s">
        <v>19</v>
      </c>
      <c r="G707" s="282">
        <v>8100</v>
      </c>
      <c r="H707" s="264">
        <f t="shared" si="63"/>
        <v>340200</v>
      </c>
      <c r="I707" s="283">
        <v>8000</v>
      </c>
      <c r="J707" s="265">
        <f t="shared" si="60"/>
        <v>100</v>
      </c>
      <c r="K707" s="267">
        <f t="shared" si="61"/>
        <v>4200</v>
      </c>
      <c r="L707" s="268">
        <f t="shared" si="62"/>
        <v>1.2345679012345678E-2</v>
      </c>
      <c r="M707" s="12" t="s">
        <v>40</v>
      </c>
      <c r="N707" s="12" t="s">
        <v>39</v>
      </c>
    </row>
    <row r="708" spans="1:14">
      <c r="A708" s="288" t="s">
        <v>1</v>
      </c>
      <c r="B708" s="159" t="s">
        <v>3895</v>
      </c>
      <c r="C708" s="209" t="s">
        <v>166</v>
      </c>
      <c r="D708" s="209" t="s">
        <v>3062</v>
      </c>
      <c r="E708" s="281">
        <v>19950</v>
      </c>
      <c r="F708" s="284" t="s">
        <v>37</v>
      </c>
      <c r="G708" s="282">
        <v>31.35</v>
      </c>
      <c r="H708" s="264">
        <f t="shared" si="63"/>
        <v>625432.5</v>
      </c>
      <c r="I708" s="283">
        <v>26.04</v>
      </c>
      <c r="J708" s="265">
        <f t="shared" si="60"/>
        <v>5.3100000000000023</v>
      </c>
      <c r="K708" s="267">
        <f t="shared" si="61"/>
        <v>105934.50000000004</v>
      </c>
      <c r="L708" s="268">
        <f t="shared" si="62"/>
        <v>0.16937799043062207</v>
      </c>
      <c r="M708" s="12" t="s">
        <v>22</v>
      </c>
      <c r="N708" s="12" t="s">
        <v>105</v>
      </c>
    </row>
    <row r="709" spans="1:14">
      <c r="A709" s="288" t="s">
        <v>1</v>
      </c>
      <c r="B709" s="159" t="s">
        <v>3896</v>
      </c>
      <c r="C709" s="209" t="s">
        <v>2294</v>
      </c>
      <c r="D709" s="209" t="s">
        <v>3897</v>
      </c>
      <c r="E709" s="281">
        <v>1</v>
      </c>
      <c r="F709" s="284" t="s">
        <v>3898</v>
      </c>
      <c r="G709" s="282">
        <v>35707.5</v>
      </c>
      <c r="H709" s="264">
        <f t="shared" si="63"/>
        <v>35707.5</v>
      </c>
      <c r="I709" s="283">
        <v>34000</v>
      </c>
      <c r="J709" s="265">
        <f t="shared" si="60"/>
        <v>1707.5</v>
      </c>
      <c r="K709" s="267">
        <f t="shared" si="61"/>
        <v>1707.5</v>
      </c>
      <c r="L709" s="268">
        <f t="shared" si="62"/>
        <v>4.7819085626268992E-2</v>
      </c>
      <c r="M709" s="12" t="s">
        <v>40</v>
      </c>
      <c r="N709" s="12" t="s">
        <v>105</v>
      </c>
    </row>
    <row r="710" spans="1:14">
      <c r="A710" s="288" t="s">
        <v>1</v>
      </c>
      <c r="B710" s="159" t="s">
        <v>3883</v>
      </c>
      <c r="C710" s="159" t="s">
        <v>1042</v>
      </c>
      <c r="D710" s="209" t="s">
        <v>889</v>
      </c>
      <c r="E710" s="281">
        <v>1005</v>
      </c>
      <c r="F710" s="284" t="s">
        <v>37</v>
      </c>
      <c r="G710" s="282">
        <v>394</v>
      </c>
      <c r="H710" s="264">
        <f t="shared" si="63"/>
        <v>395970</v>
      </c>
      <c r="I710" s="283">
        <v>364</v>
      </c>
      <c r="J710" s="265">
        <f t="shared" si="60"/>
        <v>30</v>
      </c>
      <c r="K710" s="267">
        <f t="shared" si="61"/>
        <v>30150</v>
      </c>
      <c r="L710" s="268">
        <f t="shared" si="62"/>
        <v>7.6142131979695438E-2</v>
      </c>
      <c r="M710" s="12" t="s">
        <v>22</v>
      </c>
      <c r="N710" s="12" t="s">
        <v>105</v>
      </c>
    </row>
    <row r="711" spans="1:14">
      <c r="A711" s="288" t="s">
        <v>1</v>
      </c>
      <c r="B711" s="159" t="s">
        <v>3899</v>
      </c>
      <c r="C711" s="209" t="s">
        <v>1488</v>
      </c>
      <c r="D711" s="209" t="s">
        <v>3900</v>
      </c>
      <c r="E711" s="281">
        <v>108.5</v>
      </c>
      <c r="F711" s="284" t="s">
        <v>37</v>
      </c>
      <c r="G711" s="282">
        <v>383</v>
      </c>
      <c r="H711" s="264">
        <f t="shared" si="63"/>
        <v>41555.5</v>
      </c>
      <c r="I711" s="283">
        <v>375</v>
      </c>
      <c r="J711" s="265">
        <f t="shared" si="60"/>
        <v>8</v>
      </c>
      <c r="K711" s="267">
        <f t="shared" si="61"/>
        <v>868</v>
      </c>
      <c r="L711" s="268">
        <f t="shared" si="62"/>
        <v>2.0887728459530026E-2</v>
      </c>
      <c r="M711" s="12" t="s">
        <v>22</v>
      </c>
      <c r="N711" s="12" t="s">
        <v>105</v>
      </c>
    </row>
    <row r="712" spans="1:14">
      <c r="A712" s="288" t="s">
        <v>1</v>
      </c>
      <c r="B712" s="159" t="s">
        <v>3901</v>
      </c>
      <c r="C712" s="209" t="s">
        <v>1042</v>
      </c>
      <c r="D712" s="209" t="s">
        <v>3902</v>
      </c>
      <c r="E712" s="281">
        <v>2124</v>
      </c>
      <c r="F712" s="284" t="s">
        <v>37</v>
      </c>
      <c r="G712" s="282">
        <v>394</v>
      </c>
      <c r="H712" s="264">
        <f t="shared" si="63"/>
        <v>836856</v>
      </c>
      <c r="I712" s="283">
        <v>353</v>
      </c>
      <c r="J712" s="265">
        <f t="shared" si="60"/>
        <v>41</v>
      </c>
      <c r="K712" s="267">
        <f t="shared" si="61"/>
        <v>87084</v>
      </c>
      <c r="L712" s="268">
        <f t="shared" si="62"/>
        <v>0.10406091370558376</v>
      </c>
      <c r="M712" s="12" t="s">
        <v>22</v>
      </c>
      <c r="N712" s="12" t="s">
        <v>105</v>
      </c>
    </row>
    <row r="713" spans="1:14">
      <c r="A713" s="288" t="s">
        <v>1</v>
      </c>
      <c r="B713" s="159" t="s">
        <v>3903</v>
      </c>
      <c r="C713" s="209" t="s">
        <v>1042</v>
      </c>
      <c r="D713" s="209" t="s">
        <v>711</v>
      </c>
      <c r="E713" s="281">
        <v>113958</v>
      </c>
      <c r="F713" s="284" t="s">
        <v>37</v>
      </c>
      <c r="G713" s="282">
        <v>364</v>
      </c>
      <c r="H713" s="264">
        <f t="shared" si="63"/>
        <v>41480712</v>
      </c>
      <c r="I713" s="283">
        <v>353</v>
      </c>
      <c r="J713" s="265">
        <f t="shared" si="60"/>
        <v>11</v>
      </c>
      <c r="K713" s="267">
        <f t="shared" si="61"/>
        <v>1253538</v>
      </c>
      <c r="L713" s="268">
        <f t="shared" si="62"/>
        <v>3.021978021978022E-2</v>
      </c>
      <c r="M713" s="12" t="s">
        <v>22</v>
      </c>
      <c r="N713" s="12" t="s">
        <v>105</v>
      </c>
    </row>
    <row r="714" spans="1:14">
      <c r="A714" s="288" t="s">
        <v>1</v>
      </c>
      <c r="B714" s="159" t="s">
        <v>3904</v>
      </c>
      <c r="C714" s="209" t="s">
        <v>2294</v>
      </c>
      <c r="D714" s="209" t="s">
        <v>3905</v>
      </c>
      <c r="E714" s="281">
        <v>1</v>
      </c>
      <c r="F714" s="284" t="s">
        <v>285</v>
      </c>
      <c r="G714" s="282">
        <v>38151.25</v>
      </c>
      <c r="H714" s="264">
        <f t="shared" si="63"/>
        <v>38151.25</v>
      </c>
      <c r="I714" s="283">
        <v>33000</v>
      </c>
      <c r="J714" s="265">
        <f t="shared" si="60"/>
        <v>5151.25</v>
      </c>
      <c r="K714" s="267">
        <f t="shared" si="61"/>
        <v>5151.25</v>
      </c>
      <c r="L714" s="268">
        <f t="shared" si="62"/>
        <v>0.1350217882769241</v>
      </c>
      <c r="M714" s="12" t="s">
        <v>40</v>
      </c>
      <c r="N714" s="12" t="s">
        <v>105</v>
      </c>
    </row>
    <row r="715" spans="1:14">
      <c r="A715" s="288" t="s">
        <v>1</v>
      </c>
      <c r="B715" s="159" t="s">
        <v>3889</v>
      </c>
      <c r="C715" s="209" t="s">
        <v>94</v>
      </c>
      <c r="D715" s="209" t="s">
        <v>1038</v>
      </c>
      <c r="E715" s="281">
        <v>200</v>
      </c>
      <c r="F715" s="284" t="s">
        <v>19</v>
      </c>
      <c r="G715" s="282">
        <v>15.5</v>
      </c>
      <c r="H715" s="264">
        <f t="shared" si="63"/>
        <v>3100</v>
      </c>
      <c r="I715" s="283">
        <v>14.76</v>
      </c>
      <c r="J715" s="265">
        <f t="shared" si="60"/>
        <v>0.74000000000000021</v>
      </c>
      <c r="K715" s="267">
        <f t="shared" si="61"/>
        <v>148.00000000000006</v>
      </c>
      <c r="L715" s="268">
        <f t="shared" si="62"/>
        <v>4.7741935483870984E-2</v>
      </c>
      <c r="M715" s="12" t="s">
        <v>22</v>
      </c>
      <c r="N715" s="12" t="s">
        <v>105</v>
      </c>
    </row>
    <row r="716" spans="1:14">
      <c r="A716" s="288" t="s">
        <v>1</v>
      </c>
      <c r="B716" s="159" t="s">
        <v>3889</v>
      </c>
      <c r="C716" s="209" t="s">
        <v>94</v>
      </c>
      <c r="D716" s="209" t="s">
        <v>550</v>
      </c>
      <c r="E716" s="281">
        <v>300</v>
      </c>
      <c r="F716" s="284" t="s">
        <v>19</v>
      </c>
      <c r="G716" s="282">
        <v>50</v>
      </c>
      <c r="H716" s="264">
        <f t="shared" si="63"/>
        <v>15000</v>
      </c>
      <c r="I716" s="283">
        <v>47.56</v>
      </c>
      <c r="J716" s="265">
        <f t="shared" si="60"/>
        <v>2.4399999999999977</v>
      </c>
      <c r="K716" s="267">
        <f t="shared" si="61"/>
        <v>731.99999999999932</v>
      </c>
      <c r="L716" s="268">
        <f t="shared" si="62"/>
        <v>4.8799999999999955E-2</v>
      </c>
      <c r="M716" s="12" t="s">
        <v>22</v>
      </c>
      <c r="N716" s="12" t="s">
        <v>105</v>
      </c>
    </row>
    <row r="717" spans="1:14">
      <c r="A717" s="288" t="s">
        <v>1</v>
      </c>
      <c r="B717" s="159" t="s">
        <v>3889</v>
      </c>
      <c r="C717" s="209" t="s">
        <v>94</v>
      </c>
      <c r="D717" s="209" t="s">
        <v>546</v>
      </c>
      <c r="E717" s="281">
        <v>200</v>
      </c>
      <c r="F717" s="284" t="s">
        <v>19</v>
      </c>
      <c r="G717" s="18">
        <v>190</v>
      </c>
      <c r="H717" s="264">
        <f t="shared" si="63"/>
        <v>38000</v>
      </c>
      <c r="I717" s="283">
        <v>182.25</v>
      </c>
      <c r="J717" s="265">
        <f t="shared" si="60"/>
        <v>7.75</v>
      </c>
      <c r="K717" s="267">
        <f t="shared" si="61"/>
        <v>1550</v>
      </c>
      <c r="L717" s="268">
        <f t="shared" si="62"/>
        <v>4.0789473684210528E-2</v>
      </c>
      <c r="M717" s="12" t="s">
        <v>22</v>
      </c>
      <c r="N717" s="12" t="s">
        <v>105</v>
      </c>
    </row>
    <row r="718" spans="1:14">
      <c r="A718" s="288" t="s">
        <v>1</v>
      </c>
      <c r="B718" s="159" t="s">
        <v>3889</v>
      </c>
      <c r="C718" s="209" t="s">
        <v>94</v>
      </c>
      <c r="D718" s="209" t="s">
        <v>457</v>
      </c>
      <c r="E718" s="281">
        <v>200</v>
      </c>
      <c r="F718" s="284" t="s">
        <v>19</v>
      </c>
      <c r="G718" s="18">
        <v>5.25</v>
      </c>
      <c r="H718" s="264">
        <f t="shared" si="63"/>
        <v>1050</v>
      </c>
      <c r="I718" s="283">
        <v>5.0999999999999996</v>
      </c>
      <c r="J718" s="265">
        <f t="shared" si="60"/>
        <v>0.15000000000000036</v>
      </c>
      <c r="K718" s="267">
        <f t="shared" si="61"/>
        <v>30.000000000000071</v>
      </c>
      <c r="L718" s="268">
        <f t="shared" si="62"/>
        <v>2.857142857142864E-2</v>
      </c>
      <c r="M718" s="12" t="s">
        <v>22</v>
      </c>
      <c r="N718" s="12" t="s">
        <v>105</v>
      </c>
    </row>
    <row r="719" spans="1:14">
      <c r="A719" s="288" t="s">
        <v>1</v>
      </c>
      <c r="B719" s="159" t="s">
        <v>3889</v>
      </c>
      <c r="C719" s="209" t="s">
        <v>94</v>
      </c>
      <c r="D719" s="209" t="s">
        <v>458</v>
      </c>
      <c r="E719" s="281">
        <v>100</v>
      </c>
      <c r="F719" s="284" t="s">
        <v>19</v>
      </c>
      <c r="G719" s="18">
        <v>9.5</v>
      </c>
      <c r="H719" s="264">
        <f t="shared" si="63"/>
        <v>950</v>
      </c>
      <c r="I719" s="283">
        <v>9.35</v>
      </c>
      <c r="J719" s="265">
        <f t="shared" si="60"/>
        <v>0.15000000000000036</v>
      </c>
      <c r="K719" s="267">
        <f t="shared" si="61"/>
        <v>15.000000000000036</v>
      </c>
      <c r="L719" s="268">
        <f t="shared" si="62"/>
        <v>1.5789473684210565E-2</v>
      </c>
      <c r="M719" s="12" t="s">
        <v>22</v>
      </c>
      <c r="N719" s="12" t="s">
        <v>105</v>
      </c>
    </row>
    <row r="720" spans="1:14">
      <c r="A720" s="288" t="s">
        <v>1</v>
      </c>
      <c r="B720" s="159" t="s">
        <v>3906</v>
      </c>
      <c r="C720" s="209" t="s">
        <v>3893</v>
      </c>
      <c r="D720" s="209" t="s">
        <v>3907</v>
      </c>
      <c r="E720" s="281">
        <v>42</v>
      </c>
      <c r="F720" s="284" t="s">
        <v>19</v>
      </c>
      <c r="G720" s="282">
        <v>405</v>
      </c>
      <c r="H720" s="264">
        <f t="shared" si="63"/>
        <v>17010</v>
      </c>
      <c r="I720" s="283">
        <v>400</v>
      </c>
      <c r="J720" s="265">
        <f t="shared" si="60"/>
        <v>5</v>
      </c>
      <c r="K720" s="267">
        <f t="shared" si="61"/>
        <v>210</v>
      </c>
      <c r="L720" s="268">
        <f t="shared" si="62"/>
        <v>1.2345679012345678E-2</v>
      </c>
      <c r="M720" s="12" t="s">
        <v>40</v>
      </c>
      <c r="N720" s="12" t="s">
        <v>105</v>
      </c>
    </row>
    <row r="721" spans="1:14">
      <c r="A721" s="288" t="s">
        <v>1</v>
      </c>
      <c r="B721" s="159" t="s">
        <v>3908</v>
      </c>
      <c r="C721" s="209" t="s">
        <v>200</v>
      </c>
      <c r="D721" s="209" t="s">
        <v>3909</v>
      </c>
      <c r="E721" s="281">
        <v>2</v>
      </c>
      <c r="F721" s="284" t="s">
        <v>3910</v>
      </c>
      <c r="G721" s="282">
        <v>72500</v>
      </c>
      <c r="H721" s="264">
        <f t="shared" si="63"/>
        <v>145000</v>
      </c>
      <c r="I721" s="283">
        <v>70000</v>
      </c>
      <c r="J721" s="265">
        <f t="shared" si="60"/>
        <v>2500</v>
      </c>
      <c r="K721" s="267">
        <f t="shared" si="61"/>
        <v>5000</v>
      </c>
      <c r="L721" s="268">
        <f t="shared" si="62"/>
        <v>3.4482758620689655E-2</v>
      </c>
      <c r="M721" s="12" t="s">
        <v>40</v>
      </c>
      <c r="N721" s="12" t="s">
        <v>39</v>
      </c>
    </row>
    <row r="722" spans="1:14">
      <c r="A722" s="288" t="s">
        <v>1</v>
      </c>
      <c r="B722" s="159" t="s">
        <v>3911</v>
      </c>
      <c r="C722" s="209" t="s">
        <v>68</v>
      </c>
      <c r="D722" s="209" t="s">
        <v>755</v>
      </c>
      <c r="E722" s="281">
        <v>21653.1</v>
      </c>
      <c r="F722" s="284" t="s">
        <v>37</v>
      </c>
      <c r="G722" s="282">
        <v>374</v>
      </c>
      <c r="H722" s="264">
        <f t="shared" si="63"/>
        <v>8098259.3999999994</v>
      </c>
      <c r="I722" s="283">
        <v>370</v>
      </c>
      <c r="J722" s="265">
        <f t="shared" si="60"/>
        <v>4</v>
      </c>
      <c r="K722" s="267">
        <f t="shared" si="61"/>
        <v>86612.4</v>
      </c>
      <c r="L722" s="268">
        <f t="shared" si="62"/>
        <v>1.06951871657754E-2</v>
      </c>
      <c r="M722" s="12" t="s">
        <v>22</v>
      </c>
      <c r="N722" s="12" t="s">
        <v>105</v>
      </c>
    </row>
    <row r="723" spans="1:14">
      <c r="A723" s="288" t="s">
        <v>1</v>
      </c>
      <c r="B723" s="159" t="s">
        <v>3912</v>
      </c>
      <c r="C723" s="209" t="s">
        <v>270</v>
      </c>
      <c r="D723" s="209" t="s">
        <v>1244</v>
      </c>
      <c r="E723" s="281">
        <v>19</v>
      </c>
      <c r="F723" s="284" t="s">
        <v>302</v>
      </c>
      <c r="G723" s="282">
        <v>145227</v>
      </c>
      <c r="H723" s="264">
        <f t="shared" si="63"/>
        <v>2759313</v>
      </c>
      <c r="I723" s="283">
        <v>144504</v>
      </c>
      <c r="J723" s="265">
        <f t="shared" ref="J723:J786" si="64">G723-I723</f>
        <v>723</v>
      </c>
      <c r="K723" s="267">
        <f t="shared" ref="K723:K786" si="65">J723*E723</f>
        <v>13737</v>
      </c>
      <c r="L723" s="268">
        <f t="shared" ref="L723:L786" si="66">J723/G723</f>
        <v>4.9784131050011364E-3</v>
      </c>
      <c r="M723" s="12" t="s">
        <v>40</v>
      </c>
      <c r="N723" s="12" t="s">
        <v>105</v>
      </c>
    </row>
    <row r="724" spans="1:14">
      <c r="A724" s="288" t="s">
        <v>1</v>
      </c>
      <c r="B724" s="159" t="s">
        <v>3913</v>
      </c>
      <c r="C724" s="209" t="s">
        <v>593</v>
      </c>
      <c r="D724" s="209" t="s">
        <v>3914</v>
      </c>
      <c r="E724" s="281">
        <v>27</v>
      </c>
      <c r="F724" s="284" t="s">
        <v>302</v>
      </c>
      <c r="G724" s="282">
        <v>2400</v>
      </c>
      <c r="H724" s="264">
        <f t="shared" ref="H724:H790" si="67">G724*E724</f>
        <v>64800</v>
      </c>
      <c r="I724" s="283">
        <v>2350</v>
      </c>
      <c r="J724" s="265">
        <f t="shared" si="64"/>
        <v>50</v>
      </c>
      <c r="K724" s="267">
        <f t="shared" si="65"/>
        <v>1350</v>
      </c>
      <c r="L724" s="268">
        <f t="shared" si="66"/>
        <v>2.0833333333333332E-2</v>
      </c>
      <c r="M724" s="12" t="s">
        <v>40</v>
      </c>
      <c r="N724" s="12" t="s">
        <v>105</v>
      </c>
    </row>
    <row r="725" spans="1:14">
      <c r="A725" s="288" t="s">
        <v>1</v>
      </c>
      <c r="B725" s="159" t="s">
        <v>3915</v>
      </c>
      <c r="C725" s="209" t="s">
        <v>3916</v>
      </c>
      <c r="D725" s="209" t="s">
        <v>3917</v>
      </c>
      <c r="E725" s="281">
        <v>1</v>
      </c>
      <c r="F725" s="284" t="s">
        <v>285</v>
      </c>
      <c r="G725" s="282">
        <v>67480</v>
      </c>
      <c r="H725" s="264">
        <f t="shared" si="67"/>
        <v>67480</v>
      </c>
      <c r="I725" s="283">
        <v>62000</v>
      </c>
      <c r="J725" s="265">
        <f t="shared" si="64"/>
        <v>5480</v>
      </c>
      <c r="K725" s="267">
        <f t="shared" si="65"/>
        <v>5480</v>
      </c>
      <c r="L725" s="268">
        <f t="shared" si="66"/>
        <v>8.1209247184350922E-2</v>
      </c>
      <c r="M725" s="12" t="s">
        <v>40</v>
      </c>
      <c r="N725" s="12" t="s">
        <v>105</v>
      </c>
    </row>
    <row r="726" spans="1:14">
      <c r="A726" s="288" t="s">
        <v>1</v>
      </c>
      <c r="B726" s="159" t="s">
        <v>3918</v>
      </c>
      <c r="C726" s="209" t="s">
        <v>17</v>
      </c>
      <c r="D726" s="209" t="s">
        <v>3919</v>
      </c>
      <c r="E726" s="281">
        <v>42</v>
      </c>
      <c r="F726" s="284" t="s">
        <v>19</v>
      </c>
      <c r="G726" s="282">
        <v>70</v>
      </c>
      <c r="H726" s="264">
        <f t="shared" si="67"/>
        <v>2940</v>
      </c>
      <c r="I726" s="283">
        <v>50</v>
      </c>
      <c r="J726" s="265">
        <f t="shared" si="64"/>
        <v>20</v>
      </c>
      <c r="K726" s="267">
        <f t="shared" si="65"/>
        <v>840</v>
      </c>
      <c r="L726" s="268">
        <f t="shared" si="66"/>
        <v>0.2857142857142857</v>
      </c>
      <c r="M726" s="12" t="s">
        <v>40</v>
      </c>
      <c r="N726" s="12" t="s">
        <v>39</v>
      </c>
    </row>
    <row r="727" spans="1:14">
      <c r="A727" s="313" t="s">
        <v>1</v>
      </c>
      <c r="B727" s="159" t="s">
        <v>3918</v>
      </c>
      <c r="C727" s="209" t="s">
        <v>17</v>
      </c>
      <c r="D727" s="209" t="s">
        <v>3920</v>
      </c>
      <c r="E727" s="281">
        <v>252</v>
      </c>
      <c r="F727" s="284" t="s">
        <v>19</v>
      </c>
      <c r="G727" s="282">
        <v>70</v>
      </c>
      <c r="H727" s="264">
        <f t="shared" si="67"/>
        <v>17640</v>
      </c>
      <c r="I727" s="283">
        <v>55</v>
      </c>
      <c r="J727" s="265">
        <f t="shared" si="64"/>
        <v>15</v>
      </c>
      <c r="K727" s="267">
        <f t="shared" si="65"/>
        <v>3780</v>
      </c>
      <c r="L727" s="268">
        <f t="shared" si="66"/>
        <v>0.21428571428571427</v>
      </c>
      <c r="M727" s="12" t="s">
        <v>40</v>
      </c>
      <c r="N727" s="12" t="s">
        <v>39</v>
      </c>
    </row>
    <row r="728" spans="1:14">
      <c r="A728" s="144" t="s">
        <v>1</v>
      </c>
      <c r="B728" s="323" t="s">
        <v>3921</v>
      </c>
      <c r="C728" s="209" t="s">
        <v>1042</v>
      </c>
      <c r="D728" s="209" t="s">
        <v>711</v>
      </c>
      <c r="E728" s="281">
        <v>912</v>
      </c>
      <c r="F728" s="284" t="s">
        <v>37</v>
      </c>
      <c r="G728" s="282">
        <v>394</v>
      </c>
      <c r="H728" s="264">
        <f t="shared" si="67"/>
        <v>359328</v>
      </c>
      <c r="I728" s="283">
        <v>364</v>
      </c>
      <c r="J728" s="265">
        <f t="shared" si="64"/>
        <v>30</v>
      </c>
      <c r="K728" s="267">
        <f t="shared" si="65"/>
        <v>27360</v>
      </c>
      <c r="L728" s="268">
        <f t="shared" si="66"/>
        <v>7.6142131979695438E-2</v>
      </c>
      <c r="M728" s="12" t="s">
        <v>22</v>
      </c>
      <c r="N728" s="12" t="s">
        <v>105</v>
      </c>
    </row>
    <row r="729" spans="1:14">
      <c r="A729" s="144" t="s">
        <v>1</v>
      </c>
      <c r="B729" s="323" t="s">
        <v>3922</v>
      </c>
      <c r="C729" s="209" t="s">
        <v>708</v>
      </c>
      <c r="D729" s="209" t="s">
        <v>208</v>
      </c>
      <c r="E729" s="281">
        <v>2100</v>
      </c>
      <c r="F729" s="284" t="s">
        <v>37</v>
      </c>
      <c r="G729" s="282">
        <f>I729+5</f>
        <v>373.83</v>
      </c>
      <c r="H729" s="264">
        <f t="shared" si="67"/>
        <v>785043</v>
      </c>
      <c r="I729" s="283">
        <v>368.83</v>
      </c>
      <c r="J729" s="265">
        <f t="shared" si="64"/>
        <v>5</v>
      </c>
      <c r="K729" s="267">
        <f t="shared" si="65"/>
        <v>10500</v>
      </c>
      <c r="L729" s="268">
        <f t="shared" si="66"/>
        <v>1.3375063531551776E-2</v>
      </c>
      <c r="M729" s="12" t="s">
        <v>40</v>
      </c>
      <c r="N729" s="12" t="s">
        <v>105</v>
      </c>
    </row>
    <row r="730" spans="1:14">
      <c r="A730" s="144" t="s">
        <v>1</v>
      </c>
      <c r="B730" s="323" t="s">
        <v>3922</v>
      </c>
      <c r="C730" s="209" t="s">
        <v>708</v>
      </c>
      <c r="D730" s="209" t="s">
        <v>1248</v>
      </c>
      <c r="E730" s="281">
        <v>1800</v>
      </c>
      <c r="F730" s="284" t="s">
        <v>37</v>
      </c>
      <c r="G730" s="282">
        <f>I730+5</f>
        <v>374.09</v>
      </c>
      <c r="H730" s="264">
        <f t="shared" si="67"/>
        <v>673362</v>
      </c>
      <c r="I730" s="283">
        <v>369.09</v>
      </c>
      <c r="J730" s="265">
        <f t="shared" si="64"/>
        <v>5</v>
      </c>
      <c r="K730" s="267">
        <f t="shared" si="65"/>
        <v>9000</v>
      </c>
      <c r="L730" s="268">
        <f t="shared" si="66"/>
        <v>1.3365767596033041E-2</v>
      </c>
      <c r="M730" s="12" t="s">
        <v>40</v>
      </c>
      <c r="N730" s="12" t="s">
        <v>105</v>
      </c>
    </row>
    <row r="731" spans="1:14">
      <c r="A731" s="144" t="s">
        <v>1</v>
      </c>
      <c r="B731" s="159" t="s">
        <v>3923</v>
      </c>
      <c r="C731" s="209" t="s">
        <v>1442</v>
      </c>
      <c r="D731" s="209" t="s">
        <v>1137</v>
      </c>
      <c r="E731" s="281">
        <v>11400</v>
      </c>
      <c r="F731" s="284" t="s">
        <v>37</v>
      </c>
      <c r="G731" s="282">
        <v>365</v>
      </c>
      <c r="H731" s="264">
        <f t="shared" si="67"/>
        <v>4161000</v>
      </c>
      <c r="I731" s="283">
        <v>360</v>
      </c>
      <c r="J731" s="265">
        <f t="shared" si="64"/>
        <v>5</v>
      </c>
      <c r="K731" s="267">
        <f t="shared" si="65"/>
        <v>57000</v>
      </c>
      <c r="L731" s="268">
        <f t="shared" si="66"/>
        <v>1.3698630136986301E-2</v>
      </c>
      <c r="M731" s="12" t="s">
        <v>22</v>
      </c>
      <c r="N731" s="12" t="s">
        <v>105</v>
      </c>
    </row>
    <row r="732" spans="1:14">
      <c r="A732" s="144" t="s">
        <v>1</v>
      </c>
      <c r="B732" s="159" t="s">
        <v>3924</v>
      </c>
      <c r="C732" s="209" t="s">
        <v>2011</v>
      </c>
      <c r="D732" s="209" t="s">
        <v>3925</v>
      </c>
      <c r="E732" s="281">
        <v>80</v>
      </c>
      <c r="F732" s="284" t="s">
        <v>19</v>
      </c>
      <c r="G732" s="282">
        <f>150*38</f>
        <v>5700</v>
      </c>
      <c r="H732" s="264">
        <f t="shared" si="67"/>
        <v>456000</v>
      </c>
      <c r="I732" s="283">
        <f>145*38</f>
        <v>5510</v>
      </c>
      <c r="J732" s="265">
        <f t="shared" si="64"/>
        <v>190</v>
      </c>
      <c r="K732" s="267">
        <f t="shared" si="65"/>
        <v>15200</v>
      </c>
      <c r="L732" s="268">
        <f t="shared" si="66"/>
        <v>3.3333333333333333E-2</v>
      </c>
      <c r="M732" s="12" t="s">
        <v>40</v>
      </c>
      <c r="N732" s="12" t="s">
        <v>105</v>
      </c>
    </row>
    <row r="733" spans="1:14">
      <c r="A733" s="144" t="s">
        <v>1</v>
      </c>
      <c r="B733" s="159" t="s">
        <v>3926</v>
      </c>
      <c r="C733" s="209" t="s">
        <v>590</v>
      </c>
      <c r="D733" s="209" t="s">
        <v>2981</v>
      </c>
      <c r="E733" s="281">
        <v>2</v>
      </c>
      <c r="F733" s="284" t="s">
        <v>3910</v>
      </c>
      <c r="G733" s="282">
        <v>55000</v>
      </c>
      <c r="H733" s="264">
        <f t="shared" si="67"/>
        <v>110000</v>
      </c>
      <c r="I733" s="283">
        <v>50000</v>
      </c>
      <c r="J733" s="265">
        <f t="shared" si="64"/>
        <v>5000</v>
      </c>
      <c r="K733" s="267">
        <f t="shared" si="65"/>
        <v>10000</v>
      </c>
      <c r="L733" s="268">
        <f t="shared" si="66"/>
        <v>9.0909090909090912E-2</v>
      </c>
      <c r="M733" s="12" t="s">
        <v>22</v>
      </c>
      <c r="N733" s="12" t="s">
        <v>105</v>
      </c>
    </row>
    <row r="734" spans="1:14">
      <c r="A734" s="144" t="s">
        <v>1</v>
      </c>
      <c r="B734" s="159" t="s">
        <v>3927</v>
      </c>
      <c r="C734" s="290" t="s">
        <v>68</v>
      </c>
      <c r="D734" s="291" t="s">
        <v>3928</v>
      </c>
      <c r="E734" s="281">
        <v>568.5</v>
      </c>
      <c r="F734" s="284" t="s">
        <v>37</v>
      </c>
      <c r="G734" s="294">
        <v>365</v>
      </c>
      <c r="H734" s="264">
        <f t="shared" si="67"/>
        <v>207502.5</v>
      </c>
      <c r="I734" s="283">
        <v>363</v>
      </c>
      <c r="J734" s="265">
        <f t="shared" si="64"/>
        <v>2</v>
      </c>
      <c r="K734" s="267">
        <f t="shared" si="65"/>
        <v>1137</v>
      </c>
      <c r="L734" s="268">
        <f t="shared" si="66"/>
        <v>5.4794520547945206E-3</v>
      </c>
      <c r="M734" s="12" t="s">
        <v>40</v>
      </c>
      <c r="N734" s="12" t="s">
        <v>105</v>
      </c>
    </row>
    <row r="735" spans="1:14">
      <c r="A735" s="284" t="s">
        <v>1</v>
      </c>
      <c r="B735" s="159" t="s">
        <v>3929</v>
      </c>
      <c r="C735" s="290" t="s">
        <v>1042</v>
      </c>
      <c r="D735" s="291" t="s">
        <v>889</v>
      </c>
      <c r="E735" s="281">
        <v>1165</v>
      </c>
      <c r="F735" s="284" t="s">
        <v>37</v>
      </c>
      <c r="G735" s="294">
        <v>394</v>
      </c>
      <c r="H735" s="264">
        <f t="shared" si="67"/>
        <v>459010</v>
      </c>
      <c r="I735" s="283">
        <v>364</v>
      </c>
      <c r="J735" s="265">
        <f t="shared" si="64"/>
        <v>30</v>
      </c>
      <c r="K735" s="267">
        <f t="shared" si="65"/>
        <v>34950</v>
      </c>
      <c r="L735" s="268">
        <f t="shared" si="66"/>
        <v>7.6142131979695438E-2</v>
      </c>
      <c r="M735" s="12" t="s">
        <v>22</v>
      </c>
      <c r="N735" s="12" t="s">
        <v>105</v>
      </c>
    </row>
    <row r="736" spans="1:14">
      <c r="A736" s="284" t="s">
        <v>1</v>
      </c>
      <c r="B736" s="159" t="s">
        <v>3930</v>
      </c>
      <c r="C736" s="290" t="s">
        <v>3931</v>
      </c>
      <c r="D736" s="291" t="s">
        <v>3932</v>
      </c>
      <c r="E736" s="281">
        <v>47</v>
      </c>
      <c r="F736" s="293" t="s">
        <v>19</v>
      </c>
      <c r="G736" s="294">
        <v>850</v>
      </c>
      <c r="H736" s="264">
        <f t="shared" si="67"/>
        <v>39950</v>
      </c>
      <c r="I736" s="283">
        <v>800</v>
      </c>
      <c r="J736" s="265">
        <f t="shared" si="64"/>
        <v>50</v>
      </c>
      <c r="K736" s="267">
        <f t="shared" si="65"/>
        <v>2350</v>
      </c>
      <c r="L736" s="268">
        <f t="shared" si="66"/>
        <v>5.8823529411764705E-2</v>
      </c>
      <c r="M736" s="12" t="s">
        <v>22</v>
      </c>
      <c r="N736" s="12" t="s">
        <v>39</v>
      </c>
    </row>
    <row r="737" spans="1:14">
      <c r="A737" s="284" t="s">
        <v>1</v>
      </c>
      <c r="B737" s="159" t="s">
        <v>3930</v>
      </c>
      <c r="C737" s="290" t="s">
        <v>3931</v>
      </c>
      <c r="D737" s="291" t="s">
        <v>3933</v>
      </c>
      <c r="E737" s="314">
        <v>21</v>
      </c>
      <c r="F737" s="293" t="s">
        <v>19</v>
      </c>
      <c r="G737" s="294">
        <v>1200</v>
      </c>
      <c r="H737" s="264">
        <f t="shared" si="67"/>
        <v>25200</v>
      </c>
      <c r="I737" s="283">
        <v>1100</v>
      </c>
      <c r="J737" s="265">
        <f t="shared" si="64"/>
        <v>100</v>
      </c>
      <c r="K737" s="267">
        <f t="shared" si="65"/>
        <v>2100</v>
      </c>
      <c r="L737" s="268">
        <f t="shared" si="66"/>
        <v>8.3333333333333329E-2</v>
      </c>
      <c r="M737" s="12" t="s">
        <v>22</v>
      </c>
      <c r="N737" s="12" t="s">
        <v>39</v>
      </c>
    </row>
    <row r="738" spans="1:14">
      <c r="A738" s="284" t="s">
        <v>1</v>
      </c>
      <c r="B738" s="159" t="s">
        <v>3934</v>
      </c>
      <c r="C738" s="209" t="s">
        <v>1948</v>
      </c>
      <c r="D738" s="209" t="s">
        <v>3935</v>
      </c>
      <c r="E738" s="281">
        <v>5</v>
      </c>
      <c r="F738" s="284" t="s">
        <v>19</v>
      </c>
      <c r="G738" s="282">
        <v>890</v>
      </c>
      <c r="H738" s="264">
        <f t="shared" si="67"/>
        <v>4450</v>
      </c>
      <c r="I738" s="283">
        <v>670</v>
      </c>
      <c r="J738" s="265">
        <f t="shared" si="64"/>
        <v>220</v>
      </c>
      <c r="K738" s="267">
        <f t="shared" si="65"/>
        <v>1100</v>
      </c>
      <c r="L738" s="268">
        <f t="shared" si="66"/>
        <v>0.24719101123595505</v>
      </c>
      <c r="M738" s="12" t="s">
        <v>22</v>
      </c>
      <c r="N738" s="12" t="s">
        <v>105</v>
      </c>
    </row>
    <row r="739" spans="1:14">
      <c r="A739" s="284" t="s">
        <v>1</v>
      </c>
      <c r="B739" s="159" t="s">
        <v>3936</v>
      </c>
      <c r="C739" s="209" t="s">
        <v>1948</v>
      </c>
      <c r="D739" s="209" t="s">
        <v>3937</v>
      </c>
      <c r="E739" s="281">
        <v>10</v>
      </c>
      <c r="F739" s="284" t="s">
        <v>19</v>
      </c>
      <c r="G739" s="282">
        <v>260</v>
      </c>
      <c r="H739" s="264">
        <f t="shared" si="67"/>
        <v>2600</v>
      </c>
      <c r="I739" s="283">
        <v>185</v>
      </c>
      <c r="J739" s="265">
        <f t="shared" si="64"/>
        <v>75</v>
      </c>
      <c r="K739" s="267">
        <f t="shared" si="65"/>
        <v>750</v>
      </c>
      <c r="L739" s="268">
        <f t="shared" si="66"/>
        <v>0.28846153846153844</v>
      </c>
      <c r="M739" s="12" t="s">
        <v>22</v>
      </c>
      <c r="N739" s="12" t="s">
        <v>105</v>
      </c>
    </row>
    <row r="740" spans="1:14">
      <c r="A740" s="284" t="s">
        <v>1</v>
      </c>
      <c r="B740" s="315" t="s">
        <v>3938</v>
      </c>
      <c r="C740" s="209" t="s">
        <v>94</v>
      </c>
      <c r="D740" s="209" t="s">
        <v>613</v>
      </c>
      <c r="E740" s="281">
        <v>300</v>
      </c>
      <c r="F740" s="284" t="s">
        <v>19</v>
      </c>
      <c r="G740" s="282">
        <v>26</v>
      </c>
      <c r="H740" s="264">
        <f t="shared" si="67"/>
        <v>7800</v>
      </c>
      <c r="I740" s="283">
        <v>24.6</v>
      </c>
      <c r="J740" s="265">
        <f t="shared" si="64"/>
        <v>1.3999999999999986</v>
      </c>
      <c r="K740" s="267">
        <f t="shared" si="65"/>
        <v>419.99999999999955</v>
      </c>
      <c r="L740" s="268">
        <f t="shared" si="66"/>
        <v>5.3846153846153794E-2</v>
      </c>
      <c r="M740" s="12" t="s">
        <v>22</v>
      </c>
      <c r="N740" s="12" t="s">
        <v>105</v>
      </c>
    </row>
    <row r="741" spans="1:14">
      <c r="A741" s="284" t="s">
        <v>1</v>
      </c>
      <c r="B741" s="315" t="s">
        <v>3938</v>
      </c>
      <c r="C741" s="209" t="s">
        <v>94</v>
      </c>
      <c r="D741" s="209" t="s">
        <v>550</v>
      </c>
      <c r="E741" s="281">
        <v>300</v>
      </c>
      <c r="F741" s="284" t="s">
        <v>19</v>
      </c>
      <c r="G741" s="282">
        <v>50</v>
      </c>
      <c r="H741" s="264">
        <f t="shared" si="67"/>
        <v>15000</v>
      </c>
      <c r="I741" s="283">
        <v>47.56</v>
      </c>
      <c r="J741" s="265">
        <f t="shared" si="64"/>
        <v>2.4399999999999977</v>
      </c>
      <c r="K741" s="267">
        <f t="shared" si="65"/>
        <v>731.99999999999932</v>
      </c>
      <c r="L741" s="268">
        <f t="shared" si="66"/>
        <v>4.8799999999999955E-2</v>
      </c>
      <c r="M741" s="12" t="s">
        <v>22</v>
      </c>
      <c r="N741" s="12" t="s">
        <v>105</v>
      </c>
    </row>
    <row r="742" spans="1:14">
      <c r="A742" s="284" t="s">
        <v>1</v>
      </c>
      <c r="B742" s="159" t="s">
        <v>3939</v>
      </c>
      <c r="C742" s="209" t="s">
        <v>345</v>
      </c>
      <c r="D742" s="209" t="s">
        <v>3940</v>
      </c>
      <c r="E742" s="281">
        <v>1</v>
      </c>
      <c r="F742" s="284" t="s">
        <v>285</v>
      </c>
      <c r="G742" s="282">
        <v>860000</v>
      </c>
      <c r="H742" s="264">
        <f t="shared" si="67"/>
        <v>860000</v>
      </c>
      <c r="I742" s="283">
        <v>821500</v>
      </c>
      <c r="J742" s="265">
        <f t="shared" si="64"/>
        <v>38500</v>
      </c>
      <c r="K742" s="267">
        <f t="shared" si="65"/>
        <v>38500</v>
      </c>
      <c r="L742" s="268">
        <f t="shared" si="66"/>
        <v>4.4767441860465114E-2</v>
      </c>
      <c r="M742" s="12" t="s">
        <v>40</v>
      </c>
      <c r="N742" s="12" t="s">
        <v>39</v>
      </c>
    </row>
    <row r="743" spans="1:14">
      <c r="A743" s="284" t="s">
        <v>1</v>
      </c>
      <c r="B743" s="286" t="s">
        <v>3939</v>
      </c>
      <c r="C743" s="209" t="s">
        <v>345</v>
      </c>
      <c r="D743" s="209" t="s">
        <v>3941</v>
      </c>
      <c r="E743" s="281">
        <v>1</v>
      </c>
      <c r="F743" s="284" t="s">
        <v>285</v>
      </c>
      <c r="G743" s="282">
        <v>1109000</v>
      </c>
      <c r="H743" s="264">
        <f t="shared" si="67"/>
        <v>1109000</v>
      </c>
      <c r="I743" s="283">
        <v>1067500</v>
      </c>
      <c r="J743" s="265">
        <f t="shared" si="64"/>
        <v>41500</v>
      </c>
      <c r="K743" s="267">
        <f t="shared" si="65"/>
        <v>41500</v>
      </c>
      <c r="L743" s="268">
        <f t="shared" si="66"/>
        <v>3.7421100090171328E-2</v>
      </c>
      <c r="M743" s="12" t="s">
        <v>40</v>
      </c>
      <c r="N743" s="12" t="s">
        <v>39</v>
      </c>
    </row>
    <row r="744" spans="1:14">
      <c r="A744" s="288" t="s">
        <v>1</v>
      </c>
      <c r="B744" s="215" t="s">
        <v>3942</v>
      </c>
      <c r="C744" s="289" t="s">
        <v>708</v>
      </c>
      <c r="D744" s="209" t="s">
        <v>1135</v>
      </c>
      <c r="E744" s="281">
        <v>300</v>
      </c>
      <c r="F744" s="284" t="s">
        <v>37</v>
      </c>
      <c r="G744" s="282">
        <f t="shared" ref="G744:G749" si="68">I744+5</f>
        <v>374.39</v>
      </c>
      <c r="H744" s="264">
        <f t="shared" si="67"/>
        <v>112317</v>
      </c>
      <c r="I744" s="283">
        <v>369.39</v>
      </c>
      <c r="J744" s="265">
        <f t="shared" si="64"/>
        <v>5</v>
      </c>
      <c r="K744" s="267">
        <f t="shared" si="65"/>
        <v>1500</v>
      </c>
      <c r="L744" s="268">
        <f t="shared" si="66"/>
        <v>1.3355057560298086E-2</v>
      </c>
      <c r="M744" s="12" t="s">
        <v>40</v>
      </c>
      <c r="N744" s="12" t="s">
        <v>105</v>
      </c>
    </row>
    <row r="745" spans="1:14">
      <c r="A745" s="288" t="s">
        <v>1</v>
      </c>
      <c r="B745" s="215" t="s">
        <v>3942</v>
      </c>
      <c r="C745" s="289" t="s">
        <v>708</v>
      </c>
      <c r="D745" s="209" t="s">
        <v>3943</v>
      </c>
      <c r="E745" s="281">
        <v>500</v>
      </c>
      <c r="F745" s="284" t="s">
        <v>37</v>
      </c>
      <c r="G745" s="282">
        <f t="shared" si="68"/>
        <v>379.56</v>
      </c>
      <c r="H745" s="264">
        <f t="shared" si="67"/>
        <v>189780</v>
      </c>
      <c r="I745" s="283">
        <v>374.56</v>
      </c>
      <c r="J745" s="265">
        <f t="shared" si="64"/>
        <v>5</v>
      </c>
      <c r="K745" s="267">
        <f t="shared" si="65"/>
        <v>2500</v>
      </c>
      <c r="L745" s="268">
        <f t="shared" si="66"/>
        <v>1.3173147855411529E-2</v>
      </c>
      <c r="M745" s="12" t="s">
        <v>40</v>
      </c>
      <c r="N745" s="12" t="s">
        <v>105</v>
      </c>
    </row>
    <row r="746" spans="1:14">
      <c r="A746" s="288" t="s">
        <v>1</v>
      </c>
      <c r="B746" s="215" t="s">
        <v>3942</v>
      </c>
      <c r="C746" s="289" t="s">
        <v>708</v>
      </c>
      <c r="D746" s="209" t="s">
        <v>209</v>
      </c>
      <c r="E746" s="281">
        <v>300</v>
      </c>
      <c r="F746" s="284" t="s">
        <v>37</v>
      </c>
      <c r="G746" s="282">
        <f t="shared" si="68"/>
        <v>375.7</v>
      </c>
      <c r="H746" s="264">
        <f t="shared" si="67"/>
        <v>112710</v>
      </c>
      <c r="I746" s="283">
        <v>370.7</v>
      </c>
      <c r="J746" s="265">
        <f t="shared" si="64"/>
        <v>5</v>
      </c>
      <c r="K746" s="267">
        <f t="shared" si="65"/>
        <v>1500</v>
      </c>
      <c r="L746" s="268">
        <f t="shared" si="66"/>
        <v>1.3308490817141336E-2</v>
      </c>
      <c r="M746" s="12" t="s">
        <v>40</v>
      </c>
      <c r="N746" s="12" t="s">
        <v>105</v>
      </c>
    </row>
    <row r="747" spans="1:14">
      <c r="A747" s="288" t="s">
        <v>1</v>
      </c>
      <c r="B747" s="215" t="s">
        <v>3942</v>
      </c>
      <c r="C747" s="289" t="s">
        <v>708</v>
      </c>
      <c r="D747" s="209" t="s">
        <v>709</v>
      </c>
      <c r="E747" s="281">
        <v>600</v>
      </c>
      <c r="F747" s="284" t="s">
        <v>37</v>
      </c>
      <c r="G747" s="282">
        <f t="shared" si="68"/>
        <v>374.09</v>
      </c>
      <c r="H747" s="264">
        <f t="shared" si="67"/>
        <v>224453.99999999997</v>
      </c>
      <c r="I747" s="283">
        <v>369.09</v>
      </c>
      <c r="J747" s="265">
        <f t="shared" si="64"/>
        <v>5</v>
      </c>
      <c r="K747" s="267">
        <f t="shared" si="65"/>
        <v>3000</v>
      </c>
      <c r="L747" s="268">
        <f t="shared" si="66"/>
        <v>1.3365767596033041E-2</v>
      </c>
      <c r="M747" s="12" t="s">
        <v>40</v>
      </c>
      <c r="N747" s="12" t="s">
        <v>105</v>
      </c>
    </row>
    <row r="748" spans="1:14">
      <c r="A748" s="288" t="s">
        <v>1</v>
      </c>
      <c r="B748" s="215" t="s">
        <v>3942</v>
      </c>
      <c r="C748" s="289" t="s">
        <v>708</v>
      </c>
      <c r="D748" s="209" t="s">
        <v>3841</v>
      </c>
      <c r="E748" s="281">
        <v>300</v>
      </c>
      <c r="F748" s="284" t="s">
        <v>37</v>
      </c>
      <c r="G748" s="282">
        <f t="shared" si="68"/>
        <v>375.69</v>
      </c>
      <c r="H748" s="264">
        <f t="shared" si="67"/>
        <v>112707</v>
      </c>
      <c r="I748" s="283">
        <v>370.69</v>
      </c>
      <c r="J748" s="265">
        <f t="shared" si="64"/>
        <v>5</v>
      </c>
      <c r="K748" s="267">
        <f t="shared" si="65"/>
        <v>1500</v>
      </c>
      <c r="L748" s="268">
        <f t="shared" si="66"/>
        <v>1.330884505842583E-2</v>
      </c>
      <c r="M748" s="12" t="s">
        <v>40</v>
      </c>
      <c r="N748" s="12" t="s">
        <v>105</v>
      </c>
    </row>
    <row r="749" spans="1:14">
      <c r="A749" s="288" t="s">
        <v>1</v>
      </c>
      <c r="B749" s="215" t="s">
        <v>3942</v>
      </c>
      <c r="C749" s="289" t="s">
        <v>708</v>
      </c>
      <c r="D749" s="209" t="s">
        <v>1663</v>
      </c>
      <c r="E749" s="281">
        <v>1000</v>
      </c>
      <c r="F749" s="284" t="s">
        <v>37</v>
      </c>
      <c r="G749" s="282">
        <f t="shared" si="68"/>
        <v>373.56</v>
      </c>
      <c r="H749" s="264">
        <f t="shared" si="67"/>
        <v>373560</v>
      </c>
      <c r="I749" s="283">
        <v>368.56</v>
      </c>
      <c r="J749" s="265">
        <f t="shared" si="64"/>
        <v>5</v>
      </c>
      <c r="K749" s="267">
        <f t="shared" si="65"/>
        <v>5000</v>
      </c>
      <c r="L749" s="268">
        <f t="shared" si="66"/>
        <v>1.3384730699218332E-2</v>
      </c>
      <c r="M749" s="12" t="s">
        <v>40</v>
      </c>
      <c r="N749" s="12" t="s">
        <v>105</v>
      </c>
    </row>
    <row r="750" spans="1:14">
      <c r="A750" s="288" t="s">
        <v>1</v>
      </c>
      <c r="B750" s="215" t="s">
        <v>3944</v>
      </c>
      <c r="C750" s="209" t="s">
        <v>1042</v>
      </c>
      <c r="D750" s="209" t="s">
        <v>3945</v>
      </c>
      <c r="E750" s="281">
        <v>92</v>
      </c>
      <c r="F750" s="284" t="s">
        <v>37</v>
      </c>
      <c r="G750" s="282">
        <v>394</v>
      </c>
      <c r="H750" s="264">
        <f t="shared" si="67"/>
        <v>36248</v>
      </c>
      <c r="I750" s="283">
        <v>364</v>
      </c>
      <c r="J750" s="265">
        <f t="shared" si="64"/>
        <v>30</v>
      </c>
      <c r="K750" s="267">
        <f t="shared" si="65"/>
        <v>2760</v>
      </c>
      <c r="L750" s="268">
        <f t="shared" si="66"/>
        <v>7.6142131979695438E-2</v>
      </c>
      <c r="M750" s="12" t="s">
        <v>22</v>
      </c>
      <c r="N750" s="12" t="s">
        <v>105</v>
      </c>
    </row>
    <row r="751" spans="1:14">
      <c r="A751" s="288" t="s">
        <v>1</v>
      </c>
      <c r="B751" s="215" t="s">
        <v>3946</v>
      </c>
      <c r="C751" s="209" t="s">
        <v>1948</v>
      </c>
      <c r="D751" s="209" t="s">
        <v>3947</v>
      </c>
      <c r="E751" s="281">
        <v>1</v>
      </c>
      <c r="F751" s="284" t="s">
        <v>3462</v>
      </c>
      <c r="G751" s="282">
        <v>3590</v>
      </c>
      <c r="H751" s="264">
        <f t="shared" si="67"/>
        <v>3590</v>
      </c>
      <c r="I751" s="283">
        <v>2707.5</v>
      </c>
      <c r="J751" s="265">
        <f t="shared" si="64"/>
        <v>882.5</v>
      </c>
      <c r="K751" s="267">
        <f t="shared" si="65"/>
        <v>882.5</v>
      </c>
      <c r="L751" s="268">
        <f t="shared" si="66"/>
        <v>0.24582172701949861</v>
      </c>
      <c r="M751" s="12" t="s">
        <v>22</v>
      </c>
      <c r="N751" s="12" t="s">
        <v>105</v>
      </c>
    </row>
    <row r="752" spans="1:14">
      <c r="A752" s="288" t="s">
        <v>1</v>
      </c>
      <c r="B752" s="215" t="s">
        <v>3948</v>
      </c>
      <c r="C752" s="287" t="s">
        <v>24</v>
      </c>
      <c r="D752" s="209" t="s">
        <v>3949</v>
      </c>
      <c r="E752" s="281">
        <v>6</v>
      </c>
      <c r="F752" s="284" t="s">
        <v>19</v>
      </c>
      <c r="G752" s="282">
        <v>140</v>
      </c>
      <c r="H752" s="264">
        <f t="shared" si="67"/>
        <v>840</v>
      </c>
      <c r="I752" s="283">
        <v>95</v>
      </c>
      <c r="J752" s="265">
        <f t="shared" si="64"/>
        <v>45</v>
      </c>
      <c r="K752" s="267">
        <f t="shared" si="65"/>
        <v>270</v>
      </c>
      <c r="L752" s="268">
        <f t="shared" si="66"/>
        <v>0.32142857142857145</v>
      </c>
      <c r="M752" s="12" t="s">
        <v>22</v>
      </c>
      <c r="N752" s="12" t="s">
        <v>105</v>
      </c>
    </row>
    <row r="753" spans="1:14">
      <c r="A753" s="288" t="s">
        <v>1</v>
      </c>
      <c r="B753" s="324" t="s">
        <v>3950</v>
      </c>
      <c r="C753" s="208" t="s">
        <v>1948</v>
      </c>
      <c r="D753" s="289" t="s">
        <v>3951</v>
      </c>
      <c r="E753" s="281">
        <v>3</v>
      </c>
      <c r="F753" s="284" t="s">
        <v>19</v>
      </c>
      <c r="G753" s="282">
        <v>190</v>
      </c>
      <c r="H753" s="264">
        <f t="shared" si="67"/>
        <v>570</v>
      </c>
      <c r="I753" s="283">
        <v>145</v>
      </c>
      <c r="J753" s="265">
        <f t="shared" si="64"/>
        <v>45</v>
      </c>
      <c r="K753" s="267">
        <f t="shared" si="65"/>
        <v>135</v>
      </c>
      <c r="L753" s="268">
        <f t="shared" si="66"/>
        <v>0.23684210526315788</v>
      </c>
      <c r="M753" s="12" t="s">
        <v>22</v>
      </c>
      <c r="N753" s="12" t="s">
        <v>105</v>
      </c>
    </row>
    <row r="754" spans="1:14">
      <c r="A754" s="313" t="s">
        <v>1</v>
      </c>
      <c r="B754" s="215" t="s">
        <v>3952</v>
      </c>
      <c r="C754" s="208" t="s">
        <v>3953</v>
      </c>
      <c r="D754" s="316" t="s">
        <v>3954</v>
      </c>
      <c r="E754" s="247">
        <v>1</v>
      </c>
      <c r="F754" s="144" t="s">
        <v>302</v>
      </c>
      <c r="G754" s="248">
        <v>67920</v>
      </c>
      <c r="H754" s="264">
        <f t="shared" si="67"/>
        <v>67920</v>
      </c>
      <c r="I754" s="249">
        <v>64524</v>
      </c>
      <c r="J754" s="265">
        <f t="shared" si="64"/>
        <v>3396</v>
      </c>
      <c r="K754" s="267">
        <f t="shared" si="65"/>
        <v>3396</v>
      </c>
      <c r="L754" s="268">
        <f t="shared" si="66"/>
        <v>0.05</v>
      </c>
      <c r="M754" s="208" t="s">
        <v>40</v>
      </c>
      <c r="N754" s="208" t="s">
        <v>105</v>
      </c>
    </row>
    <row r="755" spans="1:14">
      <c r="A755" s="172" t="s">
        <v>1</v>
      </c>
      <c r="B755" s="325" t="s">
        <v>3955</v>
      </c>
      <c r="C755" s="279" t="s">
        <v>1119</v>
      </c>
      <c r="D755" s="317" t="s">
        <v>3956</v>
      </c>
      <c r="E755" s="263">
        <v>32</v>
      </c>
      <c r="F755" s="144" t="s">
        <v>19</v>
      </c>
      <c r="G755" s="248">
        <v>1200</v>
      </c>
      <c r="H755" s="264">
        <f t="shared" si="67"/>
        <v>38400</v>
      </c>
      <c r="I755" s="249">
        <v>1100</v>
      </c>
      <c r="J755" s="265">
        <f t="shared" si="64"/>
        <v>100</v>
      </c>
      <c r="K755" s="267">
        <f t="shared" si="65"/>
        <v>3200</v>
      </c>
      <c r="L755" s="268">
        <f t="shared" si="66"/>
        <v>8.3333333333333329E-2</v>
      </c>
      <c r="M755" s="208" t="s">
        <v>22</v>
      </c>
      <c r="N755" s="208" t="s">
        <v>39</v>
      </c>
    </row>
    <row r="756" spans="1:14">
      <c r="A756" s="172" t="s">
        <v>1</v>
      </c>
      <c r="B756" s="325" t="s">
        <v>3957</v>
      </c>
      <c r="C756" s="279" t="s">
        <v>329</v>
      </c>
      <c r="D756" s="317" t="s">
        <v>3958</v>
      </c>
      <c r="E756" s="263">
        <v>50</v>
      </c>
      <c r="F756" s="144" t="s">
        <v>1368</v>
      </c>
      <c r="G756" s="248">
        <v>610</v>
      </c>
      <c r="H756" s="264">
        <f t="shared" si="67"/>
        <v>30500</v>
      </c>
      <c r="I756" s="249">
        <v>600</v>
      </c>
      <c r="J756" s="265">
        <f t="shared" si="64"/>
        <v>10</v>
      </c>
      <c r="K756" s="267">
        <f t="shared" si="65"/>
        <v>500</v>
      </c>
      <c r="L756" s="268">
        <f t="shared" si="66"/>
        <v>1.6393442622950821E-2</v>
      </c>
      <c r="M756" s="208" t="s">
        <v>40</v>
      </c>
      <c r="N756" s="208" t="s">
        <v>39</v>
      </c>
    </row>
    <row r="757" spans="1:14">
      <c r="A757" s="172" t="s">
        <v>1</v>
      </c>
      <c r="B757" s="325" t="s">
        <v>3959</v>
      </c>
      <c r="C757" s="279" t="s">
        <v>68</v>
      </c>
      <c r="D757" s="317" t="s">
        <v>962</v>
      </c>
      <c r="E757" s="263">
        <v>823.5</v>
      </c>
      <c r="F757" s="284" t="s">
        <v>37</v>
      </c>
      <c r="G757" s="248">
        <v>365</v>
      </c>
      <c r="H757" s="264">
        <f t="shared" si="67"/>
        <v>300577.5</v>
      </c>
      <c r="I757" s="249">
        <v>363</v>
      </c>
      <c r="J757" s="265">
        <f t="shared" si="64"/>
        <v>2</v>
      </c>
      <c r="K757" s="267">
        <f t="shared" si="65"/>
        <v>1647</v>
      </c>
      <c r="L757" s="268">
        <f t="shared" si="66"/>
        <v>5.4794520547945206E-3</v>
      </c>
      <c r="M757" s="208" t="s">
        <v>22</v>
      </c>
      <c r="N757" s="208" t="s">
        <v>105</v>
      </c>
    </row>
    <row r="758" spans="1:14">
      <c r="A758" s="172" t="s">
        <v>1</v>
      </c>
      <c r="B758" s="325" t="s">
        <v>3960</v>
      </c>
      <c r="C758" s="279" t="s">
        <v>466</v>
      </c>
      <c r="D758" s="317" t="s">
        <v>3961</v>
      </c>
      <c r="E758" s="263">
        <v>8</v>
      </c>
      <c r="F758" s="144" t="s">
        <v>302</v>
      </c>
      <c r="G758" s="248">
        <v>40500</v>
      </c>
      <c r="H758" s="264">
        <f t="shared" si="67"/>
        <v>324000</v>
      </c>
      <c r="I758" s="249">
        <v>39000</v>
      </c>
      <c r="J758" s="265">
        <f t="shared" si="64"/>
        <v>1500</v>
      </c>
      <c r="K758" s="267">
        <f t="shared" si="65"/>
        <v>12000</v>
      </c>
      <c r="L758" s="268">
        <f t="shared" si="66"/>
        <v>3.7037037037037035E-2</v>
      </c>
      <c r="M758" s="208" t="s">
        <v>22</v>
      </c>
      <c r="N758" s="208" t="s">
        <v>39</v>
      </c>
    </row>
    <row r="759" spans="1:14">
      <c r="A759" s="172" t="s">
        <v>1</v>
      </c>
      <c r="B759" s="325" t="s">
        <v>3960</v>
      </c>
      <c r="C759" s="279" t="s">
        <v>466</v>
      </c>
      <c r="D759" s="317" t="s">
        <v>3962</v>
      </c>
      <c r="E759" s="263">
        <v>8</v>
      </c>
      <c r="F759" s="144" t="s">
        <v>19</v>
      </c>
      <c r="G759" s="248">
        <v>9623</v>
      </c>
      <c r="H759" s="264">
        <f t="shared" si="67"/>
        <v>76984</v>
      </c>
      <c r="I759" s="249">
        <v>9000</v>
      </c>
      <c r="J759" s="265">
        <f t="shared" si="64"/>
        <v>623</v>
      </c>
      <c r="K759" s="267">
        <f t="shared" si="65"/>
        <v>4984</v>
      </c>
      <c r="L759" s="268">
        <f t="shared" si="66"/>
        <v>6.4740725345526343E-2</v>
      </c>
      <c r="M759" s="208" t="s">
        <v>22</v>
      </c>
      <c r="N759" s="208" t="s">
        <v>39</v>
      </c>
    </row>
    <row r="760" spans="1:14">
      <c r="A760" s="172" t="s">
        <v>1</v>
      </c>
      <c r="B760" s="325" t="s">
        <v>3963</v>
      </c>
      <c r="C760" s="279" t="s">
        <v>708</v>
      </c>
      <c r="D760" s="317" t="s">
        <v>46</v>
      </c>
      <c r="E760" s="263">
        <v>700</v>
      </c>
      <c r="F760" s="144" t="s">
        <v>37</v>
      </c>
      <c r="G760" s="248">
        <v>376.1</v>
      </c>
      <c r="H760" s="264">
        <f t="shared" si="67"/>
        <v>263270</v>
      </c>
      <c r="I760" s="249">
        <v>365.1</v>
      </c>
      <c r="J760" s="265">
        <f t="shared" si="64"/>
        <v>11</v>
      </c>
      <c r="K760" s="267">
        <f t="shared" si="65"/>
        <v>7700</v>
      </c>
      <c r="L760" s="268">
        <f t="shared" si="66"/>
        <v>2.9247540547726665E-2</v>
      </c>
      <c r="M760" s="208" t="s">
        <v>40</v>
      </c>
      <c r="N760" s="208" t="s">
        <v>105</v>
      </c>
    </row>
    <row r="761" spans="1:14">
      <c r="A761" s="172" t="s">
        <v>1</v>
      </c>
      <c r="B761" s="325" t="s">
        <v>3963</v>
      </c>
      <c r="C761" s="279" t="s">
        <v>708</v>
      </c>
      <c r="D761" s="317" t="s">
        <v>45</v>
      </c>
      <c r="E761" s="263">
        <v>1500</v>
      </c>
      <c r="F761" s="144" t="s">
        <v>37</v>
      </c>
      <c r="G761" s="248">
        <v>375.94</v>
      </c>
      <c r="H761" s="264">
        <f t="shared" si="67"/>
        <v>563910</v>
      </c>
      <c r="I761" s="249">
        <v>364.94</v>
      </c>
      <c r="J761" s="265">
        <f t="shared" si="64"/>
        <v>11</v>
      </c>
      <c r="K761" s="267">
        <f t="shared" si="65"/>
        <v>16500</v>
      </c>
      <c r="L761" s="268">
        <f t="shared" si="66"/>
        <v>2.9259988296004683E-2</v>
      </c>
      <c r="M761" s="208" t="s">
        <v>40</v>
      </c>
      <c r="N761" s="208" t="s">
        <v>105</v>
      </c>
    </row>
    <row r="762" spans="1:14">
      <c r="A762" s="172" t="s">
        <v>1</v>
      </c>
      <c r="B762" s="325" t="s">
        <v>3963</v>
      </c>
      <c r="C762" s="279" t="s">
        <v>708</v>
      </c>
      <c r="D762" s="317" t="s">
        <v>49</v>
      </c>
      <c r="E762" s="263">
        <v>2000</v>
      </c>
      <c r="F762" s="144" t="s">
        <v>37</v>
      </c>
      <c r="G762" s="248">
        <v>377.3</v>
      </c>
      <c r="H762" s="264">
        <f t="shared" si="67"/>
        <v>754600</v>
      </c>
      <c r="I762" s="249">
        <v>366.3</v>
      </c>
      <c r="J762" s="265">
        <f t="shared" si="64"/>
        <v>11</v>
      </c>
      <c r="K762" s="267">
        <f t="shared" si="65"/>
        <v>22000</v>
      </c>
      <c r="L762" s="268">
        <f t="shared" si="66"/>
        <v>2.9154518950437316E-2</v>
      </c>
      <c r="M762" s="208" t="s">
        <v>40</v>
      </c>
      <c r="N762" s="208" t="s">
        <v>105</v>
      </c>
    </row>
    <row r="763" spans="1:14">
      <c r="A763" s="172" t="s">
        <v>1</v>
      </c>
      <c r="B763" s="325" t="s">
        <v>3963</v>
      </c>
      <c r="C763" s="279" t="s">
        <v>708</v>
      </c>
      <c r="D763" s="317" t="s">
        <v>207</v>
      </c>
      <c r="E763" s="263">
        <v>500</v>
      </c>
      <c r="F763" s="144" t="s">
        <v>37</v>
      </c>
      <c r="G763" s="248">
        <v>376.17</v>
      </c>
      <c r="H763" s="264">
        <f t="shared" si="67"/>
        <v>188085</v>
      </c>
      <c r="I763" s="249">
        <v>365.17</v>
      </c>
      <c r="J763" s="265">
        <f t="shared" si="64"/>
        <v>11</v>
      </c>
      <c r="K763" s="267">
        <f t="shared" si="65"/>
        <v>5500</v>
      </c>
      <c r="L763" s="268">
        <f t="shared" si="66"/>
        <v>2.9242097987611983E-2</v>
      </c>
      <c r="M763" s="208" t="s">
        <v>40</v>
      </c>
      <c r="N763" s="208" t="s">
        <v>105</v>
      </c>
    </row>
    <row r="764" spans="1:14">
      <c r="A764" s="172" t="s">
        <v>1</v>
      </c>
      <c r="B764" s="325" t="s">
        <v>3963</v>
      </c>
      <c r="C764" s="279" t="s">
        <v>708</v>
      </c>
      <c r="D764" s="317" t="s">
        <v>206</v>
      </c>
      <c r="E764" s="263">
        <v>1000</v>
      </c>
      <c r="F764" s="144" t="s">
        <v>37</v>
      </c>
      <c r="G764" s="248">
        <v>375.71</v>
      </c>
      <c r="H764" s="264">
        <f t="shared" si="67"/>
        <v>375710</v>
      </c>
      <c r="I764" s="249">
        <v>364.71</v>
      </c>
      <c r="J764" s="265">
        <f t="shared" si="64"/>
        <v>11</v>
      </c>
      <c r="K764" s="267">
        <f t="shared" si="65"/>
        <v>11000</v>
      </c>
      <c r="L764" s="268">
        <f t="shared" si="66"/>
        <v>2.927790050837082E-2</v>
      </c>
      <c r="M764" s="208" t="s">
        <v>40</v>
      </c>
      <c r="N764" s="208" t="s">
        <v>105</v>
      </c>
    </row>
    <row r="765" spans="1:14">
      <c r="A765" s="172" t="s">
        <v>1</v>
      </c>
      <c r="B765" s="325" t="s">
        <v>3963</v>
      </c>
      <c r="C765" s="279" t="s">
        <v>708</v>
      </c>
      <c r="D765" s="317" t="s">
        <v>3964</v>
      </c>
      <c r="E765" s="263">
        <v>1000</v>
      </c>
      <c r="F765" s="144" t="s">
        <v>37</v>
      </c>
      <c r="G765" s="248">
        <v>386.67</v>
      </c>
      <c r="H765" s="264">
        <f t="shared" si="67"/>
        <v>386670</v>
      </c>
      <c r="I765" s="249">
        <v>375.67</v>
      </c>
      <c r="J765" s="265">
        <f t="shared" si="64"/>
        <v>11</v>
      </c>
      <c r="K765" s="267">
        <f t="shared" si="65"/>
        <v>11000</v>
      </c>
      <c r="L765" s="268">
        <f t="shared" si="66"/>
        <v>2.8448030620425686E-2</v>
      </c>
      <c r="M765" s="208" t="s">
        <v>40</v>
      </c>
      <c r="N765" s="208" t="s">
        <v>105</v>
      </c>
    </row>
    <row r="766" spans="1:14">
      <c r="A766" s="172" t="s">
        <v>1</v>
      </c>
      <c r="B766" s="325" t="s">
        <v>3963</v>
      </c>
      <c r="C766" s="279" t="s">
        <v>708</v>
      </c>
      <c r="D766" s="317" t="s">
        <v>51</v>
      </c>
      <c r="E766" s="263">
        <v>1800</v>
      </c>
      <c r="F766" s="144" t="s">
        <v>37</v>
      </c>
      <c r="G766" s="248">
        <v>378.44</v>
      </c>
      <c r="H766" s="264">
        <f t="shared" si="67"/>
        <v>681192</v>
      </c>
      <c r="I766" s="249">
        <v>367.44</v>
      </c>
      <c r="J766" s="265">
        <f t="shared" si="64"/>
        <v>11</v>
      </c>
      <c r="K766" s="267">
        <f t="shared" si="65"/>
        <v>19800</v>
      </c>
      <c r="L766" s="268">
        <f t="shared" si="66"/>
        <v>2.9066694852552585E-2</v>
      </c>
      <c r="M766" s="208" t="s">
        <v>40</v>
      </c>
      <c r="N766" s="208" t="s">
        <v>105</v>
      </c>
    </row>
    <row r="767" spans="1:14">
      <c r="A767" s="172" t="s">
        <v>1</v>
      </c>
      <c r="B767" s="325" t="s">
        <v>3963</v>
      </c>
      <c r="C767" s="279" t="s">
        <v>708</v>
      </c>
      <c r="D767" s="317" t="s">
        <v>209</v>
      </c>
      <c r="E767" s="263">
        <v>200</v>
      </c>
      <c r="F767" s="144" t="s">
        <v>37</v>
      </c>
      <c r="G767" s="248">
        <v>375.7</v>
      </c>
      <c r="H767" s="264">
        <f t="shared" si="67"/>
        <v>75140</v>
      </c>
      <c r="I767" s="249">
        <v>364.7</v>
      </c>
      <c r="J767" s="265">
        <f t="shared" si="64"/>
        <v>11</v>
      </c>
      <c r="K767" s="267">
        <f t="shared" si="65"/>
        <v>2200</v>
      </c>
      <c r="L767" s="268">
        <f t="shared" si="66"/>
        <v>2.9278679797710941E-2</v>
      </c>
      <c r="M767" s="208" t="s">
        <v>40</v>
      </c>
      <c r="N767" s="208" t="s">
        <v>105</v>
      </c>
    </row>
    <row r="768" spans="1:14">
      <c r="A768" s="172" t="s">
        <v>1</v>
      </c>
      <c r="B768" s="325" t="s">
        <v>3963</v>
      </c>
      <c r="C768" s="279" t="s">
        <v>708</v>
      </c>
      <c r="D768" s="317" t="s">
        <v>52</v>
      </c>
      <c r="E768" s="263">
        <v>1200</v>
      </c>
      <c r="F768" s="144" t="s">
        <v>37</v>
      </c>
      <c r="G768" s="248">
        <v>375.69</v>
      </c>
      <c r="H768" s="264">
        <f t="shared" si="67"/>
        <v>450828</v>
      </c>
      <c r="I768" s="249">
        <v>364.69</v>
      </c>
      <c r="J768" s="265">
        <f t="shared" si="64"/>
        <v>11</v>
      </c>
      <c r="K768" s="267">
        <f t="shared" si="65"/>
        <v>13200</v>
      </c>
      <c r="L768" s="268">
        <f t="shared" si="66"/>
        <v>2.9279459128536824E-2</v>
      </c>
      <c r="M768" s="208" t="s">
        <v>40</v>
      </c>
      <c r="N768" s="208" t="s">
        <v>105</v>
      </c>
    </row>
    <row r="769" spans="1:14">
      <c r="A769" s="172" t="s">
        <v>1</v>
      </c>
      <c r="B769" s="325" t="s">
        <v>3963</v>
      </c>
      <c r="C769" s="279" t="s">
        <v>708</v>
      </c>
      <c r="D769" s="317" t="s">
        <v>709</v>
      </c>
      <c r="E769" s="263">
        <v>1100</v>
      </c>
      <c r="F769" s="144" t="s">
        <v>37</v>
      </c>
      <c r="G769" s="248">
        <v>374.09</v>
      </c>
      <c r="H769" s="264">
        <f t="shared" si="67"/>
        <v>411499</v>
      </c>
      <c r="I769" s="249">
        <v>363.09</v>
      </c>
      <c r="J769" s="265">
        <f t="shared" si="64"/>
        <v>11</v>
      </c>
      <c r="K769" s="267">
        <f t="shared" si="65"/>
        <v>12100</v>
      </c>
      <c r="L769" s="268">
        <f t="shared" si="66"/>
        <v>2.9404688711272692E-2</v>
      </c>
      <c r="M769" s="208" t="s">
        <v>40</v>
      </c>
      <c r="N769" s="208" t="s">
        <v>105</v>
      </c>
    </row>
    <row r="770" spans="1:14">
      <c r="A770" s="172" t="s">
        <v>1</v>
      </c>
      <c r="B770" s="325" t="s">
        <v>3963</v>
      </c>
      <c r="C770" s="279" t="s">
        <v>708</v>
      </c>
      <c r="D770" s="317" t="s">
        <v>3841</v>
      </c>
      <c r="E770" s="263">
        <v>400</v>
      </c>
      <c r="F770" s="144" t="s">
        <v>37</v>
      </c>
      <c r="G770" s="248">
        <v>375.69</v>
      </c>
      <c r="H770" s="264">
        <f t="shared" si="67"/>
        <v>150276</v>
      </c>
      <c r="I770" s="249">
        <v>364.69</v>
      </c>
      <c r="J770" s="265">
        <f t="shared" si="64"/>
        <v>11</v>
      </c>
      <c r="K770" s="267">
        <f t="shared" si="65"/>
        <v>4400</v>
      </c>
      <c r="L770" s="268">
        <f t="shared" si="66"/>
        <v>2.9279459128536824E-2</v>
      </c>
      <c r="M770" s="208" t="s">
        <v>40</v>
      </c>
      <c r="N770" s="208" t="s">
        <v>105</v>
      </c>
    </row>
    <row r="771" spans="1:14">
      <c r="A771" s="172" t="s">
        <v>1</v>
      </c>
      <c r="B771" s="325" t="s">
        <v>3963</v>
      </c>
      <c r="C771" s="279" t="s">
        <v>708</v>
      </c>
      <c r="D771" s="317" t="s">
        <v>210</v>
      </c>
      <c r="E771" s="263">
        <v>500</v>
      </c>
      <c r="F771" s="144" t="s">
        <v>37</v>
      </c>
      <c r="G771" s="248">
        <v>374.28</v>
      </c>
      <c r="H771" s="264">
        <f t="shared" si="67"/>
        <v>187140</v>
      </c>
      <c r="I771" s="249">
        <v>363.28</v>
      </c>
      <c r="J771" s="265">
        <f t="shared" si="64"/>
        <v>11</v>
      </c>
      <c r="K771" s="267">
        <f t="shared" si="65"/>
        <v>5500</v>
      </c>
      <c r="L771" s="268">
        <f t="shared" si="66"/>
        <v>2.9389761675750779E-2</v>
      </c>
      <c r="M771" s="208" t="s">
        <v>40</v>
      </c>
      <c r="N771" s="208" t="s">
        <v>105</v>
      </c>
    </row>
    <row r="772" spans="1:14">
      <c r="A772" s="322" t="s">
        <v>1</v>
      </c>
      <c r="B772" s="326" t="s">
        <v>3965</v>
      </c>
      <c r="C772" s="279" t="s">
        <v>2294</v>
      </c>
      <c r="D772" s="317" t="s">
        <v>3966</v>
      </c>
      <c r="E772" s="263">
        <v>1</v>
      </c>
      <c r="F772" s="275" t="s">
        <v>285</v>
      </c>
      <c r="G772" s="264">
        <v>37972</v>
      </c>
      <c r="H772" s="264">
        <f t="shared" si="67"/>
        <v>37972</v>
      </c>
      <c r="I772" s="265">
        <v>37000</v>
      </c>
      <c r="J772" s="265">
        <f t="shared" si="64"/>
        <v>972</v>
      </c>
      <c r="K772" s="267">
        <f t="shared" si="65"/>
        <v>972</v>
      </c>
      <c r="L772" s="268">
        <f t="shared" si="66"/>
        <v>2.5597808911829768E-2</v>
      </c>
      <c r="M772" s="279" t="s">
        <v>40</v>
      </c>
      <c r="N772" s="279" t="s">
        <v>105</v>
      </c>
    </row>
    <row r="773" spans="1:14">
      <c r="A773" s="322" t="s">
        <v>1</v>
      </c>
      <c r="B773" s="325" t="s">
        <v>3967</v>
      </c>
      <c r="C773" s="279" t="s">
        <v>1042</v>
      </c>
      <c r="D773" s="318" t="s">
        <v>711</v>
      </c>
      <c r="E773" s="247">
        <v>9119</v>
      </c>
      <c r="F773" s="144" t="s">
        <v>37</v>
      </c>
      <c r="G773" s="248">
        <v>364</v>
      </c>
      <c r="H773" s="264">
        <f t="shared" si="67"/>
        <v>3319316</v>
      </c>
      <c r="I773" s="249">
        <v>363</v>
      </c>
      <c r="J773" s="265">
        <f t="shared" si="64"/>
        <v>1</v>
      </c>
      <c r="K773" s="267">
        <f t="shared" si="65"/>
        <v>9119</v>
      </c>
      <c r="L773" s="268">
        <f t="shared" si="66"/>
        <v>2.7472527472527475E-3</v>
      </c>
      <c r="M773" s="208" t="s">
        <v>40</v>
      </c>
      <c r="N773" s="208" t="s">
        <v>105</v>
      </c>
    </row>
    <row r="774" spans="1:14">
      <c r="A774" s="172" t="s">
        <v>1</v>
      </c>
      <c r="B774" s="325" t="s">
        <v>3968</v>
      </c>
      <c r="C774" s="279" t="s">
        <v>17</v>
      </c>
      <c r="D774" s="318" t="s">
        <v>3919</v>
      </c>
      <c r="E774" s="247">
        <v>48</v>
      </c>
      <c r="F774" s="144" t="s">
        <v>19</v>
      </c>
      <c r="G774" s="248">
        <v>70</v>
      </c>
      <c r="H774" s="264">
        <f t="shared" si="67"/>
        <v>3360</v>
      </c>
      <c r="I774" s="249">
        <v>50</v>
      </c>
      <c r="J774" s="265">
        <f t="shared" si="64"/>
        <v>20</v>
      </c>
      <c r="K774" s="267">
        <f t="shared" si="65"/>
        <v>960</v>
      </c>
      <c r="L774" s="268">
        <f t="shared" si="66"/>
        <v>0.2857142857142857</v>
      </c>
      <c r="M774" s="208" t="s">
        <v>40</v>
      </c>
      <c r="N774" s="208" t="s">
        <v>39</v>
      </c>
    </row>
    <row r="775" spans="1:14">
      <c r="A775" s="172" t="s">
        <v>1</v>
      </c>
      <c r="B775" s="325" t="s">
        <v>3968</v>
      </c>
      <c r="C775" s="279" t="s">
        <v>17</v>
      </c>
      <c r="D775" s="318" t="s">
        <v>3920</v>
      </c>
      <c r="E775" s="247">
        <v>288</v>
      </c>
      <c r="F775" s="144" t="s">
        <v>19</v>
      </c>
      <c r="G775" s="248">
        <v>70</v>
      </c>
      <c r="H775" s="264">
        <f t="shared" si="67"/>
        <v>20160</v>
      </c>
      <c r="I775" s="249">
        <v>55</v>
      </c>
      <c r="J775" s="265">
        <f t="shared" si="64"/>
        <v>15</v>
      </c>
      <c r="K775" s="267">
        <f t="shared" si="65"/>
        <v>4320</v>
      </c>
      <c r="L775" s="268">
        <f t="shared" si="66"/>
        <v>0.21428571428571427</v>
      </c>
      <c r="M775" s="208" t="s">
        <v>40</v>
      </c>
      <c r="N775" s="208" t="s">
        <v>39</v>
      </c>
    </row>
    <row r="776" spans="1:14">
      <c r="A776" s="172" t="s">
        <v>1</v>
      </c>
      <c r="B776" s="325" t="s">
        <v>3969</v>
      </c>
      <c r="C776" s="279" t="s">
        <v>892</v>
      </c>
      <c r="D776" s="318" t="s">
        <v>3970</v>
      </c>
      <c r="E776" s="247">
        <v>212</v>
      </c>
      <c r="F776" s="144" t="s">
        <v>19</v>
      </c>
      <c r="G776" s="248">
        <v>1450</v>
      </c>
      <c r="H776" s="264">
        <f t="shared" si="67"/>
        <v>307400</v>
      </c>
      <c r="I776" s="249">
        <v>1377.5</v>
      </c>
      <c r="J776" s="265">
        <f t="shared" si="64"/>
        <v>72.5</v>
      </c>
      <c r="K776" s="267">
        <f t="shared" si="65"/>
        <v>15370</v>
      </c>
      <c r="L776" s="268">
        <f t="shared" si="66"/>
        <v>0.05</v>
      </c>
      <c r="M776" s="208" t="s">
        <v>40</v>
      </c>
      <c r="N776" s="208" t="s">
        <v>105</v>
      </c>
    </row>
    <row r="777" spans="1:14">
      <c r="A777" s="172" t="s">
        <v>1</v>
      </c>
      <c r="B777" s="325" t="s">
        <v>3969</v>
      </c>
      <c r="C777" s="279" t="s">
        <v>892</v>
      </c>
      <c r="D777" s="318" t="s">
        <v>3971</v>
      </c>
      <c r="E777" s="247">
        <v>3223</v>
      </c>
      <c r="F777" s="144" t="s">
        <v>19</v>
      </c>
      <c r="G777" s="248">
        <v>740</v>
      </c>
      <c r="H777" s="319">
        <f t="shared" si="67"/>
        <v>2385020</v>
      </c>
      <c r="I777" s="249">
        <v>703</v>
      </c>
      <c r="J777" s="265">
        <f t="shared" si="64"/>
        <v>37</v>
      </c>
      <c r="K777" s="267">
        <f t="shared" si="65"/>
        <v>119251</v>
      </c>
      <c r="L777" s="268">
        <f t="shared" si="66"/>
        <v>0.05</v>
      </c>
      <c r="M777" s="208" t="s">
        <v>40</v>
      </c>
      <c r="N777" s="208" t="s">
        <v>105</v>
      </c>
    </row>
    <row r="778" spans="1:14">
      <c r="A778" s="172" t="s">
        <v>1</v>
      </c>
      <c r="B778" s="325" t="s">
        <v>3969</v>
      </c>
      <c r="C778" s="279" t="s">
        <v>892</v>
      </c>
      <c r="D778" s="318" t="s">
        <v>3972</v>
      </c>
      <c r="E778" s="247">
        <v>202</v>
      </c>
      <c r="F778" s="144" t="s">
        <v>19</v>
      </c>
      <c r="G778" s="248">
        <v>480</v>
      </c>
      <c r="H778" s="319">
        <f t="shared" si="67"/>
        <v>96960</v>
      </c>
      <c r="I778" s="249">
        <v>456</v>
      </c>
      <c r="J778" s="265">
        <f t="shared" si="64"/>
        <v>24</v>
      </c>
      <c r="K778" s="267">
        <f t="shared" si="65"/>
        <v>4848</v>
      </c>
      <c r="L778" s="268">
        <f t="shared" si="66"/>
        <v>0.05</v>
      </c>
      <c r="M778" s="208" t="s">
        <v>40</v>
      </c>
      <c r="N778" s="208" t="s">
        <v>105</v>
      </c>
    </row>
    <row r="779" spans="1:14">
      <c r="A779" s="172" t="s">
        <v>1</v>
      </c>
      <c r="B779" s="325" t="s">
        <v>3973</v>
      </c>
      <c r="C779" s="279" t="s">
        <v>200</v>
      </c>
      <c r="D779" s="318" t="s">
        <v>3274</v>
      </c>
      <c r="E779" s="247">
        <v>1</v>
      </c>
      <c r="F779" s="144" t="s">
        <v>302</v>
      </c>
      <c r="G779" s="248">
        <v>36500</v>
      </c>
      <c r="H779" s="319">
        <f t="shared" si="67"/>
        <v>36500</v>
      </c>
      <c r="I779" s="249">
        <v>34000</v>
      </c>
      <c r="J779" s="320">
        <f t="shared" si="64"/>
        <v>2500</v>
      </c>
      <c r="K779" s="267">
        <f t="shared" si="65"/>
        <v>2500</v>
      </c>
      <c r="L779" s="321">
        <f t="shared" si="66"/>
        <v>6.8493150684931503E-2</v>
      </c>
      <c r="M779" s="208" t="s">
        <v>40</v>
      </c>
      <c r="N779" s="208" t="s">
        <v>39</v>
      </c>
    </row>
    <row r="780" spans="1:14">
      <c r="A780" s="172" t="s">
        <v>1</v>
      </c>
      <c r="B780" s="325" t="s">
        <v>3974</v>
      </c>
      <c r="C780" s="279" t="s">
        <v>1488</v>
      </c>
      <c r="D780" s="318" t="s">
        <v>755</v>
      </c>
      <c r="E780" s="247">
        <v>2078</v>
      </c>
      <c r="F780" s="144" t="s">
        <v>37</v>
      </c>
      <c r="G780" s="248">
        <v>370</v>
      </c>
      <c r="H780" s="319">
        <f t="shared" si="67"/>
        <v>768860</v>
      </c>
      <c r="I780" s="249">
        <v>365</v>
      </c>
      <c r="J780" s="320">
        <f t="shared" si="64"/>
        <v>5</v>
      </c>
      <c r="K780" s="267">
        <f t="shared" si="65"/>
        <v>10390</v>
      </c>
      <c r="L780" s="321">
        <f t="shared" si="66"/>
        <v>1.3513513513513514E-2</v>
      </c>
      <c r="M780" s="208" t="s">
        <v>22</v>
      </c>
      <c r="N780" s="208" t="s">
        <v>105</v>
      </c>
    </row>
    <row r="781" spans="1:14">
      <c r="A781" s="172" t="s">
        <v>1</v>
      </c>
      <c r="B781" s="325" t="s">
        <v>3975</v>
      </c>
      <c r="C781" s="279" t="s">
        <v>2167</v>
      </c>
      <c r="D781" s="318" t="s">
        <v>2502</v>
      </c>
      <c r="E781" s="247">
        <v>3000</v>
      </c>
      <c r="F781" s="144" t="s">
        <v>3976</v>
      </c>
      <c r="G781" s="248">
        <v>128.69999999999999</v>
      </c>
      <c r="H781" s="319">
        <f t="shared" si="67"/>
        <v>386099.99999999994</v>
      </c>
      <c r="I781" s="249">
        <v>115.5</v>
      </c>
      <c r="J781" s="320">
        <f t="shared" si="64"/>
        <v>13.199999999999989</v>
      </c>
      <c r="K781" s="267">
        <f t="shared" si="65"/>
        <v>39599.999999999964</v>
      </c>
      <c r="L781" s="321">
        <f t="shared" si="66"/>
        <v>0.10256410256410249</v>
      </c>
      <c r="M781" s="208" t="s">
        <v>40</v>
      </c>
      <c r="N781" s="208" t="s">
        <v>105</v>
      </c>
    </row>
    <row r="782" spans="1:14">
      <c r="A782" s="172" t="s">
        <v>1</v>
      </c>
      <c r="B782" s="325" t="s">
        <v>3977</v>
      </c>
      <c r="C782" s="279" t="s">
        <v>590</v>
      </c>
      <c r="D782" s="318" t="s">
        <v>3978</v>
      </c>
      <c r="E782" s="247">
        <v>1</v>
      </c>
      <c r="F782" s="144" t="s">
        <v>302</v>
      </c>
      <c r="G782" s="248">
        <v>129000</v>
      </c>
      <c r="H782" s="319">
        <f t="shared" si="67"/>
        <v>129000</v>
      </c>
      <c r="I782" s="249">
        <v>120000</v>
      </c>
      <c r="J782" s="320">
        <f t="shared" si="64"/>
        <v>9000</v>
      </c>
      <c r="K782" s="267">
        <f t="shared" si="65"/>
        <v>9000</v>
      </c>
      <c r="L782" s="321">
        <f t="shared" si="66"/>
        <v>6.9767441860465115E-2</v>
      </c>
      <c r="M782" s="208" t="s">
        <v>40</v>
      </c>
      <c r="N782" s="208" t="s">
        <v>39</v>
      </c>
    </row>
    <row r="783" spans="1:14">
      <c r="A783" s="172" t="s">
        <v>1</v>
      </c>
      <c r="B783" s="325" t="s">
        <v>3977</v>
      </c>
      <c r="C783" s="279" t="s">
        <v>590</v>
      </c>
      <c r="D783" s="318" t="s">
        <v>3979</v>
      </c>
      <c r="E783" s="247">
        <v>5</v>
      </c>
      <c r="F783" s="144" t="s">
        <v>302</v>
      </c>
      <c r="G783" s="248">
        <v>129000</v>
      </c>
      <c r="H783" s="319">
        <f t="shared" si="67"/>
        <v>645000</v>
      </c>
      <c r="I783" s="249">
        <v>120000</v>
      </c>
      <c r="J783" s="320">
        <f t="shared" si="64"/>
        <v>9000</v>
      </c>
      <c r="K783" s="267">
        <f t="shared" si="65"/>
        <v>45000</v>
      </c>
      <c r="L783" s="321">
        <f t="shared" si="66"/>
        <v>6.9767441860465115E-2</v>
      </c>
      <c r="M783" s="208" t="s">
        <v>40</v>
      </c>
      <c r="N783" s="208" t="s">
        <v>39</v>
      </c>
    </row>
    <row r="784" spans="1:14">
      <c r="A784" s="172" t="s">
        <v>1</v>
      </c>
      <c r="B784" s="325" t="s">
        <v>3980</v>
      </c>
      <c r="C784" s="279" t="s">
        <v>1948</v>
      </c>
      <c r="D784" s="318" t="s">
        <v>3981</v>
      </c>
      <c r="E784" s="247">
        <v>1</v>
      </c>
      <c r="F784" s="144" t="s">
        <v>19</v>
      </c>
      <c r="G784" s="248">
        <v>5890</v>
      </c>
      <c r="H784" s="319">
        <f t="shared" si="67"/>
        <v>5890</v>
      </c>
      <c r="I784" s="249">
        <v>5300</v>
      </c>
      <c r="J784" s="320">
        <f t="shared" si="64"/>
        <v>590</v>
      </c>
      <c r="K784" s="267">
        <f t="shared" si="65"/>
        <v>590</v>
      </c>
      <c r="L784" s="321">
        <f t="shared" si="66"/>
        <v>0.100169779286927</v>
      </c>
      <c r="M784" s="208" t="s">
        <v>22</v>
      </c>
      <c r="N784" s="208" t="s">
        <v>105</v>
      </c>
    </row>
    <row r="785" spans="1:14">
      <c r="A785" s="172" t="s">
        <v>1</v>
      </c>
      <c r="B785" s="325" t="s">
        <v>3982</v>
      </c>
      <c r="C785" s="279" t="s">
        <v>94</v>
      </c>
      <c r="D785" s="318" t="s">
        <v>546</v>
      </c>
      <c r="E785" s="247">
        <v>200</v>
      </c>
      <c r="F785" s="144" t="s">
        <v>19</v>
      </c>
      <c r="G785" s="248">
        <v>190</v>
      </c>
      <c r="H785" s="319">
        <f t="shared" si="67"/>
        <v>38000</v>
      </c>
      <c r="I785" s="249">
        <v>182.25</v>
      </c>
      <c r="J785" s="320">
        <f t="shared" si="64"/>
        <v>7.75</v>
      </c>
      <c r="K785" s="267">
        <f t="shared" si="65"/>
        <v>1550</v>
      </c>
      <c r="L785" s="321">
        <f t="shared" si="66"/>
        <v>4.0789473684210528E-2</v>
      </c>
      <c r="M785" s="208" t="s">
        <v>22</v>
      </c>
      <c r="N785" s="208" t="s">
        <v>105</v>
      </c>
    </row>
    <row r="786" spans="1:14">
      <c r="A786" s="172" t="s">
        <v>1</v>
      </c>
      <c r="B786" s="325" t="s">
        <v>3982</v>
      </c>
      <c r="C786" s="279" t="s">
        <v>94</v>
      </c>
      <c r="D786" s="318" t="s">
        <v>458</v>
      </c>
      <c r="E786" s="247">
        <v>200</v>
      </c>
      <c r="F786" s="144" t="s">
        <v>19</v>
      </c>
      <c r="G786" s="248">
        <v>9.5</v>
      </c>
      <c r="H786" s="319">
        <f t="shared" si="67"/>
        <v>1900</v>
      </c>
      <c r="I786" s="249">
        <v>9.35</v>
      </c>
      <c r="J786" s="320">
        <f t="shared" si="64"/>
        <v>0.15000000000000036</v>
      </c>
      <c r="K786" s="267">
        <f t="shared" si="65"/>
        <v>30.000000000000071</v>
      </c>
      <c r="L786" s="321">
        <f t="shared" si="66"/>
        <v>1.5789473684210565E-2</v>
      </c>
      <c r="M786" s="208" t="s">
        <v>22</v>
      </c>
      <c r="N786" s="208" t="s">
        <v>105</v>
      </c>
    </row>
    <row r="787" spans="1:14">
      <c r="A787" s="172" t="s">
        <v>1</v>
      </c>
      <c r="B787" s="325" t="s">
        <v>3983</v>
      </c>
      <c r="C787" s="279" t="s">
        <v>599</v>
      </c>
      <c r="D787" s="318" t="s">
        <v>600</v>
      </c>
      <c r="E787" s="247">
        <v>144</v>
      </c>
      <c r="F787" s="144" t="s">
        <v>19</v>
      </c>
      <c r="G787" s="248">
        <v>265</v>
      </c>
      <c r="H787" s="319">
        <f t="shared" si="67"/>
        <v>38160</v>
      </c>
      <c r="I787" s="249">
        <v>260</v>
      </c>
      <c r="J787" s="320">
        <f t="shared" ref="J787:J807" si="69">G787-I787</f>
        <v>5</v>
      </c>
      <c r="K787" s="267">
        <f t="shared" ref="K787:K807" si="70">J787*E787</f>
        <v>720</v>
      </c>
      <c r="L787" s="321">
        <f t="shared" ref="L787:L807" si="71">J787/G787</f>
        <v>1.8867924528301886E-2</v>
      </c>
      <c r="M787" s="208" t="s">
        <v>40</v>
      </c>
      <c r="N787" s="208" t="s">
        <v>39</v>
      </c>
    </row>
    <row r="788" spans="1:14">
      <c r="A788" s="172" t="s">
        <v>1</v>
      </c>
      <c r="B788" s="325" t="s">
        <v>3984</v>
      </c>
      <c r="C788" s="279" t="s">
        <v>599</v>
      </c>
      <c r="D788" s="318" t="s">
        <v>600</v>
      </c>
      <c r="E788" s="247">
        <v>126</v>
      </c>
      <c r="F788" s="144" t="s">
        <v>19</v>
      </c>
      <c r="G788" s="264">
        <v>265</v>
      </c>
      <c r="H788" s="319">
        <f t="shared" si="67"/>
        <v>33390</v>
      </c>
      <c r="I788" s="249">
        <v>260</v>
      </c>
      <c r="J788" s="320">
        <f t="shared" si="69"/>
        <v>5</v>
      </c>
      <c r="K788" s="267">
        <f t="shared" si="70"/>
        <v>630</v>
      </c>
      <c r="L788" s="321">
        <f t="shared" si="71"/>
        <v>1.8867924528301886E-2</v>
      </c>
      <c r="M788" s="208" t="s">
        <v>40</v>
      </c>
      <c r="N788" s="208" t="s">
        <v>39</v>
      </c>
    </row>
    <row r="789" spans="1:14">
      <c r="A789" s="172" t="s">
        <v>1</v>
      </c>
      <c r="B789" s="325" t="s">
        <v>3985</v>
      </c>
      <c r="C789" s="279" t="s">
        <v>192</v>
      </c>
      <c r="D789" s="318" t="s">
        <v>813</v>
      </c>
      <c r="E789" s="247">
        <v>320000</v>
      </c>
      <c r="F789" s="301" t="s">
        <v>37</v>
      </c>
      <c r="G789" s="18">
        <v>52.5</v>
      </c>
      <c r="H789" s="329">
        <f t="shared" si="67"/>
        <v>16800000</v>
      </c>
      <c r="I789" s="249">
        <v>49</v>
      </c>
      <c r="J789" s="320">
        <f t="shared" si="69"/>
        <v>3.5</v>
      </c>
      <c r="K789" s="267">
        <f t="shared" si="70"/>
        <v>1120000</v>
      </c>
      <c r="L789" s="321">
        <f t="shared" si="71"/>
        <v>6.6666666666666666E-2</v>
      </c>
      <c r="M789" s="208" t="s">
        <v>22</v>
      </c>
      <c r="N789" s="208" t="s">
        <v>39</v>
      </c>
    </row>
    <row r="790" spans="1:14">
      <c r="A790" s="172" t="s">
        <v>1</v>
      </c>
      <c r="B790" s="325" t="s">
        <v>3986</v>
      </c>
      <c r="C790" s="279" t="s">
        <v>192</v>
      </c>
      <c r="D790" s="328" t="s">
        <v>502</v>
      </c>
      <c r="E790" s="247">
        <v>200000</v>
      </c>
      <c r="F790" s="144" t="s">
        <v>37</v>
      </c>
      <c r="G790" s="312">
        <v>54.5</v>
      </c>
      <c r="H790" s="319">
        <f t="shared" si="67"/>
        <v>10900000</v>
      </c>
      <c r="I790" s="249">
        <v>51.5</v>
      </c>
      <c r="J790" s="320">
        <f t="shared" si="69"/>
        <v>3</v>
      </c>
      <c r="K790" s="267">
        <f t="shared" si="70"/>
        <v>600000</v>
      </c>
      <c r="L790" s="321">
        <f t="shared" si="71"/>
        <v>5.5045871559633031E-2</v>
      </c>
      <c r="M790" s="208" t="s">
        <v>22</v>
      </c>
      <c r="N790" s="208" t="s">
        <v>39</v>
      </c>
    </row>
    <row r="791" spans="1:14">
      <c r="A791" s="172" t="s">
        <v>1</v>
      </c>
      <c r="B791" s="325" t="s">
        <v>3637</v>
      </c>
      <c r="C791" s="279" t="s">
        <v>2342</v>
      </c>
      <c r="D791" s="318" t="s">
        <v>2514</v>
      </c>
      <c r="E791" s="247">
        <v>1</v>
      </c>
      <c r="F791" s="144" t="s">
        <v>285</v>
      </c>
      <c r="G791" s="248">
        <v>3500</v>
      </c>
      <c r="H791" s="319">
        <v>3500</v>
      </c>
      <c r="I791" s="249">
        <v>0</v>
      </c>
      <c r="J791" s="320">
        <f t="shared" si="69"/>
        <v>3500</v>
      </c>
      <c r="K791" s="267">
        <f t="shared" si="70"/>
        <v>3500</v>
      </c>
      <c r="L791" s="321">
        <f t="shared" si="71"/>
        <v>1</v>
      </c>
      <c r="M791" s="208" t="s">
        <v>40</v>
      </c>
      <c r="N791" s="208" t="s">
        <v>105</v>
      </c>
    </row>
    <row r="792" spans="1:14">
      <c r="A792" s="172" t="s">
        <v>1</v>
      </c>
      <c r="B792" s="327" t="s">
        <v>3987</v>
      </c>
      <c r="C792" s="208" t="s">
        <v>2028</v>
      </c>
      <c r="D792" s="318" t="s">
        <v>2514</v>
      </c>
      <c r="E792" s="247">
        <v>1</v>
      </c>
      <c r="F792" s="144" t="s">
        <v>285</v>
      </c>
      <c r="G792" s="248">
        <v>3500</v>
      </c>
      <c r="H792" s="319">
        <v>3500</v>
      </c>
      <c r="I792" s="249">
        <v>0</v>
      </c>
      <c r="J792" s="320">
        <f t="shared" si="69"/>
        <v>3500</v>
      </c>
      <c r="K792" s="267">
        <f t="shared" si="70"/>
        <v>3500</v>
      </c>
      <c r="L792" s="321">
        <f t="shared" si="71"/>
        <v>1</v>
      </c>
      <c r="M792" s="208" t="s">
        <v>40</v>
      </c>
      <c r="N792" s="208" t="s">
        <v>105</v>
      </c>
    </row>
    <row r="793" spans="1:14">
      <c r="A793" s="172" t="s">
        <v>1</v>
      </c>
      <c r="B793" s="325" t="s">
        <v>3988</v>
      </c>
      <c r="C793" s="279" t="s">
        <v>3847</v>
      </c>
      <c r="D793" s="318" t="s">
        <v>2514</v>
      </c>
      <c r="E793" s="247">
        <v>1</v>
      </c>
      <c r="F793" s="144" t="s">
        <v>285</v>
      </c>
      <c r="G793" s="248">
        <v>3500</v>
      </c>
      <c r="H793" s="319">
        <v>3500</v>
      </c>
      <c r="I793" s="249">
        <v>0</v>
      </c>
      <c r="J793" s="320">
        <f t="shared" si="69"/>
        <v>3500</v>
      </c>
      <c r="K793" s="267">
        <f t="shared" si="70"/>
        <v>3500</v>
      </c>
      <c r="L793" s="321">
        <f t="shared" si="71"/>
        <v>1</v>
      </c>
      <c r="M793" s="208" t="s">
        <v>40</v>
      </c>
      <c r="N793" s="208" t="s">
        <v>105</v>
      </c>
    </row>
    <row r="794" spans="1:14">
      <c r="A794" s="172" t="s">
        <v>1</v>
      </c>
      <c r="B794" s="325" t="s">
        <v>3989</v>
      </c>
      <c r="C794" s="279" t="s">
        <v>617</v>
      </c>
      <c r="D794" s="318" t="s">
        <v>233</v>
      </c>
      <c r="E794" s="247">
        <v>17</v>
      </c>
      <c r="F794" s="144" t="s">
        <v>37</v>
      </c>
      <c r="G794" s="248">
        <v>27.5</v>
      </c>
      <c r="H794" s="319">
        <f>G794*E794</f>
        <v>467.5</v>
      </c>
      <c r="I794" s="249">
        <v>27</v>
      </c>
      <c r="J794" s="320">
        <f t="shared" si="69"/>
        <v>0.5</v>
      </c>
      <c r="K794" s="267">
        <f t="shared" si="70"/>
        <v>8.5</v>
      </c>
      <c r="L794" s="321">
        <f t="shared" si="71"/>
        <v>1.8181818181818181E-2</v>
      </c>
      <c r="M794" s="208" t="s">
        <v>40</v>
      </c>
      <c r="N794" s="208" t="s">
        <v>39</v>
      </c>
    </row>
    <row r="795" spans="1:14">
      <c r="A795" s="172" t="s">
        <v>1</v>
      </c>
      <c r="B795" s="325" t="s">
        <v>3989</v>
      </c>
      <c r="C795" s="279" t="s">
        <v>617</v>
      </c>
      <c r="D795" s="318" t="s">
        <v>233</v>
      </c>
      <c r="E795" s="247">
        <v>6000</v>
      </c>
      <c r="F795" s="144" t="s">
        <v>37</v>
      </c>
      <c r="G795" s="248">
        <v>27.5</v>
      </c>
      <c r="H795" s="319">
        <f t="shared" ref="H795:H807" si="72">G795*E795</f>
        <v>165000</v>
      </c>
      <c r="I795" s="249">
        <v>27</v>
      </c>
      <c r="J795" s="320">
        <f t="shared" si="69"/>
        <v>0.5</v>
      </c>
      <c r="K795" s="267">
        <f t="shared" si="70"/>
        <v>3000</v>
      </c>
      <c r="L795" s="321">
        <f t="shared" si="71"/>
        <v>1.8181818181818181E-2</v>
      </c>
      <c r="M795" s="208" t="s">
        <v>40</v>
      </c>
      <c r="N795" s="208" t="s">
        <v>39</v>
      </c>
    </row>
    <row r="796" spans="1:14">
      <c r="A796" s="172" t="s">
        <v>1</v>
      </c>
      <c r="B796" s="325" t="s">
        <v>3990</v>
      </c>
      <c r="C796" s="279" t="s">
        <v>617</v>
      </c>
      <c r="D796" s="318" t="s">
        <v>230</v>
      </c>
      <c r="E796" s="247">
        <v>52</v>
      </c>
      <c r="F796" s="144" t="s">
        <v>37</v>
      </c>
      <c r="G796" s="248">
        <v>27.5</v>
      </c>
      <c r="H796" s="319">
        <f t="shared" si="72"/>
        <v>1430</v>
      </c>
      <c r="I796" s="249">
        <v>27</v>
      </c>
      <c r="J796" s="320">
        <f t="shared" si="69"/>
        <v>0.5</v>
      </c>
      <c r="K796" s="267">
        <f t="shared" si="70"/>
        <v>26</v>
      </c>
      <c r="L796" s="321">
        <f t="shared" si="71"/>
        <v>1.8181818181818181E-2</v>
      </c>
      <c r="M796" s="208" t="s">
        <v>40</v>
      </c>
      <c r="N796" s="208" t="s">
        <v>39</v>
      </c>
    </row>
    <row r="797" spans="1:14">
      <c r="A797" s="172" t="s">
        <v>1</v>
      </c>
      <c r="B797" s="325" t="s">
        <v>3990</v>
      </c>
      <c r="C797" s="279" t="s">
        <v>617</v>
      </c>
      <c r="D797" s="318" t="s">
        <v>230</v>
      </c>
      <c r="E797" s="247">
        <v>3000</v>
      </c>
      <c r="F797" s="144" t="s">
        <v>37</v>
      </c>
      <c r="G797" s="248">
        <v>27.5</v>
      </c>
      <c r="H797" s="319">
        <f t="shared" si="72"/>
        <v>82500</v>
      </c>
      <c r="I797" s="249">
        <v>27</v>
      </c>
      <c r="J797" s="320">
        <f t="shared" si="69"/>
        <v>0.5</v>
      </c>
      <c r="K797" s="267">
        <f t="shared" si="70"/>
        <v>1500</v>
      </c>
      <c r="L797" s="321">
        <f t="shared" si="71"/>
        <v>1.8181818181818181E-2</v>
      </c>
      <c r="M797" s="208" t="s">
        <v>40</v>
      </c>
      <c r="N797" s="208" t="s">
        <v>39</v>
      </c>
    </row>
    <row r="798" spans="1:14">
      <c r="A798" s="172" t="s">
        <v>1</v>
      </c>
      <c r="B798" s="325" t="s">
        <v>3990</v>
      </c>
      <c r="C798" s="279" t="s">
        <v>617</v>
      </c>
      <c r="D798" s="318" t="s">
        <v>230</v>
      </c>
      <c r="E798" s="247">
        <v>3000</v>
      </c>
      <c r="F798" s="144" t="s">
        <v>37</v>
      </c>
      <c r="G798" s="248">
        <v>27.5</v>
      </c>
      <c r="H798" s="319">
        <f t="shared" si="72"/>
        <v>82500</v>
      </c>
      <c r="I798" s="249">
        <v>27</v>
      </c>
      <c r="J798" s="320">
        <f t="shared" si="69"/>
        <v>0.5</v>
      </c>
      <c r="K798" s="267">
        <f t="shared" si="70"/>
        <v>1500</v>
      </c>
      <c r="L798" s="321">
        <f t="shared" si="71"/>
        <v>1.8181818181818181E-2</v>
      </c>
      <c r="M798" s="208" t="s">
        <v>40</v>
      </c>
      <c r="N798" s="208" t="s">
        <v>39</v>
      </c>
    </row>
    <row r="799" spans="1:14">
      <c r="A799" s="172" t="s">
        <v>1</v>
      </c>
      <c r="B799" s="325" t="s">
        <v>3990</v>
      </c>
      <c r="C799" s="279" t="s">
        <v>617</v>
      </c>
      <c r="D799" s="318" t="s">
        <v>996</v>
      </c>
      <c r="E799" s="247">
        <v>3000</v>
      </c>
      <c r="F799" s="144" t="s">
        <v>37</v>
      </c>
      <c r="G799" s="248">
        <v>27.5</v>
      </c>
      <c r="H799" s="319">
        <f t="shared" si="72"/>
        <v>82500</v>
      </c>
      <c r="I799" s="249">
        <v>27</v>
      </c>
      <c r="J799" s="320">
        <f t="shared" si="69"/>
        <v>0.5</v>
      </c>
      <c r="K799" s="267">
        <f t="shared" si="70"/>
        <v>1500</v>
      </c>
      <c r="L799" s="321">
        <f t="shared" si="71"/>
        <v>1.8181818181818181E-2</v>
      </c>
      <c r="M799" s="208" t="s">
        <v>40</v>
      </c>
      <c r="N799" s="208" t="s">
        <v>39</v>
      </c>
    </row>
    <row r="800" spans="1:14">
      <c r="A800" s="172" t="s">
        <v>1</v>
      </c>
      <c r="B800" s="325" t="s">
        <v>3991</v>
      </c>
      <c r="C800" s="279" t="s">
        <v>617</v>
      </c>
      <c r="D800" s="318" t="s">
        <v>233</v>
      </c>
      <c r="E800" s="247">
        <v>6176</v>
      </c>
      <c r="F800" s="144" t="s">
        <v>37</v>
      </c>
      <c r="G800" s="248">
        <v>27.5</v>
      </c>
      <c r="H800" s="319">
        <f t="shared" si="72"/>
        <v>169840</v>
      </c>
      <c r="I800" s="249">
        <v>27</v>
      </c>
      <c r="J800" s="320">
        <f t="shared" si="69"/>
        <v>0.5</v>
      </c>
      <c r="K800" s="267">
        <f t="shared" si="70"/>
        <v>3088</v>
      </c>
      <c r="L800" s="321">
        <f t="shared" si="71"/>
        <v>1.8181818181818181E-2</v>
      </c>
      <c r="M800" s="208" t="s">
        <v>40</v>
      </c>
      <c r="N800" s="208" t="s">
        <v>39</v>
      </c>
    </row>
    <row r="801" spans="1:14">
      <c r="A801" s="172" t="s">
        <v>1</v>
      </c>
      <c r="B801" s="325" t="s">
        <v>3991</v>
      </c>
      <c r="C801" s="279" t="s">
        <v>617</v>
      </c>
      <c r="D801" s="318" t="s">
        <v>230</v>
      </c>
      <c r="E801" s="247">
        <v>3000</v>
      </c>
      <c r="F801" s="144" t="s">
        <v>37</v>
      </c>
      <c r="G801" s="248">
        <v>27.5</v>
      </c>
      <c r="H801" s="319">
        <f t="shared" si="72"/>
        <v>82500</v>
      </c>
      <c r="I801" s="249">
        <v>27</v>
      </c>
      <c r="J801" s="320">
        <f t="shared" si="69"/>
        <v>0.5</v>
      </c>
      <c r="K801" s="267">
        <f t="shared" si="70"/>
        <v>1500</v>
      </c>
      <c r="L801" s="321">
        <f t="shared" si="71"/>
        <v>1.8181818181818181E-2</v>
      </c>
      <c r="M801" s="208" t="s">
        <v>40</v>
      </c>
      <c r="N801" s="208" t="s">
        <v>39</v>
      </c>
    </row>
    <row r="802" spans="1:14">
      <c r="A802" s="172" t="s">
        <v>1</v>
      </c>
      <c r="B802" s="325" t="s">
        <v>3991</v>
      </c>
      <c r="C802" s="279" t="s">
        <v>617</v>
      </c>
      <c r="D802" s="318" t="s">
        <v>275</v>
      </c>
      <c r="E802" s="247">
        <v>9000</v>
      </c>
      <c r="F802" s="144" t="s">
        <v>37</v>
      </c>
      <c r="G802" s="248">
        <v>27.5</v>
      </c>
      <c r="H802" s="319">
        <f t="shared" si="72"/>
        <v>247500</v>
      </c>
      <c r="I802" s="249">
        <v>27</v>
      </c>
      <c r="J802" s="320">
        <f t="shared" si="69"/>
        <v>0.5</v>
      </c>
      <c r="K802" s="267">
        <f t="shared" si="70"/>
        <v>4500</v>
      </c>
      <c r="L802" s="321">
        <f t="shared" si="71"/>
        <v>1.8181818181818181E-2</v>
      </c>
      <c r="M802" s="208" t="s">
        <v>40</v>
      </c>
      <c r="N802" s="208" t="s">
        <v>39</v>
      </c>
    </row>
    <row r="803" spans="1:14">
      <c r="A803" s="172" t="s">
        <v>1</v>
      </c>
      <c r="B803" s="325" t="s">
        <v>3992</v>
      </c>
      <c r="C803" s="279" t="s">
        <v>617</v>
      </c>
      <c r="D803" s="318" t="s">
        <v>275</v>
      </c>
      <c r="E803" s="247">
        <v>6000</v>
      </c>
      <c r="F803" s="144" t="s">
        <v>37</v>
      </c>
      <c r="G803" s="248">
        <v>27.5</v>
      </c>
      <c r="H803" s="319">
        <f t="shared" si="72"/>
        <v>165000</v>
      </c>
      <c r="I803" s="249">
        <v>27</v>
      </c>
      <c r="J803" s="320">
        <f t="shared" si="69"/>
        <v>0.5</v>
      </c>
      <c r="K803" s="267">
        <f t="shared" si="70"/>
        <v>3000</v>
      </c>
      <c r="L803" s="321">
        <f t="shared" si="71"/>
        <v>1.8181818181818181E-2</v>
      </c>
      <c r="M803" s="208" t="s">
        <v>40</v>
      </c>
      <c r="N803" s="208" t="s">
        <v>39</v>
      </c>
    </row>
    <row r="804" spans="1:14">
      <c r="A804" s="172" t="s">
        <v>1</v>
      </c>
      <c r="B804" s="325" t="s">
        <v>3993</v>
      </c>
      <c r="C804" s="279" t="s">
        <v>335</v>
      </c>
      <c r="D804" s="318" t="s">
        <v>336</v>
      </c>
      <c r="E804" s="247">
        <v>28000</v>
      </c>
      <c r="F804" s="144" t="s">
        <v>3976</v>
      </c>
      <c r="G804" s="248">
        <v>35</v>
      </c>
      <c r="H804" s="319">
        <f t="shared" si="72"/>
        <v>980000</v>
      </c>
      <c r="I804" s="249">
        <v>33.75</v>
      </c>
      <c r="J804" s="320">
        <f t="shared" si="69"/>
        <v>1.25</v>
      </c>
      <c r="K804" s="267">
        <f t="shared" si="70"/>
        <v>35000</v>
      </c>
      <c r="L804" s="321">
        <f t="shared" si="71"/>
        <v>3.5714285714285712E-2</v>
      </c>
      <c r="M804" s="208" t="s">
        <v>40</v>
      </c>
      <c r="N804" s="208" t="s">
        <v>39</v>
      </c>
    </row>
    <row r="805" spans="1:14">
      <c r="A805" s="172" t="s">
        <v>1</v>
      </c>
      <c r="B805" s="325" t="s">
        <v>3994</v>
      </c>
      <c r="C805" s="279" t="s">
        <v>335</v>
      </c>
      <c r="D805" s="318" t="s">
        <v>336</v>
      </c>
      <c r="E805" s="247">
        <v>14000</v>
      </c>
      <c r="F805" s="144" t="s">
        <v>3976</v>
      </c>
      <c r="G805" s="248">
        <v>35</v>
      </c>
      <c r="H805" s="319">
        <f t="shared" si="72"/>
        <v>490000</v>
      </c>
      <c r="I805" s="249">
        <v>33.75</v>
      </c>
      <c r="J805" s="320">
        <f t="shared" si="69"/>
        <v>1.25</v>
      </c>
      <c r="K805" s="267">
        <f t="shared" si="70"/>
        <v>17500</v>
      </c>
      <c r="L805" s="321">
        <f t="shared" si="71"/>
        <v>3.5714285714285712E-2</v>
      </c>
      <c r="M805" s="208" t="s">
        <v>40</v>
      </c>
      <c r="N805" s="208" t="s">
        <v>39</v>
      </c>
    </row>
    <row r="806" spans="1:14">
      <c r="A806" s="172" t="s">
        <v>1</v>
      </c>
      <c r="B806" s="325" t="s">
        <v>3995</v>
      </c>
      <c r="C806" s="279" t="s">
        <v>335</v>
      </c>
      <c r="D806" s="318" t="s">
        <v>336</v>
      </c>
      <c r="E806" s="247">
        <v>70000</v>
      </c>
      <c r="F806" s="144" t="s">
        <v>3976</v>
      </c>
      <c r="G806" s="248">
        <v>35</v>
      </c>
      <c r="H806" s="319">
        <f t="shared" si="72"/>
        <v>2450000</v>
      </c>
      <c r="I806" s="249">
        <v>33.75</v>
      </c>
      <c r="J806" s="320">
        <f t="shared" si="69"/>
        <v>1.25</v>
      </c>
      <c r="K806" s="267">
        <f t="shared" si="70"/>
        <v>87500</v>
      </c>
      <c r="L806" s="321">
        <f t="shared" si="71"/>
        <v>3.5714285714285712E-2</v>
      </c>
      <c r="M806" s="208" t="s">
        <v>40</v>
      </c>
      <c r="N806" s="208" t="s">
        <v>39</v>
      </c>
    </row>
    <row r="807" spans="1:14">
      <c r="A807" s="172" t="s">
        <v>1</v>
      </c>
      <c r="B807" s="325" t="s">
        <v>3996</v>
      </c>
      <c r="C807" s="279" t="s">
        <v>335</v>
      </c>
      <c r="D807" s="318" t="s">
        <v>336</v>
      </c>
      <c r="E807" s="247">
        <v>84000</v>
      </c>
      <c r="F807" s="144" t="s">
        <v>3976</v>
      </c>
      <c r="G807" s="248">
        <v>35</v>
      </c>
      <c r="H807" s="319">
        <f t="shared" si="72"/>
        <v>2940000</v>
      </c>
      <c r="I807" s="249">
        <v>33.75</v>
      </c>
      <c r="J807" s="320">
        <f t="shared" si="69"/>
        <v>1.25</v>
      </c>
      <c r="K807" s="267">
        <f t="shared" si="70"/>
        <v>105000</v>
      </c>
      <c r="L807" s="321">
        <f t="shared" si="71"/>
        <v>3.5714285714285712E-2</v>
      </c>
      <c r="M807" s="208" t="s">
        <v>40</v>
      </c>
      <c r="N807" s="208" t="s">
        <v>39</v>
      </c>
    </row>
    <row r="808" spans="1:14">
      <c r="A808" s="245" t="s">
        <v>895</v>
      </c>
      <c r="B808" s="212" t="s">
        <v>3997</v>
      </c>
      <c r="C808" s="201" t="s">
        <v>57</v>
      </c>
      <c r="D808" s="138" t="s">
        <v>3998</v>
      </c>
      <c r="E808" s="247">
        <v>1</v>
      </c>
      <c r="F808" s="142" t="s">
        <v>59</v>
      </c>
      <c r="G808" s="264">
        <v>348060</v>
      </c>
      <c r="H808" s="264">
        <f>G808*E808</f>
        <v>348060</v>
      </c>
      <c r="I808" s="265">
        <v>338976</v>
      </c>
      <c r="J808" s="265">
        <f t="shared" ref="J808:J871" si="73">G808-I808</f>
        <v>9084</v>
      </c>
      <c r="K808" s="250">
        <f t="shared" ref="K808:K871" si="74">J808*E808</f>
        <v>9084</v>
      </c>
      <c r="L808" s="206">
        <f t="shared" ref="L808:L863" si="75">J808/G808</f>
        <v>2.6098948457162558E-2</v>
      </c>
      <c r="M808" s="208" t="s">
        <v>40</v>
      </c>
      <c r="N808" s="201" t="s">
        <v>105</v>
      </c>
    </row>
    <row r="809" spans="1:14">
      <c r="A809" s="144" t="s">
        <v>895</v>
      </c>
      <c r="B809" s="212" t="s">
        <v>3999</v>
      </c>
      <c r="C809" s="201" t="s">
        <v>149</v>
      </c>
      <c r="D809" s="140" t="s">
        <v>4000</v>
      </c>
      <c r="E809" s="247">
        <v>1</v>
      </c>
      <c r="F809" s="142" t="s">
        <v>59</v>
      </c>
      <c r="G809" s="248">
        <v>13850</v>
      </c>
      <c r="H809" s="264">
        <f t="shared" ref="H809:H863" si="76">G809*E809</f>
        <v>13850</v>
      </c>
      <c r="I809" s="249">
        <v>13500</v>
      </c>
      <c r="J809" s="249">
        <f t="shared" si="73"/>
        <v>350</v>
      </c>
      <c r="K809" s="295">
        <f t="shared" si="74"/>
        <v>350</v>
      </c>
      <c r="L809" s="296">
        <f t="shared" si="75"/>
        <v>2.5270758122743681E-2</v>
      </c>
      <c r="M809" s="208" t="s">
        <v>22</v>
      </c>
      <c r="N809" s="201" t="s">
        <v>105</v>
      </c>
    </row>
    <row r="810" spans="1:14">
      <c r="A810" s="144" t="s">
        <v>895</v>
      </c>
      <c r="B810" s="212" t="s">
        <v>4001</v>
      </c>
      <c r="C810" s="201" t="s">
        <v>4002</v>
      </c>
      <c r="D810" s="140" t="s">
        <v>4003</v>
      </c>
      <c r="E810" s="247">
        <v>270</v>
      </c>
      <c r="F810" s="143" t="s">
        <v>499</v>
      </c>
      <c r="G810" s="248">
        <v>57</v>
      </c>
      <c r="H810" s="264">
        <f t="shared" si="76"/>
        <v>15390</v>
      </c>
      <c r="I810" s="156">
        <v>52</v>
      </c>
      <c r="J810" s="249">
        <f t="shared" si="73"/>
        <v>5</v>
      </c>
      <c r="K810" s="295">
        <f t="shared" si="74"/>
        <v>1350</v>
      </c>
      <c r="L810" s="296">
        <f t="shared" si="75"/>
        <v>8.771929824561403E-2</v>
      </c>
      <c r="M810" s="208" t="s">
        <v>22</v>
      </c>
      <c r="N810" s="201" t="s">
        <v>105</v>
      </c>
    </row>
    <row r="811" spans="1:14">
      <c r="A811" s="144" t="s">
        <v>895</v>
      </c>
      <c r="B811" s="212" t="s">
        <v>4004</v>
      </c>
      <c r="C811" s="201" t="s">
        <v>1948</v>
      </c>
      <c r="D811" s="140" t="s">
        <v>4005</v>
      </c>
      <c r="E811" s="247">
        <v>5</v>
      </c>
      <c r="F811" s="143" t="s">
        <v>19</v>
      </c>
      <c r="G811" s="248">
        <v>780</v>
      </c>
      <c r="H811" s="264">
        <f t="shared" si="76"/>
        <v>3900</v>
      </c>
      <c r="I811" s="156">
        <v>665</v>
      </c>
      <c r="J811" s="249">
        <f t="shared" si="73"/>
        <v>115</v>
      </c>
      <c r="K811" s="295">
        <f t="shared" si="74"/>
        <v>575</v>
      </c>
      <c r="L811" s="296">
        <f t="shared" si="75"/>
        <v>0.14743589743589744</v>
      </c>
      <c r="M811" s="208" t="s">
        <v>22</v>
      </c>
      <c r="N811" s="201" t="s">
        <v>105</v>
      </c>
    </row>
    <row r="812" spans="1:14">
      <c r="A812" s="144" t="s">
        <v>895</v>
      </c>
      <c r="B812" s="212" t="s">
        <v>4006</v>
      </c>
      <c r="C812" s="201" t="s">
        <v>1204</v>
      </c>
      <c r="D812" s="140" t="s">
        <v>1982</v>
      </c>
      <c r="E812" s="247">
        <v>90</v>
      </c>
      <c r="F812" s="143" t="s">
        <v>19</v>
      </c>
      <c r="G812" s="248">
        <v>15</v>
      </c>
      <c r="H812" s="264">
        <f>G812*E812</f>
        <v>1350</v>
      </c>
      <c r="I812" s="156">
        <v>14</v>
      </c>
      <c r="J812" s="249">
        <f t="shared" si="73"/>
        <v>1</v>
      </c>
      <c r="K812" s="295">
        <f>J812*E812</f>
        <v>90</v>
      </c>
      <c r="L812" s="296">
        <f t="shared" si="75"/>
        <v>6.6666666666666666E-2</v>
      </c>
      <c r="M812" s="208" t="s">
        <v>40</v>
      </c>
      <c r="N812" s="201" t="s">
        <v>105</v>
      </c>
    </row>
    <row r="813" spans="1:14">
      <c r="A813" s="144" t="s">
        <v>895</v>
      </c>
      <c r="B813" s="212" t="s">
        <v>4007</v>
      </c>
      <c r="C813" s="201" t="s">
        <v>1430</v>
      </c>
      <c r="D813" s="140" t="s">
        <v>859</v>
      </c>
      <c r="E813" s="141">
        <v>8000</v>
      </c>
      <c r="F813" s="143" t="s">
        <v>3976</v>
      </c>
      <c r="G813" s="248">
        <v>90</v>
      </c>
      <c r="H813" s="264">
        <f t="shared" si="76"/>
        <v>720000</v>
      </c>
      <c r="I813" s="156">
        <v>89.5</v>
      </c>
      <c r="J813" s="249">
        <f t="shared" si="73"/>
        <v>0.5</v>
      </c>
      <c r="K813" s="295">
        <f t="shared" si="74"/>
        <v>4000</v>
      </c>
      <c r="L813" s="296">
        <f t="shared" si="75"/>
        <v>5.5555555555555558E-3</v>
      </c>
      <c r="M813" s="208" t="s">
        <v>22</v>
      </c>
      <c r="N813" s="201" t="s">
        <v>39</v>
      </c>
    </row>
    <row r="814" spans="1:14">
      <c r="A814" s="144" t="s">
        <v>895</v>
      </c>
      <c r="B814" s="212" t="s">
        <v>4008</v>
      </c>
      <c r="C814" s="201" t="s">
        <v>107</v>
      </c>
      <c r="D814" s="140" t="s">
        <v>816</v>
      </c>
      <c r="E814" s="141">
        <v>8</v>
      </c>
      <c r="F814" s="143" t="s">
        <v>19</v>
      </c>
      <c r="G814" s="248">
        <v>2880</v>
      </c>
      <c r="H814" s="264">
        <f t="shared" si="76"/>
        <v>23040</v>
      </c>
      <c r="I814" s="156">
        <v>2625</v>
      </c>
      <c r="J814" s="249">
        <f t="shared" si="73"/>
        <v>255</v>
      </c>
      <c r="K814" s="295">
        <f t="shared" si="74"/>
        <v>2040</v>
      </c>
      <c r="L814" s="296">
        <f t="shared" si="75"/>
        <v>8.8541666666666671E-2</v>
      </c>
      <c r="M814" s="208" t="s">
        <v>22</v>
      </c>
      <c r="N814" s="201" t="s">
        <v>105</v>
      </c>
    </row>
    <row r="815" spans="1:14">
      <c r="A815" s="144" t="s">
        <v>895</v>
      </c>
      <c r="B815" s="212" t="s">
        <v>4009</v>
      </c>
      <c r="C815" s="201" t="s">
        <v>935</v>
      </c>
      <c r="D815" s="140" t="s">
        <v>4010</v>
      </c>
      <c r="E815" s="330">
        <v>46</v>
      </c>
      <c r="F815" s="143" t="s">
        <v>19</v>
      </c>
      <c r="G815" s="248">
        <v>8250</v>
      </c>
      <c r="H815" s="264">
        <f t="shared" si="76"/>
        <v>379500</v>
      </c>
      <c r="I815" s="156">
        <v>8200</v>
      </c>
      <c r="J815" s="249">
        <f t="shared" si="73"/>
        <v>50</v>
      </c>
      <c r="K815" s="295">
        <f t="shared" si="74"/>
        <v>2300</v>
      </c>
      <c r="L815" s="296">
        <f t="shared" si="75"/>
        <v>6.0606060606060606E-3</v>
      </c>
      <c r="M815" s="208" t="s">
        <v>22</v>
      </c>
      <c r="N815" s="201" t="s">
        <v>39</v>
      </c>
    </row>
    <row r="816" spans="1:14">
      <c r="A816" s="144" t="s">
        <v>895</v>
      </c>
      <c r="B816" s="212" t="s">
        <v>4009</v>
      </c>
      <c r="C816" s="201" t="s">
        <v>935</v>
      </c>
      <c r="D816" s="140" t="s">
        <v>4011</v>
      </c>
      <c r="E816" s="330">
        <v>46</v>
      </c>
      <c r="F816" s="143" t="s">
        <v>19</v>
      </c>
      <c r="G816" s="248">
        <v>22200</v>
      </c>
      <c r="H816" s="264">
        <f t="shared" si="76"/>
        <v>1021200</v>
      </c>
      <c r="I816" s="156">
        <v>22150</v>
      </c>
      <c r="J816" s="249">
        <f t="shared" si="73"/>
        <v>50</v>
      </c>
      <c r="K816" s="295">
        <f t="shared" si="74"/>
        <v>2300</v>
      </c>
      <c r="L816" s="296">
        <f t="shared" si="75"/>
        <v>2.2522522522522522E-3</v>
      </c>
      <c r="M816" s="208" t="s">
        <v>22</v>
      </c>
      <c r="N816" s="201" t="s">
        <v>39</v>
      </c>
    </row>
    <row r="817" spans="1:14">
      <c r="A817" s="144" t="s">
        <v>895</v>
      </c>
      <c r="B817" s="212" t="s">
        <v>4009</v>
      </c>
      <c r="C817" s="201" t="s">
        <v>935</v>
      </c>
      <c r="D817" s="208" t="s">
        <v>4012</v>
      </c>
      <c r="E817" s="331">
        <v>46</v>
      </c>
      <c r="F817" s="143" t="s">
        <v>19</v>
      </c>
      <c r="G817" s="248">
        <v>22200</v>
      </c>
      <c r="H817" s="264">
        <f t="shared" si="76"/>
        <v>1021200</v>
      </c>
      <c r="I817" s="156">
        <v>22150</v>
      </c>
      <c r="J817" s="249">
        <f t="shared" si="73"/>
        <v>50</v>
      </c>
      <c r="K817" s="295">
        <f t="shared" si="74"/>
        <v>2300</v>
      </c>
      <c r="L817" s="296">
        <f t="shared" si="75"/>
        <v>2.2522522522522522E-3</v>
      </c>
      <c r="M817" s="208" t="s">
        <v>22</v>
      </c>
      <c r="N817" s="201" t="s">
        <v>39</v>
      </c>
    </row>
    <row r="818" spans="1:14">
      <c r="A818" s="144" t="s">
        <v>895</v>
      </c>
      <c r="B818" s="212" t="s">
        <v>4009</v>
      </c>
      <c r="C818" s="201" t="s">
        <v>935</v>
      </c>
      <c r="D818" s="208" t="s">
        <v>4013</v>
      </c>
      <c r="E818" s="331">
        <v>46</v>
      </c>
      <c r="F818" s="143" t="s">
        <v>19</v>
      </c>
      <c r="G818" s="248">
        <v>4950</v>
      </c>
      <c r="H818" s="264">
        <f t="shared" si="76"/>
        <v>227700</v>
      </c>
      <c r="I818" s="156">
        <v>4930</v>
      </c>
      <c r="J818" s="249">
        <f t="shared" si="73"/>
        <v>20</v>
      </c>
      <c r="K818" s="295">
        <f t="shared" si="74"/>
        <v>920</v>
      </c>
      <c r="L818" s="296">
        <f t="shared" si="75"/>
        <v>4.0404040404040404E-3</v>
      </c>
      <c r="M818" s="208" t="s">
        <v>22</v>
      </c>
      <c r="N818" s="201" t="s">
        <v>39</v>
      </c>
    </row>
    <row r="819" spans="1:14">
      <c r="A819" s="144" t="s">
        <v>895</v>
      </c>
      <c r="B819" s="212" t="s">
        <v>4014</v>
      </c>
      <c r="C819" s="201" t="s">
        <v>192</v>
      </c>
      <c r="D819" s="208" t="s">
        <v>2502</v>
      </c>
      <c r="E819" s="247">
        <v>6000</v>
      </c>
      <c r="F819" s="144" t="s">
        <v>337</v>
      </c>
      <c r="G819" s="248">
        <v>184.26</v>
      </c>
      <c r="H819" s="264">
        <f t="shared" si="76"/>
        <v>1105560</v>
      </c>
      <c r="I819" s="156">
        <v>147.5</v>
      </c>
      <c r="J819" s="249">
        <f t="shared" si="73"/>
        <v>36.759999999999991</v>
      </c>
      <c r="K819" s="295">
        <f t="shared" si="74"/>
        <v>220559.99999999994</v>
      </c>
      <c r="L819" s="296">
        <f t="shared" si="75"/>
        <v>0.19950070552480187</v>
      </c>
      <c r="M819" s="208" t="s">
        <v>22</v>
      </c>
      <c r="N819" s="201" t="s">
        <v>105</v>
      </c>
    </row>
    <row r="820" spans="1:14">
      <c r="A820" s="144" t="s">
        <v>895</v>
      </c>
      <c r="B820" s="213" t="s">
        <v>4015</v>
      </c>
      <c r="C820" s="208" t="s">
        <v>57</v>
      </c>
      <c r="D820" s="208" t="s">
        <v>4016</v>
      </c>
      <c r="E820" s="247">
        <v>1</v>
      </c>
      <c r="F820" s="144" t="s">
        <v>4017</v>
      </c>
      <c r="G820" s="248">
        <v>774048.7</v>
      </c>
      <c r="H820" s="264">
        <f t="shared" si="76"/>
        <v>774048.7</v>
      </c>
      <c r="I820" s="156">
        <v>766023.7</v>
      </c>
      <c r="J820" s="249">
        <f t="shared" si="73"/>
        <v>8025</v>
      </c>
      <c r="K820" s="295">
        <f t="shared" si="74"/>
        <v>8025</v>
      </c>
      <c r="L820" s="296">
        <f t="shared" si="75"/>
        <v>1.0367564728162453E-2</v>
      </c>
      <c r="M820" s="208" t="s">
        <v>40</v>
      </c>
      <c r="N820" s="201" t="s">
        <v>105</v>
      </c>
    </row>
    <row r="821" spans="1:14">
      <c r="A821" s="144" t="s">
        <v>895</v>
      </c>
      <c r="B821" s="213" t="s">
        <v>4018</v>
      </c>
      <c r="C821" s="208" t="s">
        <v>57</v>
      </c>
      <c r="D821" s="208" t="s">
        <v>4019</v>
      </c>
      <c r="E821" s="247">
        <v>1</v>
      </c>
      <c r="F821" s="144" t="s">
        <v>4017</v>
      </c>
      <c r="G821" s="248">
        <v>903133.5</v>
      </c>
      <c r="H821" s="264">
        <f t="shared" si="76"/>
        <v>903133.5</v>
      </c>
      <c r="I821" s="156">
        <v>894145.5</v>
      </c>
      <c r="J821" s="249">
        <f t="shared" si="73"/>
        <v>8988</v>
      </c>
      <c r="K821" s="295">
        <f t="shared" si="74"/>
        <v>8988</v>
      </c>
      <c r="L821" s="296">
        <f t="shared" si="75"/>
        <v>9.952017060600676E-3</v>
      </c>
      <c r="M821" s="208" t="s">
        <v>40</v>
      </c>
      <c r="N821" s="201" t="s">
        <v>105</v>
      </c>
    </row>
    <row r="822" spans="1:14">
      <c r="A822" s="144" t="s">
        <v>895</v>
      </c>
      <c r="B822" s="213" t="s">
        <v>4020</v>
      </c>
      <c r="C822" s="208" t="s">
        <v>57</v>
      </c>
      <c r="D822" s="208" t="s">
        <v>4021</v>
      </c>
      <c r="E822" s="247">
        <v>1</v>
      </c>
      <c r="F822" s="144" t="s">
        <v>4017</v>
      </c>
      <c r="G822" s="248">
        <v>506645</v>
      </c>
      <c r="H822" s="264">
        <f t="shared" si="76"/>
        <v>506645</v>
      </c>
      <c r="I822" s="156">
        <v>501830</v>
      </c>
      <c r="J822" s="249">
        <f t="shared" si="73"/>
        <v>4815</v>
      </c>
      <c r="K822" s="295">
        <f t="shared" si="74"/>
        <v>4815</v>
      </c>
      <c r="L822" s="296">
        <f t="shared" si="75"/>
        <v>9.5036958817317843E-3</v>
      </c>
      <c r="M822" s="208" t="s">
        <v>40</v>
      </c>
      <c r="N822" s="201" t="s">
        <v>105</v>
      </c>
    </row>
    <row r="823" spans="1:14">
      <c r="A823" s="144" t="s">
        <v>895</v>
      </c>
      <c r="B823" s="213" t="s">
        <v>4022</v>
      </c>
      <c r="C823" s="208" t="s">
        <v>200</v>
      </c>
      <c r="D823" s="208" t="s">
        <v>4023</v>
      </c>
      <c r="E823" s="247">
        <v>1</v>
      </c>
      <c r="F823" s="144" t="s">
        <v>19</v>
      </c>
      <c r="G823" s="248">
        <v>48500</v>
      </c>
      <c r="H823" s="264">
        <f t="shared" si="76"/>
        <v>48500</v>
      </c>
      <c r="I823" s="156">
        <v>47000</v>
      </c>
      <c r="J823" s="249">
        <f t="shared" si="73"/>
        <v>1500</v>
      </c>
      <c r="K823" s="295">
        <f t="shared" si="74"/>
        <v>1500</v>
      </c>
      <c r="L823" s="296">
        <f t="shared" si="75"/>
        <v>3.0927835051546393E-2</v>
      </c>
      <c r="M823" s="208" t="s">
        <v>22</v>
      </c>
      <c r="N823" s="201" t="s">
        <v>39</v>
      </c>
    </row>
    <row r="824" spans="1:14">
      <c r="A824" s="144" t="s">
        <v>895</v>
      </c>
      <c r="B824" s="213" t="s">
        <v>4024</v>
      </c>
      <c r="C824" s="208" t="s">
        <v>3320</v>
      </c>
      <c r="D824" s="208" t="s">
        <v>3322</v>
      </c>
      <c r="E824" s="247">
        <v>2360</v>
      </c>
      <c r="F824" s="144" t="s">
        <v>19</v>
      </c>
      <c r="G824" s="248">
        <v>175</v>
      </c>
      <c r="H824" s="264">
        <f t="shared" si="76"/>
        <v>413000</v>
      </c>
      <c r="I824" s="156">
        <v>155</v>
      </c>
      <c r="J824" s="249">
        <f t="shared" si="73"/>
        <v>20</v>
      </c>
      <c r="K824" s="295">
        <f t="shared" si="74"/>
        <v>47200</v>
      </c>
      <c r="L824" s="296">
        <f t="shared" si="75"/>
        <v>0.11428571428571428</v>
      </c>
      <c r="M824" s="208" t="s">
        <v>40</v>
      </c>
      <c r="N824" s="201" t="s">
        <v>39</v>
      </c>
    </row>
    <row r="825" spans="1:14">
      <c r="A825" s="144" t="s">
        <v>895</v>
      </c>
      <c r="B825" s="213" t="s">
        <v>4025</v>
      </c>
      <c r="C825" s="208" t="s">
        <v>68</v>
      </c>
      <c r="D825" s="297" t="s">
        <v>755</v>
      </c>
      <c r="E825" s="247">
        <v>286915.20000000001</v>
      </c>
      <c r="F825" s="144" t="s">
        <v>37</v>
      </c>
      <c r="G825" s="248">
        <v>370</v>
      </c>
      <c r="H825" s="264">
        <f t="shared" si="76"/>
        <v>106158624</v>
      </c>
      <c r="I825" s="156">
        <v>363</v>
      </c>
      <c r="J825" s="249">
        <f t="shared" si="73"/>
        <v>7</v>
      </c>
      <c r="K825" s="295">
        <f t="shared" si="74"/>
        <v>2008406.4000000001</v>
      </c>
      <c r="L825" s="296">
        <f t="shared" si="75"/>
        <v>1.891891891891892E-2</v>
      </c>
      <c r="M825" s="208" t="s">
        <v>22</v>
      </c>
      <c r="N825" s="201" t="s">
        <v>105</v>
      </c>
    </row>
    <row r="826" spans="1:14">
      <c r="A826" s="144" t="s">
        <v>895</v>
      </c>
      <c r="B826" s="213" t="s">
        <v>4026</v>
      </c>
      <c r="C826" s="208" t="s">
        <v>329</v>
      </c>
      <c r="D826" s="208" t="s">
        <v>330</v>
      </c>
      <c r="E826" s="247">
        <v>3</v>
      </c>
      <c r="F826" s="144" t="s">
        <v>701</v>
      </c>
      <c r="G826" s="248">
        <v>10200</v>
      </c>
      <c r="H826" s="264">
        <f t="shared" si="76"/>
        <v>30600</v>
      </c>
      <c r="I826" s="156">
        <v>10100</v>
      </c>
      <c r="J826" s="249">
        <f t="shared" si="73"/>
        <v>100</v>
      </c>
      <c r="K826" s="295">
        <f t="shared" si="74"/>
        <v>300</v>
      </c>
      <c r="L826" s="296">
        <f t="shared" si="75"/>
        <v>9.8039215686274508E-3</v>
      </c>
      <c r="M826" s="208" t="s">
        <v>40</v>
      </c>
      <c r="N826" s="201" t="s">
        <v>39</v>
      </c>
    </row>
    <row r="827" spans="1:14">
      <c r="A827" s="144" t="s">
        <v>895</v>
      </c>
      <c r="B827" s="213" t="s">
        <v>4027</v>
      </c>
      <c r="C827" s="279" t="s">
        <v>1042</v>
      </c>
      <c r="D827" s="208" t="s">
        <v>711</v>
      </c>
      <c r="E827" s="247">
        <v>4455</v>
      </c>
      <c r="F827" s="144" t="s">
        <v>37</v>
      </c>
      <c r="G827" s="248">
        <v>361</v>
      </c>
      <c r="H827" s="264">
        <f t="shared" si="76"/>
        <v>1608255</v>
      </c>
      <c r="I827" s="156">
        <v>359</v>
      </c>
      <c r="J827" s="249">
        <f t="shared" si="73"/>
        <v>2</v>
      </c>
      <c r="K827" s="295">
        <f t="shared" si="74"/>
        <v>8910</v>
      </c>
      <c r="L827" s="296">
        <f t="shared" si="75"/>
        <v>5.5401662049861496E-3</v>
      </c>
      <c r="M827" s="208" t="s">
        <v>40</v>
      </c>
      <c r="N827" s="201" t="s">
        <v>105</v>
      </c>
    </row>
    <row r="828" spans="1:14">
      <c r="A828" s="144" t="s">
        <v>895</v>
      </c>
      <c r="B828" s="332" t="s">
        <v>4028</v>
      </c>
      <c r="C828" s="208" t="s">
        <v>708</v>
      </c>
      <c r="D828" s="214" t="s">
        <v>3616</v>
      </c>
      <c r="E828" s="269">
        <v>400</v>
      </c>
      <c r="F828" s="144" t="s">
        <v>37</v>
      </c>
      <c r="G828" s="248">
        <v>373.41</v>
      </c>
      <c r="H828" s="264">
        <f>G828*E827</f>
        <v>1663541.55</v>
      </c>
      <c r="I828" s="156">
        <v>370.41</v>
      </c>
      <c r="J828" s="249">
        <f t="shared" si="73"/>
        <v>3</v>
      </c>
      <c r="K828" s="295">
        <f t="shared" si="74"/>
        <v>1200</v>
      </c>
      <c r="L828" s="296">
        <f t="shared" si="75"/>
        <v>8.0340644331967533E-3</v>
      </c>
      <c r="M828" s="208" t="s">
        <v>40</v>
      </c>
      <c r="N828" s="201" t="s">
        <v>105</v>
      </c>
    </row>
    <row r="829" spans="1:14">
      <c r="A829" s="144" t="s">
        <v>895</v>
      </c>
      <c r="B829" s="332" t="s">
        <v>4028</v>
      </c>
      <c r="C829" s="208" t="s">
        <v>708</v>
      </c>
      <c r="D829" s="214" t="s">
        <v>1135</v>
      </c>
      <c r="E829" s="247">
        <v>700</v>
      </c>
      <c r="F829" s="144" t="s">
        <v>37</v>
      </c>
      <c r="G829" s="248">
        <v>372.91</v>
      </c>
      <c r="H829" s="264">
        <f t="shared" si="76"/>
        <v>261037.00000000003</v>
      </c>
      <c r="I829" s="156">
        <v>369.91</v>
      </c>
      <c r="J829" s="249">
        <f t="shared" si="73"/>
        <v>3</v>
      </c>
      <c r="K829" s="295">
        <f t="shared" si="74"/>
        <v>2100</v>
      </c>
      <c r="L829" s="296">
        <f t="shared" si="75"/>
        <v>8.0448365557373083E-3</v>
      </c>
      <c r="M829" s="208" t="s">
        <v>40</v>
      </c>
      <c r="N829" s="201" t="s">
        <v>105</v>
      </c>
    </row>
    <row r="830" spans="1:14">
      <c r="A830" s="144" t="s">
        <v>895</v>
      </c>
      <c r="B830" s="332" t="s">
        <v>4028</v>
      </c>
      <c r="C830" s="208" t="s">
        <v>708</v>
      </c>
      <c r="D830" s="272" t="s">
        <v>209</v>
      </c>
      <c r="E830" s="247">
        <v>500</v>
      </c>
      <c r="F830" s="144" t="s">
        <v>37</v>
      </c>
      <c r="G830" s="248">
        <v>374.22</v>
      </c>
      <c r="H830" s="264">
        <f t="shared" si="76"/>
        <v>187110</v>
      </c>
      <c r="I830" s="156">
        <v>371.22</v>
      </c>
      <c r="J830" s="249">
        <f t="shared" si="73"/>
        <v>3</v>
      </c>
      <c r="K830" s="295">
        <f t="shared" si="74"/>
        <v>1500</v>
      </c>
      <c r="L830" s="296">
        <f t="shared" si="75"/>
        <v>8.0166746833413502E-3</v>
      </c>
      <c r="M830" s="208" t="s">
        <v>40</v>
      </c>
      <c r="N830" s="201" t="s">
        <v>105</v>
      </c>
    </row>
    <row r="831" spans="1:14">
      <c r="A831" s="144" t="s">
        <v>895</v>
      </c>
      <c r="B831" s="332" t="s">
        <v>4028</v>
      </c>
      <c r="C831" s="208" t="s">
        <v>708</v>
      </c>
      <c r="D831" s="272" t="s">
        <v>709</v>
      </c>
      <c r="E831" s="247">
        <v>600</v>
      </c>
      <c r="F831" s="144" t="s">
        <v>37</v>
      </c>
      <c r="G831" s="248">
        <v>372.61</v>
      </c>
      <c r="H831" s="264">
        <f t="shared" si="76"/>
        <v>223566</v>
      </c>
      <c r="I831" s="156">
        <v>369.61</v>
      </c>
      <c r="J831" s="249">
        <f t="shared" si="73"/>
        <v>3</v>
      </c>
      <c r="K831" s="295">
        <f t="shared" si="74"/>
        <v>1800</v>
      </c>
      <c r="L831" s="296">
        <f t="shared" si="75"/>
        <v>8.0513137060196985E-3</v>
      </c>
      <c r="M831" s="208" t="s">
        <v>40</v>
      </c>
      <c r="N831" s="201" t="s">
        <v>105</v>
      </c>
    </row>
    <row r="832" spans="1:14">
      <c r="A832" s="144" t="s">
        <v>895</v>
      </c>
      <c r="B832" s="332" t="s">
        <v>4028</v>
      </c>
      <c r="C832" s="208" t="s">
        <v>708</v>
      </c>
      <c r="D832" s="272" t="s">
        <v>1663</v>
      </c>
      <c r="E832" s="247">
        <v>770</v>
      </c>
      <c r="F832" s="144" t="s">
        <v>37</v>
      </c>
      <c r="G832" s="248">
        <v>372.08</v>
      </c>
      <c r="H832" s="264">
        <f t="shared" si="76"/>
        <v>286501.59999999998</v>
      </c>
      <c r="I832" s="156">
        <v>369.08</v>
      </c>
      <c r="J832" s="249">
        <f t="shared" si="73"/>
        <v>3</v>
      </c>
      <c r="K832" s="295">
        <f t="shared" si="74"/>
        <v>2310</v>
      </c>
      <c r="L832" s="296">
        <f t="shared" si="75"/>
        <v>8.0627821973769092E-3</v>
      </c>
      <c r="M832" s="208" t="s">
        <v>40</v>
      </c>
      <c r="N832" s="201" t="s">
        <v>105</v>
      </c>
    </row>
    <row r="833" spans="1:14">
      <c r="A833" s="144" t="s">
        <v>895</v>
      </c>
      <c r="B833" s="213" t="s">
        <v>4029</v>
      </c>
      <c r="C833" s="209" t="s">
        <v>17</v>
      </c>
      <c r="D833" s="208" t="s">
        <v>3919</v>
      </c>
      <c r="E833" s="247">
        <v>1</v>
      </c>
      <c r="F833" s="144" t="s">
        <v>19</v>
      </c>
      <c r="G833" s="248">
        <v>70</v>
      </c>
      <c r="H833" s="264">
        <f t="shared" si="76"/>
        <v>70</v>
      </c>
      <c r="I833" s="156">
        <v>50</v>
      </c>
      <c r="J833" s="249">
        <f t="shared" si="73"/>
        <v>20</v>
      </c>
      <c r="K833" s="295">
        <f t="shared" si="74"/>
        <v>20</v>
      </c>
      <c r="L833" s="296">
        <f t="shared" si="75"/>
        <v>0.2857142857142857</v>
      </c>
      <c r="M833" s="208" t="s">
        <v>40</v>
      </c>
      <c r="N833" s="201" t="s">
        <v>39</v>
      </c>
    </row>
    <row r="834" spans="1:14">
      <c r="A834" s="144" t="s">
        <v>895</v>
      </c>
      <c r="B834" s="213" t="s">
        <v>4029</v>
      </c>
      <c r="C834" s="209" t="s">
        <v>17</v>
      </c>
      <c r="D834" s="208" t="s">
        <v>3920</v>
      </c>
      <c r="E834" s="247">
        <v>6</v>
      </c>
      <c r="F834" s="144" t="s">
        <v>19</v>
      </c>
      <c r="G834" s="248">
        <v>70</v>
      </c>
      <c r="H834" s="264">
        <f t="shared" si="76"/>
        <v>420</v>
      </c>
      <c r="I834" s="156">
        <v>55</v>
      </c>
      <c r="J834" s="249">
        <f t="shared" si="73"/>
        <v>15</v>
      </c>
      <c r="K834" s="295">
        <f t="shared" si="74"/>
        <v>90</v>
      </c>
      <c r="L834" s="296">
        <f t="shared" si="75"/>
        <v>0.21428571428571427</v>
      </c>
      <c r="M834" s="208" t="s">
        <v>40</v>
      </c>
      <c r="N834" s="201" t="s">
        <v>39</v>
      </c>
    </row>
    <row r="835" spans="1:14">
      <c r="A835" s="144" t="s">
        <v>895</v>
      </c>
      <c r="B835" s="213" t="s">
        <v>4030</v>
      </c>
      <c r="C835" s="208" t="s">
        <v>617</v>
      </c>
      <c r="D835" s="208" t="s">
        <v>230</v>
      </c>
      <c r="E835" s="247">
        <v>6000</v>
      </c>
      <c r="F835" s="144" t="s">
        <v>37</v>
      </c>
      <c r="G835" s="248">
        <v>27</v>
      </c>
      <c r="H835" s="264">
        <f t="shared" si="76"/>
        <v>162000</v>
      </c>
      <c r="I835" s="156">
        <v>26.5</v>
      </c>
      <c r="J835" s="249">
        <f t="shared" si="73"/>
        <v>0.5</v>
      </c>
      <c r="K835" s="295">
        <f t="shared" si="74"/>
        <v>3000</v>
      </c>
      <c r="L835" s="296">
        <f t="shared" si="75"/>
        <v>1.8518518518518517E-2</v>
      </c>
      <c r="M835" s="208" t="s">
        <v>40</v>
      </c>
      <c r="N835" s="201" t="s">
        <v>39</v>
      </c>
    </row>
    <row r="836" spans="1:14">
      <c r="A836" s="144" t="s">
        <v>895</v>
      </c>
      <c r="B836" s="213" t="s">
        <v>4030</v>
      </c>
      <c r="C836" s="208" t="s">
        <v>617</v>
      </c>
      <c r="D836" s="208" t="s">
        <v>233</v>
      </c>
      <c r="E836" s="247">
        <v>9000</v>
      </c>
      <c r="F836" s="144" t="s">
        <v>37</v>
      </c>
      <c r="G836" s="248">
        <v>27</v>
      </c>
      <c r="H836" s="264">
        <f t="shared" si="76"/>
        <v>243000</v>
      </c>
      <c r="I836" s="156">
        <v>25.5</v>
      </c>
      <c r="J836" s="249">
        <f t="shared" si="73"/>
        <v>1.5</v>
      </c>
      <c r="K836" s="295">
        <f t="shared" si="74"/>
        <v>13500</v>
      </c>
      <c r="L836" s="296">
        <f t="shared" si="75"/>
        <v>5.5555555555555552E-2</v>
      </c>
      <c r="M836" s="208" t="s">
        <v>40</v>
      </c>
      <c r="N836" s="201" t="s">
        <v>39</v>
      </c>
    </row>
    <row r="837" spans="1:14">
      <c r="A837" s="144" t="s">
        <v>895</v>
      </c>
      <c r="B837" s="213" t="s">
        <v>4031</v>
      </c>
      <c r="C837" s="208" t="s">
        <v>935</v>
      </c>
      <c r="D837" s="208" t="s">
        <v>4032</v>
      </c>
      <c r="E837" s="247">
        <v>19</v>
      </c>
      <c r="F837" s="144" t="s">
        <v>19</v>
      </c>
      <c r="G837" s="248">
        <v>7700</v>
      </c>
      <c r="H837" s="264">
        <f t="shared" si="76"/>
        <v>146300</v>
      </c>
      <c r="I837" s="156">
        <v>7630.2631578947367</v>
      </c>
      <c r="J837" s="249">
        <f t="shared" si="73"/>
        <v>69.736842105263349</v>
      </c>
      <c r="K837" s="295">
        <f t="shared" si="74"/>
        <v>1325.0000000000036</v>
      </c>
      <c r="L837" s="296">
        <f t="shared" si="75"/>
        <v>9.0567327409432925E-3</v>
      </c>
      <c r="M837" s="208" t="s">
        <v>22</v>
      </c>
      <c r="N837" s="201" t="s">
        <v>39</v>
      </c>
    </row>
    <row r="838" spans="1:14">
      <c r="A838" s="144" t="s">
        <v>895</v>
      </c>
      <c r="B838" s="213" t="s">
        <v>4031</v>
      </c>
      <c r="C838" s="208" t="s">
        <v>935</v>
      </c>
      <c r="D838" s="208" t="s">
        <v>4033</v>
      </c>
      <c r="E838" s="247">
        <v>19</v>
      </c>
      <c r="F838" s="144" t="s">
        <v>19</v>
      </c>
      <c r="G838" s="248">
        <v>18000</v>
      </c>
      <c r="H838" s="264">
        <f t="shared" si="76"/>
        <v>342000</v>
      </c>
      <c r="I838" s="156">
        <v>17930.263157894737</v>
      </c>
      <c r="J838" s="249">
        <f t="shared" si="73"/>
        <v>69.736842105263349</v>
      </c>
      <c r="K838" s="295">
        <f t="shared" si="74"/>
        <v>1325.0000000000036</v>
      </c>
      <c r="L838" s="296">
        <f t="shared" si="75"/>
        <v>3.8742690058479637E-3</v>
      </c>
      <c r="M838" s="208" t="s">
        <v>22</v>
      </c>
      <c r="N838" s="201" t="s">
        <v>39</v>
      </c>
    </row>
    <row r="839" spans="1:14">
      <c r="A839" s="144" t="s">
        <v>895</v>
      </c>
      <c r="B839" s="213" t="s">
        <v>4031</v>
      </c>
      <c r="C839" s="208" t="s">
        <v>935</v>
      </c>
      <c r="D839" s="208" t="s">
        <v>4034</v>
      </c>
      <c r="E839" s="247">
        <v>19</v>
      </c>
      <c r="F839" s="144" t="s">
        <v>19</v>
      </c>
      <c r="G839" s="248">
        <v>18000</v>
      </c>
      <c r="H839" s="264">
        <f t="shared" si="76"/>
        <v>342000</v>
      </c>
      <c r="I839" s="156">
        <v>17930.263157894737</v>
      </c>
      <c r="J839" s="249">
        <f t="shared" si="73"/>
        <v>69.736842105263349</v>
      </c>
      <c r="K839" s="295">
        <f t="shared" si="74"/>
        <v>1325.0000000000036</v>
      </c>
      <c r="L839" s="296">
        <f t="shared" si="75"/>
        <v>3.8742690058479637E-3</v>
      </c>
      <c r="M839" s="208" t="s">
        <v>22</v>
      </c>
      <c r="N839" s="201" t="s">
        <v>39</v>
      </c>
    </row>
    <row r="840" spans="1:14">
      <c r="A840" s="144" t="s">
        <v>895</v>
      </c>
      <c r="B840" s="213" t="s">
        <v>4031</v>
      </c>
      <c r="C840" s="208" t="s">
        <v>935</v>
      </c>
      <c r="D840" s="208" t="s">
        <v>4035</v>
      </c>
      <c r="E840" s="247">
        <v>19</v>
      </c>
      <c r="F840" s="144" t="s">
        <v>19</v>
      </c>
      <c r="G840" s="248">
        <v>5000</v>
      </c>
      <c r="H840" s="264">
        <f t="shared" si="76"/>
        <v>95000</v>
      </c>
      <c r="I840" s="156">
        <v>4930.2631578947367</v>
      </c>
      <c r="J840" s="249">
        <f t="shared" si="73"/>
        <v>69.736842105263349</v>
      </c>
      <c r="K840" s="295">
        <f t="shared" si="74"/>
        <v>1325.0000000000036</v>
      </c>
      <c r="L840" s="296">
        <f t="shared" si="75"/>
        <v>1.394736842105267E-2</v>
      </c>
      <c r="M840" s="208" t="s">
        <v>22</v>
      </c>
      <c r="N840" s="201" t="s">
        <v>39</v>
      </c>
    </row>
    <row r="841" spans="1:14">
      <c r="A841" s="144" t="s">
        <v>895</v>
      </c>
      <c r="B841" s="213" t="s">
        <v>4036</v>
      </c>
      <c r="C841" s="208" t="s">
        <v>1227</v>
      </c>
      <c r="D841" s="208" t="s">
        <v>4037</v>
      </c>
      <c r="E841" s="247">
        <v>432</v>
      </c>
      <c r="F841" s="144" t="s">
        <v>19</v>
      </c>
      <c r="G841" s="248">
        <v>2980</v>
      </c>
      <c r="H841" s="264">
        <f t="shared" si="76"/>
        <v>1287360</v>
      </c>
      <c r="I841" s="156">
        <v>2860</v>
      </c>
      <c r="J841" s="249">
        <f t="shared" si="73"/>
        <v>120</v>
      </c>
      <c r="K841" s="295">
        <f t="shared" si="74"/>
        <v>51840</v>
      </c>
      <c r="L841" s="296">
        <f t="shared" si="75"/>
        <v>4.0268456375838924E-2</v>
      </c>
      <c r="M841" s="208" t="s">
        <v>40</v>
      </c>
      <c r="N841" s="201" t="s">
        <v>39</v>
      </c>
    </row>
    <row r="842" spans="1:14">
      <c r="A842" s="144" t="s">
        <v>895</v>
      </c>
      <c r="B842" s="213" t="s">
        <v>4038</v>
      </c>
      <c r="C842" s="208" t="s">
        <v>3893</v>
      </c>
      <c r="D842" s="208" t="s">
        <v>3907</v>
      </c>
      <c r="E842" s="247">
        <v>1</v>
      </c>
      <c r="F842" s="144" t="s">
        <v>19</v>
      </c>
      <c r="G842" s="248">
        <v>405</v>
      </c>
      <c r="H842" s="264">
        <f t="shared" si="76"/>
        <v>405</v>
      </c>
      <c r="I842" s="156">
        <v>400</v>
      </c>
      <c r="J842" s="249">
        <f t="shared" si="73"/>
        <v>5</v>
      </c>
      <c r="K842" s="295">
        <f t="shared" si="74"/>
        <v>5</v>
      </c>
      <c r="L842" s="296">
        <f t="shared" si="75"/>
        <v>1.2345679012345678E-2</v>
      </c>
      <c r="M842" s="208" t="s">
        <v>40</v>
      </c>
      <c r="N842" s="201" t="s">
        <v>39</v>
      </c>
    </row>
    <row r="843" spans="1:14">
      <c r="A843" s="144" t="s">
        <v>895</v>
      </c>
      <c r="B843" s="213" t="s">
        <v>4039</v>
      </c>
      <c r="C843" s="208" t="s">
        <v>858</v>
      </c>
      <c r="D843" s="208" t="s">
        <v>859</v>
      </c>
      <c r="E843" s="247">
        <v>9200</v>
      </c>
      <c r="F843" s="144" t="s">
        <v>337</v>
      </c>
      <c r="G843" s="248">
        <v>98</v>
      </c>
      <c r="H843" s="264">
        <f t="shared" si="76"/>
        <v>901600</v>
      </c>
      <c r="I843" s="156">
        <v>89</v>
      </c>
      <c r="J843" s="249">
        <f t="shared" si="73"/>
        <v>9</v>
      </c>
      <c r="K843" s="295">
        <f t="shared" si="74"/>
        <v>82800</v>
      </c>
      <c r="L843" s="296">
        <f t="shared" si="75"/>
        <v>9.1836734693877556E-2</v>
      </c>
      <c r="M843" s="208" t="s">
        <v>22</v>
      </c>
      <c r="N843" s="201" t="s">
        <v>39</v>
      </c>
    </row>
    <row r="844" spans="1:14">
      <c r="A844" s="144" t="s">
        <v>895</v>
      </c>
      <c r="B844" s="213" t="s">
        <v>4040</v>
      </c>
      <c r="C844" s="208" t="s">
        <v>329</v>
      </c>
      <c r="D844" s="208" t="s">
        <v>3958</v>
      </c>
      <c r="E844" s="247">
        <v>50</v>
      </c>
      <c r="F844" s="144" t="s">
        <v>1368</v>
      </c>
      <c r="G844" s="248">
        <v>610</v>
      </c>
      <c r="H844" s="264">
        <f t="shared" si="76"/>
        <v>30500</v>
      </c>
      <c r="I844" s="156">
        <v>600</v>
      </c>
      <c r="J844" s="249">
        <f t="shared" si="73"/>
        <v>10</v>
      </c>
      <c r="K844" s="295">
        <f t="shared" si="74"/>
        <v>500</v>
      </c>
      <c r="L844" s="296">
        <f t="shared" si="75"/>
        <v>1.6393442622950821E-2</v>
      </c>
      <c r="M844" s="208" t="s">
        <v>40</v>
      </c>
      <c r="N844" s="201" t="s">
        <v>39</v>
      </c>
    </row>
    <row r="845" spans="1:14">
      <c r="A845" s="144" t="s">
        <v>895</v>
      </c>
      <c r="B845" s="213" t="s">
        <v>4040</v>
      </c>
      <c r="C845" s="208" t="s">
        <v>329</v>
      </c>
      <c r="D845" s="208" t="s">
        <v>4041</v>
      </c>
      <c r="E845" s="247">
        <v>20</v>
      </c>
      <c r="F845" s="144" t="s">
        <v>1368</v>
      </c>
      <c r="G845" s="248">
        <v>1285</v>
      </c>
      <c r="H845" s="264">
        <f t="shared" si="76"/>
        <v>25700</v>
      </c>
      <c r="I845" s="156">
        <v>1265</v>
      </c>
      <c r="J845" s="249">
        <f t="shared" si="73"/>
        <v>20</v>
      </c>
      <c r="K845" s="295">
        <f t="shared" si="74"/>
        <v>400</v>
      </c>
      <c r="L845" s="296">
        <f t="shared" si="75"/>
        <v>1.556420233463035E-2</v>
      </c>
      <c r="M845" s="208" t="s">
        <v>40</v>
      </c>
      <c r="N845" s="201" t="s">
        <v>39</v>
      </c>
    </row>
    <row r="846" spans="1:14">
      <c r="A846" s="144" t="s">
        <v>895</v>
      </c>
      <c r="B846" s="213" t="s">
        <v>4040</v>
      </c>
      <c r="C846" s="208" t="s">
        <v>329</v>
      </c>
      <c r="D846" s="208" t="s">
        <v>4042</v>
      </c>
      <c r="E846" s="247">
        <v>40</v>
      </c>
      <c r="F846" s="144" t="s">
        <v>1368</v>
      </c>
      <c r="G846" s="248">
        <v>1080</v>
      </c>
      <c r="H846" s="264">
        <f t="shared" si="76"/>
        <v>43200</v>
      </c>
      <c r="I846" s="156">
        <v>1070</v>
      </c>
      <c r="J846" s="249">
        <f t="shared" si="73"/>
        <v>10</v>
      </c>
      <c r="K846" s="295">
        <f t="shared" si="74"/>
        <v>400</v>
      </c>
      <c r="L846" s="296">
        <f t="shared" si="75"/>
        <v>9.2592592592592587E-3</v>
      </c>
      <c r="M846" s="208" t="s">
        <v>40</v>
      </c>
      <c r="N846" s="201" t="s">
        <v>39</v>
      </c>
    </row>
    <row r="847" spans="1:14">
      <c r="A847" s="144" t="s">
        <v>895</v>
      </c>
      <c r="B847" s="213" t="s">
        <v>4040</v>
      </c>
      <c r="C847" s="208" t="s">
        <v>329</v>
      </c>
      <c r="D847" s="208" t="s">
        <v>3880</v>
      </c>
      <c r="E847" s="247">
        <v>20</v>
      </c>
      <c r="F847" s="144" t="s">
        <v>1368</v>
      </c>
      <c r="G847" s="248">
        <v>2710</v>
      </c>
      <c r="H847" s="264">
        <f t="shared" si="76"/>
        <v>54200</v>
      </c>
      <c r="I847" s="156">
        <v>2700</v>
      </c>
      <c r="J847" s="249">
        <f t="shared" si="73"/>
        <v>10</v>
      </c>
      <c r="K847" s="295">
        <f t="shared" si="74"/>
        <v>200</v>
      </c>
      <c r="L847" s="296">
        <f t="shared" si="75"/>
        <v>3.6900369003690036E-3</v>
      </c>
      <c r="M847" s="208" t="s">
        <v>40</v>
      </c>
      <c r="N847" s="201" t="s">
        <v>39</v>
      </c>
    </row>
    <row r="848" spans="1:14">
      <c r="A848" s="144" t="s">
        <v>895</v>
      </c>
      <c r="B848" s="213" t="s">
        <v>4040</v>
      </c>
      <c r="C848" s="208" t="s">
        <v>329</v>
      </c>
      <c r="D848" s="208" t="s">
        <v>4043</v>
      </c>
      <c r="E848" s="247">
        <v>20</v>
      </c>
      <c r="F848" s="144" t="s">
        <v>1368</v>
      </c>
      <c r="G848" s="248">
        <v>405</v>
      </c>
      <c r="H848" s="264">
        <f t="shared" si="76"/>
        <v>8100</v>
      </c>
      <c r="I848" s="156">
        <v>395</v>
      </c>
      <c r="J848" s="249">
        <f t="shared" si="73"/>
        <v>10</v>
      </c>
      <c r="K848" s="295">
        <f t="shared" si="74"/>
        <v>200</v>
      </c>
      <c r="L848" s="296">
        <f t="shared" si="75"/>
        <v>2.4691358024691357E-2</v>
      </c>
      <c r="M848" s="208" t="s">
        <v>40</v>
      </c>
      <c r="N848" s="201" t="s">
        <v>39</v>
      </c>
    </row>
    <row r="849" spans="1:14">
      <c r="A849" s="144" t="s">
        <v>895</v>
      </c>
      <c r="B849" s="213" t="s">
        <v>4040</v>
      </c>
      <c r="C849" s="208" t="s">
        <v>329</v>
      </c>
      <c r="D849" s="208" t="s">
        <v>4044</v>
      </c>
      <c r="E849" s="247">
        <v>10</v>
      </c>
      <c r="F849" s="144" t="s">
        <v>1368</v>
      </c>
      <c r="G849" s="248">
        <v>590</v>
      </c>
      <c r="H849" s="264">
        <f t="shared" si="76"/>
        <v>5900</v>
      </c>
      <c r="I849" s="156">
        <v>580</v>
      </c>
      <c r="J849" s="249">
        <f t="shared" si="73"/>
        <v>10</v>
      </c>
      <c r="K849" s="295">
        <f t="shared" si="74"/>
        <v>100</v>
      </c>
      <c r="L849" s="296">
        <f t="shared" si="75"/>
        <v>1.6949152542372881E-2</v>
      </c>
      <c r="M849" s="208" t="s">
        <v>40</v>
      </c>
      <c r="N849" s="201" t="s">
        <v>39</v>
      </c>
    </row>
    <row r="850" spans="1:14">
      <c r="A850" s="144" t="s">
        <v>895</v>
      </c>
      <c r="B850" s="213" t="s">
        <v>4040</v>
      </c>
      <c r="C850" s="208" t="s">
        <v>329</v>
      </c>
      <c r="D850" s="208" t="s">
        <v>1367</v>
      </c>
      <c r="E850" s="247">
        <v>50</v>
      </c>
      <c r="F850" s="144" t="s">
        <v>1368</v>
      </c>
      <c r="G850" s="248">
        <v>1930</v>
      </c>
      <c r="H850" s="264">
        <f t="shared" si="76"/>
        <v>96500</v>
      </c>
      <c r="I850" s="156">
        <v>1925</v>
      </c>
      <c r="J850" s="249">
        <f t="shared" si="73"/>
        <v>5</v>
      </c>
      <c r="K850" s="295">
        <f t="shared" si="74"/>
        <v>250</v>
      </c>
      <c r="L850" s="296">
        <f t="shared" si="75"/>
        <v>2.5906735751295338E-3</v>
      </c>
      <c r="M850" s="208" t="s">
        <v>40</v>
      </c>
      <c r="N850" s="201" t="s">
        <v>39</v>
      </c>
    </row>
    <row r="851" spans="1:14">
      <c r="A851" s="144" t="s">
        <v>895</v>
      </c>
      <c r="B851" s="213" t="s">
        <v>4040</v>
      </c>
      <c r="C851" s="208" t="s">
        <v>329</v>
      </c>
      <c r="D851" s="208" t="s">
        <v>2160</v>
      </c>
      <c r="E851" s="247">
        <v>20</v>
      </c>
      <c r="F851" s="144" t="s">
        <v>1368</v>
      </c>
      <c r="G851" s="248">
        <v>4420</v>
      </c>
      <c r="H851" s="264">
        <f t="shared" si="76"/>
        <v>88400</v>
      </c>
      <c r="I851" s="156">
        <v>4400</v>
      </c>
      <c r="J851" s="249">
        <f t="shared" si="73"/>
        <v>20</v>
      </c>
      <c r="K851" s="295">
        <f t="shared" si="74"/>
        <v>400</v>
      </c>
      <c r="L851" s="296">
        <f t="shared" si="75"/>
        <v>4.5248868778280547E-3</v>
      </c>
      <c r="M851" s="208" t="s">
        <v>40</v>
      </c>
      <c r="N851" s="201" t="s">
        <v>39</v>
      </c>
    </row>
    <row r="852" spans="1:14">
      <c r="A852" s="144" t="s">
        <v>895</v>
      </c>
      <c r="B852" s="213" t="s">
        <v>4045</v>
      </c>
      <c r="C852" s="208" t="s">
        <v>166</v>
      </c>
      <c r="D852" s="208" t="s">
        <v>3062</v>
      </c>
      <c r="E852" s="247">
        <v>27790</v>
      </c>
      <c r="F852" s="144" t="s">
        <v>37</v>
      </c>
      <c r="G852" s="248">
        <v>30.88</v>
      </c>
      <c r="H852" s="264">
        <f t="shared" si="76"/>
        <v>858155.2</v>
      </c>
      <c r="I852" s="156">
        <v>26</v>
      </c>
      <c r="J852" s="249">
        <f t="shared" si="73"/>
        <v>4.879999999999999</v>
      </c>
      <c r="K852" s="295">
        <f t="shared" si="74"/>
        <v>135615.19999999998</v>
      </c>
      <c r="L852" s="296">
        <f t="shared" si="75"/>
        <v>0.15803108808290153</v>
      </c>
      <c r="M852" s="208" t="s">
        <v>40</v>
      </c>
      <c r="N852" s="201" t="s">
        <v>105</v>
      </c>
    </row>
    <row r="853" spans="1:14">
      <c r="A853" s="144" t="s">
        <v>895</v>
      </c>
      <c r="B853" s="213" t="s">
        <v>4046</v>
      </c>
      <c r="C853" s="208" t="s">
        <v>708</v>
      </c>
      <c r="D853" s="208" t="s">
        <v>4047</v>
      </c>
      <c r="E853" s="247">
        <v>30000</v>
      </c>
      <c r="F853" s="144" t="s">
        <v>37</v>
      </c>
      <c r="G853" s="248">
        <v>357</v>
      </c>
      <c r="H853" s="264">
        <f t="shared" si="76"/>
        <v>10710000</v>
      </c>
      <c r="I853" s="156">
        <v>353</v>
      </c>
      <c r="J853" s="249">
        <f t="shared" si="73"/>
        <v>4</v>
      </c>
      <c r="K853" s="295">
        <f t="shared" si="74"/>
        <v>120000</v>
      </c>
      <c r="L853" s="296">
        <f t="shared" si="75"/>
        <v>1.1204481792717087E-2</v>
      </c>
      <c r="M853" s="208" t="s">
        <v>22</v>
      </c>
      <c r="N853" s="201" t="s">
        <v>105</v>
      </c>
    </row>
    <row r="854" spans="1:14">
      <c r="A854" s="144" t="s">
        <v>895</v>
      </c>
      <c r="B854" s="213" t="s">
        <v>4048</v>
      </c>
      <c r="C854" s="208" t="s">
        <v>192</v>
      </c>
      <c r="D854" s="208" t="s">
        <v>4049</v>
      </c>
      <c r="E854" s="247">
        <v>4</v>
      </c>
      <c r="F854" s="144" t="s">
        <v>19</v>
      </c>
      <c r="G854" s="248">
        <v>23340</v>
      </c>
      <c r="H854" s="264">
        <f t="shared" si="76"/>
        <v>93360</v>
      </c>
      <c r="I854" s="156">
        <v>22840</v>
      </c>
      <c r="J854" s="249">
        <f t="shared" si="73"/>
        <v>500</v>
      </c>
      <c r="K854" s="295">
        <f t="shared" si="74"/>
        <v>2000</v>
      </c>
      <c r="L854" s="296">
        <f t="shared" si="75"/>
        <v>2.1422450728363324E-2</v>
      </c>
      <c r="M854" s="208" t="s">
        <v>40</v>
      </c>
      <c r="N854" s="201" t="s">
        <v>105</v>
      </c>
    </row>
    <row r="855" spans="1:14">
      <c r="A855" s="144" t="s">
        <v>895</v>
      </c>
      <c r="B855" s="213" t="s">
        <v>4050</v>
      </c>
      <c r="C855" s="208" t="s">
        <v>166</v>
      </c>
      <c r="D855" s="208" t="s">
        <v>3062</v>
      </c>
      <c r="E855" s="247">
        <v>15890</v>
      </c>
      <c r="F855" s="144" t="s">
        <v>37</v>
      </c>
      <c r="G855" s="248">
        <v>30.88</v>
      </c>
      <c r="H855" s="264">
        <f t="shared" si="76"/>
        <v>490683.2</v>
      </c>
      <c r="I855" s="156">
        <v>26</v>
      </c>
      <c r="J855" s="249">
        <f t="shared" si="73"/>
        <v>4.879999999999999</v>
      </c>
      <c r="K855" s="295">
        <f t="shared" si="74"/>
        <v>77543.199999999983</v>
      </c>
      <c r="L855" s="296">
        <f t="shared" si="75"/>
        <v>0.15803108808290153</v>
      </c>
      <c r="M855" s="208" t="s">
        <v>40</v>
      </c>
      <c r="N855" s="201" t="s">
        <v>105</v>
      </c>
    </row>
    <row r="856" spans="1:14">
      <c r="A856" s="144" t="s">
        <v>895</v>
      </c>
      <c r="B856" s="213" t="s">
        <v>4051</v>
      </c>
      <c r="C856" s="208" t="s">
        <v>174</v>
      </c>
      <c r="D856" s="208" t="s">
        <v>4052</v>
      </c>
      <c r="E856" s="247">
        <v>200</v>
      </c>
      <c r="F856" s="144" t="s">
        <v>19</v>
      </c>
      <c r="G856" s="248">
        <v>250</v>
      </c>
      <c r="H856" s="264">
        <f t="shared" si="76"/>
        <v>50000</v>
      </c>
      <c r="I856" s="156">
        <v>245</v>
      </c>
      <c r="J856" s="249">
        <f t="shared" si="73"/>
        <v>5</v>
      </c>
      <c r="K856" s="295">
        <f t="shared" si="74"/>
        <v>1000</v>
      </c>
      <c r="L856" s="296">
        <f t="shared" si="75"/>
        <v>0.02</v>
      </c>
      <c r="M856" s="208" t="s">
        <v>40</v>
      </c>
      <c r="N856" s="201" t="s">
        <v>105</v>
      </c>
    </row>
    <row r="857" spans="1:14">
      <c r="A857" s="144" t="s">
        <v>895</v>
      </c>
      <c r="B857" s="213" t="s">
        <v>4051</v>
      </c>
      <c r="C857" s="208" t="s">
        <v>174</v>
      </c>
      <c r="D857" s="208" t="s">
        <v>4053</v>
      </c>
      <c r="E857" s="247">
        <v>100</v>
      </c>
      <c r="F857" s="144" t="s">
        <v>19</v>
      </c>
      <c r="G857" s="248">
        <v>350</v>
      </c>
      <c r="H857" s="264">
        <f t="shared" si="76"/>
        <v>35000</v>
      </c>
      <c r="I857" s="156">
        <v>345</v>
      </c>
      <c r="J857" s="249">
        <f t="shared" si="73"/>
        <v>5</v>
      </c>
      <c r="K857" s="295">
        <f t="shared" si="74"/>
        <v>500</v>
      </c>
      <c r="L857" s="296">
        <f t="shared" si="75"/>
        <v>1.4285714285714285E-2</v>
      </c>
      <c r="M857" s="208" t="s">
        <v>40</v>
      </c>
      <c r="N857" s="201" t="s">
        <v>105</v>
      </c>
    </row>
    <row r="858" spans="1:14">
      <c r="A858" s="144" t="s">
        <v>895</v>
      </c>
      <c r="B858" s="213" t="s">
        <v>4054</v>
      </c>
      <c r="C858" s="208" t="s">
        <v>68</v>
      </c>
      <c r="D858" s="208" t="s">
        <v>755</v>
      </c>
      <c r="E858" s="247">
        <v>1374.3</v>
      </c>
      <c r="F858" s="144" t="s">
        <v>37</v>
      </c>
      <c r="G858" s="248">
        <v>375</v>
      </c>
      <c r="H858" s="264">
        <f t="shared" si="76"/>
        <v>515362.5</v>
      </c>
      <c r="I858" s="156">
        <v>360</v>
      </c>
      <c r="J858" s="249">
        <f t="shared" si="73"/>
        <v>15</v>
      </c>
      <c r="K858" s="295">
        <f t="shared" si="74"/>
        <v>20614.5</v>
      </c>
      <c r="L858" s="296">
        <f t="shared" si="75"/>
        <v>0.04</v>
      </c>
      <c r="M858" s="208" t="s">
        <v>22</v>
      </c>
      <c r="N858" s="201" t="s">
        <v>105</v>
      </c>
    </row>
    <row r="859" spans="1:14">
      <c r="A859" s="144" t="s">
        <v>895</v>
      </c>
      <c r="B859" s="213" t="s">
        <v>4055</v>
      </c>
      <c r="C859" s="208" t="s">
        <v>4056</v>
      </c>
      <c r="D859" s="208" t="s">
        <v>4057</v>
      </c>
      <c r="E859" s="247">
        <v>1</v>
      </c>
      <c r="F859" s="144" t="s">
        <v>19</v>
      </c>
      <c r="G859" s="248">
        <v>26000</v>
      </c>
      <c r="H859" s="264">
        <f t="shared" si="76"/>
        <v>26000</v>
      </c>
      <c r="I859" s="156">
        <v>22000</v>
      </c>
      <c r="J859" s="249">
        <f t="shared" si="73"/>
        <v>4000</v>
      </c>
      <c r="K859" s="295">
        <f t="shared" si="74"/>
        <v>4000</v>
      </c>
      <c r="L859" s="296">
        <f t="shared" si="75"/>
        <v>0.15384615384615385</v>
      </c>
      <c r="M859" s="208" t="s">
        <v>22</v>
      </c>
      <c r="N859" s="201" t="s">
        <v>105</v>
      </c>
    </row>
    <row r="860" spans="1:14">
      <c r="A860" s="144" t="s">
        <v>895</v>
      </c>
      <c r="B860" s="213" t="s">
        <v>4058</v>
      </c>
      <c r="C860" s="208" t="s">
        <v>166</v>
      </c>
      <c r="D860" s="208" t="s">
        <v>4059</v>
      </c>
      <c r="E860" s="247">
        <v>5210</v>
      </c>
      <c r="F860" s="144" t="s">
        <v>37</v>
      </c>
      <c r="G860" s="248">
        <v>30.88</v>
      </c>
      <c r="H860" s="264">
        <f t="shared" si="76"/>
        <v>160884.79999999999</v>
      </c>
      <c r="I860" s="156">
        <v>26</v>
      </c>
      <c r="J860" s="249">
        <f t="shared" si="73"/>
        <v>4.879999999999999</v>
      </c>
      <c r="K860" s="295">
        <f t="shared" si="74"/>
        <v>25424.799999999996</v>
      </c>
      <c r="L860" s="296">
        <f t="shared" si="75"/>
        <v>0.15803108808290153</v>
      </c>
      <c r="M860" s="208" t="s">
        <v>40</v>
      </c>
      <c r="N860" s="201" t="s">
        <v>105</v>
      </c>
    </row>
    <row r="861" spans="1:14">
      <c r="A861" s="144" t="s">
        <v>895</v>
      </c>
      <c r="B861" s="213" t="s">
        <v>4060</v>
      </c>
      <c r="C861" s="208" t="s">
        <v>1042</v>
      </c>
      <c r="D861" s="208" t="s">
        <v>711</v>
      </c>
      <c r="E861" s="247">
        <v>3023</v>
      </c>
      <c r="F861" s="144" t="s">
        <v>37</v>
      </c>
      <c r="G861" s="248">
        <v>390</v>
      </c>
      <c r="H861" s="264">
        <f t="shared" si="76"/>
        <v>1178970</v>
      </c>
      <c r="I861" s="156">
        <v>361</v>
      </c>
      <c r="J861" s="249">
        <f t="shared" si="73"/>
        <v>29</v>
      </c>
      <c r="K861" s="295">
        <f t="shared" si="74"/>
        <v>87667</v>
      </c>
      <c r="L861" s="296">
        <f t="shared" si="75"/>
        <v>7.4358974358974358E-2</v>
      </c>
      <c r="M861" s="208" t="s">
        <v>40</v>
      </c>
      <c r="N861" s="201" t="s">
        <v>105</v>
      </c>
    </row>
    <row r="862" spans="1:14">
      <c r="A862" s="144" t="s">
        <v>895</v>
      </c>
      <c r="B862" s="213" t="s">
        <v>4061</v>
      </c>
      <c r="C862" s="208" t="s">
        <v>200</v>
      </c>
      <c r="D862" s="208" t="s">
        <v>4062</v>
      </c>
      <c r="E862" s="247">
        <v>1</v>
      </c>
      <c r="F862" s="144" t="s">
        <v>302</v>
      </c>
      <c r="G862" s="248">
        <v>26500</v>
      </c>
      <c r="H862" s="264">
        <f t="shared" si="76"/>
        <v>26500</v>
      </c>
      <c r="I862" s="156">
        <v>25500</v>
      </c>
      <c r="J862" s="249">
        <f t="shared" si="73"/>
        <v>1000</v>
      </c>
      <c r="K862" s="295">
        <f t="shared" si="74"/>
        <v>1000</v>
      </c>
      <c r="L862" s="296">
        <f>J862/G862</f>
        <v>3.7735849056603772E-2</v>
      </c>
      <c r="M862" s="208" t="s">
        <v>40</v>
      </c>
      <c r="N862" s="201" t="s">
        <v>39</v>
      </c>
    </row>
    <row r="863" spans="1:14" ht="12" customHeight="1">
      <c r="A863" s="144" t="s">
        <v>895</v>
      </c>
      <c r="B863" s="213" t="s">
        <v>4063</v>
      </c>
      <c r="C863" s="208" t="s">
        <v>1042</v>
      </c>
      <c r="D863" s="208" t="s">
        <v>711</v>
      </c>
      <c r="E863" s="247">
        <v>3124</v>
      </c>
      <c r="F863" s="144" t="s">
        <v>37</v>
      </c>
      <c r="G863" s="248">
        <v>390</v>
      </c>
      <c r="H863" s="264">
        <f t="shared" si="76"/>
        <v>1218360</v>
      </c>
      <c r="I863" s="156">
        <v>361</v>
      </c>
      <c r="J863" s="249">
        <f t="shared" si="73"/>
        <v>29</v>
      </c>
      <c r="K863" s="295">
        <f t="shared" si="74"/>
        <v>90596</v>
      </c>
      <c r="L863" s="296">
        <f t="shared" si="75"/>
        <v>7.4358974358974358E-2</v>
      </c>
      <c r="M863" s="208" t="s">
        <v>22</v>
      </c>
      <c r="N863" s="201" t="s">
        <v>105</v>
      </c>
    </row>
    <row r="864" spans="1:14">
      <c r="A864" s="144" t="s">
        <v>895</v>
      </c>
      <c r="B864" s="213" t="s">
        <v>4064</v>
      </c>
      <c r="C864" s="208" t="s">
        <v>24</v>
      </c>
      <c r="D864" s="208" t="s">
        <v>4065</v>
      </c>
      <c r="E864" s="247">
        <v>1</v>
      </c>
      <c r="F864" s="144" t="s">
        <v>19</v>
      </c>
      <c r="G864" s="248">
        <v>29760</v>
      </c>
      <c r="H864" s="264">
        <f>G864*E864</f>
        <v>29760</v>
      </c>
      <c r="I864" s="156">
        <v>29260</v>
      </c>
      <c r="J864" s="249">
        <f t="shared" si="73"/>
        <v>500</v>
      </c>
      <c r="K864" s="295">
        <f t="shared" si="74"/>
        <v>500</v>
      </c>
      <c r="L864" s="296">
        <f>J864/G864</f>
        <v>1.6801075268817203E-2</v>
      </c>
      <c r="M864" s="208" t="s">
        <v>22</v>
      </c>
      <c r="N864" s="201" t="s">
        <v>4066</v>
      </c>
    </row>
    <row r="865" spans="1:14">
      <c r="A865" s="144" t="s">
        <v>895</v>
      </c>
      <c r="B865" s="213" t="s">
        <v>4067</v>
      </c>
      <c r="C865" s="208" t="s">
        <v>398</v>
      </c>
      <c r="D865" s="208" t="s">
        <v>4068</v>
      </c>
      <c r="E865" s="247">
        <v>1</v>
      </c>
      <c r="F865" s="144" t="s">
        <v>285</v>
      </c>
      <c r="G865" s="248">
        <v>35000</v>
      </c>
      <c r="H865" s="264">
        <f t="shared" ref="H865:H869" si="77">G865*E865</f>
        <v>35000</v>
      </c>
      <c r="I865" s="156">
        <v>32000</v>
      </c>
      <c r="J865" s="249">
        <f t="shared" si="73"/>
        <v>3000</v>
      </c>
      <c r="K865" s="295">
        <f t="shared" si="74"/>
        <v>3000</v>
      </c>
      <c r="L865" s="296">
        <f>J865/G865</f>
        <v>8.5714285714285715E-2</v>
      </c>
      <c r="M865" s="208" t="s">
        <v>40</v>
      </c>
      <c r="N865" s="201" t="s">
        <v>4066</v>
      </c>
    </row>
    <row r="866" spans="1:14">
      <c r="A866" s="144" t="s">
        <v>895</v>
      </c>
      <c r="B866" s="213" t="s">
        <v>4069</v>
      </c>
      <c r="C866" s="208" t="s">
        <v>1458</v>
      </c>
      <c r="D866" s="333" t="s">
        <v>4070</v>
      </c>
      <c r="E866" s="247">
        <v>3</v>
      </c>
      <c r="F866" s="144" t="s">
        <v>6</v>
      </c>
      <c r="G866" s="248">
        <v>11500</v>
      </c>
      <c r="H866" s="264">
        <f t="shared" si="77"/>
        <v>34500</v>
      </c>
      <c r="I866" s="156">
        <v>11000</v>
      </c>
      <c r="J866" s="249">
        <f t="shared" si="73"/>
        <v>500</v>
      </c>
      <c r="K866" s="295">
        <f t="shared" si="74"/>
        <v>1500</v>
      </c>
      <c r="L866" s="296">
        <f>J866/G866</f>
        <v>4.3478260869565216E-2</v>
      </c>
      <c r="M866" s="208" t="s">
        <v>22</v>
      </c>
      <c r="N866" s="201" t="s">
        <v>4066</v>
      </c>
    </row>
    <row r="867" spans="1:14">
      <c r="A867" s="144" t="s">
        <v>895</v>
      </c>
      <c r="B867" s="213" t="s">
        <v>4071</v>
      </c>
      <c r="C867" s="208" t="s">
        <v>345</v>
      </c>
      <c r="D867" s="208" t="s">
        <v>4072</v>
      </c>
      <c r="E867" s="247">
        <v>2</v>
      </c>
      <c r="F867" s="144" t="s">
        <v>302</v>
      </c>
      <c r="G867" s="248">
        <v>2087000</v>
      </c>
      <c r="H867" s="264">
        <f t="shared" si="77"/>
        <v>4174000</v>
      </c>
      <c r="I867" s="156">
        <v>2040000</v>
      </c>
      <c r="J867" s="249">
        <f t="shared" si="73"/>
        <v>47000</v>
      </c>
      <c r="K867" s="295">
        <f t="shared" si="74"/>
        <v>94000</v>
      </c>
      <c r="L867" s="296">
        <f>J867/G867</f>
        <v>2.2520364159080018E-2</v>
      </c>
      <c r="M867" s="208" t="s">
        <v>40</v>
      </c>
      <c r="N867" s="201" t="s">
        <v>4066</v>
      </c>
    </row>
    <row r="868" spans="1:14">
      <c r="A868" s="144" t="s">
        <v>895</v>
      </c>
      <c r="B868" s="213" t="s">
        <v>4073</v>
      </c>
      <c r="C868" s="208" t="s">
        <v>2294</v>
      </c>
      <c r="D868" s="208" t="s">
        <v>4074</v>
      </c>
      <c r="E868" s="247">
        <v>1</v>
      </c>
      <c r="F868" s="144" t="s">
        <v>285</v>
      </c>
      <c r="G868" s="248">
        <v>7820</v>
      </c>
      <c r="H868" s="264">
        <f t="shared" si="77"/>
        <v>7820</v>
      </c>
      <c r="I868" s="156">
        <v>7500</v>
      </c>
      <c r="J868" s="249">
        <f t="shared" si="73"/>
        <v>320</v>
      </c>
      <c r="K868" s="295">
        <f t="shared" si="74"/>
        <v>320</v>
      </c>
      <c r="L868" s="296">
        <f t="shared" ref="L868:L931" si="78">J868/G868</f>
        <v>4.0920716112531973E-2</v>
      </c>
      <c r="M868" s="208" t="s">
        <v>40</v>
      </c>
      <c r="N868" s="201" t="s">
        <v>4066</v>
      </c>
    </row>
    <row r="869" spans="1:14">
      <c r="A869" s="144" t="s">
        <v>895</v>
      </c>
      <c r="B869" s="213" t="s">
        <v>4075</v>
      </c>
      <c r="C869" s="208" t="s">
        <v>1948</v>
      </c>
      <c r="D869" s="208" t="s">
        <v>4076</v>
      </c>
      <c r="E869" s="247">
        <v>1</v>
      </c>
      <c r="F869" s="144" t="s">
        <v>3462</v>
      </c>
      <c r="G869" s="248">
        <v>4105</v>
      </c>
      <c r="H869" s="264">
        <f t="shared" si="77"/>
        <v>4105</v>
      </c>
      <c r="I869" s="156">
        <v>3694.5</v>
      </c>
      <c r="J869" s="249">
        <f t="shared" si="73"/>
        <v>410.5</v>
      </c>
      <c r="K869" s="295">
        <f t="shared" si="74"/>
        <v>410.5</v>
      </c>
      <c r="L869" s="296">
        <f t="shared" si="78"/>
        <v>0.1</v>
      </c>
      <c r="M869" s="208" t="s">
        <v>22</v>
      </c>
      <c r="N869" s="201" t="s">
        <v>4066</v>
      </c>
    </row>
    <row r="870" spans="1:14">
      <c r="A870" s="144" t="s">
        <v>895</v>
      </c>
      <c r="B870" s="213" t="s">
        <v>4077</v>
      </c>
      <c r="C870" s="208" t="s">
        <v>398</v>
      </c>
      <c r="D870" s="208" t="s">
        <v>4078</v>
      </c>
      <c r="E870" s="247">
        <v>1</v>
      </c>
      <c r="F870" s="144" t="s">
        <v>285</v>
      </c>
      <c r="G870" s="248">
        <v>152000</v>
      </c>
      <c r="H870" s="264">
        <f>G870*E870</f>
        <v>152000</v>
      </c>
      <c r="I870" s="156">
        <v>145000</v>
      </c>
      <c r="J870" s="249">
        <f t="shared" si="73"/>
        <v>7000</v>
      </c>
      <c r="K870" s="295">
        <f t="shared" si="74"/>
        <v>7000</v>
      </c>
      <c r="L870" s="296">
        <f t="shared" si="78"/>
        <v>4.6052631578947366E-2</v>
      </c>
      <c r="M870" s="208" t="s">
        <v>40</v>
      </c>
      <c r="N870" s="201" t="s">
        <v>4066</v>
      </c>
    </row>
    <row r="871" spans="1:14">
      <c r="A871" s="144" t="s">
        <v>895</v>
      </c>
      <c r="B871" s="213" t="s">
        <v>4079</v>
      </c>
      <c r="C871" s="277" t="s">
        <v>329</v>
      </c>
      <c r="D871" s="277" t="s">
        <v>379</v>
      </c>
      <c r="E871" s="247">
        <v>30</v>
      </c>
      <c r="F871" s="144" t="s">
        <v>2541</v>
      </c>
      <c r="G871" s="248">
        <v>4550</v>
      </c>
      <c r="H871" s="264">
        <f t="shared" ref="H871:H886" si="79">G871*E871</f>
        <v>136500</v>
      </c>
      <c r="I871" s="156">
        <v>4515</v>
      </c>
      <c r="J871" s="249">
        <f t="shared" si="73"/>
        <v>35</v>
      </c>
      <c r="K871" s="295">
        <f t="shared" si="74"/>
        <v>1050</v>
      </c>
      <c r="L871" s="296">
        <f t="shared" si="78"/>
        <v>7.6923076923076927E-3</v>
      </c>
      <c r="M871" s="208" t="s">
        <v>40</v>
      </c>
      <c r="N871" s="201" t="s">
        <v>39</v>
      </c>
    </row>
    <row r="872" spans="1:14">
      <c r="A872" s="144" t="s">
        <v>895</v>
      </c>
      <c r="B872" s="213" t="s">
        <v>4079</v>
      </c>
      <c r="C872" s="277" t="s">
        <v>329</v>
      </c>
      <c r="D872" s="277" t="s">
        <v>4080</v>
      </c>
      <c r="E872" s="247">
        <v>40</v>
      </c>
      <c r="F872" s="144" t="s">
        <v>2541</v>
      </c>
      <c r="G872" s="248">
        <v>2295</v>
      </c>
      <c r="H872" s="264">
        <f t="shared" si="79"/>
        <v>91800</v>
      </c>
      <c r="I872" s="156">
        <v>2255</v>
      </c>
      <c r="J872" s="249">
        <f t="shared" ref="J872:J935" si="80">G872-I872</f>
        <v>40</v>
      </c>
      <c r="K872" s="295">
        <f t="shared" ref="K872:K935" si="81">J872*E872</f>
        <v>1600</v>
      </c>
      <c r="L872" s="296">
        <f t="shared" si="78"/>
        <v>1.7429193899782137E-2</v>
      </c>
      <c r="M872" s="208" t="s">
        <v>40</v>
      </c>
      <c r="N872" s="201" t="s">
        <v>39</v>
      </c>
    </row>
    <row r="873" spans="1:14">
      <c r="A873" s="144" t="s">
        <v>895</v>
      </c>
      <c r="B873" s="213" t="s">
        <v>4079</v>
      </c>
      <c r="C873" s="277" t="s">
        <v>329</v>
      </c>
      <c r="D873" s="277" t="s">
        <v>4081</v>
      </c>
      <c r="E873" s="247">
        <v>10</v>
      </c>
      <c r="F873" s="144" t="s">
        <v>2541</v>
      </c>
      <c r="G873" s="248">
        <v>3680</v>
      </c>
      <c r="H873" s="264">
        <f t="shared" si="79"/>
        <v>36800</v>
      </c>
      <c r="I873" s="156">
        <v>3530</v>
      </c>
      <c r="J873" s="249">
        <f t="shared" si="80"/>
        <v>150</v>
      </c>
      <c r="K873" s="295">
        <f t="shared" si="81"/>
        <v>1500</v>
      </c>
      <c r="L873" s="296">
        <f t="shared" si="78"/>
        <v>4.0760869565217392E-2</v>
      </c>
      <c r="M873" s="208" t="s">
        <v>40</v>
      </c>
      <c r="N873" s="201" t="s">
        <v>39</v>
      </c>
    </row>
    <row r="874" spans="1:14">
      <c r="A874" s="144" t="s">
        <v>895</v>
      </c>
      <c r="B874" s="332" t="s">
        <v>4082</v>
      </c>
      <c r="C874" s="277" t="s">
        <v>3235</v>
      </c>
      <c r="D874" s="277" t="s">
        <v>274</v>
      </c>
      <c r="E874" s="334">
        <v>6000</v>
      </c>
      <c r="F874" s="144" t="s">
        <v>37</v>
      </c>
      <c r="G874" s="248">
        <v>27</v>
      </c>
      <c r="H874" s="264">
        <f t="shared" si="79"/>
        <v>162000</v>
      </c>
      <c r="I874" s="156">
        <v>26.5</v>
      </c>
      <c r="J874" s="249">
        <f t="shared" si="80"/>
        <v>0.5</v>
      </c>
      <c r="K874" s="295">
        <f t="shared" si="81"/>
        <v>3000</v>
      </c>
      <c r="L874" s="296">
        <f t="shared" si="78"/>
        <v>1.8518518518518517E-2</v>
      </c>
      <c r="M874" s="208" t="s">
        <v>40</v>
      </c>
      <c r="N874" s="201" t="s">
        <v>39</v>
      </c>
    </row>
    <row r="875" spans="1:14">
      <c r="A875" s="144" t="s">
        <v>895</v>
      </c>
      <c r="B875" s="332" t="s">
        <v>4083</v>
      </c>
      <c r="C875" s="277" t="s">
        <v>617</v>
      </c>
      <c r="D875" s="277" t="s">
        <v>275</v>
      </c>
      <c r="E875" s="334">
        <v>6000</v>
      </c>
      <c r="F875" s="144" t="s">
        <v>37</v>
      </c>
      <c r="G875" s="248">
        <v>27.5</v>
      </c>
      <c r="H875" s="264">
        <f t="shared" si="79"/>
        <v>165000</v>
      </c>
      <c r="I875" s="156">
        <v>27</v>
      </c>
      <c r="J875" s="249">
        <f t="shared" si="80"/>
        <v>0.5</v>
      </c>
      <c r="K875" s="295">
        <f t="shared" si="81"/>
        <v>3000</v>
      </c>
      <c r="L875" s="296">
        <f t="shared" si="78"/>
        <v>1.8181818181818181E-2</v>
      </c>
      <c r="M875" s="208" t="s">
        <v>40</v>
      </c>
      <c r="N875" s="201" t="s">
        <v>39</v>
      </c>
    </row>
    <row r="876" spans="1:14">
      <c r="A876" s="144" t="s">
        <v>895</v>
      </c>
      <c r="B876" s="332" t="s">
        <v>4083</v>
      </c>
      <c r="C876" s="277" t="s">
        <v>617</v>
      </c>
      <c r="D876" s="277" t="s">
        <v>996</v>
      </c>
      <c r="E876" s="334">
        <v>6000</v>
      </c>
      <c r="F876" s="144" t="s">
        <v>37</v>
      </c>
      <c r="G876" s="248">
        <v>27.5</v>
      </c>
      <c r="H876" s="264">
        <f t="shared" si="79"/>
        <v>165000</v>
      </c>
      <c r="I876" s="156">
        <v>27</v>
      </c>
      <c r="J876" s="249">
        <f t="shared" si="80"/>
        <v>0.5</v>
      </c>
      <c r="K876" s="295">
        <f t="shared" si="81"/>
        <v>3000</v>
      </c>
      <c r="L876" s="296">
        <f t="shared" si="78"/>
        <v>1.8181818181818181E-2</v>
      </c>
      <c r="M876" s="208" t="s">
        <v>40</v>
      </c>
      <c r="N876" s="201" t="s">
        <v>39</v>
      </c>
    </row>
    <row r="877" spans="1:14">
      <c r="A877" s="144" t="s">
        <v>895</v>
      </c>
      <c r="B877" s="332" t="s">
        <v>4084</v>
      </c>
      <c r="C877" s="277" t="s">
        <v>617</v>
      </c>
      <c r="D877" s="277" t="s">
        <v>230</v>
      </c>
      <c r="E877" s="334">
        <v>3000</v>
      </c>
      <c r="F877" s="144" t="s">
        <v>37</v>
      </c>
      <c r="G877" s="248">
        <v>27</v>
      </c>
      <c r="H877" s="264">
        <f t="shared" si="79"/>
        <v>81000</v>
      </c>
      <c r="I877" s="156">
        <v>26.5</v>
      </c>
      <c r="J877" s="249">
        <f t="shared" si="80"/>
        <v>0.5</v>
      </c>
      <c r="K877" s="295">
        <f t="shared" si="81"/>
        <v>1500</v>
      </c>
      <c r="L877" s="296">
        <f t="shared" si="78"/>
        <v>1.8518518518518517E-2</v>
      </c>
      <c r="M877" s="208" t="s">
        <v>40</v>
      </c>
      <c r="N877" s="201" t="s">
        <v>39</v>
      </c>
    </row>
    <row r="878" spans="1:14">
      <c r="A878" s="144" t="s">
        <v>895</v>
      </c>
      <c r="B878" s="332" t="s">
        <v>4084</v>
      </c>
      <c r="C878" s="277" t="s">
        <v>617</v>
      </c>
      <c r="D878" s="277" t="s">
        <v>233</v>
      </c>
      <c r="E878" s="334">
        <v>3000</v>
      </c>
      <c r="F878" s="144" t="s">
        <v>37</v>
      </c>
      <c r="G878" s="248">
        <v>27</v>
      </c>
      <c r="H878" s="264">
        <f t="shared" si="79"/>
        <v>81000</v>
      </c>
      <c r="I878" s="156">
        <v>25.5</v>
      </c>
      <c r="J878" s="249">
        <f t="shared" si="80"/>
        <v>1.5</v>
      </c>
      <c r="K878" s="295">
        <f t="shared" si="81"/>
        <v>4500</v>
      </c>
      <c r="L878" s="296">
        <f t="shared" si="78"/>
        <v>5.5555555555555552E-2</v>
      </c>
      <c r="M878" s="208" t="s">
        <v>40</v>
      </c>
      <c r="N878" s="201" t="s">
        <v>39</v>
      </c>
    </row>
    <row r="879" spans="1:14">
      <c r="A879" s="144" t="s">
        <v>895</v>
      </c>
      <c r="B879" s="332" t="s">
        <v>4084</v>
      </c>
      <c r="C879" s="277" t="s">
        <v>617</v>
      </c>
      <c r="D879" s="277" t="s">
        <v>230</v>
      </c>
      <c r="E879" s="334">
        <v>3000</v>
      </c>
      <c r="F879" s="144" t="s">
        <v>37</v>
      </c>
      <c r="G879" s="248">
        <v>27</v>
      </c>
      <c r="H879" s="264">
        <f t="shared" si="79"/>
        <v>81000</v>
      </c>
      <c r="I879" s="156">
        <v>26.5</v>
      </c>
      <c r="J879" s="249">
        <f t="shared" si="80"/>
        <v>0.5</v>
      </c>
      <c r="K879" s="295">
        <f t="shared" si="81"/>
        <v>1500</v>
      </c>
      <c r="L879" s="296">
        <f t="shared" si="78"/>
        <v>1.8518518518518517E-2</v>
      </c>
      <c r="M879" s="208" t="s">
        <v>40</v>
      </c>
      <c r="N879" s="201" t="s">
        <v>39</v>
      </c>
    </row>
    <row r="880" spans="1:14">
      <c r="A880" s="144" t="s">
        <v>895</v>
      </c>
      <c r="B880" s="332" t="s">
        <v>4084</v>
      </c>
      <c r="C880" s="277" t="s">
        <v>617</v>
      </c>
      <c r="D880" s="277" t="s">
        <v>233</v>
      </c>
      <c r="E880" s="334">
        <v>6000</v>
      </c>
      <c r="F880" s="144" t="s">
        <v>37</v>
      </c>
      <c r="G880" s="248">
        <v>27</v>
      </c>
      <c r="H880" s="264">
        <f t="shared" si="79"/>
        <v>162000</v>
      </c>
      <c r="I880" s="156">
        <v>25.5</v>
      </c>
      <c r="J880" s="249">
        <f t="shared" si="80"/>
        <v>1.5</v>
      </c>
      <c r="K880" s="295">
        <f t="shared" si="81"/>
        <v>9000</v>
      </c>
      <c r="L880" s="296">
        <f t="shared" si="78"/>
        <v>5.5555555555555552E-2</v>
      </c>
      <c r="M880" s="208" t="s">
        <v>40</v>
      </c>
      <c r="N880" s="201" t="s">
        <v>39</v>
      </c>
    </row>
    <row r="881" spans="1:14">
      <c r="A881" s="144" t="s">
        <v>895</v>
      </c>
      <c r="B881" s="332" t="s">
        <v>4085</v>
      </c>
      <c r="C881" s="211" t="s">
        <v>617</v>
      </c>
      <c r="D881" s="211" t="s">
        <v>2345</v>
      </c>
      <c r="E881" s="334">
        <v>3000</v>
      </c>
      <c r="F881" s="144" t="s">
        <v>37</v>
      </c>
      <c r="G881" s="248">
        <v>27</v>
      </c>
      <c r="H881" s="264">
        <f t="shared" si="79"/>
        <v>81000</v>
      </c>
      <c r="I881" s="156">
        <v>25.5</v>
      </c>
      <c r="J881" s="249">
        <f t="shared" si="80"/>
        <v>1.5</v>
      </c>
      <c r="K881" s="295">
        <f t="shared" si="81"/>
        <v>4500</v>
      </c>
      <c r="L881" s="296">
        <f t="shared" si="78"/>
        <v>5.5555555555555552E-2</v>
      </c>
      <c r="M881" s="208" t="s">
        <v>40</v>
      </c>
      <c r="N881" s="201" t="s">
        <v>39</v>
      </c>
    </row>
    <row r="882" spans="1:14">
      <c r="A882" s="144" t="s">
        <v>895</v>
      </c>
      <c r="B882" s="332" t="s">
        <v>4086</v>
      </c>
      <c r="C882" s="211" t="s">
        <v>617</v>
      </c>
      <c r="D882" s="211" t="s">
        <v>233</v>
      </c>
      <c r="E882" s="334">
        <v>6000</v>
      </c>
      <c r="F882" s="144" t="s">
        <v>37</v>
      </c>
      <c r="G882" s="248">
        <v>27</v>
      </c>
      <c r="H882" s="264">
        <f t="shared" si="79"/>
        <v>162000</v>
      </c>
      <c r="I882" s="156">
        <v>26.5</v>
      </c>
      <c r="J882" s="249">
        <f t="shared" si="80"/>
        <v>0.5</v>
      </c>
      <c r="K882" s="295">
        <f t="shared" si="81"/>
        <v>3000</v>
      </c>
      <c r="L882" s="296">
        <f t="shared" si="78"/>
        <v>1.8518518518518517E-2</v>
      </c>
      <c r="M882" s="208" t="s">
        <v>40</v>
      </c>
      <c r="N882" s="201" t="s">
        <v>39</v>
      </c>
    </row>
    <row r="883" spans="1:14">
      <c r="A883" s="144" t="s">
        <v>895</v>
      </c>
      <c r="B883" s="332" t="s">
        <v>4086</v>
      </c>
      <c r="C883" s="211" t="s">
        <v>617</v>
      </c>
      <c r="D883" s="211" t="s">
        <v>1729</v>
      </c>
      <c r="E883" s="334">
        <v>3000</v>
      </c>
      <c r="F883" s="144" t="s">
        <v>37</v>
      </c>
      <c r="G883" s="248">
        <v>27</v>
      </c>
      <c r="H883" s="264">
        <f t="shared" si="79"/>
        <v>81000</v>
      </c>
      <c r="I883" s="156">
        <v>25.5</v>
      </c>
      <c r="J883" s="249">
        <f t="shared" si="80"/>
        <v>1.5</v>
      </c>
      <c r="K883" s="295">
        <f t="shared" si="81"/>
        <v>4500</v>
      </c>
      <c r="L883" s="296">
        <f t="shared" si="78"/>
        <v>5.5555555555555552E-2</v>
      </c>
      <c r="M883" s="208" t="s">
        <v>40</v>
      </c>
      <c r="N883" s="201" t="s">
        <v>39</v>
      </c>
    </row>
    <row r="884" spans="1:14">
      <c r="A884" s="144" t="s">
        <v>895</v>
      </c>
      <c r="B884" s="332" t="s">
        <v>4086</v>
      </c>
      <c r="C884" s="211" t="s">
        <v>617</v>
      </c>
      <c r="D884" s="211" t="s">
        <v>275</v>
      </c>
      <c r="E884" s="334">
        <v>3000</v>
      </c>
      <c r="F884" s="144" t="s">
        <v>37</v>
      </c>
      <c r="G884" s="248">
        <v>27</v>
      </c>
      <c r="H884" s="264">
        <f t="shared" si="79"/>
        <v>81000</v>
      </c>
      <c r="I884" s="156">
        <v>26.5</v>
      </c>
      <c r="J884" s="249">
        <f t="shared" si="80"/>
        <v>0.5</v>
      </c>
      <c r="K884" s="295">
        <f t="shared" si="81"/>
        <v>1500</v>
      </c>
      <c r="L884" s="296">
        <f t="shared" si="78"/>
        <v>1.8518518518518517E-2</v>
      </c>
      <c r="M884" s="208" t="s">
        <v>40</v>
      </c>
      <c r="N884" s="201" t="s">
        <v>39</v>
      </c>
    </row>
    <row r="885" spans="1:14">
      <c r="A885" s="144" t="s">
        <v>895</v>
      </c>
      <c r="B885" s="332" t="s">
        <v>4086</v>
      </c>
      <c r="C885" s="211" t="s">
        <v>617</v>
      </c>
      <c r="D885" s="211" t="s">
        <v>333</v>
      </c>
      <c r="E885" s="334">
        <v>3000</v>
      </c>
      <c r="F885" s="144" t="s">
        <v>37</v>
      </c>
      <c r="G885" s="248">
        <v>27</v>
      </c>
      <c r="H885" s="264">
        <f t="shared" si="79"/>
        <v>81000</v>
      </c>
      <c r="I885" s="156">
        <v>26.5</v>
      </c>
      <c r="J885" s="249">
        <f t="shared" si="80"/>
        <v>0.5</v>
      </c>
      <c r="K885" s="295">
        <f t="shared" si="81"/>
        <v>1500</v>
      </c>
      <c r="L885" s="296">
        <f t="shared" si="78"/>
        <v>1.8518518518518517E-2</v>
      </c>
      <c r="M885" s="208" t="s">
        <v>40</v>
      </c>
      <c r="N885" s="201" t="s">
        <v>39</v>
      </c>
    </row>
    <row r="886" spans="1:14">
      <c r="A886" s="144" t="s">
        <v>895</v>
      </c>
      <c r="B886" s="335" t="s">
        <v>4087</v>
      </c>
      <c r="C886" s="211" t="s">
        <v>335</v>
      </c>
      <c r="D886" s="211" t="s">
        <v>336</v>
      </c>
      <c r="E886" s="334">
        <v>98000</v>
      </c>
      <c r="F886" s="144" t="s">
        <v>337</v>
      </c>
      <c r="G886" s="248">
        <v>35</v>
      </c>
      <c r="H886" s="264">
        <f t="shared" si="79"/>
        <v>3430000</v>
      </c>
      <c r="I886" s="156">
        <v>33.75</v>
      </c>
      <c r="J886" s="249">
        <f t="shared" si="80"/>
        <v>1.25</v>
      </c>
      <c r="K886" s="295">
        <f t="shared" si="81"/>
        <v>122500</v>
      </c>
      <c r="L886" s="296">
        <f t="shared" si="78"/>
        <v>3.5714285714285712E-2</v>
      </c>
      <c r="M886" s="208" t="s">
        <v>22</v>
      </c>
      <c r="N886" s="201" t="s">
        <v>39</v>
      </c>
    </row>
    <row r="887" spans="1:14">
      <c r="A887" s="298" t="s">
        <v>5844</v>
      </c>
      <c r="B887" s="213" t="s">
        <v>4088</v>
      </c>
      <c r="C887" s="208" t="s">
        <v>94</v>
      </c>
      <c r="D887" s="208" t="s">
        <v>613</v>
      </c>
      <c r="E887" s="247">
        <v>300</v>
      </c>
      <c r="F887" s="144" t="s">
        <v>19</v>
      </c>
      <c r="G887" s="336">
        <v>26</v>
      </c>
      <c r="H887" s="248">
        <f>G887*E887</f>
        <v>7800</v>
      </c>
      <c r="I887" s="156">
        <v>24.6</v>
      </c>
      <c r="J887" s="249">
        <f t="shared" si="80"/>
        <v>1.3999999999999986</v>
      </c>
      <c r="K887" s="295">
        <f t="shared" si="81"/>
        <v>419.99999999999955</v>
      </c>
      <c r="L887" s="296">
        <f t="shared" si="78"/>
        <v>5.3846153846153794E-2</v>
      </c>
      <c r="M887" s="208" t="s">
        <v>22</v>
      </c>
      <c r="N887" s="208" t="s">
        <v>105</v>
      </c>
    </row>
    <row r="888" spans="1:14">
      <c r="A888" s="144" t="s">
        <v>998</v>
      </c>
      <c r="B888" s="213" t="s">
        <v>4088</v>
      </c>
      <c r="C888" s="208" t="s">
        <v>94</v>
      </c>
      <c r="D888" s="208" t="s">
        <v>550</v>
      </c>
      <c r="E888" s="247">
        <v>200</v>
      </c>
      <c r="F888" s="144" t="s">
        <v>19</v>
      </c>
      <c r="G888" s="336">
        <v>50</v>
      </c>
      <c r="H888" s="248">
        <f t="shared" ref="H888:H951" si="82">G888*E888</f>
        <v>10000</v>
      </c>
      <c r="I888" s="156">
        <v>47.56</v>
      </c>
      <c r="J888" s="249">
        <f t="shared" si="80"/>
        <v>2.4399999999999977</v>
      </c>
      <c r="K888" s="295">
        <f t="shared" si="81"/>
        <v>487.99999999999955</v>
      </c>
      <c r="L888" s="296">
        <f t="shared" si="78"/>
        <v>4.8799999999999955E-2</v>
      </c>
      <c r="M888" s="208" t="s">
        <v>22</v>
      </c>
      <c r="N888" s="208" t="s">
        <v>105</v>
      </c>
    </row>
    <row r="889" spans="1:14">
      <c r="A889" s="144" t="s">
        <v>998</v>
      </c>
      <c r="B889" s="213" t="s">
        <v>4089</v>
      </c>
      <c r="C889" s="208" t="s">
        <v>279</v>
      </c>
      <c r="D889" s="208" t="s">
        <v>3724</v>
      </c>
      <c r="E889" s="247">
        <v>6000</v>
      </c>
      <c r="F889" s="144" t="s">
        <v>19</v>
      </c>
      <c r="G889" s="337">
        <v>18.239999999999998</v>
      </c>
      <c r="H889" s="248">
        <f t="shared" si="82"/>
        <v>109439.99999999999</v>
      </c>
      <c r="I889" s="156">
        <v>15.92</v>
      </c>
      <c r="J889" s="249">
        <f t="shared" si="80"/>
        <v>2.3199999999999985</v>
      </c>
      <c r="K889" s="295">
        <f t="shared" si="81"/>
        <v>13919.999999999991</v>
      </c>
      <c r="L889" s="296">
        <f t="shared" si="78"/>
        <v>0.12719298245614027</v>
      </c>
      <c r="M889" s="208" t="s">
        <v>40</v>
      </c>
      <c r="N889" s="208" t="s">
        <v>105</v>
      </c>
    </row>
    <row r="890" spans="1:14">
      <c r="A890" s="144" t="s">
        <v>998</v>
      </c>
      <c r="B890" s="213" t="s">
        <v>4089</v>
      </c>
      <c r="C890" s="208" t="s">
        <v>279</v>
      </c>
      <c r="D890" s="208" t="s">
        <v>4090</v>
      </c>
      <c r="E890" s="247">
        <v>700</v>
      </c>
      <c r="F890" s="144" t="s">
        <v>19</v>
      </c>
      <c r="G890" s="337">
        <v>70.959999999999994</v>
      </c>
      <c r="H890" s="248">
        <f t="shared" si="82"/>
        <v>49671.999999999993</v>
      </c>
      <c r="I890" s="156">
        <v>68.13</v>
      </c>
      <c r="J890" s="249">
        <f t="shared" si="80"/>
        <v>2.8299999999999983</v>
      </c>
      <c r="K890" s="295">
        <f t="shared" si="81"/>
        <v>1980.9999999999989</v>
      </c>
      <c r="L890" s="296">
        <f t="shared" si="78"/>
        <v>3.9881623449830872E-2</v>
      </c>
      <c r="M890" s="208" t="s">
        <v>40</v>
      </c>
      <c r="N890" s="208" t="s">
        <v>105</v>
      </c>
    </row>
    <row r="891" spans="1:14">
      <c r="A891" s="144" t="s">
        <v>998</v>
      </c>
      <c r="B891" s="213" t="s">
        <v>4089</v>
      </c>
      <c r="C891" s="208" t="s">
        <v>279</v>
      </c>
      <c r="D891" s="208" t="s">
        <v>4091</v>
      </c>
      <c r="E891" s="247">
        <v>600</v>
      </c>
      <c r="F891" s="144" t="s">
        <v>19</v>
      </c>
      <c r="G891" s="248">
        <v>9.31</v>
      </c>
      <c r="H891" s="248">
        <f t="shared" si="82"/>
        <v>5586</v>
      </c>
      <c r="I891" s="156">
        <v>8.82</v>
      </c>
      <c r="J891" s="249">
        <f t="shared" si="80"/>
        <v>0.49000000000000021</v>
      </c>
      <c r="K891" s="295">
        <f t="shared" si="81"/>
        <v>294.00000000000011</v>
      </c>
      <c r="L891" s="296">
        <f t="shared" si="78"/>
        <v>5.2631578947368439E-2</v>
      </c>
      <c r="M891" s="208" t="s">
        <v>40</v>
      </c>
      <c r="N891" s="208" t="s">
        <v>105</v>
      </c>
    </row>
    <row r="892" spans="1:14">
      <c r="A892" s="144" t="s">
        <v>998</v>
      </c>
      <c r="B892" s="213" t="s">
        <v>4089</v>
      </c>
      <c r="C892" s="208" t="s">
        <v>279</v>
      </c>
      <c r="D892" s="208" t="s">
        <v>4092</v>
      </c>
      <c r="E892" s="247">
        <v>200</v>
      </c>
      <c r="F892" s="144" t="s">
        <v>19</v>
      </c>
      <c r="G892" s="248">
        <v>9.31</v>
      </c>
      <c r="H892" s="248">
        <f t="shared" si="82"/>
        <v>1862</v>
      </c>
      <c r="I892" s="156">
        <v>8.82</v>
      </c>
      <c r="J892" s="249">
        <f t="shared" si="80"/>
        <v>0.49000000000000021</v>
      </c>
      <c r="K892" s="295">
        <f t="shared" si="81"/>
        <v>98.000000000000043</v>
      </c>
      <c r="L892" s="296">
        <f t="shared" si="78"/>
        <v>5.2631578947368439E-2</v>
      </c>
      <c r="M892" s="208" t="s">
        <v>40</v>
      </c>
      <c r="N892" s="208" t="s">
        <v>105</v>
      </c>
    </row>
    <row r="893" spans="1:14">
      <c r="A893" s="144" t="s">
        <v>998</v>
      </c>
      <c r="B893" s="213" t="s">
        <v>4093</v>
      </c>
      <c r="C893" s="208" t="s">
        <v>1204</v>
      </c>
      <c r="D893" s="208" t="s">
        <v>1205</v>
      </c>
      <c r="E893" s="247">
        <v>900</v>
      </c>
      <c r="F893" s="144" t="s">
        <v>19</v>
      </c>
      <c r="G893" s="248">
        <v>7.8</v>
      </c>
      <c r="H893" s="248">
        <f t="shared" si="82"/>
        <v>7020</v>
      </c>
      <c r="I893" s="156">
        <v>6.5</v>
      </c>
      <c r="J893" s="249">
        <f t="shared" si="80"/>
        <v>1.2999999999999998</v>
      </c>
      <c r="K893" s="295">
        <f t="shared" si="81"/>
        <v>1169.9999999999998</v>
      </c>
      <c r="L893" s="296">
        <f t="shared" si="78"/>
        <v>0.16666666666666666</v>
      </c>
      <c r="M893" s="208" t="s">
        <v>40</v>
      </c>
      <c r="N893" s="208" t="s">
        <v>105</v>
      </c>
    </row>
    <row r="894" spans="1:14">
      <c r="A894" s="144" t="s">
        <v>998</v>
      </c>
      <c r="B894" s="213" t="s">
        <v>4094</v>
      </c>
      <c r="C894" s="208" t="s">
        <v>1119</v>
      </c>
      <c r="D894" s="208" t="s">
        <v>3355</v>
      </c>
      <c r="E894" s="247">
        <v>91</v>
      </c>
      <c r="F894" s="144" t="s">
        <v>19</v>
      </c>
      <c r="G894" s="248">
        <v>1850</v>
      </c>
      <c r="H894" s="248">
        <f t="shared" si="82"/>
        <v>168350</v>
      </c>
      <c r="I894" s="156">
        <v>1600</v>
      </c>
      <c r="J894" s="249">
        <f t="shared" si="80"/>
        <v>250</v>
      </c>
      <c r="K894" s="295">
        <f t="shared" si="81"/>
        <v>22750</v>
      </c>
      <c r="L894" s="296">
        <f t="shared" si="78"/>
        <v>0.13513513513513514</v>
      </c>
      <c r="M894" s="208" t="s">
        <v>22</v>
      </c>
      <c r="N894" s="208" t="s">
        <v>39</v>
      </c>
    </row>
    <row r="895" spans="1:14">
      <c r="A895" s="144" t="s">
        <v>998</v>
      </c>
      <c r="B895" s="213" t="s">
        <v>4094</v>
      </c>
      <c r="C895" s="208" t="s">
        <v>1119</v>
      </c>
      <c r="D895" s="208" t="s">
        <v>4095</v>
      </c>
      <c r="E895" s="247">
        <v>114</v>
      </c>
      <c r="F895" s="144" t="s">
        <v>19</v>
      </c>
      <c r="G895" s="248">
        <v>1000</v>
      </c>
      <c r="H895" s="248">
        <f t="shared" si="82"/>
        <v>114000</v>
      </c>
      <c r="I895" s="156">
        <v>760</v>
      </c>
      <c r="J895" s="249">
        <f t="shared" si="80"/>
        <v>240</v>
      </c>
      <c r="K895" s="295">
        <f t="shared" si="81"/>
        <v>27360</v>
      </c>
      <c r="L895" s="296">
        <f t="shared" si="78"/>
        <v>0.24</v>
      </c>
      <c r="M895" s="208" t="s">
        <v>22</v>
      </c>
      <c r="N895" s="208" t="s">
        <v>39</v>
      </c>
    </row>
    <row r="896" spans="1:14">
      <c r="A896" s="144" t="s">
        <v>998</v>
      </c>
      <c r="B896" s="213" t="s">
        <v>4094</v>
      </c>
      <c r="C896" s="208" t="s">
        <v>1119</v>
      </c>
      <c r="D896" s="208" t="s">
        <v>4096</v>
      </c>
      <c r="E896" s="247">
        <v>156</v>
      </c>
      <c r="F896" s="144" t="s">
        <v>19</v>
      </c>
      <c r="G896" s="248">
        <v>1050</v>
      </c>
      <c r="H896" s="248">
        <f t="shared" si="82"/>
        <v>163800</v>
      </c>
      <c r="I896" s="156">
        <v>930</v>
      </c>
      <c r="J896" s="249">
        <f t="shared" si="80"/>
        <v>120</v>
      </c>
      <c r="K896" s="295">
        <f t="shared" si="81"/>
        <v>18720</v>
      </c>
      <c r="L896" s="296">
        <f t="shared" si="78"/>
        <v>0.11428571428571428</v>
      </c>
      <c r="M896" s="208" t="s">
        <v>22</v>
      </c>
      <c r="N896" s="208" t="s">
        <v>39</v>
      </c>
    </row>
    <row r="897" spans="1:14">
      <c r="A897" s="144" t="s">
        <v>998</v>
      </c>
      <c r="B897" s="213" t="s">
        <v>4094</v>
      </c>
      <c r="C897" s="208" t="s">
        <v>1119</v>
      </c>
      <c r="D897" s="208" t="s">
        <v>4097</v>
      </c>
      <c r="E897" s="247">
        <v>276</v>
      </c>
      <c r="F897" s="144" t="s">
        <v>19</v>
      </c>
      <c r="G897" s="248">
        <v>1020</v>
      </c>
      <c r="H897" s="248">
        <f t="shared" si="82"/>
        <v>281520</v>
      </c>
      <c r="I897" s="156">
        <v>880</v>
      </c>
      <c r="J897" s="249">
        <f t="shared" si="80"/>
        <v>140</v>
      </c>
      <c r="K897" s="295">
        <f t="shared" si="81"/>
        <v>38640</v>
      </c>
      <c r="L897" s="296">
        <f t="shared" si="78"/>
        <v>0.13725490196078433</v>
      </c>
      <c r="M897" s="208" t="s">
        <v>22</v>
      </c>
      <c r="N897" s="208" t="s">
        <v>39</v>
      </c>
    </row>
    <row r="898" spans="1:14">
      <c r="A898" s="144" t="s">
        <v>998</v>
      </c>
      <c r="B898" s="213" t="s">
        <v>4098</v>
      </c>
      <c r="C898" s="208" t="s">
        <v>4099</v>
      </c>
      <c r="D898" s="208" t="s">
        <v>2848</v>
      </c>
      <c r="E898" s="247">
        <v>6200</v>
      </c>
      <c r="F898" s="144" t="s">
        <v>19</v>
      </c>
      <c r="G898" s="248">
        <v>60</v>
      </c>
      <c r="H898" s="248">
        <f t="shared" si="82"/>
        <v>372000</v>
      </c>
      <c r="I898" s="156">
        <v>40</v>
      </c>
      <c r="J898" s="249">
        <f t="shared" si="80"/>
        <v>20</v>
      </c>
      <c r="K898" s="295">
        <f t="shared" si="81"/>
        <v>124000</v>
      </c>
      <c r="L898" s="296">
        <f t="shared" si="78"/>
        <v>0.33333333333333331</v>
      </c>
      <c r="M898" s="208" t="s">
        <v>22</v>
      </c>
      <c r="N898" s="208" t="s">
        <v>39</v>
      </c>
    </row>
    <row r="899" spans="1:14">
      <c r="A899" s="144" t="s">
        <v>998</v>
      </c>
      <c r="B899" s="213" t="s">
        <v>4100</v>
      </c>
      <c r="C899" s="208" t="s">
        <v>4099</v>
      </c>
      <c r="D899" s="208" t="s">
        <v>4101</v>
      </c>
      <c r="E899" s="247">
        <v>52</v>
      </c>
      <c r="F899" s="144" t="s">
        <v>302</v>
      </c>
      <c r="G899" s="248">
        <v>2885</v>
      </c>
      <c r="H899" s="248">
        <f t="shared" si="82"/>
        <v>150020</v>
      </c>
      <c r="I899" s="156">
        <v>2740.75</v>
      </c>
      <c r="J899" s="249">
        <f t="shared" si="80"/>
        <v>144.25</v>
      </c>
      <c r="K899" s="295">
        <f t="shared" si="81"/>
        <v>7501</v>
      </c>
      <c r="L899" s="296">
        <f t="shared" si="78"/>
        <v>0.05</v>
      </c>
      <c r="M899" s="208" t="s">
        <v>22</v>
      </c>
      <c r="N899" s="208" t="s">
        <v>39</v>
      </c>
    </row>
    <row r="900" spans="1:14">
      <c r="A900" s="144" t="s">
        <v>998</v>
      </c>
      <c r="B900" s="213" t="s">
        <v>4100</v>
      </c>
      <c r="C900" s="208" t="s">
        <v>4099</v>
      </c>
      <c r="D900" s="208" t="s">
        <v>4102</v>
      </c>
      <c r="E900" s="247">
        <v>104</v>
      </c>
      <c r="F900" s="144" t="s">
        <v>302</v>
      </c>
      <c r="G900" s="248">
        <v>710</v>
      </c>
      <c r="H900" s="248">
        <f t="shared" si="82"/>
        <v>73840</v>
      </c>
      <c r="I900" s="156">
        <v>674.5</v>
      </c>
      <c r="J900" s="249">
        <f t="shared" si="80"/>
        <v>35.5</v>
      </c>
      <c r="K900" s="295">
        <f t="shared" si="81"/>
        <v>3692</v>
      </c>
      <c r="L900" s="296">
        <f t="shared" si="78"/>
        <v>0.05</v>
      </c>
      <c r="M900" s="208" t="s">
        <v>22</v>
      </c>
      <c r="N900" s="208" t="s">
        <v>39</v>
      </c>
    </row>
    <row r="901" spans="1:14">
      <c r="A901" s="144" t="s">
        <v>998</v>
      </c>
      <c r="B901" s="213" t="s">
        <v>4100</v>
      </c>
      <c r="C901" s="208" t="s">
        <v>4099</v>
      </c>
      <c r="D901" s="208" t="s">
        <v>4103</v>
      </c>
      <c r="E901" s="247">
        <v>104</v>
      </c>
      <c r="F901" s="144" t="s">
        <v>19</v>
      </c>
      <c r="G901" s="248">
        <v>710</v>
      </c>
      <c r="H901" s="248">
        <f>G901*E901</f>
        <v>73840</v>
      </c>
      <c r="I901" s="156">
        <v>674.5</v>
      </c>
      <c r="J901" s="249">
        <f>G901-I901</f>
        <v>35.5</v>
      </c>
      <c r="K901" s="295">
        <f>J901*E901</f>
        <v>3692</v>
      </c>
      <c r="L901" s="296">
        <f>J901/G901</f>
        <v>0.05</v>
      </c>
      <c r="M901" s="208" t="s">
        <v>22</v>
      </c>
      <c r="N901" s="208" t="s">
        <v>39</v>
      </c>
    </row>
    <row r="902" spans="1:14">
      <c r="A902" s="144" t="s">
        <v>998</v>
      </c>
      <c r="B902" s="213" t="s">
        <v>4100</v>
      </c>
      <c r="C902" s="208" t="s">
        <v>4099</v>
      </c>
      <c r="D902" s="208" t="s">
        <v>4102</v>
      </c>
      <c r="E902" s="247">
        <v>40</v>
      </c>
      <c r="F902" s="144" t="s">
        <v>302</v>
      </c>
      <c r="G902" s="248">
        <v>710</v>
      </c>
      <c r="H902" s="248">
        <f t="shared" si="82"/>
        <v>28400</v>
      </c>
      <c r="I902" s="156">
        <v>674.5</v>
      </c>
      <c r="J902" s="249">
        <f t="shared" si="80"/>
        <v>35.5</v>
      </c>
      <c r="K902" s="295">
        <f t="shared" si="81"/>
        <v>1420</v>
      </c>
      <c r="L902" s="296">
        <f t="shared" si="78"/>
        <v>0.05</v>
      </c>
      <c r="M902" s="208" t="s">
        <v>22</v>
      </c>
      <c r="N902" s="208" t="s">
        <v>39</v>
      </c>
    </row>
    <row r="903" spans="1:14">
      <c r="A903" s="144" t="s">
        <v>998</v>
      </c>
      <c r="B903" s="213" t="s">
        <v>4100</v>
      </c>
      <c r="C903" s="208" t="s">
        <v>4099</v>
      </c>
      <c r="D903" s="208" t="s">
        <v>4103</v>
      </c>
      <c r="E903" s="247">
        <v>40</v>
      </c>
      <c r="F903" s="144" t="s">
        <v>19</v>
      </c>
      <c r="G903" s="248">
        <v>710</v>
      </c>
      <c r="H903" s="248">
        <f t="shared" si="82"/>
        <v>28400</v>
      </c>
      <c r="I903" s="156">
        <v>674.5</v>
      </c>
      <c r="J903" s="249">
        <f t="shared" si="80"/>
        <v>35.5</v>
      </c>
      <c r="K903" s="295">
        <f t="shared" si="81"/>
        <v>1420</v>
      </c>
      <c r="L903" s="296">
        <f t="shared" si="78"/>
        <v>0.05</v>
      </c>
      <c r="M903" s="208" t="s">
        <v>22</v>
      </c>
      <c r="N903" s="208" t="s">
        <v>39</v>
      </c>
    </row>
    <row r="904" spans="1:14">
      <c r="A904" s="144" t="s">
        <v>998</v>
      </c>
      <c r="B904" s="213" t="s">
        <v>4100</v>
      </c>
      <c r="C904" s="208" t="s">
        <v>4099</v>
      </c>
      <c r="D904" s="208" t="s">
        <v>4101</v>
      </c>
      <c r="E904" s="247">
        <v>20</v>
      </c>
      <c r="F904" s="144" t="s">
        <v>302</v>
      </c>
      <c r="G904" s="248">
        <v>2885</v>
      </c>
      <c r="H904" s="248">
        <f t="shared" si="82"/>
        <v>57700</v>
      </c>
      <c r="I904" s="156">
        <v>2740.75</v>
      </c>
      <c r="J904" s="249">
        <f t="shared" si="80"/>
        <v>144.25</v>
      </c>
      <c r="K904" s="295">
        <f t="shared" si="81"/>
        <v>2885</v>
      </c>
      <c r="L904" s="296">
        <f t="shared" si="78"/>
        <v>0.05</v>
      </c>
      <c r="M904" s="208" t="s">
        <v>22</v>
      </c>
      <c r="N904" s="208" t="s">
        <v>39</v>
      </c>
    </row>
    <row r="905" spans="1:14">
      <c r="A905" s="144" t="s">
        <v>998</v>
      </c>
      <c r="B905" s="213" t="s">
        <v>4104</v>
      </c>
      <c r="C905" s="208" t="s">
        <v>174</v>
      </c>
      <c r="D905" s="208" t="s">
        <v>4105</v>
      </c>
      <c r="E905" s="247">
        <v>5</v>
      </c>
      <c r="F905" s="144" t="s">
        <v>19</v>
      </c>
      <c r="G905" s="248">
        <v>315</v>
      </c>
      <c r="H905" s="248">
        <f t="shared" si="82"/>
        <v>1575</v>
      </c>
      <c r="I905" s="156">
        <v>310</v>
      </c>
      <c r="J905" s="249">
        <f t="shared" si="80"/>
        <v>5</v>
      </c>
      <c r="K905" s="295">
        <f t="shared" si="81"/>
        <v>25</v>
      </c>
      <c r="L905" s="296">
        <f t="shared" si="78"/>
        <v>1.5873015873015872E-2</v>
      </c>
      <c r="M905" s="208" t="s">
        <v>40</v>
      </c>
      <c r="N905" s="208" t="s">
        <v>105</v>
      </c>
    </row>
    <row r="906" spans="1:14">
      <c r="A906" s="144" t="s">
        <v>998</v>
      </c>
      <c r="B906" s="213" t="s">
        <v>4104</v>
      </c>
      <c r="C906" s="208" t="s">
        <v>174</v>
      </c>
      <c r="D906" s="208" t="s">
        <v>4053</v>
      </c>
      <c r="E906" s="247">
        <v>200</v>
      </c>
      <c r="F906" s="144" t="s">
        <v>19</v>
      </c>
      <c r="G906" s="248">
        <v>350</v>
      </c>
      <c r="H906" s="248">
        <f t="shared" si="82"/>
        <v>70000</v>
      </c>
      <c r="I906" s="156">
        <v>345</v>
      </c>
      <c r="J906" s="249">
        <f t="shared" si="80"/>
        <v>5</v>
      </c>
      <c r="K906" s="295">
        <f t="shared" si="81"/>
        <v>1000</v>
      </c>
      <c r="L906" s="296">
        <f t="shared" si="78"/>
        <v>1.4285714285714285E-2</v>
      </c>
      <c r="M906" s="208" t="s">
        <v>40</v>
      </c>
      <c r="N906" s="208" t="s">
        <v>105</v>
      </c>
    </row>
    <row r="907" spans="1:14">
      <c r="A907" s="144" t="s">
        <v>998</v>
      </c>
      <c r="B907" s="213" t="s">
        <v>4104</v>
      </c>
      <c r="C907" s="208" t="s">
        <v>174</v>
      </c>
      <c r="D907" s="208" t="s">
        <v>4052</v>
      </c>
      <c r="E907" s="247">
        <v>300</v>
      </c>
      <c r="F907" s="144" t="s">
        <v>19</v>
      </c>
      <c r="G907" s="248">
        <v>250</v>
      </c>
      <c r="H907" s="248">
        <f t="shared" si="82"/>
        <v>75000</v>
      </c>
      <c r="I907" s="156">
        <v>245</v>
      </c>
      <c r="J907" s="249">
        <f t="shared" si="80"/>
        <v>5</v>
      </c>
      <c r="K907" s="295">
        <f t="shared" si="81"/>
        <v>1500</v>
      </c>
      <c r="L907" s="296">
        <f t="shared" si="78"/>
        <v>0.02</v>
      </c>
      <c r="M907" s="208" t="s">
        <v>40</v>
      </c>
      <c r="N907" s="208" t="s">
        <v>105</v>
      </c>
    </row>
    <row r="908" spans="1:14">
      <c r="A908" s="144" t="s">
        <v>998</v>
      </c>
      <c r="B908" s="213" t="s">
        <v>4106</v>
      </c>
      <c r="C908" s="208" t="s">
        <v>1119</v>
      </c>
      <c r="D908" s="208" t="s">
        <v>3487</v>
      </c>
      <c r="E908" s="247">
        <v>101</v>
      </c>
      <c r="F908" s="144" t="s">
        <v>19</v>
      </c>
      <c r="G908" s="248">
        <v>380</v>
      </c>
      <c r="H908" s="248">
        <f t="shared" si="82"/>
        <v>38380</v>
      </c>
      <c r="I908" s="156">
        <v>260</v>
      </c>
      <c r="J908" s="249">
        <f t="shared" si="80"/>
        <v>120</v>
      </c>
      <c r="K908" s="295">
        <f t="shared" si="81"/>
        <v>12120</v>
      </c>
      <c r="L908" s="296">
        <f t="shared" si="78"/>
        <v>0.31578947368421051</v>
      </c>
      <c r="M908" s="208" t="s">
        <v>22</v>
      </c>
      <c r="N908" s="208" t="s">
        <v>39</v>
      </c>
    </row>
    <row r="909" spans="1:14">
      <c r="A909" s="144" t="s">
        <v>998</v>
      </c>
      <c r="B909" s="213" t="s">
        <v>4107</v>
      </c>
      <c r="C909" s="208" t="s">
        <v>270</v>
      </c>
      <c r="D909" s="208" t="s">
        <v>4108</v>
      </c>
      <c r="E909" s="247">
        <v>2</v>
      </c>
      <c r="F909" s="144" t="s">
        <v>302</v>
      </c>
      <c r="G909" s="248">
        <v>124260</v>
      </c>
      <c r="H909" s="248">
        <f t="shared" si="82"/>
        <v>248520</v>
      </c>
      <c r="I909" s="156">
        <v>122400</v>
      </c>
      <c r="J909" s="249">
        <f t="shared" si="80"/>
        <v>1860</v>
      </c>
      <c r="K909" s="295">
        <f t="shared" si="81"/>
        <v>3720</v>
      </c>
      <c r="L909" s="296">
        <f t="shared" si="78"/>
        <v>1.496861419604056E-2</v>
      </c>
      <c r="M909" s="208" t="s">
        <v>40</v>
      </c>
      <c r="N909" s="208" t="s">
        <v>105</v>
      </c>
    </row>
    <row r="910" spans="1:14">
      <c r="A910" s="144" t="s">
        <v>998</v>
      </c>
      <c r="B910" s="213" t="s">
        <v>4109</v>
      </c>
      <c r="C910" s="208" t="s">
        <v>94</v>
      </c>
      <c r="D910" s="208" t="s">
        <v>4110</v>
      </c>
      <c r="E910" s="247">
        <v>300</v>
      </c>
      <c r="F910" s="144" t="s">
        <v>19</v>
      </c>
      <c r="G910" s="248">
        <v>15.5</v>
      </c>
      <c r="H910" s="248">
        <f t="shared" si="82"/>
        <v>4650</v>
      </c>
      <c r="I910" s="156">
        <v>14.76</v>
      </c>
      <c r="J910" s="249">
        <f t="shared" si="80"/>
        <v>0.74000000000000021</v>
      </c>
      <c r="K910" s="295">
        <f t="shared" si="81"/>
        <v>222.00000000000006</v>
      </c>
      <c r="L910" s="296">
        <f t="shared" si="78"/>
        <v>4.7741935483870984E-2</v>
      </c>
      <c r="M910" s="208" t="s">
        <v>22</v>
      </c>
      <c r="N910" s="208" t="s">
        <v>105</v>
      </c>
    </row>
    <row r="911" spans="1:14">
      <c r="A911" s="144" t="s">
        <v>998</v>
      </c>
      <c r="B911" s="213" t="s">
        <v>4109</v>
      </c>
      <c r="C911" s="208" t="s">
        <v>94</v>
      </c>
      <c r="D911" s="208" t="s">
        <v>550</v>
      </c>
      <c r="E911" s="247">
        <v>200</v>
      </c>
      <c r="F911" s="144" t="s">
        <v>19</v>
      </c>
      <c r="G911" s="248">
        <v>50</v>
      </c>
      <c r="H911" s="248">
        <f t="shared" si="82"/>
        <v>10000</v>
      </c>
      <c r="I911" s="156">
        <v>47.56</v>
      </c>
      <c r="J911" s="249">
        <f t="shared" si="80"/>
        <v>2.4399999999999977</v>
      </c>
      <c r="K911" s="295">
        <f t="shared" si="81"/>
        <v>487.99999999999955</v>
      </c>
      <c r="L911" s="296">
        <f t="shared" si="78"/>
        <v>4.8799999999999955E-2</v>
      </c>
      <c r="M911" s="208" t="s">
        <v>22</v>
      </c>
      <c r="N911" s="208" t="s">
        <v>105</v>
      </c>
    </row>
    <row r="912" spans="1:14">
      <c r="A912" s="144" t="s">
        <v>998</v>
      </c>
      <c r="B912" s="213" t="s">
        <v>4109</v>
      </c>
      <c r="C912" s="208" t="s">
        <v>94</v>
      </c>
      <c r="D912" s="208" t="s">
        <v>457</v>
      </c>
      <c r="E912" s="247">
        <v>200</v>
      </c>
      <c r="F912" s="144" t="s">
        <v>19</v>
      </c>
      <c r="G912" s="248">
        <v>5.25</v>
      </c>
      <c r="H912" s="248">
        <f t="shared" si="82"/>
        <v>1050</v>
      </c>
      <c r="I912" s="156">
        <v>5.0999999999999996</v>
      </c>
      <c r="J912" s="249">
        <f t="shared" si="80"/>
        <v>0.15000000000000036</v>
      </c>
      <c r="K912" s="295">
        <f t="shared" si="81"/>
        <v>30.000000000000071</v>
      </c>
      <c r="L912" s="296">
        <f t="shared" si="78"/>
        <v>2.857142857142864E-2</v>
      </c>
      <c r="M912" s="208" t="s">
        <v>22</v>
      </c>
      <c r="N912" s="208" t="s">
        <v>105</v>
      </c>
    </row>
    <row r="913" spans="1:14">
      <c r="A913" s="144" t="s">
        <v>998</v>
      </c>
      <c r="B913" s="213" t="s">
        <v>4111</v>
      </c>
      <c r="C913" s="208" t="s">
        <v>94</v>
      </c>
      <c r="D913" s="208" t="s">
        <v>973</v>
      </c>
      <c r="E913" s="247">
        <v>2</v>
      </c>
      <c r="F913" s="144" t="s">
        <v>29</v>
      </c>
      <c r="G913" s="248">
        <v>6800</v>
      </c>
      <c r="H913" s="248">
        <f t="shared" si="82"/>
        <v>13600</v>
      </c>
      <c r="I913" s="156">
        <v>6363</v>
      </c>
      <c r="J913" s="249">
        <f t="shared" si="80"/>
        <v>437</v>
      </c>
      <c r="K913" s="295">
        <f t="shared" si="81"/>
        <v>874</v>
      </c>
      <c r="L913" s="296">
        <f t="shared" si="78"/>
        <v>6.4264705882352946E-2</v>
      </c>
      <c r="M913" s="208" t="s">
        <v>22</v>
      </c>
      <c r="N913" s="208" t="s">
        <v>105</v>
      </c>
    </row>
    <row r="914" spans="1:14">
      <c r="A914" s="144" t="s">
        <v>998</v>
      </c>
      <c r="B914" s="213" t="s">
        <v>4112</v>
      </c>
      <c r="C914" s="208" t="s">
        <v>1119</v>
      </c>
      <c r="D914" s="208" t="s">
        <v>3476</v>
      </c>
      <c r="E914" s="247">
        <v>2037</v>
      </c>
      <c r="F914" s="144" t="s">
        <v>19</v>
      </c>
      <c r="G914" s="248">
        <v>45</v>
      </c>
      <c r="H914" s="248">
        <f t="shared" si="82"/>
        <v>91665</v>
      </c>
      <c r="I914" s="156">
        <v>26</v>
      </c>
      <c r="J914" s="249">
        <f t="shared" si="80"/>
        <v>19</v>
      </c>
      <c r="K914" s="295">
        <f t="shared" si="81"/>
        <v>38703</v>
      </c>
      <c r="L914" s="296">
        <f t="shared" si="78"/>
        <v>0.42222222222222222</v>
      </c>
      <c r="M914" s="208" t="s">
        <v>22</v>
      </c>
      <c r="N914" s="208" t="s">
        <v>39</v>
      </c>
    </row>
    <row r="915" spans="1:14">
      <c r="A915" s="144" t="s">
        <v>998</v>
      </c>
      <c r="B915" s="213" t="s">
        <v>4113</v>
      </c>
      <c r="C915" s="208" t="s">
        <v>3847</v>
      </c>
      <c r="D915" s="208" t="s">
        <v>3848</v>
      </c>
      <c r="E915" s="247">
        <v>15</v>
      </c>
      <c r="F915" s="144" t="s">
        <v>19</v>
      </c>
      <c r="G915" s="248">
        <v>10296</v>
      </c>
      <c r="H915" s="248">
        <f t="shared" si="82"/>
        <v>154440</v>
      </c>
      <c r="I915" s="156">
        <v>10098</v>
      </c>
      <c r="J915" s="249">
        <f t="shared" si="80"/>
        <v>198</v>
      </c>
      <c r="K915" s="295">
        <f t="shared" si="81"/>
        <v>2970</v>
      </c>
      <c r="L915" s="296">
        <f t="shared" si="78"/>
        <v>1.9230769230769232E-2</v>
      </c>
      <c r="M915" s="208" t="s">
        <v>40</v>
      </c>
      <c r="N915" s="208" t="s">
        <v>105</v>
      </c>
    </row>
    <row r="916" spans="1:14">
      <c r="A916" s="144" t="s">
        <v>998</v>
      </c>
      <c r="B916" s="213" t="s">
        <v>4114</v>
      </c>
      <c r="C916" s="208" t="s">
        <v>35</v>
      </c>
      <c r="D916" s="138" t="s">
        <v>1130</v>
      </c>
      <c r="E916" s="299">
        <v>3641</v>
      </c>
      <c r="F916" s="142" t="s">
        <v>37</v>
      </c>
      <c r="G916" s="229">
        <v>380</v>
      </c>
      <c r="H916" s="248">
        <f t="shared" si="82"/>
        <v>1383580</v>
      </c>
      <c r="I916" s="156">
        <v>375</v>
      </c>
      <c r="J916" s="249">
        <f t="shared" si="80"/>
        <v>5</v>
      </c>
      <c r="K916" s="295">
        <f t="shared" si="81"/>
        <v>18205</v>
      </c>
      <c r="L916" s="296">
        <f t="shared" si="78"/>
        <v>1.3157894736842105E-2</v>
      </c>
      <c r="M916" s="208" t="s">
        <v>40</v>
      </c>
      <c r="N916" s="208" t="s">
        <v>105</v>
      </c>
    </row>
    <row r="917" spans="1:14">
      <c r="A917" s="144" t="s">
        <v>998</v>
      </c>
      <c r="B917" s="213" t="s">
        <v>4114</v>
      </c>
      <c r="C917" s="208" t="s">
        <v>35</v>
      </c>
      <c r="D917" s="140" t="s">
        <v>2176</v>
      </c>
      <c r="E917" s="300">
        <v>290</v>
      </c>
      <c r="F917" s="142" t="s">
        <v>37</v>
      </c>
      <c r="G917" s="226">
        <v>387</v>
      </c>
      <c r="H917" s="248">
        <f t="shared" si="82"/>
        <v>112230</v>
      </c>
      <c r="I917" s="156">
        <v>382</v>
      </c>
      <c r="J917" s="249">
        <f t="shared" si="80"/>
        <v>5</v>
      </c>
      <c r="K917" s="295">
        <f t="shared" si="81"/>
        <v>1450</v>
      </c>
      <c r="L917" s="296">
        <f t="shared" si="78"/>
        <v>1.2919896640826873E-2</v>
      </c>
      <c r="M917" s="208" t="s">
        <v>40</v>
      </c>
      <c r="N917" s="208" t="s">
        <v>105</v>
      </c>
    </row>
    <row r="918" spans="1:14">
      <c r="A918" s="144" t="s">
        <v>998</v>
      </c>
      <c r="B918" s="213" t="s">
        <v>4115</v>
      </c>
      <c r="C918" s="208" t="s">
        <v>192</v>
      </c>
      <c r="D918" s="140" t="s">
        <v>694</v>
      </c>
      <c r="E918" s="300">
        <v>80</v>
      </c>
      <c r="F918" s="142" t="s">
        <v>19</v>
      </c>
      <c r="G918" s="226">
        <v>5780</v>
      </c>
      <c r="H918" s="248">
        <f t="shared" si="82"/>
        <v>462400</v>
      </c>
      <c r="I918" s="227">
        <v>5640</v>
      </c>
      <c r="J918" s="249">
        <f t="shared" si="80"/>
        <v>140</v>
      </c>
      <c r="K918" s="295">
        <f t="shared" si="81"/>
        <v>11200</v>
      </c>
      <c r="L918" s="296">
        <f t="shared" si="78"/>
        <v>2.4221453287197232E-2</v>
      </c>
      <c r="M918" s="208" t="s">
        <v>22</v>
      </c>
      <c r="N918" s="208" t="s">
        <v>39</v>
      </c>
    </row>
    <row r="919" spans="1:14">
      <c r="A919" s="144" t="s">
        <v>998</v>
      </c>
      <c r="B919" s="213" t="s">
        <v>4116</v>
      </c>
      <c r="C919" s="208" t="s">
        <v>4099</v>
      </c>
      <c r="D919" s="140" t="s">
        <v>4117</v>
      </c>
      <c r="E919" s="300">
        <v>135</v>
      </c>
      <c r="F919" s="142" t="s">
        <v>19</v>
      </c>
      <c r="G919" s="226">
        <v>2470</v>
      </c>
      <c r="H919" s="248">
        <f t="shared" si="82"/>
        <v>333450</v>
      </c>
      <c r="I919" s="227">
        <v>2400</v>
      </c>
      <c r="J919" s="249">
        <f t="shared" si="80"/>
        <v>70</v>
      </c>
      <c r="K919" s="295">
        <f t="shared" si="81"/>
        <v>9450</v>
      </c>
      <c r="L919" s="296">
        <f t="shared" si="78"/>
        <v>2.8340080971659919E-2</v>
      </c>
      <c r="M919" s="208" t="s">
        <v>22</v>
      </c>
      <c r="N919" s="208" t="s">
        <v>39</v>
      </c>
    </row>
    <row r="920" spans="1:14">
      <c r="A920" s="144" t="s">
        <v>998</v>
      </c>
      <c r="B920" s="213" t="s">
        <v>4118</v>
      </c>
      <c r="C920" s="208" t="s">
        <v>1000</v>
      </c>
      <c r="D920" s="140" t="s">
        <v>1001</v>
      </c>
      <c r="E920" s="300">
        <v>49</v>
      </c>
      <c r="F920" s="142" t="s">
        <v>302</v>
      </c>
      <c r="G920" s="226">
        <v>1900</v>
      </c>
      <c r="H920" s="248">
        <f t="shared" si="82"/>
        <v>93100</v>
      </c>
      <c r="I920" s="227">
        <v>1500</v>
      </c>
      <c r="J920" s="249">
        <f t="shared" si="80"/>
        <v>400</v>
      </c>
      <c r="K920" s="295">
        <f t="shared" si="81"/>
        <v>19600</v>
      </c>
      <c r="L920" s="296">
        <f t="shared" si="78"/>
        <v>0.21052631578947367</v>
      </c>
      <c r="M920" s="208" t="s">
        <v>22</v>
      </c>
      <c r="N920" s="208" t="s">
        <v>39</v>
      </c>
    </row>
    <row r="921" spans="1:14">
      <c r="A921" s="144" t="s">
        <v>998</v>
      </c>
      <c r="B921" s="213" t="s">
        <v>4119</v>
      </c>
      <c r="C921" s="279" t="s">
        <v>94</v>
      </c>
      <c r="D921" s="140" t="s">
        <v>546</v>
      </c>
      <c r="E921" s="300">
        <v>100</v>
      </c>
      <c r="F921" s="142" t="s">
        <v>19</v>
      </c>
      <c r="G921" s="226">
        <v>190</v>
      </c>
      <c r="H921" s="248">
        <f t="shared" si="82"/>
        <v>19000</v>
      </c>
      <c r="I921" s="156">
        <v>182.25</v>
      </c>
      <c r="J921" s="249">
        <f t="shared" si="80"/>
        <v>7.75</v>
      </c>
      <c r="K921" s="295">
        <f t="shared" si="81"/>
        <v>775</v>
      </c>
      <c r="L921" s="296">
        <f t="shared" si="78"/>
        <v>4.0789473684210528E-2</v>
      </c>
      <c r="M921" s="208" t="s">
        <v>22</v>
      </c>
      <c r="N921" s="208" t="s">
        <v>105</v>
      </c>
    </row>
    <row r="922" spans="1:14">
      <c r="A922" s="144" t="s">
        <v>998</v>
      </c>
      <c r="B922" s="332" t="s">
        <v>4120</v>
      </c>
      <c r="C922" s="12" t="s">
        <v>1119</v>
      </c>
      <c r="D922" s="272" t="s">
        <v>4121</v>
      </c>
      <c r="E922" s="247">
        <v>4</v>
      </c>
      <c r="F922" s="142" t="s">
        <v>19</v>
      </c>
      <c r="G922" s="248">
        <v>750</v>
      </c>
      <c r="H922" s="248">
        <f t="shared" si="82"/>
        <v>3000</v>
      </c>
      <c r="I922" s="156">
        <v>710</v>
      </c>
      <c r="J922" s="249">
        <f t="shared" si="80"/>
        <v>40</v>
      </c>
      <c r="K922" s="295">
        <f t="shared" si="81"/>
        <v>160</v>
      </c>
      <c r="L922" s="296">
        <f t="shared" si="78"/>
        <v>5.3333333333333337E-2</v>
      </c>
      <c r="M922" s="208" t="s">
        <v>22</v>
      </c>
      <c r="N922" s="208" t="s">
        <v>39</v>
      </c>
    </row>
    <row r="923" spans="1:14">
      <c r="A923" s="144" t="s">
        <v>998</v>
      </c>
      <c r="B923" s="332" t="s">
        <v>4120</v>
      </c>
      <c r="C923" s="12" t="s">
        <v>1119</v>
      </c>
      <c r="D923" s="272" t="s">
        <v>4122</v>
      </c>
      <c r="E923" s="247">
        <v>16</v>
      </c>
      <c r="F923" s="142" t="s">
        <v>19</v>
      </c>
      <c r="G923" s="248">
        <v>800</v>
      </c>
      <c r="H923" s="248">
        <f t="shared" si="82"/>
        <v>12800</v>
      </c>
      <c r="I923" s="156">
        <v>780</v>
      </c>
      <c r="J923" s="249">
        <f t="shared" si="80"/>
        <v>20</v>
      </c>
      <c r="K923" s="295">
        <f t="shared" si="81"/>
        <v>320</v>
      </c>
      <c r="L923" s="296">
        <f t="shared" si="78"/>
        <v>2.5000000000000001E-2</v>
      </c>
      <c r="M923" s="208" t="s">
        <v>22</v>
      </c>
      <c r="N923" s="208" t="s">
        <v>39</v>
      </c>
    </row>
    <row r="924" spans="1:14">
      <c r="A924" s="144" t="s">
        <v>998</v>
      </c>
      <c r="B924" s="332" t="s">
        <v>4120</v>
      </c>
      <c r="C924" s="12" t="s">
        <v>1119</v>
      </c>
      <c r="D924" s="272" t="s">
        <v>4123</v>
      </c>
      <c r="E924" s="247">
        <v>4</v>
      </c>
      <c r="F924" s="142" t="s">
        <v>19</v>
      </c>
      <c r="G924" s="248">
        <v>850</v>
      </c>
      <c r="H924" s="248">
        <f t="shared" si="82"/>
        <v>3400</v>
      </c>
      <c r="I924" s="156">
        <v>790</v>
      </c>
      <c r="J924" s="249">
        <f t="shared" si="80"/>
        <v>60</v>
      </c>
      <c r="K924" s="295">
        <f t="shared" si="81"/>
        <v>240</v>
      </c>
      <c r="L924" s="296">
        <f t="shared" si="78"/>
        <v>7.0588235294117646E-2</v>
      </c>
      <c r="M924" s="208" t="s">
        <v>22</v>
      </c>
      <c r="N924" s="208" t="s">
        <v>39</v>
      </c>
    </row>
    <row r="925" spans="1:14">
      <c r="A925" s="144" t="s">
        <v>998</v>
      </c>
      <c r="B925" s="332" t="s">
        <v>4120</v>
      </c>
      <c r="C925" s="12" t="s">
        <v>1119</v>
      </c>
      <c r="D925" s="272" t="s">
        <v>4124</v>
      </c>
      <c r="E925" s="247">
        <v>8</v>
      </c>
      <c r="F925" s="142" t="s">
        <v>19</v>
      </c>
      <c r="G925" s="248">
        <v>800</v>
      </c>
      <c r="H925" s="248">
        <f t="shared" si="82"/>
        <v>6400</v>
      </c>
      <c r="I925" s="156">
        <v>780</v>
      </c>
      <c r="J925" s="249">
        <f t="shared" si="80"/>
        <v>20</v>
      </c>
      <c r="K925" s="295">
        <f t="shared" si="81"/>
        <v>160</v>
      </c>
      <c r="L925" s="296">
        <f t="shared" si="78"/>
        <v>2.5000000000000001E-2</v>
      </c>
      <c r="M925" s="208" t="s">
        <v>22</v>
      </c>
      <c r="N925" s="208" t="s">
        <v>39</v>
      </c>
    </row>
    <row r="926" spans="1:14">
      <c r="A926" s="144" t="s">
        <v>998</v>
      </c>
      <c r="B926" s="332" t="s">
        <v>4120</v>
      </c>
      <c r="C926" s="12" t="s">
        <v>1119</v>
      </c>
      <c r="D926" s="272" t="s">
        <v>4125</v>
      </c>
      <c r="E926" s="247">
        <v>8</v>
      </c>
      <c r="F926" s="142" t="s">
        <v>19</v>
      </c>
      <c r="G926" s="248">
        <v>790</v>
      </c>
      <c r="H926" s="248">
        <f t="shared" si="82"/>
        <v>6320</v>
      </c>
      <c r="I926" s="156">
        <v>770</v>
      </c>
      <c r="J926" s="249">
        <f t="shared" si="80"/>
        <v>20</v>
      </c>
      <c r="K926" s="295">
        <f t="shared" si="81"/>
        <v>160</v>
      </c>
      <c r="L926" s="296">
        <f t="shared" si="78"/>
        <v>2.5316455696202531E-2</v>
      </c>
      <c r="M926" s="208" t="s">
        <v>22</v>
      </c>
      <c r="N926" s="208" t="s">
        <v>39</v>
      </c>
    </row>
    <row r="927" spans="1:14">
      <c r="A927" s="144" t="s">
        <v>998</v>
      </c>
      <c r="B927" s="213" t="s">
        <v>4126</v>
      </c>
      <c r="C927" s="209" t="s">
        <v>200</v>
      </c>
      <c r="D927" s="208" t="s">
        <v>4127</v>
      </c>
      <c r="E927" s="247">
        <v>5</v>
      </c>
      <c r="F927" s="144" t="s">
        <v>302</v>
      </c>
      <c r="G927" s="248">
        <v>30500</v>
      </c>
      <c r="H927" s="248">
        <f t="shared" si="82"/>
        <v>152500</v>
      </c>
      <c r="I927" s="156">
        <v>29000</v>
      </c>
      <c r="J927" s="249">
        <f t="shared" si="80"/>
        <v>1500</v>
      </c>
      <c r="K927" s="295">
        <f t="shared" si="81"/>
        <v>7500</v>
      </c>
      <c r="L927" s="296">
        <f t="shared" si="78"/>
        <v>4.9180327868852458E-2</v>
      </c>
      <c r="M927" s="208" t="s">
        <v>40</v>
      </c>
      <c r="N927" s="208" t="s">
        <v>39</v>
      </c>
    </row>
    <row r="928" spans="1:14">
      <c r="A928" s="144" t="s">
        <v>998</v>
      </c>
      <c r="B928" s="213" t="s">
        <v>4128</v>
      </c>
      <c r="C928" s="208" t="s">
        <v>68</v>
      </c>
      <c r="D928" s="208" t="s">
        <v>755</v>
      </c>
      <c r="E928" s="247">
        <v>1100.4000000000001</v>
      </c>
      <c r="F928" s="144" t="s">
        <v>37</v>
      </c>
      <c r="G928" s="248">
        <v>380</v>
      </c>
      <c r="H928" s="248">
        <f t="shared" si="82"/>
        <v>418152.00000000006</v>
      </c>
      <c r="I928" s="156">
        <v>370</v>
      </c>
      <c r="J928" s="249">
        <f t="shared" si="80"/>
        <v>10</v>
      </c>
      <c r="K928" s="295">
        <f t="shared" si="81"/>
        <v>11004</v>
      </c>
      <c r="L928" s="296">
        <f t="shared" si="78"/>
        <v>2.6315789473684209E-2</v>
      </c>
      <c r="M928" s="208" t="s">
        <v>22</v>
      </c>
      <c r="N928" s="208" t="s">
        <v>105</v>
      </c>
    </row>
    <row r="929" spans="1:14">
      <c r="A929" s="144" t="s">
        <v>998</v>
      </c>
      <c r="B929" s="213" t="s">
        <v>4129</v>
      </c>
      <c r="C929" s="208" t="s">
        <v>94</v>
      </c>
      <c r="D929" s="208" t="s">
        <v>613</v>
      </c>
      <c r="E929" s="247">
        <v>300</v>
      </c>
      <c r="F929" s="144" t="s">
        <v>19</v>
      </c>
      <c r="G929" s="248">
        <v>26</v>
      </c>
      <c r="H929" s="248">
        <f t="shared" si="82"/>
        <v>7800</v>
      </c>
      <c r="I929" s="156">
        <v>24.6</v>
      </c>
      <c r="J929" s="249">
        <f t="shared" si="80"/>
        <v>1.3999999999999986</v>
      </c>
      <c r="K929" s="295">
        <f t="shared" si="81"/>
        <v>419.99999999999955</v>
      </c>
      <c r="L929" s="296">
        <f t="shared" si="78"/>
        <v>5.3846153846153794E-2</v>
      </c>
      <c r="M929" s="208" t="s">
        <v>22</v>
      </c>
      <c r="N929" s="208" t="s">
        <v>105</v>
      </c>
    </row>
    <row r="930" spans="1:14">
      <c r="A930" s="144" t="s">
        <v>998</v>
      </c>
      <c r="B930" s="213" t="s">
        <v>4130</v>
      </c>
      <c r="C930" s="208" t="s">
        <v>94</v>
      </c>
      <c r="D930" s="208" t="s">
        <v>613</v>
      </c>
      <c r="E930" s="247">
        <v>500</v>
      </c>
      <c r="F930" s="144" t="s">
        <v>19</v>
      </c>
      <c r="G930" s="248">
        <v>26</v>
      </c>
      <c r="H930" s="248">
        <f t="shared" si="82"/>
        <v>13000</v>
      </c>
      <c r="I930" s="156">
        <v>24.6</v>
      </c>
      <c r="J930" s="249">
        <f t="shared" si="80"/>
        <v>1.3999999999999986</v>
      </c>
      <c r="K930" s="295">
        <f t="shared" si="81"/>
        <v>699.99999999999932</v>
      </c>
      <c r="L930" s="296">
        <f t="shared" si="78"/>
        <v>5.3846153846153794E-2</v>
      </c>
      <c r="M930" s="208" t="s">
        <v>22</v>
      </c>
      <c r="N930" s="208" t="s">
        <v>105</v>
      </c>
    </row>
    <row r="931" spans="1:14">
      <c r="A931" s="144" t="s">
        <v>998</v>
      </c>
      <c r="B931" s="213" t="s">
        <v>4130</v>
      </c>
      <c r="C931" s="208" t="s">
        <v>94</v>
      </c>
      <c r="D931" s="208" t="s">
        <v>1504</v>
      </c>
      <c r="E931" s="247">
        <v>100</v>
      </c>
      <c r="F931" s="144" t="s">
        <v>19</v>
      </c>
      <c r="G931" s="248">
        <v>2.6</v>
      </c>
      <c r="H931" s="248">
        <f t="shared" si="82"/>
        <v>260</v>
      </c>
      <c r="I931" s="156">
        <v>2.5499999999999998</v>
      </c>
      <c r="J931" s="249">
        <f t="shared" si="80"/>
        <v>5.0000000000000266E-2</v>
      </c>
      <c r="K931" s="295">
        <f t="shared" si="81"/>
        <v>5.0000000000000266</v>
      </c>
      <c r="L931" s="296">
        <f t="shared" si="78"/>
        <v>1.9230769230769332E-2</v>
      </c>
      <c r="M931" s="208" t="s">
        <v>22</v>
      </c>
      <c r="N931" s="208" t="s">
        <v>105</v>
      </c>
    </row>
    <row r="932" spans="1:14">
      <c r="A932" s="144" t="s">
        <v>998</v>
      </c>
      <c r="B932" s="213" t="s">
        <v>4131</v>
      </c>
      <c r="C932" s="208" t="s">
        <v>1042</v>
      </c>
      <c r="D932" s="208" t="s">
        <v>711</v>
      </c>
      <c r="E932" s="247">
        <v>2998</v>
      </c>
      <c r="F932" s="144" t="s">
        <v>37</v>
      </c>
      <c r="G932" s="248">
        <v>387</v>
      </c>
      <c r="H932" s="248">
        <f t="shared" si="82"/>
        <v>1160226</v>
      </c>
      <c r="I932" s="156">
        <v>357</v>
      </c>
      <c r="J932" s="249">
        <f t="shared" si="80"/>
        <v>30</v>
      </c>
      <c r="K932" s="295">
        <f t="shared" si="81"/>
        <v>89940</v>
      </c>
      <c r="L932" s="296">
        <f t="shared" ref="L932:L939" si="83">J932/G932</f>
        <v>7.7519379844961239E-2</v>
      </c>
      <c r="M932" s="208" t="s">
        <v>22</v>
      </c>
      <c r="N932" s="208" t="s">
        <v>105</v>
      </c>
    </row>
    <row r="933" spans="1:14">
      <c r="A933" s="144" t="s">
        <v>998</v>
      </c>
      <c r="B933" s="213" t="s">
        <v>4132</v>
      </c>
      <c r="C933" s="208" t="s">
        <v>68</v>
      </c>
      <c r="D933" s="208" t="s">
        <v>755</v>
      </c>
      <c r="E933" s="247">
        <v>562.6</v>
      </c>
      <c r="F933" s="144" t="s">
        <v>37</v>
      </c>
      <c r="G933" s="248">
        <v>380</v>
      </c>
      <c r="H933" s="248">
        <f t="shared" si="82"/>
        <v>213788</v>
      </c>
      <c r="I933" s="156">
        <v>370</v>
      </c>
      <c r="J933" s="249">
        <f t="shared" si="80"/>
        <v>10</v>
      </c>
      <c r="K933" s="295">
        <f t="shared" si="81"/>
        <v>5626</v>
      </c>
      <c r="L933" s="296">
        <f t="shared" si="83"/>
        <v>2.6315789473684209E-2</v>
      </c>
      <c r="M933" s="208" t="s">
        <v>22</v>
      </c>
      <c r="N933" s="208" t="s">
        <v>105</v>
      </c>
    </row>
    <row r="934" spans="1:14">
      <c r="A934" s="144" t="s">
        <v>998</v>
      </c>
      <c r="B934" s="213" t="s">
        <v>4133</v>
      </c>
      <c r="C934" s="208" t="s">
        <v>166</v>
      </c>
      <c r="D934" s="208" t="s">
        <v>4134</v>
      </c>
      <c r="E934" s="247">
        <v>1860</v>
      </c>
      <c r="F934" s="144" t="s">
        <v>37</v>
      </c>
      <c r="G934" s="248">
        <v>354.1</v>
      </c>
      <c r="H934" s="248">
        <f t="shared" si="82"/>
        <v>658626</v>
      </c>
      <c r="I934" s="156">
        <v>346.84</v>
      </c>
      <c r="J934" s="249">
        <f t="shared" si="80"/>
        <v>7.2600000000000477</v>
      </c>
      <c r="K934" s="295">
        <f t="shared" si="81"/>
        <v>13503.600000000089</v>
      </c>
      <c r="L934" s="296">
        <f t="shared" si="83"/>
        <v>2.0502682857949865E-2</v>
      </c>
      <c r="M934" s="208" t="s">
        <v>22</v>
      </c>
      <c r="N934" s="208" t="s">
        <v>105</v>
      </c>
    </row>
    <row r="935" spans="1:14">
      <c r="A935" s="144" t="s">
        <v>998</v>
      </c>
      <c r="B935" s="213" t="s">
        <v>4133</v>
      </c>
      <c r="C935" s="208" t="s">
        <v>166</v>
      </c>
      <c r="D935" s="208" t="s">
        <v>4135</v>
      </c>
      <c r="E935" s="247">
        <v>16800</v>
      </c>
      <c r="F935" s="144" t="s">
        <v>37</v>
      </c>
      <c r="G935" s="248">
        <v>354.1</v>
      </c>
      <c r="H935" s="248">
        <f t="shared" si="82"/>
        <v>5948880</v>
      </c>
      <c r="I935" s="156">
        <v>345.19</v>
      </c>
      <c r="J935" s="249">
        <f t="shared" si="80"/>
        <v>8.910000000000025</v>
      </c>
      <c r="K935" s="295">
        <f t="shared" si="81"/>
        <v>149688.00000000041</v>
      </c>
      <c r="L935" s="296">
        <f t="shared" si="83"/>
        <v>2.5162383507483829E-2</v>
      </c>
      <c r="M935" s="208" t="s">
        <v>22</v>
      </c>
      <c r="N935" s="208" t="s">
        <v>105</v>
      </c>
    </row>
    <row r="936" spans="1:14">
      <c r="A936" s="144" t="s">
        <v>998</v>
      </c>
      <c r="B936" s="213" t="s">
        <v>4136</v>
      </c>
      <c r="C936" s="208" t="s">
        <v>2711</v>
      </c>
      <c r="D936" s="318" t="s">
        <v>2514</v>
      </c>
      <c r="E936" s="247">
        <v>1</v>
      </c>
      <c r="F936" s="144" t="s">
        <v>285</v>
      </c>
      <c r="G936" s="248">
        <v>3500</v>
      </c>
      <c r="H936" s="248">
        <f t="shared" si="82"/>
        <v>3500</v>
      </c>
      <c r="I936" s="156">
        <v>0</v>
      </c>
      <c r="J936" s="249">
        <f t="shared" ref="J936:J999" si="84">G936-I936</f>
        <v>3500</v>
      </c>
      <c r="K936" s="295">
        <f t="shared" ref="K936:K939" si="85">J936*E936</f>
        <v>3500</v>
      </c>
      <c r="L936" s="296">
        <f t="shared" si="83"/>
        <v>1</v>
      </c>
      <c r="M936" s="208" t="s">
        <v>40</v>
      </c>
      <c r="N936" s="208" t="s">
        <v>105</v>
      </c>
    </row>
    <row r="937" spans="1:14">
      <c r="A937" s="144" t="s">
        <v>998</v>
      </c>
      <c r="B937" s="213" t="s">
        <v>4137</v>
      </c>
      <c r="C937" s="208" t="s">
        <v>200</v>
      </c>
      <c r="D937" s="208" t="s">
        <v>4138</v>
      </c>
      <c r="E937" s="247">
        <v>2</v>
      </c>
      <c r="F937" s="144" t="s">
        <v>19</v>
      </c>
      <c r="G937" s="248">
        <v>8500</v>
      </c>
      <c r="H937" s="248">
        <f t="shared" si="82"/>
        <v>17000</v>
      </c>
      <c r="I937" s="156">
        <v>7300</v>
      </c>
      <c r="J937" s="249">
        <f t="shared" si="84"/>
        <v>1200</v>
      </c>
      <c r="K937" s="295">
        <f t="shared" si="85"/>
        <v>2400</v>
      </c>
      <c r="L937" s="296">
        <f t="shared" si="83"/>
        <v>0.14117647058823529</v>
      </c>
      <c r="M937" s="208" t="s">
        <v>40</v>
      </c>
      <c r="N937" s="208" t="s">
        <v>39</v>
      </c>
    </row>
    <row r="938" spans="1:14">
      <c r="A938" s="144" t="s">
        <v>998</v>
      </c>
      <c r="B938" s="311" t="s">
        <v>4139</v>
      </c>
      <c r="C938" s="208" t="s">
        <v>1000</v>
      </c>
      <c r="D938" s="208" t="s">
        <v>4140</v>
      </c>
      <c r="E938" s="247">
        <v>42</v>
      </c>
      <c r="F938" s="144" t="s">
        <v>302</v>
      </c>
      <c r="G938" s="248">
        <v>1300</v>
      </c>
      <c r="H938" s="248">
        <f t="shared" si="82"/>
        <v>54600</v>
      </c>
      <c r="I938" s="156">
        <v>1200</v>
      </c>
      <c r="J938" s="249">
        <f t="shared" si="84"/>
        <v>100</v>
      </c>
      <c r="K938" s="295">
        <f t="shared" si="85"/>
        <v>4200</v>
      </c>
      <c r="L938" s="296">
        <f t="shared" si="83"/>
        <v>7.6923076923076927E-2</v>
      </c>
      <c r="M938" s="208" t="s">
        <v>22</v>
      </c>
      <c r="N938" s="208" t="s">
        <v>39</v>
      </c>
    </row>
    <row r="939" spans="1:14">
      <c r="A939" s="144" t="s">
        <v>998</v>
      </c>
      <c r="B939" s="213" t="s">
        <v>4141</v>
      </c>
      <c r="C939" s="208" t="s">
        <v>200</v>
      </c>
      <c r="D939" s="208" t="s">
        <v>4142</v>
      </c>
      <c r="E939" s="247">
        <v>1</v>
      </c>
      <c r="F939" s="144" t="s">
        <v>302</v>
      </c>
      <c r="G939" s="248">
        <v>7500</v>
      </c>
      <c r="H939" s="248">
        <f t="shared" si="82"/>
        <v>7500</v>
      </c>
      <c r="I939" s="156">
        <v>6750</v>
      </c>
      <c r="J939" s="249">
        <f t="shared" si="84"/>
        <v>750</v>
      </c>
      <c r="K939" s="295">
        <f t="shared" si="85"/>
        <v>750</v>
      </c>
      <c r="L939" s="296">
        <f t="shared" si="83"/>
        <v>0.1</v>
      </c>
      <c r="M939" s="208" t="s">
        <v>22</v>
      </c>
      <c r="N939" s="208" t="s">
        <v>39</v>
      </c>
    </row>
    <row r="940" spans="1:14">
      <c r="A940" s="144" t="s">
        <v>998</v>
      </c>
      <c r="B940" s="213" t="s">
        <v>4141</v>
      </c>
      <c r="C940" s="208" t="s">
        <v>200</v>
      </c>
      <c r="D940" s="27" t="s">
        <v>3363</v>
      </c>
      <c r="E940" s="247">
        <v>1</v>
      </c>
      <c r="F940" s="144" t="s">
        <v>302</v>
      </c>
      <c r="G940" s="248">
        <v>15500</v>
      </c>
      <c r="H940" s="248">
        <f t="shared" si="82"/>
        <v>15500</v>
      </c>
      <c r="I940" s="156">
        <v>13950</v>
      </c>
      <c r="J940" s="249">
        <f t="shared" si="84"/>
        <v>1550</v>
      </c>
      <c r="K940" s="295">
        <f>J940*E940</f>
        <v>1550</v>
      </c>
      <c r="L940" s="296">
        <f>J940/G940</f>
        <v>0.1</v>
      </c>
      <c r="M940" s="208" t="s">
        <v>22</v>
      </c>
      <c r="N940" s="208" t="s">
        <v>39</v>
      </c>
    </row>
    <row r="941" spans="1:14">
      <c r="A941" s="144" t="s">
        <v>998</v>
      </c>
      <c r="B941" s="213" t="s">
        <v>4141</v>
      </c>
      <c r="C941" s="208" t="s">
        <v>200</v>
      </c>
      <c r="D941" s="208" t="s">
        <v>4143</v>
      </c>
      <c r="E941" s="247">
        <v>1</v>
      </c>
      <c r="F941" s="144" t="s">
        <v>302</v>
      </c>
      <c r="G941" s="248">
        <v>72500</v>
      </c>
      <c r="H941" s="248">
        <f t="shared" si="82"/>
        <v>72500</v>
      </c>
      <c r="I941" s="156">
        <v>65250</v>
      </c>
      <c r="J941" s="249">
        <f t="shared" si="84"/>
        <v>7250</v>
      </c>
      <c r="K941" s="295">
        <f>J941*E941</f>
        <v>7250</v>
      </c>
      <c r="L941" s="296">
        <f>J941/G941</f>
        <v>0.1</v>
      </c>
      <c r="M941" s="208" t="s">
        <v>22</v>
      </c>
      <c r="N941" s="208" t="s">
        <v>39</v>
      </c>
    </row>
    <row r="942" spans="1:14">
      <c r="A942" s="144" t="s">
        <v>998</v>
      </c>
      <c r="B942" s="213" t="s">
        <v>4144</v>
      </c>
      <c r="C942" s="208" t="s">
        <v>200</v>
      </c>
      <c r="D942" s="208" t="s">
        <v>4142</v>
      </c>
      <c r="E942" s="247">
        <v>1</v>
      </c>
      <c r="F942" s="144" t="s">
        <v>19</v>
      </c>
      <c r="G942" s="248">
        <v>7500</v>
      </c>
      <c r="H942" s="248">
        <f t="shared" si="82"/>
        <v>7500</v>
      </c>
      <c r="I942" s="156">
        <v>6750</v>
      </c>
      <c r="J942" s="249">
        <f t="shared" si="84"/>
        <v>750</v>
      </c>
      <c r="K942" s="295">
        <f>J942*E942</f>
        <v>750</v>
      </c>
      <c r="L942" s="296">
        <f>J942/G942</f>
        <v>0.1</v>
      </c>
      <c r="M942" s="208" t="s">
        <v>22</v>
      </c>
      <c r="N942" s="208" t="s">
        <v>39</v>
      </c>
    </row>
    <row r="943" spans="1:14">
      <c r="A943" s="144" t="s">
        <v>998</v>
      </c>
      <c r="B943" s="213" t="s">
        <v>4144</v>
      </c>
      <c r="C943" s="208" t="s">
        <v>200</v>
      </c>
      <c r="D943" s="208" t="s">
        <v>4142</v>
      </c>
      <c r="E943" s="247">
        <v>1</v>
      </c>
      <c r="F943" s="144" t="s">
        <v>19</v>
      </c>
      <c r="G943" s="248">
        <v>7500</v>
      </c>
      <c r="H943" s="248">
        <f t="shared" si="82"/>
        <v>7500</v>
      </c>
      <c r="I943" s="156">
        <v>6750</v>
      </c>
      <c r="J943" s="249">
        <f t="shared" si="84"/>
        <v>750</v>
      </c>
      <c r="K943" s="295">
        <f>J943*E943</f>
        <v>750</v>
      </c>
      <c r="L943" s="296">
        <f>J943/G943</f>
        <v>0.1</v>
      </c>
      <c r="M943" s="208" t="s">
        <v>22</v>
      </c>
      <c r="N943" s="208" t="s">
        <v>39</v>
      </c>
    </row>
    <row r="944" spans="1:14">
      <c r="A944" s="144" t="s">
        <v>998</v>
      </c>
      <c r="B944" s="213" t="s">
        <v>4144</v>
      </c>
      <c r="C944" s="208" t="s">
        <v>200</v>
      </c>
      <c r="D944" s="279" t="s">
        <v>4145</v>
      </c>
      <c r="E944" s="263">
        <v>1</v>
      </c>
      <c r="F944" s="144" t="s">
        <v>302</v>
      </c>
      <c r="G944" s="248">
        <v>66500</v>
      </c>
      <c r="H944" s="248">
        <f t="shared" si="82"/>
        <v>66500</v>
      </c>
      <c r="I944" s="156">
        <v>59850</v>
      </c>
      <c r="J944" s="249">
        <f t="shared" si="84"/>
        <v>6650</v>
      </c>
      <c r="K944" s="295">
        <f>J944*E944</f>
        <v>6650</v>
      </c>
      <c r="L944" s="296">
        <f>J944/G944</f>
        <v>0.1</v>
      </c>
      <c r="M944" s="208" t="s">
        <v>22</v>
      </c>
      <c r="N944" s="208" t="s">
        <v>39</v>
      </c>
    </row>
    <row r="945" spans="1:14">
      <c r="A945" s="144" t="s">
        <v>998</v>
      </c>
      <c r="B945" s="213" t="s">
        <v>4144</v>
      </c>
      <c r="C945" s="208" t="s">
        <v>200</v>
      </c>
      <c r="D945" s="292" t="s">
        <v>4146</v>
      </c>
      <c r="E945" s="303">
        <v>1</v>
      </c>
      <c r="F945" s="144" t="s">
        <v>302</v>
      </c>
      <c r="G945" s="248">
        <v>15500</v>
      </c>
      <c r="H945" s="248">
        <f t="shared" si="82"/>
        <v>15500</v>
      </c>
      <c r="I945" s="156">
        <v>13950</v>
      </c>
      <c r="J945" s="249">
        <f t="shared" si="84"/>
        <v>1550</v>
      </c>
      <c r="K945" s="295">
        <f t="shared" ref="K945:K952" si="86">J945*E945</f>
        <v>1550</v>
      </c>
      <c r="L945" s="296">
        <f t="shared" ref="L945:L952" si="87">J945/G945</f>
        <v>0.1</v>
      </c>
      <c r="M945" s="208" t="s">
        <v>22</v>
      </c>
      <c r="N945" s="208" t="s">
        <v>39</v>
      </c>
    </row>
    <row r="946" spans="1:14">
      <c r="A946" s="144" t="s">
        <v>998</v>
      </c>
      <c r="B946" s="213" t="s">
        <v>4144</v>
      </c>
      <c r="C946" s="208" t="s">
        <v>200</v>
      </c>
      <c r="D946" s="292" t="s">
        <v>4145</v>
      </c>
      <c r="E946" s="303">
        <v>1</v>
      </c>
      <c r="F946" s="144" t="s">
        <v>302</v>
      </c>
      <c r="G946" s="248">
        <v>66500</v>
      </c>
      <c r="H946" s="248">
        <f t="shared" si="82"/>
        <v>66500</v>
      </c>
      <c r="I946" s="156">
        <v>59850</v>
      </c>
      <c r="J946" s="249">
        <f t="shared" si="84"/>
        <v>6650</v>
      </c>
      <c r="K946" s="295">
        <f t="shared" si="86"/>
        <v>6650</v>
      </c>
      <c r="L946" s="296">
        <f t="shared" si="87"/>
        <v>0.1</v>
      </c>
      <c r="M946" s="208" t="s">
        <v>22</v>
      </c>
      <c r="N946" s="208" t="s">
        <v>39</v>
      </c>
    </row>
    <row r="947" spans="1:14">
      <c r="A947" s="144" t="s">
        <v>998</v>
      </c>
      <c r="B947" s="213" t="s">
        <v>4144</v>
      </c>
      <c r="C947" s="208" t="s">
        <v>200</v>
      </c>
      <c r="D947" s="292" t="s">
        <v>4147</v>
      </c>
      <c r="E947" s="303">
        <v>1</v>
      </c>
      <c r="F947" s="144" t="s">
        <v>302</v>
      </c>
      <c r="G947" s="248">
        <v>15500</v>
      </c>
      <c r="H947" s="248">
        <f t="shared" si="82"/>
        <v>15500</v>
      </c>
      <c r="I947" s="156">
        <v>13950</v>
      </c>
      <c r="J947" s="249">
        <f t="shared" si="84"/>
        <v>1550</v>
      </c>
      <c r="K947" s="295">
        <f t="shared" si="86"/>
        <v>1550</v>
      </c>
      <c r="L947" s="296">
        <f t="shared" si="87"/>
        <v>0.1</v>
      </c>
      <c r="M947" s="208" t="s">
        <v>22</v>
      </c>
      <c r="N947" s="208" t="s">
        <v>39</v>
      </c>
    </row>
    <row r="948" spans="1:14">
      <c r="A948" s="144" t="s">
        <v>998</v>
      </c>
      <c r="B948" s="213" t="s">
        <v>4148</v>
      </c>
      <c r="C948" s="208" t="s">
        <v>200</v>
      </c>
      <c r="D948" s="292" t="s">
        <v>4142</v>
      </c>
      <c r="E948" s="303">
        <v>2</v>
      </c>
      <c r="F948" s="144" t="s">
        <v>19</v>
      </c>
      <c r="G948" s="248">
        <v>7500</v>
      </c>
      <c r="H948" s="248">
        <f t="shared" si="82"/>
        <v>15000</v>
      </c>
      <c r="I948" s="156">
        <v>6750</v>
      </c>
      <c r="J948" s="249">
        <f t="shared" si="84"/>
        <v>750</v>
      </c>
      <c r="K948" s="295">
        <f t="shared" si="86"/>
        <v>1500</v>
      </c>
      <c r="L948" s="296">
        <f t="shared" si="87"/>
        <v>0.1</v>
      </c>
      <c r="M948" s="208" t="s">
        <v>22</v>
      </c>
      <c r="N948" s="208" t="s">
        <v>39</v>
      </c>
    </row>
    <row r="949" spans="1:14">
      <c r="A949" s="144" t="s">
        <v>998</v>
      </c>
      <c r="B949" s="213" t="s">
        <v>4148</v>
      </c>
      <c r="C949" s="208" t="s">
        <v>200</v>
      </c>
      <c r="D949" s="292" t="s">
        <v>3363</v>
      </c>
      <c r="E949" s="303">
        <v>2</v>
      </c>
      <c r="F949" s="144" t="s">
        <v>302</v>
      </c>
      <c r="G949" s="248">
        <v>15500</v>
      </c>
      <c r="H949" s="248">
        <f t="shared" si="82"/>
        <v>31000</v>
      </c>
      <c r="I949" s="156">
        <v>13950</v>
      </c>
      <c r="J949" s="249">
        <f t="shared" si="84"/>
        <v>1550</v>
      </c>
      <c r="K949" s="295">
        <f t="shared" si="86"/>
        <v>3100</v>
      </c>
      <c r="L949" s="296">
        <f t="shared" si="87"/>
        <v>0.1</v>
      </c>
      <c r="M949" s="208" t="s">
        <v>22</v>
      </c>
      <c r="N949" s="208" t="s">
        <v>39</v>
      </c>
    </row>
    <row r="950" spans="1:14">
      <c r="A950" s="144" t="s">
        <v>998</v>
      </c>
      <c r="B950" s="213" t="s">
        <v>4148</v>
      </c>
      <c r="C950" s="208" t="s">
        <v>200</v>
      </c>
      <c r="D950" s="292" t="s">
        <v>4142</v>
      </c>
      <c r="E950" s="303">
        <v>2</v>
      </c>
      <c r="F950" s="144" t="s">
        <v>19</v>
      </c>
      <c r="G950" s="248">
        <v>7500</v>
      </c>
      <c r="H950" s="248">
        <f t="shared" si="82"/>
        <v>15000</v>
      </c>
      <c r="I950" s="156">
        <v>6750</v>
      </c>
      <c r="J950" s="249">
        <f t="shared" si="84"/>
        <v>750</v>
      </c>
      <c r="K950" s="295">
        <f t="shared" si="86"/>
        <v>1500</v>
      </c>
      <c r="L950" s="296">
        <f t="shared" si="87"/>
        <v>0.1</v>
      </c>
      <c r="M950" s="208" t="s">
        <v>22</v>
      </c>
      <c r="N950" s="208" t="s">
        <v>39</v>
      </c>
    </row>
    <row r="951" spans="1:14">
      <c r="A951" s="144" t="s">
        <v>998</v>
      </c>
      <c r="B951" s="213" t="s">
        <v>4148</v>
      </c>
      <c r="C951" s="208" t="s">
        <v>200</v>
      </c>
      <c r="D951" s="292" t="s">
        <v>3363</v>
      </c>
      <c r="E951" s="303">
        <v>2</v>
      </c>
      <c r="F951" s="304" t="s">
        <v>302</v>
      </c>
      <c r="G951" s="248">
        <v>15500</v>
      </c>
      <c r="H951" s="248">
        <f t="shared" si="82"/>
        <v>31000</v>
      </c>
      <c r="I951" s="156">
        <v>13950</v>
      </c>
      <c r="J951" s="249">
        <f t="shared" si="84"/>
        <v>1550</v>
      </c>
      <c r="K951" s="295">
        <f t="shared" si="86"/>
        <v>3100</v>
      </c>
      <c r="L951" s="296">
        <f t="shared" si="87"/>
        <v>0.1</v>
      </c>
      <c r="M951" s="208" t="s">
        <v>22</v>
      </c>
      <c r="N951" s="208" t="s">
        <v>39</v>
      </c>
    </row>
    <row r="952" spans="1:14">
      <c r="A952" s="144" t="s">
        <v>998</v>
      </c>
      <c r="B952" s="213" t="s">
        <v>4148</v>
      </c>
      <c r="C952" s="208" t="s">
        <v>200</v>
      </c>
      <c r="D952" s="292" t="s">
        <v>611</v>
      </c>
      <c r="E952" s="303">
        <v>2</v>
      </c>
      <c r="F952" s="304" t="s">
        <v>302</v>
      </c>
      <c r="G952" s="248">
        <v>69500</v>
      </c>
      <c r="H952" s="248">
        <f t="shared" ref="H952:H1015" si="88">G952*E952</f>
        <v>139000</v>
      </c>
      <c r="I952" s="156">
        <v>62550</v>
      </c>
      <c r="J952" s="249">
        <f t="shared" si="84"/>
        <v>6950</v>
      </c>
      <c r="K952" s="295">
        <f t="shared" si="86"/>
        <v>13900</v>
      </c>
      <c r="L952" s="296">
        <f t="shared" si="87"/>
        <v>0.1</v>
      </c>
      <c r="M952" s="208" t="s">
        <v>22</v>
      </c>
      <c r="N952" s="208" t="s">
        <v>39</v>
      </c>
    </row>
    <row r="953" spans="1:14">
      <c r="A953" s="144" t="s">
        <v>998</v>
      </c>
      <c r="B953" s="213" t="s">
        <v>4148</v>
      </c>
      <c r="C953" s="208" t="s">
        <v>200</v>
      </c>
      <c r="D953" s="208" t="s">
        <v>611</v>
      </c>
      <c r="E953" s="247">
        <v>2</v>
      </c>
      <c r="F953" s="144" t="s">
        <v>302</v>
      </c>
      <c r="G953" s="248">
        <v>69500</v>
      </c>
      <c r="H953" s="248">
        <f t="shared" si="88"/>
        <v>139000</v>
      </c>
      <c r="I953" s="156">
        <v>62550</v>
      </c>
      <c r="J953" s="249">
        <f t="shared" si="84"/>
        <v>6950</v>
      </c>
      <c r="K953" s="295">
        <f>J953*E953</f>
        <v>13900</v>
      </c>
      <c r="L953" s="296">
        <f>J953/G953</f>
        <v>0.1</v>
      </c>
      <c r="M953" s="208" t="s">
        <v>22</v>
      </c>
      <c r="N953" s="208" t="s">
        <v>39</v>
      </c>
    </row>
    <row r="954" spans="1:14">
      <c r="A954" s="144" t="s">
        <v>998</v>
      </c>
      <c r="B954" s="213" t="s">
        <v>4149</v>
      </c>
      <c r="C954" s="208" t="s">
        <v>200</v>
      </c>
      <c r="D954" s="208" t="s">
        <v>4150</v>
      </c>
      <c r="E954" s="303">
        <v>2</v>
      </c>
      <c r="F954" s="304" t="s">
        <v>302</v>
      </c>
      <c r="G954" s="248">
        <v>89500</v>
      </c>
      <c r="H954" s="248">
        <f t="shared" si="88"/>
        <v>179000</v>
      </c>
      <c r="I954" s="156">
        <v>80550</v>
      </c>
      <c r="J954" s="249">
        <f t="shared" si="84"/>
        <v>8950</v>
      </c>
      <c r="K954" s="295">
        <f>J954*E954</f>
        <v>17900</v>
      </c>
      <c r="L954" s="296">
        <f>J954/G954</f>
        <v>0.1</v>
      </c>
      <c r="M954" s="208" t="s">
        <v>22</v>
      </c>
      <c r="N954" s="208" t="s">
        <v>39</v>
      </c>
    </row>
    <row r="955" spans="1:14">
      <c r="A955" s="144" t="s">
        <v>998</v>
      </c>
      <c r="B955" s="213" t="s">
        <v>4149</v>
      </c>
      <c r="C955" s="208" t="s">
        <v>200</v>
      </c>
      <c r="D955" s="292" t="s">
        <v>4142</v>
      </c>
      <c r="E955" s="303">
        <v>2</v>
      </c>
      <c r="F955" s="144" t="s">
        <v>19</v>
      </c>
      <c r="G955" s="248">
        <v>7500</v>
      </c>
      <c r="H955" s="248">
        <f t="shared" si="88"/>
        <v>15000</v>
      </c>
      <c r="I955" s="156">
        <v>6750</v>
      </c>
      <c r="J955" s="249">
        <f t="shared" si="84"/>
        <v>750</v>
      </c>
      <c r="K955" s="295">
        <f t="shared" ref="K955:K1018" si="89">J955*E955</f>
        <v>1500</v>
      </c>
      <c r="L955" s="296">
        <f t="shared" ref="L955:L1018" si="90">J955/G955</f>
        <v>0.1</v>
      </c>
      <c r="M955" s="208" t="s">
        <v>22</v>
      </c>
      <c r="N955" s="208" t="s">
        <v>39</v>
      </c>
    </row>
    <row r="956" spans="1:14">
      <c r="A956" s="144" t="s">
        <v>998</v>
      </c>
      <c r="B956" s="213" t="s">
        <v>4151</v>
      </c>
      <c r="C956" s="302" t="s">
        <v>4152</v>
      </c>
      <c r="D956" s="292" t="s">
        <v>4153</v>
      </c>
      <c r="E956" s="303">
        <v>32</v>
      </c>
      <c r="F956" s="144" t="s">
        <v>19</v>
      </c>
      <c r="G956" s="248">
        <v>150</v>
      </c>
      <c r="H956" s="248">
        <f t="shared" si="88"/>
        <v>4800</v>
      </c>
      <c r="I956" s="156">
        <v>102</v>
      </c>
      <c r="J956" s="249">
        <f t="shared" si="84"/>
        <v>48</v>
      </c>
      <c r="K956" s="295">
        <f t="shared" si="89"/>
        <v>1536</v>
      </c>
      <c r="L956" s="296">
        <f t="shared" si="90"/>
        <v>0.32</v>
      </c>
      <c r="M956" s="208" t="s">
        <v>40</v>
      </c>
      <c r="N956" s="208" t="s">
        <v>39</v>
      </c>
    </row>
    <row r="957" spans="1:14">
      <c r="A957" s="144" t="s">
        <v>998</v>
      </c>
      <c r="B957" s="213" t="s">
        <v>4154</v>
      </c>
      <c r="C957" s="302" t="s">
        <v>200</v>
      </c>
      <c r="D957" s="292" t="s">
        <v>4142</v>
      </c>
      <c r="E957" s="303">
        <v>1</v>
      </c>
      <c r="F957" s="144" t="s">
        <v>19</v>
      </c>
      <c r="G957" s="248">
        <v>7500</v>
      </c>
      <c r="H957" s="248">
        <f t="shared" si="88"/>
        <v>7500</v>
      </c>
      <c r="I957" s="156">
        <v>6750</v>
      </c>
      <c r="J957" s="249">
        <f t="shared" si="84"/>
        <v>750</v>
      </c>
      <c r="K957" s="295">
        <f t="shared" si="89"/>
        <v>750</v>
      </c>
      <c r="L957" s="296">
        <f t="shared" si="90"/>
        <v>0.1</v>
      </c>
      <c r="M957" s="208" t="s">
        <v>22</v>
      </c>
      <c r="N957" s="208" t="s">
        <v>39</v>
      </c>
    </row>
    <row r="958" spans="1:14">
      <c r="A958" s="144" t="s">
        <v>998</v>
      </c>
      <c r="B958" s="213" t="s">
        <v>4154</v>
      </c>
      <c r="C958" s="302" t="s">
        <v>200</v>
      </c>
      <c r="D958" s="292" t="s">
        <v>4155</v>
      </c>
      <c r="E958" s="303">
        <v>1</v>
      </c>
      <c r="F958" s="304" t="s">
        <v>302</v>
      </c>
      <c r="G958" s="248">
        <v>63500</v>
      </c>
      <c r="H958" s="248">
        <f t="shared" si="88"/>
        <v>63500</v>
      </c>
      <c r="I958" s="156">
        <v>57150</v>
      </c>
      <c r="J958" s="249">
        <f t="shared" si="84"/>
        <v>6350</v>
      </c>
      <c r="K958" s="295">
        <f t="shared" si="89"/>
        <v>6350</v>
      </c>
      <c r="L958" s="296">
        <f t="shared" si="90"/>
        <v>0.1</v>
      </c>
      <c r="M958" s="208" t="s">
        <v>22</v>
      </c>
      <c r="N958" s="208" t="s">
        <v>39</v>
      </c>
    </row>
    <row r="959" spans="1:14">
      <c r="A959" s="144" t="s">
        <v>998</v>
      </c>
      <c r="B959" s="213" t="s">
        <v>4154</v>
      </c>
      <c r="C959" s="302" t="s">
        <v>200</v>
      </c>
      <c r="D959" s="292" t="s">
        <v>4147</v>
      </c>
      <c r="E959" s="303">
        <v>1</v>
      </c>
      <c r="F959" s="304" t="s">
        <v>302</v>
      </c>
      <c r="G959" s="248">
        <v>15500</v>
      </c>
      <c r="H959" s="248">
        <f t="shared" si="88"/>
        <v>15500</v>
      </c>
      <c r="I959" s="156">
        <v>13950</v>
      </c>
      <c r="J959" s="249">
        <f t="shared" si="84"/>
        <v>1550</v>
      </c>
      <c r="K959" s="295">
        <f t="shared" si="89"/>
        <v>1550</v>
      </c>
      <c r="L959" s="296">
        <f t="shared" si="90"/>
        <v>0.1</v>
      </c>
      <c r="M959" s="208" t="s">
        <v>22</v>
      </c>
      <c r="N959" s="208" t="s">
        <v>39</v>
      </c>
    </row>
    <row r="960" spans="1:14">
      <c r="A960" s="144" t="s">
        <v>998</v>
      </c>
      <c r="B960" s="213" t="s">
        <v>4156</v>
      </c>
      <c r="C960" s="302" t="s">
        <v>94</v>
      </c>
      <c r="D960" s="292" t="s">
        <v>550</v>
      </c>
      <c r="E960" s="303">
        <v>100</v>
      </c>
      <c r="F960" s="144" t="s">
        <v>19</v>
      </c>
      <c r="G960" s="248">
        <v>50</v>
      </c>
      <c r="H960" s="248">
        <f t="shared" si="88"/>
        <v>5000</v>
      </c>
      <c r="I960" s="156">
        <v>47.56</v>
      </c>
      <c r="J960" s="249">
        <f t="shared" si="84"/>
        <v>2.4399999999999977</v>
      </c>
      <c r="K960" s="295">
        <f t="shared" si="89"/>
        <v>243.99999999999977</v>
      </c>
      <c r="L960" s="296">
        <f t="shared" si="90"/>
        <v>4.8799999999999955E-2</v>
      </c>
      <c r="M960" s="208" t="s">
        <v>22</v>
      </c>
      <c r="N960" s="208" t="s">
        <v>105</v>
      </c>
    </row>
    <row r="961" spans="1:14">
      <c r="A961" s="144" t="s">
        <v>998</v>
      </c>
      <c r="B961" s="213" t="s">
        <v>4157</v>
      </c>
      <c r="C961" s="302" t="s">
        <v>3847</v>
      </c>
      <c r="D961" s="292" t="s">
        <v>4158</v>
      </c>
      <c r="E961" s="303">
        <v>50</v>
      </c>
      <c r="F961" s="144" t="s">
        <v>19</v>
      </c>
      <c r="G961" s="248">
        <v>9456.5</v>
      </c>
      <c r="H961" s="248">
        <f t="shared" si="88"/>
        <v>472825</v>
      </c>
      <c r="I961" s="156">
        <v>9267.3700000000008</v>
      </c>
      <c r="J961" s="249">
        <f t="shared" si="84"/>
        <v>189.1299999999992</v>
      </c>
      <c r="K961" s="295">
        <f t="shared" si="89"/>
        <v>9456.49999999996</v>
      </c>
      <c r="L961" s="296">
        <f t="shared" si="90"/>
        <v>1.9999999999999914E-2</v>
      </c>
      <c r="M961" s="208" t="s">
        <v>40</v>
      </c>
      <c r="N961" s="208" t="s">
        <v>105</v>
      </c>
    </row>
    <row r="962" spans="1:14">
      <c r="A962" s="144" t="s">
        <v>998</v>
      </c>
      <c r="B962" s="213" t="s">
        <v>4159</v>
      </c>
      <c r="C962" s="302" t="s">
        <v>166</v>
      </c>
      <c r="D962" s="292" t="s">
        <v>4160</v>
      </c>
      <c r="E962" s="303">
        <v>20030</v>
      </c>
      <c r="F962" s="144" t="s">
        <v>37</v>
      </c>
      <c r="G962" s="248">
        <v>356.07</v>
      </c>
      <c r="H962" s="248">
        <f t="shared" si="88"/>
        <v>7132082.0999999996</v>
      </c>
      <c r="I962" s="156">
        <v>344.36</v>
      </c>
      <c r="J962" s="249">
        <f t="shared" si="84"/>
        <v>11.70999999999998</v>
      </c>
      <c r="K962" s="295">
        <f t="shared" si="89"/>
        <v>234551.29999999958</v>
      </c>
      <c r="L962" s="296">
        <f t="shared" si="90"/>
        <v>3.2886791922936441E-2</v>
      </c>
      <c r="M962" s="208" t="s">
        <v>22</v>
      </c>
      <c r="N962" s="208" t="s">
        <v>105</v>
      </c>
    </row>
    <row r="963" spans="1:14">
      <c r="A963" s="144" t="s">
        <v>998</v>
      </c>
      <c r="B963" s="213" t="s">
        <v>4161</v>
      </c>
      <c r="C963" s="302" t="s">
        <v>200</v>
      </c>
      <c r="D963" s="292" t="s">
        <v>4162</v>
      </c>
      <c r="E963" s="303">
        <v>2</v>
      </c>
      <c r="F963" s="144" t="s">
        <v>19</v>
      </c>
      <c r="G963" s="248">
        <v>8500</v>
      </c>
      <c r="H963" s="248">
        <f t="shared" si="88"/>
        <v>17000</v>
      </c>
      <c r="I963" s="156">
        <v>7300</v>
      </c>
      <c r="J963" s="249">
        <f t="shared" si="84"/>
        <v>1200</v>
      </c>
      <c r="K963" s="295">
        <f t="shared" si="89"/>
        <v>2400</v>
      </c>
      <c r="L963" s="296">
        <f t="shared" si="90"/>
        <v>0.14117647058823529</v>
      </c>
      <c r="M963" s="208" t="s">
        <v>40</v>
      </c>
      <c r="N963" s="208" t="s">
        <v>39</v>
      </c>
    </row>
    <row r="964" spans="1:14">
      <c r="A964" s="144" t="s">
        <v>998</v>
      </c>
      <c r="B964" s="213" t="s">
        <v>4163</v>
      </c>
      <c r="C964" s="302" t="s">
        <v>590</v>
      </c>
      <c r="D964" s="292" t="s">
        <v>3363</v>
      </c>
      <c r="E964" s="303">
        <v>72</v>
      </c>
      <c r="F964" s="144" t="s">
        <v>302</v>
      </c>
      <c r="G964" s="248">
        <v>17800</v>
      </c>
      <c r="H964" s="248">
        <f t="shared" si="88"/>
        <v>1281600</v>
      </c>
      <c r="I964" s="156">
        <v>15000</v>
      </c>
      <c r="J964" s="249">
        <f t="shared" si="84"/>
        <v>2800</v>
      </c>
      <c r="K964" s="295">
        <f t="shared" si="89"/>
        <v>201600</v>
      </c>
      <c r="L964" s="296">
        <f t="shared" si="90"/>
        <v>0.15730337078651685</v>
      </c>
      <c r="M964" s="208" t="s">
        <v>22</v>
      </c>
      <c r="N964" s="208" t="s">
        <v>39</v>
      </c>
    </row>
    <row r="965" spans="1:14">
      <c r="A965" s="144" t="s">
        <v>998</v>
      </c>
      <c r="B965" s="213" t="s">
        <v>4163</v>
      </c>
      <c r="C965" s="302" t="s">
        <v>590</v>
      </c>
      <c r="D965" s="292" t="s">
        <v>4164</v>
      </c>
      <c r="E965" s="303">
        <v>26</v>
      </c>
      <c r="F965" s="144" t="s">
        <v>302</v>
      </c>
      <c r="G965" s="248">
        <v>20800</v>
      </c>
      <c r="H965" s="248">
        <f t="shared" si="88"/>
        <v>540800</v>
      </c>
      <c r="I965" s="156">
        <v>18400</v>
      </c>
      <c r="J965" s="249">
        <f t="shared" si="84"/>
        <v>2400</v>
      </c>
      <c r="K965" s="295">
        <f t="shared" si="89"/>
        <v>62400</v>
      </c>
      <c r="L965" s="296">
        <f t="shared" si="90"/>
        <v>0.11538461538461539</v>
      </c>
      <c r="M965" s="208" t="s">
        <v>22</v>
      </c>
      <c r="N965" s="208" t="s">
        <v>39</v>
      </c>
    </row>
    <row r="966" spans="1:14">
      <c r="A966" s="144" t="s">
        <v>998</v>
      </c>
      <c r="B966" s="213" t="s">
        <v>4163</v>
      </c>
      <c r="C966" s="302" t="s">
        <v>590</v>
      </c>
      <c r="D966" s="292" t="s">
        <v>3364</v>
      </c>
      <c r="E966" s="303">
        <v>48</v>
      </c>
      <c r="F966" s="144" t="s">
        <v>302</v>
      </c>
      <c r="G966" s="248">
        <v>20800</v>
      </c>
      <c r="H966" s="248">
        <f t="shared" si="88"/>
        <v>998400</v>
      </c>
      <c r="I966" s="156">
        <v>18400</v>
      </c>
      <c r="J966" s="249">
        <f t="shared" si="84"/>
        <v>2400</v>
      </c>
      <c r="K966" s="295">
        <f t="shared" si="89"/>
        <v>115200</v>
      </c>
      <c r="L966" s="296">
        <f t="shared" si="90"/>
        <v>0.11538461538461539</v>
      </c>
      <c r="M966" s="208" t="s">
        <v>22</v>
      </c>
      <c r="N966" s="208" t="s">
        <v>39</v>
      </c>
    </row>
    <row r="967" spans="1:14">
      <c r="A967" s="144" t="s">
        <v>998</v>
      </c>
      <c r="B967" s="213" t="s">
        <v>4163</v>
      </c>
      <c r="C967" s="302" t="s">
        <v>590</v>
      </c>
      <c r="D967" s="292" t="s">
        <v>3592</v>
      </c>
      <c r="E967" s="303">
        <v>19</v>
      </c>
      <c r="F967" s="144" t="s">
        <v>302</v>
      </c>
      <c r="G967" s="248">
        <v>84700</v>
      </c>
      <c r="H967" s="248">
        <f t="shared" si="88"/>
        <v>1609300</v>
      </c>
      <c r="I967" s="156">
        <v>82000</v>
      </c>
      <c r="J967" s="249">
        <f t="shared" si="84"/>
        <v>2700</v>
      </c>
      <c r="K967" s="295">
        <f t="shared" si="89"/>
        <v>51300</v>
      </c>
      <c r="L967" s="296">
        <f t="shared" si="90"/>
        <v>3.1877213695395513E-2</v>
      </c>
      <c r="M967" s="208" t="s">
        <v>22</v>
      </c>
      <c r="N967" s="208" t="s">
        <v>39</v>
      </c>
    </row>
    <row r="968" spans="1:14">
      <c r="A968" s="144" t="s">
        <v>998</v>
      </c>
      <c r="B968" s="213" t="s">
        <v>4163</v>
      </c>
      <c r="C968" s="302" t="s">
        <v>590</v>
      </c>
      <c r="D968" s="292" t="s">
        <v>3514</v>
      </c>
      <c r="E968" s="303">
        <v>46</v>
      </c>
      <c r="F968" s="144" t="s">
        <v>302</v>
      </c>
      <c r="G968" s="248">
        <v>52000</v>
      </c>
      <c r="H968" s="248">
        <f t="shared" si="88"/>
        <v>2392000</v>
      </c>
      <c r="I968" s="156">
        <v>49000</v>
      </c>
      <c r="J968" s="249">
        <f t="shared" si="84"/>
        <v>3000</v>
      </c>
      <c r="K968" s="295">
        <f t="shared" si="89"/>
        <v>138000</v>
      </c>
      <c r="L968" s="296">
        <f t="shared" si="90"/>
        <v>5.7692307692307696E-2</v>
      </c>
      <c r="M968" s="208" t="s">
        <v>22</v>
      </c>
      <c r="N968" s="208" t="s">
        <v>39</v>
      </c>
    </row>
    <row r="969" spans="1:14">
      <c r="A969" s="144" t="s">
        <v>998</v>
      </c>
      <c r="B969" s="213" t="s">
        <v>4163</v>
      </c>
      <c r="C969" s="302" t="s">
        <v>590</v>
      </c>
      <c r="D969" s="292" t="s">
        <v>3345</v>
      </c>
      <c r="E969" s="303">
        <v>26</v>
      </c>
      <c r="F969" s="144" t="s">
        <v>302</v>
      </c>
      <c r="G969" s="248">
        <v>52000</v>
      </c>
      <c r="H969" s="248">
        <f t="shared" si="88"/>
        <v>1352000</v>
      </c>
      <c r="I969" s="156">
        <v>49000</v>
      </c>
      <c r="J969" s="249">
        <f t="shared" si="84"/>
        <v>3000</v>
      </c>
      <c r="K969" s="295">
        <f t="shared" si="89"/>
        <v>78000</v>
      </c>
      <c r="L969" s="296">
        <f t="shared" si="90"/>
        <v>5.7692307692307696E-2</v>
      </c>
      <c r="M969" s="208" t="s">
        <v>22</v>
      </c>
      <c r="N969" s="208" t="s">
        <v>39</v>
      </c>
    </row>
    <row r="970" spans="1:14">
      <c r="A970" s="144" t="s">
        <v>998</v>
      </c>
      <c r="B970" s="213" t="s">
        <v>4163</v>
      </c>
      <c r="C970" s="302" t="s">
        <v>590</v>
      </c>
      <c r="D970" s="292" t="s">
        <v>4165</v>
      </c>
      <c r="E970" s="303">
        <v>26</v>
      </c>
      <c r="F970" s="144" t="s">
        <v>19</v>
      </c>
      <c r="G970" s="248">
        <v>6500</v>
      </c>
      <c r="H970" s="248">
        <f t="shared" si="88"/>
        <v>169000</v>
      </c>
      <c r="I970" s="156">
        <v>6000</v>
      </c>
      <c r="J970" s="249">
        <f t="shared" si="84"/>
        <v>500</v>
      </c>
      <c r="K970" s="295">
        <f t="shared" si="89"/>
        <v>13000</v>
      </c>
      <c r="L970" s="296">
        <f t="shared" si="90"/>
        <v>7.6923076923076927E-2</v>
      </c>
      <c r="M970" s="208" t="s">
        <v>22</v>
      </c>
      <c r="N970" s="208" t="s">
        <v>39</v>
      </c>
    </row>
    <row r="971" spans="1:14">
      <c r="A971" s="144" t="s">
        <v>998</v>
      </c>
      <c r="B971" s="213" t="s">
        <v>4166</v>
      </c>
      <c r="C971" s="302" t="s">
        <v>1042</v>
      </c>
      <c r="D971" s="292" t="s">
        <v>889</v>
      </c>
      <c r="E971" s="303">
        <v>7948</v>
      </c>
      <c r="F971" s="144" t="s">
        <v>37</v>
      </c>
      <c r="G971" s="248">
        <v>357</v>
      </c>
      <c r="H971" s="248">
        <f t="shared" si="88"/>
        <v>2837436</v>
      </c>
      <c r="I971" s="156">
        <v>356.5</v>
      </c>
      <c r="J971" s="249">
        <f t="shared" si="84"/>
        <v>0.5</v>
      </c>
      <c r="K971" s="295">
        <f t="shared" si="89"/>
        <v>3974</v>
      </c>
      <c r="L971" s="296">
        <f t="shared" si="90"/>
        <v>1.4005602240896359E-3</v>
      </c>
      <c r="M971" s="208" t="s">
        <v>40</v>
      </c>
      <c r="N971" s="208" t="s">
        <v>105</v>
      </c>
    </row>
    <row r="972" spans="1:14">
      <c r="A972" s="301" t="s">
        <v>998</v>
      </c>
      <c r="B972" s="213" t="s">
        <v>4167</v>
      </c>
      <c r="C972" s="302" t="s">
        <v>1804</v>
      </c>
      <c r="D972" s="292" t="s">
        <v>4168</v>
      </c>
      <c r="E972" s="303">
        <v>1</v>
      </c>
      <c r="F972" s="144" t="s">
        <v>285</v>
      </c>
      <c r="G972" s="248">
        <v>66507.649999999994</v>
      </c>
      <c r="H972" s="248">
        <f t="shared" si="88"/>
        <v>66507.649999999994</v>
      </c>
      <c r="I972" s="156">
        <v>61522.82</v>
      </c>
      <c r="J972" s="249">
        <f t="shared" si="84"/>
        <v>4984.8299999999945</v>
      </c>
      <c r="K972" s="295">
        <f t="shared" si="89"/>
        <v>4984.8299999999945</v>
      </c>
      <c r="L972" s="296">
        <f t="shared" si="90"/>
        <v>7.4951227415192015E-2</v>
      </c>
      <c r="M972" s="208" t="s">
        <v>22</v>
      </c>
      <c r="N972" s="208" t="s">
        <v>105</v>
      </c>
    </row>
    <row r="973" spans="1:14">
      <c r="A973" s="301" t="s">
        <v>998</v>
      </c>
      <c r="B973" s="213" t="s">
        <v>4169</v>
      </c>
      <c r="C973" s="302" t="s">
        <v>4170</v>
      </c>
      <c r="D973" s="292" t="s">
        <v>4171</v>
      </c>
      <c r="E973" s="303">
        <v>2</v>
      </c>
      <c r="F973" s="144" t="s">
        <v>19</v>
      </c>
      <c r="G973" s="248">
        <v>18200</v>
      </c>
      <c r="H973" s="248">
        <f t="shared" si="88"/>
        <v>36400</v>
      </c>
      <c r="I973" s="156">
        <v>13900</v>
      </c>
      <c r="J973" s="249">
        <f t="shared" si="84"/>
        <v>4300</v>
      </c>
      <c r="K973" s="295">
        <v>13900</v>
      </c>
      <c r="L973" s="296">
        <f t="shared" si="90"/>
        <v>0.23626373626373626</v>
      </c>
      <c r="M973" s="208" t="s">
        <v>22</v>
      </c>
      <c r="N973" s="208" t="s">
        <v>105</v>
      </c>
    </row>
    <row r="974" spans="1:14">
      <c r="A974" s="301" t="s">
        <v>998</v>
      </c>
      <c r="B974" s="213" t="s">
        <v>4172</v>
      </c>
      <c r="C974" s="302" t="s">
        <v>329</v>
      </c>
      <c r="D974" s="292" t="s">
        <v>4041</v>
      </c>
      <c r="E974" s="303">
        <v>50</v>
      </c>
      <c r="F974" s="144" t="s">
        <v>1368</v>
      </c>
      <c r="G974" s="248">
        <v>1255</v>
      </c>
      <c r="H974" s="248">
        <f t="shared" si="88"/>
        <v>62750</v>
      </c>
      <c r="I974" s="156">
        <v>1250</v>
      </c>
      <c r="J974" s="249">
        <f t="shared" si="84"/>
        <v>5</v>
      </c>
      <c r="K974" s="295">
        <f t="shared" si="89"/>
        <v>250</v>
      </c>
      <c r="L974" s="296">
        <f t="shared" si="90"/>
        <v>3.9840637450199202E-3</v>
      </c>
      <c r="M974" s="208" t="s">
        <v>20</v>
      </c>
      <c r="N974" s="208" t="s">
        <v>39</v>
      </c>
    </row>
    <row r="975" spans="1:14">
      <c r="A975" s="301" t="s">
        <v>998</v>
      </c>
      <c r="B975" s="213" t="s">
        <v>4172</v>
      </c>
      <c r="C975" s="302" t="s">
        <v>329</v>
      </c>
      <c r="D975" s="292" t="s">
        <v>4042</v>
      </c>
      <c r="E975" s="303">
        <v>50</v>
      </c>
      <c r="F975" s="144" t="s">
        <v>1368</v>
      </c>
      <c r="G975" s="248">
        <v>1098</v>
      </c>
      <c r="H975" s="248">
        <f t="shared" si="88"/>
        <v>54900</v>
      </c>
      <c r="I975" s="156">
        <v>1080</v>
      </c>
      <c r="J975" s="249">
        <f t="shared" si="84"/>
        <v>18</v>
      </c>
      <c r="K975" s="295">
        <f t="shared" si="89"/>
        <v>900</v>
      </c>
      <c r="L975" s="296">
        <f t="shared" si="90"/>
        <v>1.6393442622950821E-2</v>
      </c>
      <c r="M975" s="208" t="s">
        <v>20</v>
      </c>
      <c r="N975" s="208" t="s">
        <v>39</v>
      </c>
    </row>
    <row r="976" spans="1:14">
      <c r="A976" s="301" t="s">
        <v>998</v>
      </c>
      <c r="B976" s="213" t="s">
        <v>4172</v>
      </c>
      <c r="C976" s="302" t="s">
        <v>329</v>
      </c>
      <c r="D976" s="292" t="s">
        <v>4173</v>
      </c>
      <c r="E976" s="303">
        <v>20</v>
      </c>
      <c r="F976" s="144" t="s">
        <v>1368</v>
      </c>
      <c r="G976" s="248">
        <v>950</v>
      </c>
      <c r="H976" s="248">
        <f t="shared" si="88"/>
        <v>19000</v>
      </c>
      <c r="I976" s="156">
        <v>930</v>
      </c>
      <c r="J976" s="249">
        <f t="shared" si="84"/>
        <v>20</v>
      </c>
      <c r="K976" s="295">
        <f t="shared" si="89"/>
        <v>400</v>
      </c>
      <c r="L976" s="296">
        <f t="shared" si="90"/>
        <v>2.1052631578947368E-2</v>
      </c>
      <c r="M976" s="208" t="s">
        <v>20</v>
      </c>
      <c r="N976" s="208" t="s">
        <v>39</v>
      </c>
    </row>
    <row r="977" spans="1:14">
      <c r="A977" s="301" t="s">
        <v>998</v>
      </c>
      <c r="B977" s="213" t="s">
        <v>4174</v>
      </c>
      <c r="C977" s="302" t="s">
        <v>200</v>
      </c>
      <c r="D977" s="292" t="s">
        <v>4062</v>
      </c>
      <c r="E977" s="303">
        <v>1</v>
      </c>
      <c r="F977" s="144" t="s">
        <v>302</v>
      </c>
      <c r="G977" s="248">
        <v>26500</v>
      </c>
      <c r="H977" s="248">
        <f t="shared" si="88"/>
        <v>26500</v>
      </c>
      <c r="I977" s="156">
        <v>25500</v>
      </c>
      <c r="J977" s="249">
        <f t="shared" si="84"/>
        <v>1000</v>
      </c>
      <c r="K977" s="295">
        <f t="shared" si="89"/>
        <v>1000</v>
      </c>
      <c r="L977" s="296">
        <f t="shared" si="90"/>
        <v>3.7735849056603772E-2</v>
      </c>
      <c r="M977" s="208" t="s">
        <v>20</v>
      </c>
      <c r="N977" s="208" t="s">
        <v>39</v>
      </c>
    </row>
    <row r="978" spans="1:14">
      <c r="A978" s="301" t="s">
        <v>998</v>
      </c>
      <c r="B978" s="213" t="s">
        <v>4175</v>
      </c>
      <c r="C978" s="302" t="s">
        <v>345</v>
      </c>
      <c r="D978" s="292" t="s">
        <v>4176</v>
      </c>
      <c r="E978" s="303">
        <v>1</v>
      </c>
      <c r="F978" s="144" t="s">
        <v>302</v>
      </c>
      <c r="G978" s="248">
        <v>1237500</v>
      </c>
      <c r="H978" s="248">
        <f>G978*E978</f>
        <v>1237500</v>
      </c>
      <c r="I978" s="156">
        <v>1220000</v>
      </c>
      <c r="J978" s="249">
        <f t="shared" si="84"/>
        <v>17500</v>
      </c>
      <c r="K978" s="295">
        <f t="shared" si="89"/>
        <v>17500</v>
      </c>
      <c r="L978" s="296">
        <f t="shared" si="90"/>
        <v>1.4141414141414142E-2</v>
      </c>
      <c r="M978" s="208" t="s">
        <v>40</v>
      </c>
      <c r="N978" s="208" t="s">
        <v>4066</v>
      </c>
    </row>
    <row r="979" spans="1:14">
      <c r="A979" s="301" t="s">
        <v>998</v>
      </c>
      <c r="B979" s="213" t="s">
        <v>4175</v>
      </c>
      <c r="C979" s="302" t="s">
        <v>345</v>
      </c>
      <c r="D979" s="292" t="s">
        <v>4177</v>
      </c>
      <c r="E979" s="303">
        <v>1</v>
      </c>
      <c r="F979" s="144" t="s">
        <v>302</v>
      </c>
      <c r="G979" s="248">
        <v>3008000</v>
      </c>
      <c r="H979" s="248">
        <f t="shared" si="88"/>
        <v>3008000</v>
      </c>
      <c r="I979" s="156">
        <v>2970000</v>
      </c>
      <c r="J979" s="249">
        <f t="shared" si="84"/>
        <v>38000</v>
      </c>
      <c r="K979" s="295">
        <f t="shared" si="89"/>
        <v>38000</v>
      </c>
      <c r="L979" s="296">
        <f t="shared" si="90"/>
        <v>1.2632978723404254E-2</v>
      </c>
      <c r="M979" s="208" t="s">
        <v>40</v>
      </c>
      <c r="N979" s="208" t="s">
        <v>4066</v>
      </c>
    </row>
    <row r="980" spans="1:14" s="305" customFormat="1">
      <c r="A980" s="301" t="s">
        <v>998</v>
      </c>
      <c r="B980" s="213" t="s">
        <v>4178</v>
      </c>
      <c r="C980" s="302" t="s">
        <v>4179</v>
      </c>
      <c r="D980" s="292" t="s">
        <v>4180</v>
      </c>
      <c r="E980" s="303">
        <v>1</v>
      </c>
      <c r="F980" s="144" t="s">
        <v>285</v>
      </c>
      <c r="G980" s="248">
        <v>1333169.6000000001</v>
      </c>
      <c r="H980" s="248">
        <f t="shared" si="88"/>
        <v>1333169.6000000001</v>
      </c>
      <c r="I980" s="156">
        <v>1300000</v>
      </c>
      <c r="J980" s="249">
        <f t="shared" si="84"/>
        <v>33169.600000000093</v>
      </c>
      <c r="K980" s="295">
        <f t="shared" si="89"/>
        <v>33169.600000000093</v>
      </c>
      <c r="L980" s="296">
        <f t="shared" si="90"/>
        <v>2.4880255295350338E-2</v>
      </c>
      <c r="M980" s="208" t="s">
        <v>40</v>
      </c>
      <c r="N980" s="208" t="s">
        <v>4066</v>
      </c>
    </row>
    <row r="981" spans="1:14">
      <c r="A981" s="301" t="s">
        <v>998</v>
      </c>
      <c r="B981" s="213" t="s">
        <v>4181</v>
      </c>
      <c r="C981" s="302" t="s">
        <v>1948</v>
      </c>
      <c r="D981" s="292" t="s">
        <v>4182</v>
      </c>
      <c r="E981" s="303">
        <v>1</v>
      </c>
      <c r="F981" s="144" t="s">
        <v>19</v>
      </c>
      <c r="G981" s="248">
        <v>6344</v>
      </c>
      <c r="H981" s="248">
        <f t="shared" si="88"/>
        <v>6344</v>
      </c>
      <c r="I981" s="156">
        <v>6026.8</v>
      </c>
      <c r="J981" s="249">
        <f t="shared" si="84"/>
        <v>317.19999999999982</v>
      </c>
      <c r="K981" s="295">
        <f t="shared" si="89"/>
        <v>317.19999999999982</v>
      </c>
      <c r="L981" s="296">
        <f t="shared" si="90"/>
        <v>4.9999999999999968E-2</v>
      </c>
      <c r="M981" s="208" t="s">
        <v>22</v>
      </c>
      <c r="N981" s="208" t="s">
        <v>4066</v>
      </c>
    </row>
    <row r="982" spans="1:14">
      <c r="A982" s="301" t="s">
        <v>998</v>
      </c>
      <c r="B982" s="213" t="s">
        <v>4181</v>
      </c>
      <c r="C982" s="302" t="s">
        <v>1948</v>
      </c>
      <c r="D982" s="292" t="s">
        <v>4183</v>
      </c>
      <c r="E982" s="303">
        <v>1</v>
      </c>
      <c r="F982" s="144" t="s">
        <v>19</v>
      </c>
      <c r="G982" s="248">
        <v>1075.05</v>
      </c>
      <c r="H982" s="248">
        <f t="shared" si="88"/>
        <v>1075.05</v>
      </c>
      <c r="I982" s="156">
        <v>1040</v>
      </c>
      <c r="J982" s="249">
        <f t="shared" si="84"/>
        <v>35.049999999999955</v>
      </c>
      <c r="K982" s="295">
        <f t="shared" si="89"/>
        <v>35.049999999999955</v>
      </c>
      <c r="L982" s="296">
        <f t="shared" si="90"/>
        <v>3.2603134737919127E-2</v>
      </c>
      <c r="M982" s="208" t="s">
        <v>22</v>
      </c>
      <c r="N982" s="208" t="s">
        <v>4066</v>
      </c>
    </row>
    <row r="983" spans="1:14">
      <c r="A983" s="301" t="s">
        <v>998</v>
      </c>
      <c r="B983" s="213" t="s">
        <v>4184</v>
      </c>
      <c r="C983" s="302" t="s">
        <v>118</v>
      </c>
      <c r="D983" s="292" t="s">
        <v>4185</v>
      </c>
      <c r="E983" s="303">
        <v>1</v>
      </c>
      <c r="F983" s="144" t="s">
        <v>19</v>
      </c>
      <c r="G983" s="248">
        <v>29000</v>
      </c>
      <c r="H983" s="248">
        <f t="shared" si="88"/>
        <v>29000</v>
      </c>
      <c r="I983" s="156">
        <v>28500</v>
      </c>
      <c r="J983" s="249">
        <f t="shared" si="84"/>
        <v>500</v>
      </c>
      <c r="K983" s="295">
        <f t="shared" si="89"/>
        <v>500</v>
      </c>
      <c r="L983" s="296">
        <f t="shared" si="90"/>
        <v>1.7241379310344827E-2</v>
      </c>
      <c r="M983" s="208" t="s">
        <v>22</v>
      </c>
      <c r="N983" s="208" t="s">
        <v>4066</v>
      </c>
    </row>
    <row r="984" spans="1:14">
      <c r="A984" s="301" t="s">
        <v>998</v>
      </c>
      <c r="B984" s="213" t="s">
        <v>4186</v>
      </c>
      <c r="C984" s="302" t="s">
        <v>89</v>
      </c>
      <c r="D984" s="292" t="s">
        <v>4187</v>
      </c>
      <c r="E984" s="303">
        <v>3</v>
      </c>
      <c r="F984" s="144" t="s">
        <v>19</v>
      </c>
      <c r="G984" s="248">
        <v>9080</v>
      </c>
      <c r="H984" s="248">
        <f t="shared" si="88"/>
        <v>27240</v>
      </c>
      <c r="I984" s="156">
        <v>8172</v>
      </c>
      <c r="J984" s="249">
        <f t="shared" si="84"/>
        <v>908</v>
      </c>
      <c r="K984" s="295">
        <f t="shared" si="89"/>
        <v>2724</v>
      </c>
      <c r="L984" s="296">
        <f t="shared" si="90"/>
        <v>0.1</v>
      </c>
      <c r="M984" s="208" t="s">
        <v>40</v>
      </c>
      <c r="N984" s="208" t="s">
        <v>4066</v>
      </c>
    </row>
    <row r="985" spans="1:14">
      <c r="A985" s="301" t="s">
        <v>998</v>
      </c>
      <c r="B985" s="213" t="s">
        <v>4188</v>
      </c>
      <c r="C985" s="302" t="s">
        <v>4179</v>
      </c>
      <c r="D985" s="292" t="s">
        <v>4189</v>
      </c>
      <c r="E985" s="303">
        <v>1</v>
      </c>
      <c r="F985" s="144" t="s">
        <v>285</v>
      </c>
      <c r="G985" s="248">
        <v>950000</v>
      </c>
      <c r="H985" s="248">
        <f t="shared" si="88"/>
        <v>950000</v>
      </c>
      <c r="I985" s="156">
        <v>946635.42</v>
      </c>
      <c r="J985" s="249">
        <f t="shared" si="84"/>
        <v>3364.5799999999581</v>
      </c>
      <c r="K985" s="295">
        <f t="shared" si="89"/>
        <v>3364.5799999999581</v>
      </c>
      <c r="L985" s="296">
        <f t="shared" si="90"/>
        <v>3.5416631578946926E-3</v>
      </c>
      <c r="M985" s="208" t="s">
        <v>30</v>
      </c>
      <c r="N985" s="208" t="s">
        <v>4066</v>
      </c>
    </row>
    <row r="986" spans="1:14">
      <c r="A986" s="301" t="s">
        <v>998</v>
      </c>
      <c r="B986" s="213" t="s">
        <v>4190</v>
      </c>
      <c r="C986" s="302" t="s">
        <v>4191</v>
      </c>
      <c r="D986" s="338" t="s">
        <v>4192</v>
      </c>
      <c r="E986" s="303">
        <v>1</v>
      </c>
      <c r="F986" s="144" t="s">
        <v>285</v>
      </c>
      <c r="G986" s="248">
        <v>82600</v>
      </c>
      <c r="H986" s="248">
        <f t="shared" si="88"/>
        <v>82600</v>
      </c>
      <c r="I986" s="156">
        <v>80000</v>
      </c>
      <c r="J986" s="249">
        <f t="shared" si="84"/>
        <v>2600</v>
      </c>
      <c r="K986" s="295">
        <f t="shared" si="89"/>
        <v>2600</v>
      </c>
      <c r="L986" s="296">
        <f t="shared" si="90"/>
        <v>3.1476997578692496E-2</v>
      </c>
      <c r="M986" s="208" t="s">
        <v>22</v>
      </c>
      <c r="N986" s="208" t="s">
        <v>4066</v>
      </c>
    </row>
    <row r="987" spans="1:14">
      <c r="A987" s="301" t="s">
        <v>998</v>
      </c>
      <c r="B987" s="213" t="s">
        <v>4193</v>
      </c>
      <c r="C987" s="302" t="s">
        <v>2294</v>
      </c>
      <c r="D987" s="292" t="s">
        <v>4194</v>
      </c>
      <c r="E987" s="303">
        <v>1</v>
      </c>
      <c r="F987" s="144" t="s">
        <v>285</v>
      </c>
      <c r="G987" s="248">
        <v>141139.5</v>
      </c>
      <c r="H987" s="248">
        <f t="shared" si="88"/>
        <v>141139.5</v>
      </c>
      <c r="I987" s="156">
        <v>138000</v>
      </c>
      <c r="J987" s="249">
        <f t="shared" si="84"/>
        <v>3139.5</v>
      </c>
      <c r="K987" s="295">
        <f t="shared" si="89"/>
        <v>3139.5</v>
      </c>
      <c r="L987" s="296">
        <f t="shared" si="90"/>
        <v>2.2243950134441456E-2</v>
      </c>
      <c r="M987" s="208" t="s">
        <v>22</v>
      </c>
      <c r="N987" s="208" t="s">
        <v>4066</v>
      </c>
    </row>
    <row r="988" spans="1:14">
      <c r="A988" s="301" t="s">
        <v>998</v>
      </c>
      <c r="B988" s="213" t="s">
        <v>4195</v>
      </c>
      <c r="C988" s="302" t="s">
        <v>2294</v>
      </c>
      <c r="D988" s="292" t="s">
        <v>4196</v>
      </c>
      <c r="E988" s="303">
        <v>1</v>
      </c>
      <c r="F988" s="144" t="s">
        <v>285</v>
      </c>
      <c r="G988" s="248">
        <v>43125</v>
      </c>
      <c r="H988" s="248">
        <f t="shared" si="88"/>
        <v>43125</v>
      </c>
      <c r="I988" s="156">
        <v>42000</v>
      </c>
      <c r="J988" s="249">
        <f t="shared" si="84"/>
        <v>1125</v>
      </c>
      <c r="K988" s="295">
        <f t="shared" si="89"/>
        <v>1125</v>
      </c>
      <c r="L988" s="296">
        <f t="shared" si="90"/>
        <v>2.6086956521739129E-2</v>
      </c>
      <c r="M988" s="208" t="s">
        <v>40</v>
      </c>
      <c r="N988" s="208" t="s">
        <v>4066</v>
      </c>
    </row>
    <row r="989" spans="1:14">
      <c r="A989" s="301" t="s">
        <v>998</v>
      </c>
      <c r="B989" s="213" t="s">
        <v>4197</v>
      </c>
      <c r="C989" s="302" t="s">
        <v>1948</v>
      </c>
      <c r="D989" s="292" t="s">
        <v>4198</v>
      </c>
      <c r="E989" s="303">
        <v>2</v>
      </c>
      <c r="F989" s="144" t="s">
        <v>19</v>
      </c>
      <c r="G989" s="248">
        <v>1730</v>
      </c>
      <c r="H989" s="248">
        <f t="shared" si="88"/>
        <v>3460</v>
      </c>
      <c r="I989" s="156">
        <v>1643.5</v>
      </c>
      <c r="J989" s="249">
        <f t="shared" si="84"/>
        <v>86.5</v>
      </c>
      <c r="K989" s="295">
        <f t="shared" si="89"/>
        <v>173</v>
      </c>
      <c r="L989" s="296">
        <f t="shared" si="90"/>
        <v>0.05</v>
      </c>
      <c r="M989" s="208" t="s">
        <v>22</v>
      </c>
      <c r="N989" s="208" t="s">
        <v>4066</v>
      </c>
    </row>
    <row r="990" spans="1:14">
      <c r="A990" s="301" t="s">
        <v>998</v>
      </c>
      <c r="B990" s="213" t="s">
        <v>4199</v>
      </c>
      <c r="C990" s="302" t="s">
        <v>345</v>
      </c>
      <c r="D990" s="292" t="s">
        <v>4200</v>
      </c>
      <c r="E990" s="303">
        <v>1</v>
      </c>
      <c r="F990" s="144" t="s">
        <v>302</v>
      </c>
      <c r="G990" s="248">
        <v>1323500</v>
      </c>
      <c r="H990" s="248">
        <f t="shared" si="88"/>
        <v>1323500</v>
      </c>
      <c r="I990" s="156">
        <v>1290000</v>
      </c>
      <c r="J990" s="249">
        <f t="shared" si="84"/>
        <v>33500</v>
      </c>
      <c r="K990" s="295">
        <f t="shared" si="89"/>
        <v>33500</v>
      </c>
      <c r="L990" s="296">
        <f t="shared" si="90"/>
        <v>2.5311673592746504E-2</v>
      </c>
      <c r="M990" s="208" t="s">
        <v>40</v>
      </c>
      <c r="N990" s="208" t="s">
        <v>4066</v>
      </c>
    </row>
    <row r="991" spans="1:14">
      <c r="A991" s="301" t="s">
        <v>998</v>
      </c>
      <c r="B991" s="213" t="s">
        <v>4201</v>
      </c>
      <c r="C991" s="302" t="s">
        <v>1461</v>
      </c>
      <c r="D991" s="292" t="s">
        <v>4202</v>
      </c>
      <c r="E991" s="303">
        <v>1</v>
      </c>
      <c r="F991" s="144" t="s">
        <v>285</v>
      </c>
      <c r="G991" s="248">
        <v>502200</v>
      </c>
      <c r="H991" s="248">
        <f t="shared" si="88"/>
        <v>502200</v>
      </c>
      <c r="I991" s="156">
        <v>450000</v>
      </c>
      <c r="J991" s="249">
        <f t="shared" si="84"/>
        <v>52200</v>
      </c>
      <c r="K991" s="295">
        <f t="shared" si="89"/>
        <v>52200</v>
      </c>
      <c r="L991" s="296">
        <f t="shared" si="90"/>
        <v>0.1039426523297491</v>
      </c>
      <c r="M991" s="208" t="s">
        <v>22</v>
      </c>
      <c r="N991" s="208" t="s">
        <v>4066</v>
      </c>
    </row>
    <row r="992" spans="1:14">
      <c r="A992" s="301" t="s">
        <v>998</v>
      </c>
      <c r="B992" s="213" t="s">
        <v>4203</v>
      </c>
      <c r="C992" s="302" t="s">
        <v>1390</v>
      </c>
      <c r="D992" s="292" t="s">
        <v>4204</v>
      </c>
      <c r="E992" s="303">
        <v>1</v>
      </c>
      <c r="F992" s="144" t="s">
        <v>19</v>
      </c>
      <c r="G992" s="248">
        <v>4663.55</v>
      </c>
      <c r="H992" s="248">
        <f t="shared" si="88"/>
        <v>4663.55</v>
      </c>
      <c r="I992" s="156">
        <v>4523.6400000000003</v>
      </c>
      <c r="J992" s="249">
        <f t="shared" si="84"/>
        <v>139.90999999999985</v>
      </c>
      <c r="K992" s="295">
        <f t="shared" si="89"/>
        <v>139.90999999999985</v>
      </c>
      <c r="L992" s="296">
        <f t="shared" si="90"/>
        <v>3.0000750501227573E-2</v>
      </c>
      <c r="M992" s="208" t="s">
        <v>40</v>
      </c>
      <c r="N992" s="208" t="s">
        <v>4066</v>
      </c>
    </row>
    <row r="993" spans="1:14">
      <c r="A993" s="301" t="s">
        <v>998</v>
      </c>
      <c r="B993" s="213" t="s">
        <v>4205</v>
      </c>
      <c r="C993" s="302" t="s">
        <v>946</v>
      </c>
      <c r="D993" s="292" t="s">
        <v>4206</v>
      </c>
      <c r="E993" s="303">
        <v>8000</v>
      </c>
      <c r="F993" s="144" t="s">
        <v>615</v>
      </c>
      <c r="G993" s="248">
        <v>22.5</v>
      </c>
      <c r="H993" s="248">
        <f t="shared" si="88"/>
        <v>180000</v>
      </c>
      <c r="I993" s="156">
        <v>20.93</v>
      </c>
      <c r="J993" s="249">
        <f t="shared" si="84"/>
        <v>1.5700000000000003</v>
      </c>
      <c r="K993" s="295">
        <f t="shared" si="89"/>
        <v>12560.000000000002</v>
      </c>
      <c r="L993" s="296">
        <f t="shared" si="90"/>
        <v>6.9777777777777786E-2</v>
      </c>
      <c r="M993" s="208" t="s">
        <v>40</v>
      </c>
      <c r="N993" s="208" t="s">
        <v>4066</v>
      </c>
    </row>
    <row r="994" spans="1:14">
      <c r="A994" s="301" t="s">
        <v>998</v>
      </c>
      <c r="B994" s="213" t="s">
        <v>4207</v>
      </c>
      <c r="C994" s="302" t="s">
        <v>398</v>
      </c>
      <c r="D994" s="292" t="s">
        <v>4208</v>
      </c>
      <c r="E994" s="303">
        <v>1</v>
      </c>
      <c r="F994" s="144" t="s">
        <v>285</v>
      </c>
      <c r="G994" s="248">
        <v>432500</v>
      </c>
      <c r="H994" s="248">
        <f t="shared" si="88"/>
        <v>432500</v>
      </c>
      <c r="I994" s="156">
        <v>420000</v>
      </c>
      <c r="J994" s="249">
        <f t="shared" si="84"/>
        <v>12500</v>
      </c>
      <c r="K994" s="295">
        <f t="shared" si="89"/>
        <v>12500</v>
      </c>
      <c r="L994" s="296">
        <f t="shared" si="90"/>
        <v>2.8901734104046242E-2</v>
      </c>
      <c r="M994" s="208" t="s">
        <v>40</v>
      </c>
      <c r="N994" s="208" t="s">
        <v>4066</v>
      </c>
    </row>
    <row r="995" spans="1:14">
      <c r="A995" s="301" t="s">
        <v>998</v>
      </c>
      <c r="B995" s="213" t="s">
        <v>4209</v>
      </c>
      <c r="C995" s="302" t="s">
        <v>57</v>
      </c>
      <c r="D995" s="292" t="s">
        <v>4210</v>
      </c>
      <c r="E995" s="303">
        <v>1</v>
      </c>
      <c r="F995" s="144" t="s">
        <v>285</v>
      </c>
      <c r="G995" s="248">
        <v>500770</v>
      </c>
      <c r="H995" s="248">
        <f t="shared" si="88"/>
        <v>500770</v>
      </c>
      <c r="I995" s="156">
        <v>489250</v>
      </c>
      <c r="J995" s="249">
        <f t="shared" si="84"/>
        <v>11520</v>
      </c>
      <c r="K995" s="295">
        <f t="shared" si="89"/>
        <v>11520</v>
      </c>
      <c r="L995" s="296">
        <f t="shared" si="90"/>
        <v>2.3004572957645228E-2</v>
      </c>
      <c r="M995" s="208" t="s">
        <v>40</v>
      </c>
      <c r="N995" s="208" t="s">
        <v>4066</v>
      </c>
    </row>
    <row r="996" spans="1:14">
      <c r="A996" s="301" t="s">
        <v>998</v>
      </c>
      <c r="B996" s="213" t="s">
        <v>4211</v>
      </c>
      <c r="C996" s="302" t="s">
        <v>118</v>
      </c>
      <c r="D996" s="292" t="s">
        <v>4212</v>
      </c>
      <c r="E996" s="303">
        <v>1</v>
      </c>
      <c r="F996" s="144" t="s">
        <v>302</v>
      </c>
      <c r="G996" s="248">
        <v>3498</v>
      </c>
      <c r="H996" s="248">
        <f t="shared" si="88"/>
        <v>3498</v>
      </c>
      <c r="I996" s="156">
        <v>2623.5</v>
      </c>
      <c r="J996" s="249">
        <f t="shared" si="84"/>
        <v>874.5</v>
      </c>
      <c r="K996" s="295">
        <f t="shared" si="89"/>
        <v>874.5</v>
      </c>
      <c r="L996" s="296">
        <f t="shared" si="90"/>
        <v>0.25</v>
      </c>
      <c r="M996" s="208" t="s">
        <v>22</v>
      </c>
      <c r="N996" s="208" t="s">
        <v>4066</v>
      </c>
    </row>
    <row r="997" spans="1:14">
      <c r="A997" s="301" t="s">
        <v>998</v>
      </c>
      <c r="B997" s="213" t="s">
        <v>4213</v>
      </c>
      <c r="C997" s="302" t="s">
        <v>4214</v>
      </c>
      <c r="D997" s="292" t="s">
        <v>4215</v>
      </c>
      <c r="E997" s="303">
        <v>2</v>
      </c>
      <c r="F997" s="144" t="s">
        <v>19</v>
      </c>
      <c r="G997" s="248">
        <v>25000</v>
      </c>
      <c r="H997" s="248">
        <f t="shared" si="88"/>
        <v>50000</v>
      </c>
      <c r="I997" s="156">
        <v>23750</v>
      </c>
      <c r="J997" s="249">
        <f t="shared" si="84"/>
        <v>1250</v>
      </c>
      <c r="K997" s="295">
        <f t="shared" si="89"/>
        <v>2500</v>
      </c>
      <c r="L997" s="296">
        <f t="shared" si="90"/>
        <v>0.05</v>
      </c>
      <c r="M997" s="208" t="s">
        <v>40</v>
      </c>
      <c r="N997" s="208" t="s">
        <v>4066</v>
      </c>
    </row>
    <row r="998" spans="1:14">
      <c r="A998" s="301" t="s">
        <v>998</v>
      </c>
      <c r="B998" s="213" t="s">
        <v>4216</v>
      </c>
      <c r="C998" s="302" t="s">
        <v>2934</v>
      </c>
      <c r="D998" s="292" t="s">
        <v>4217</v>
      </c>
      <c r="E998" s="303">
        <v>1</v>
      </c>
      <c r="F998" s="144" t="s">
        <v>302</v>
      </c>
      <c r="G998" s="248">
        <v>35450</v>
      </c>
      <c r="H998" s="248">
        <f t="shared" si="88"/>
        <v>35450</v>
      </c>
      <c r="I998" s="156">
        <v>33000</v>
      </c>
      <c r="J998" s="249">
        <f t="shared" si="84"/>
        <v>2450</v>
      </c>
      <c r="K998" s="295">
        <f t="shared" si="89"/>
        <v>2450</v>
      </c>
      <c r="L998" s="296">
        <f t="shared" si="90"/>
        <v>6.9111424541607902E-2</v>
      </c>
      <c r="M998" s="208" t="s">
        <v>40</v>
      </c>
      <c r="N998" s="208" t="s">
        <v>4066</v>
      </c>
    </row>
    <row r="999" spans="1:14">
      <c r="A999" s="301" t="s">
        <v>998</v>
      </c>
      <c r="B999" s="213" t="s">
        <v>4218</v>
      </c>
      <c r="C999" s="302" t="s">
        <v>118</v>
      </c>
      <c r="D999" s="339" t="s">
        <v>4219</v>
      </c>
      <c r="E999" s="340">
        <v>1</v>
      </c>
      <c r="F999" s="144" t="s">
        <v>302</v>
      </c>
      <c r="G999" s="248">
        <v>16750</v>
      </c>
      <c r="H999" s="248">
        <f t="shared" si="88"/>
        <v>16750</v>
      </c>
      <c r="I999" s="156">
        <v>11725</v>
      </c>
      <c r="J999" s="249">
        <f t="shared" si="84"/>
        <v>5025</v>
      </c>
      <c r="K999" s="295">
        <f t="shared" si="89"/>
        <v>5025</v>
      </c>
      <c r="L999" s="296">
        <f t="shared" si="90"/>
        <v>0.3</v>
      </c>
      <c r="M999" s="208" t="s">
        <v>22</v>
      </c>
      <c r="N999" s="208" t="s">
        <v>4066</v>
      </c>
    </row>
    <row r="1000" spans="1:14">
      <c r="A1000" s="301" t="s">
        <v>998</v>
      </c>
      <c r="B1000" s="213" t="s">
        <v>4220</v>
      </c>
      <c r="C1000" s="302" t="s">
        <v>57</v>
      </c>
      <c r="D1000" s="339" t="s">
        <v>4221</v>
      </c>
      <c r="E1000" s="340">
        <v>1</v>
      </c>
      <c r="F1000" s="144" t="s">
        <v>285</v>
      </c>
      <c r="G1000" s="248">
        <v>693710</v>
      </c>
      <c r="H1000" s="248">
        <f t="shared" si="88"/>
        <v>693710</v>
      </c>
      <c r="I1000" s="156">
        <v>687210</v>
      </c>
      <c r="J1000" s="249">
        <f t="shared" ref="J1000:J1031" si="91">G1000-I1000</f>
        <v>6500</v>
      </c>
      <c r="K1000" s="295">
        <f t="shared" si="89"/>
        <v>6500</v>
      </c>
      <c r="L1000" s="296">
        <f t="shared" si="90"/>
        <v>9.3699096164103161E-3</v>
      </c>
      <c r="M1000" s="208" t="s">
        <v>40</v>
      </c>
      <c r="N1000" s="208" t="s">
        <v>4066</v>
      </c>
    </row>
    <row r="1001" spans="1:14">
      <c r="A1001" s="301" t="s">
        <v>998</v>
      </c>
      <c r="B1001" s="213" t="s">
        <v>4222</v>
      </c>
      <c r="C1001" s="302" t="s">
        <v>57</v>
      </c>
      <c r="D1001" s="339" t="s">
        <v>4223</v>
      </c>
      <c r="E1001" s="340">
        <v>1</v>
      </c>
      <c r="F1001" s="144" t="s">
        <v>285</v>
      </c>
      <c r="G1001" s="248">
        <v>426650</v>
      </c>
      <c r="H1001" s="248">
        <f t="shared" si="88"/>
        <v>426650</v>
      </c>
      <c r="I1001" s="156">
        <v>421650</v>
      </c>
      <c r="J1001" s="249">
        <f t="shared" si="91"/>
        <v>5000</v>
      </c>
      <c r="K1001" s="295">
        <f t="shared" si="89"/>
        <v>5000</v>
      </c>
      <c r="L1001" s="296">
        <f t="shared" si="90"/>
        <v>1.1719207781553966E-2</v>
      </c>
      <c r="M1001" s="208" t="s">
        <v>40</v>
      </c>
      <c r="N1001" s="208" t="s">
        <v>4066</v>
      </c>
    </row>
    <row r="1002" spans="1:14">
      <c r="A1002" s="301" t="s">
        <v>998</v>
      </c>
      <c r="B1002" s="213" t="s">
        <v>4224</v>
      </c>
      <c r="C1002" s="302" t="s">
        <v>345</v>
      </c>
      <c r="D1002" s="339" t="s">
        <v>4225</v>
      </c>
      <c r="E1002" s="340">
        <v>1</v>
      </c>
      <c r="F1002" s="144" t="s">
        <v>285</v>
      </c>
      <c r="G1002" s="248">
        <v>114490</v>
      </c>
      <c r="H1002" s="248">
        <f t="shared" si="88"/>
        <v>114490</v>
      </c>
      <c r="I1002" s="156">
        <v>109000</v>
      </c>
      <c r="J1002" s="249">
        <f t="shared" si="91"/>
        <v>5490</v>
      </c>
      <c r="K1002" s="295">
        <f t="shared" si="89"/>
        <v>5490</v>
      </c>
      <c r="L1002" s="296">
        <f t="shared" si="90"/>
        <v>4.7951786182199321E-2</v>
      </c>
      <c r="M1002" s="208" t="s">
        <v>40</v>
      </c>
      <c r="N1002" s="208" t="s">
        <v>4066</v>
      </c>
    </row>
    <row r="1003" spans="1:14">
      <c r="A1003" s="301" t="s">
        <v>998</v>
      </c>
      <c r="B1003" s="213" t="s">
        <v>4226</v>
      </c>
      <c r="C1003" s="302" t="s">
        <v>1353</v>
      </c>
      <c r="D1003" s="339" t="s">
        <v>4227</v>
      </c>
      <c r="E1003" s="340">
        <v>4</v>
      </c>
      <c r="F1003" s="144" t="s">
        <v>19</v>
      </c>
      <c r="G1003" s="248">
        <v>3000</v>
      </c>
      <c r="H1003" s="248">
        <f t="shared" si="88"/>
        <v>12000</v>
      </c>
      <c r="I1003" s="156">
        <v>2700</v>
      </c>
      <c r="J1003" s="249">
        <f t="shared" si="91"/>
        <v>300</v>
      </c>
      <c r="K1003" s="295">
        <f t="shared" si="89"/>
        <v>1200</v>
      </c>
      <c r="L1003" s="296">
        <f t="shared" si="90"/>
        <v>0.1</v>
      </c>
      <c r="M1003" s="208" t="s">
        <v>40</v>
      </c>
      <c r="N1003" s="208" t="s">
        <v>4066</v>
      </c>
    </row>
    <row r="1004" spans="1:14">
      <c r="A1004" s="301" t="s">
        <v>998</v>
      </c>
      <c r="B1004" s="213" t="s">
        <v>4228</v>
      </c>
      <c r="C1004" s="302" t="s">
        <v>1948</v>
      </c>
      <c r="D1004" s="339" t="s">
        <v>4229</v>
      </c>
      <c r="E1004" s="340">
        <v>5</v>
      </c>
      <c r="F1004" s="144" t="s">
        <v>19</v>
      </c>
      <c r="G1004" s="248">
        <v>1730</v>
      </c>
      <c r="H1004" s="248">
        <f t="shared" si="88"/>
        <v>8650</v>
      </c>
      <c r="I1004" s="156">
        <v>1643.5</v>
      </c>
      <c r="J1004" s="249">
        <f t="shared" si="91"/>
        <v>86.5</v>
      </c>
      <c r="K1004" s="295">
        <f t="shared" si="89"/>
        <v>432.5</v>
      </c>
      <c r="L1004" s="296">
        <f t="shared" si="90"/>
        <v>0.05</v>
      </c>
      <c r="M1004" s="208" t="s">
        <v>22</v>
      </c>
      <c r="N1004" s="208" t="s">
        <v>4066</v>
      </c>
    </row>
    <row r="1005" spans="1:14">
      <c r="A1005" s="301" t="s">
        <v>998</v>
      </c>
      <c r="B1005" s="213" t="s">
        <v>4230</v>
      </c>
      <c r="C1005" s="302" t="s">
        <v>4231</v>
      </c>
      <c r="D1005" s="339" t="s">
        <v>4232</v>
      </c>
      <c r="E1005" s="340">
        <v>1</v>
      </c>
      <c r="F1005" s="144" t="s">
        <v>285</v>
      </c>
      <c r="G1005" s="248">
        <v>891216</v>
      </c>
      <c r="H1005" s="248">
        <f t="shared" si="88"/>
        <v>891216</v>
      </c>
      <c r="I1005" s="156">
        <v>888655</v>
      </c>
      <c r="J1005" s="249">
        <f t="shared" si="91"/>
        <v>2561</v>
      </c>
      <c r="K1005" s="295">
        <f t="shared" si="89"/>
        <v>2561</v>
      </c>
      <c r="L1005" s="296">
        <f t="shared" si="90"/>
        <v>2.8736019101990988E-3</v>
      </c>
      <c r="M1005" s="208" t="s">
        <v>22</v>
      </c>
      <c r="N1005" s="208" t="s">
        <v>4066</v>
      </c>
    </row>
    <row r="1006" spans="1:14">
      <c r="A1006" s="301" t="s">
        <v>998</v>
      </c>
      <c r="B1006" s="213" t="s">
        <v>4233</v>
      </c>
      <c r="C1006" s="302" t="s">
        <v>1948</v>
      </c>
      <c r="D1006" s="339" t="s">
        <v>4183</v>
      </c>
      <c r="E1006" s="340">
        <v>1</v>
      </c>
      <c r="F1006" s="144" t="s">
        <v>19</v>
      </c>
      <c r="G1006" s="248">
        <v>1075.05</v>
      </c>
      <c r="H1006" s="248">
        <f t="shared" si="88"/>
        <v>1075.05</v>
      </c>
      <c r="I1006" s="156">
        <v>1040</v>
      </c>
      <c r="J1006" s="249">
        <f t="shared" si="91"/>
        <v>35.049999999999955</v>
      </c>
      <c r="K1006" s="295">
        <f t="shared" si="89"/>
        <v>35.049999999999955</v>
      </c>
      <c r="L1006" s="296">
        <f t="shared" si="90"/>
        <v>3.2603134737919127E-2</v>
      </c>
      <c r="M1006" s="208" t="s">
        <v>22</v>
      </c>
      <c r="N1006" s="208" t="s">
        <v>4066</v>
      </c>
    </row>
    <row r="1007" spans="1:14">
      <c r="A1007" s="301" t="s">
        <v>998</v>
      </c>
      <c r="B1007" s="213" t="s">
        <v>4234</v>
      </c>
      <c r="C1007" s="302" t="s">
        <v>57</v>
      </c>
      <c r="D1007" s="339" t="s">
        <v>4235</v>
      </c>
      <c r="E1007" s="340">
        <v>1</v>
      </c>
      <c r="F1007" s="144" t="s">
        <v>285</v>
      </c>
      <c r="G1007" s="248">
        <v>11000</v>
      </c>
      <c r="H1007" s="248">
        <f t="shared" si="88"/>
        <v>11000</v>
      </c>
      <c r="I1007" s="156">
        <v>10000</v>
      </c>
      <c r="J1007" s="249">
        <f t="shared" si="91"/>
        <v>1000</v>
      </c>
      <c r="K1007" s="295">
        <f t="shared" si="89"/>
        <v>1000</v>
      </c>
      <c r="L1007" s="296">
        <f t="shared" si="90"/>
        <v>9.0909090909090912E-2</v>
      </c>
      <c r="M1007" s="208" t="s">
        <v>22</v>
      </c>
      <c r="N1007" s="208" t="s">
        <v>4066</v>
      </c>
    </row>
    <row r="1008" spans="1:14">
      <c r="A1008" s="301" t="s">
        <v>998</v>
      </c>
      <c r="B1008" s="213" t="s">
        <v>4236</v>
      </c>
      <c r="C1008" s="302" t="s">
        <v>398</v>
      </c>
      <c r="D1008" s="339" t="s">
        <v>4237</v>
      </c>
      <c r="E1008" s="340">
        <v>1</v>
      </c>
      <c r="F1008" s="144" t="s">
        <v>285</v>
      </c>
      <c r="G1008" s="248">
        <v>48000</v>
      </c>
      <c r="H1008" s="248">
        <f t="shared" si="88"/>
        <v>48000</v>
      </c>
      <c r="I1008" s="156">
        <v>45000</v>
      </c>
      <c r="J1008" s="249">
        <f t="shared" si="91"/>
        <v>3000</v>
      </c>
      <c r="K1008" s="295">
        <f t="shared" si="89"/>
        <v>3000</v>
      </c>
      <c r="L1008" s="296">
        <f t="shared" si="90"/>
        <v>6.25E-2</v>
      </c>
      <c r="M1008" s="208" t="s">
        <v>40</v>
      </c>
      <c r="N1008" s="208" t="s">
        <v>4066</v>
      </c>
    </row>
    <row r="1009" spans="1:14">
      <c r="A1009" s="301" t="s">
        <v>998</v>
      </c>
      <c r="B1009" s="213" t="s">
        <v>4238</v>
      </c>
      <c r="C1009" s="302" t="s">
        <v>617</v>
      </c>
      <c r="D1009" s="339" t="s">
        <v>275</v>
      </c>
      <c r="E1009" s="340">
        <v>3058</v>
      </c>
      <c r="F1009" s="144" t="s">
        <v>37</v>
      </c>
      <c r="G1009" s="248">
        <v>27</v>
      </c>
      <c r="H1009" s="248">
        <f t="shared" si="88"/>
        <v>82566</v>
      </c>
      <c r="I1009" s="156">
        <v>26.5</v>
      </c>
      <c r="J1009" s="249">
        <f t="shared" si="91"/>
        <v>0.5</v>
      </c>
      <c r="K1009" s="295">
        <f t="shared" si="89"/>
        <v>1529</v>
      </c>
      <c r="L1009" s="296">
        <f t="shared" si="90"/>
        <v>1.8518518518518517E-2</v>
      </c>
      <c r="M1009" s="208" t="s">
        <v>40</v>
      </c>
      <c r="N1009" s="208" t="s">
        <v>39</v>
      </c>
    </row>
    <row r="1010" spans="1:14">
      <c r="A1010" s="301" t="s">
        <v>998</v>
      </c>
      <c r="B1010" s="213" t="s">
        <v>4238</v>
      </c>
      <c r="C1010" s="302" t="s">
        <v>617</v>
      </c>
      <c r="D1010" s="339" t="s">
        <v>996</v>
      </c>
      <c r="E1010" s="340">
        <v>3000</v>
      </c>
      <c r="F1010" s="144" t="s">
        <v>37</v>
      </c>
      <c r="G1010" s="248">
        <v>27</v>
      </c>
      <c r="H1010" s="248">
        <f t="shared" si="88"/>
        <v>81000</v>
      </c>
      <c r="I1010" s="156">
        <v>26.5</v>
      </c>
      <c r="J1010" s="249">
        <f t="shared" si="91"/>
        <v>0.5</v>
      </c>
      <c r="K1010" s="295">
        <f t="shared" si="89"/>
        <v>1500</v>
      </c>
      <c r="L1010" s="296">
        <f t="shared" si="90"/>
        <v>1.8518518518518517E-2</v>
      </c>
      <c r="M1010" s="208" t="s">
        <v>40</v>
      </c>
      <c r="N1010" s="208" t="s">
        <v>39</v>
      </c>
    </row>
    <row r="1011" spans="1:14">
      <c r="A1011" s="301" t="s">
        <v>998</v>
      </c>
      <c r="B1011" s="213" t="s">
        <v>4239</v>
      </c>
      <c r="C1011" s="302" t="s">
        <v>617</v>
      </c>
      <c r="D1011" s="339" t="s">
        <v>275</v>
      </c>
      <c r="E1011" s="340">
        <v>3208</v>
      </c>
      <c r="F1011" s="144" t="s">
        <v>37</v>
      </c>
      <c r="G1011" s="248">
        <v>27</v>
      </c>
      <c r="H1011" s="248">
        <f t="shared" si="88"/>
        <v>86616</v>
      </c>
      <c r="I1011" s="156">
        <v>26.5</v>
      </c>
      <c r="J1011" s="249">
        <f t="shared" si="91"/>
        <v>0.5</v>
      </c>
      <c r="K1011" s="295">
        <f t="shared" si="89"/>
        <v>1604</v>
      </c>
      <c r="L1011" s="296">
        <f t="shared" si="90"/>
        <v>1.8518518518518517E-2</v>
      </c>
      <c r="M1011" s="208" t="s">
        <v>40</v>
      </c>
      <c r="N1011" s="208" t="s">
        <v>39</v>
      </c>
    </row>
    <row r="1012" spans="1:14">
      <c r="A1012" s="301" t="s">
        <v>998</v>
      </c>
      <c r="B1012" s="213" t="s">
        <v>4240</v>
      </c>
      <c r="C1012" s="302" t="s">
        <v>617</v>
      </c>
      <c r="D1012" s="339" t="s">
        <v>275</v>
      </c>
      <c r="E1012" s="340">
        <v>6000</v>
      </c>
      <c r="F1012" s="144" t="s">
        <v>37</v>
      </c>
      <c r="G1012" s="248">
        <v>27</v>
      </c>
      <c r="H1012" s="248">
        <f t="shared" si="88"/>
        <v>162000</v>
      </c>
      <c r="I1012" s="156">
        <v>26.5</v>
      </c>
      <c r="J1012" s="249">
        <f t="shared" si="91"/>
        <v>0.5</v>
      </c>
      <c r="K1012" s="295">
        <f t="shared" si="89"/>
        <v>3000</v>
      </c>
      <c r="L1012" s="296">
        <f t="shared" si="90"/>
        <v>1.8518518518518517E-2</v>
      </c>
      <c r="M1012" s="208" t="s">
        <v>40</v>
      </c>
      <c r="N1012" s="208" t="s">
        <v>39</v>
      </c>
    </row>
    <row r="1013" spans="1:14">
      <c r="A1013" s="301" t="s">
        <v>998</v>
      </c>
      <c r="B1013" s="213" t="s">
        <v>4240</v>
      </c>
      <c r="C1013" s="302" t="s">
        <v>617</v>
      </c>
      <c r="D1013" s="339" t="s">
        <v>333</v>
      </c>
      <c r="E1013" s="340">
        <v>3030</v>
      </c>
      <c r="F1013" s="144" t="s">
        <v>37</v>
      </c>
      <c r="G1013" s="248">
        <v>27</v>
      </c>
      <c r="H1013" s="248">
        <f t="shared" si="88"/>
        <v>81810</v>
      </c>
      <c r="I1013" s="156">
        <v>26.5</v>
      </c>
      <c r="J1013" s="249">
        <f t="shared" si="91"/>
        <v>0.5</v>
      </c>
      <c r="K1013" s="295">
        <f t="shared" si="89"/>
        <v>1515</v>
      </c>
      <c r="L1013" s="296">
        <f t="shared" si="90"/>
        <v>1.8518518518518517E-2</v>
      </c>
      <c r="M1013" s="208" t="s">
        <v>40</v>
      </c>
      <c r="N1013" s="208" t="s">
        <v>39</v>
      </c>
    </row>
    <row r="1014" spans="1:14">
      <c r="A1014" s="301" t="s">
        <v>998</v>
      </c>
      <c r="B1014" s="213" t="s">
        <v>4241</v>
      </c>
      <c r="C1014" s="302" t="s">
        <v>617</v>
      </c>
      <c r="D1014" s="339" t="s">
        <v>996</v>
      </c>
      <c r="E1014" s="340">
        <v>3000</v>
      </c>
      <c r="F1014" s="144" t="s">
        <v>37</v>
      </c>
      <c r="G1014" s="248">
        <v>27</v>
      </c>
      <c r="H1014" s="248">
        <f t="shared" si="88"/>
        <v>81000</v>
      </c>
      <c r="I1014" s="156">
        <v>26.5</v>
      </c>
      <c r="J1014" s="249">
        <f t="shared" si="91"/>
        <v>0.5</v>
      </c>
      <c r="K1014" s="295">
        <f t="shared" si="89"/>
        <v>1500</v>
      </c>
      <c r="L1014" s="296">
        <f t="shared" si="90"/>
        <v>1.8518518518518517E-2</v>
      </c>
      <c r="M1014" s="208" t="s">
        <v>40</v>
      </c>
      <c r="N1014" s="208" t="s">
        <v>39</v>
      </c>
    </row>
    <row r="1015" spans="1:14">
      <c r="A1015" s="276" t="s">
        <v>998</v>
      </c>
      <c r="B1015" s="271" t="s">
        <v>4242</v>
      </c>
      <c r="C1015" s="342" t="s">
        <v>858</v>
      </c>
      <c r="D1015" s="339" t="s">
        <v>859</v>
      </c>
      <c r="E1015" s="340">
        <v>600</v>
      </c>
      <c r="F1015" s="144" t="s">
        <v>337</v>
      </c>
      <c r="G1015" s="248">
        <v>98</v>
      </c>
      <c r="H1015" s="248">
        <f t="shared" si="88"/>
        <v>58800</v>
      </c>
      <c r="I1015" s="156">
        <v>89</v>
      </c>
      <c r="J1015" s="249">
        <f t="shared" si="91"/>
        <v>9</v>
      </c>
      <c r="K1015" s="295">
        <f t="shared" si="89"/>
        <v>5400</v>
      </c>
      <c r="L1015" s="296">
        <f t="shared" si="90"/>
        <v>9.1836734693877556E-2</v>
      </c>
      <c r="M1015" s="208" t="s">
        <v>22</v>
      </c>
      <c r="N1015" s="208" t="s">
        <v>39</v>
      </c>
    </row>
    <row r="1016" spans="1:14">
      <c r="A1016" s="172" t="s">
        <v>998</v>
      </c>
      <c r="B1016" s="12" t="s">
        <v>4243</v>
      </c>
      <c r="C1016" s="12" t="s">
        <v>335</v>
      </c>
      <c r="D1016" s="341" t="s">
        <v>336</v>
      </c>
      <c r="E1016" s="340">
        <v>112000</v>
      </c>
      <c r="F1016" s="144" t="s">
        <v>337</v>
      </c>
      <c r="G1016" s="248">
        <v>35</v>
      </c>
      <c r="H1016" s="248">
        <f t="shared" ref="H1016" si="92">G1016*E1016</f>
        <v>3920000</v>
      </c>
      <c r="I1016" s="156">
        <v>33.5</v>
      </c>
      <c r="J1016" s="249">
        <f t="shared" si="91"/>
        <v>1.5</v>
      </c>
      <c r="K1016" s="295">
        <f t="shared" si="89"/>
        <v>168000</v>
      </c>
      <c r="L1016" s="296">
        <f t="shared" si="90"/>
        <v>4.2857142857142858E-2</v>
      </c>
      <c r="M1016" s="208" t="s">
        <v>40</v>
      </c>
      <c r="N1016" s="208" t="s">
        <v>39</v>
      </c>
    </row>
    <row r="1017" spans="1:14">
      <c r="A1017" s="298" t="s">
        <v>5845</v>
      </c>
      <c r="B1017" s="213" t="s">
        <v>4244</v>
      </c>
      <c r="C1017" s="208" t="s">
        <v>68</v>
      </c>
      <c r="D1017" s="208" t="s">
        <v>755</v>
      </c>
      <c r="E1017" s="247">
        <v>1211.2</v>
      </c>
      <c r="F1017" s="144" t="s">
        <v>37</v>
      </c>
      <c r="G1017" s="248">
        <v>385</v>
      </c>
      <c r="H1017" s="248">
        <f>G1017*E1017</f>
        <v>466312</v>
      </c>
      <c r="I1017" s="156">
        <v>379</v>
      </c>
      <c r="J1017" s="249">
        <f t="shared" si="91"/>
        <v>6</v>
      </c>
      <c r="K1017" s="295">
        <f t="shared" si="89"/>
        <v>7267.2000000000007</v>
      </c>
      <c r="L1017" s="296">
        <f t="shared" si="90"/>
        <v>1.5584415584415584E-2</v>
      </c>
      <c r="M1017" s="208" t="s">
        <v>22</v>
      </c>
      <c r="N1017" s="208" t="s">
        <v>105</v>
      </c>
    </row>
    <row r="1018" spans="1:14">
      <c r="A1018" s="144" t="s">
        <v>1083</v>
      </c>
      <c r="B1018" s="213" t="s">
        <v>4245</v>
      </c>
      <c r="C1018" s="208" t="s">
        <v>192</v>
      </c>
      <c r="D1018" s="208" t="s">
        <v>2837</v>
      </c>
      <c r="E1018" s="247">
        <v>5</v>
      </c>
      <c r="F1018" s="144" t="s">
        <v>19</v>
      </c>
      <c r="G1018" s="248">
        <v>17290</v>
      </c>
      <c r="H1018" s="248">
        <f t="shared" ref="H1018:H1031" si="93">G1018*E1018</f>
        <v>86450</v>
      </c>
      <c r="I1018" s="156">
        <v>16910</v>
      </c>
      <c r="J1018" s="249">
        <f t="shared" si="91"/>
        <v>380</v>
      </c>
      <c r="K1018" s="295">
        <f t="shared" si="89"/>
        <v>1900</v>
      </c>
      <c r="L1018" s="296">
        <f t="shared" si="90"/>
        <v>2.197802197802198E-2</v>
      </c>
      <c r="M1018" s="208" t="s">
        <v>40</v>
      </c>
      <c r="N1018" s="208" t="s">
        <v>105</v>
      </c>
    </row>
    <row r="1019" spans="1:14">
      <c r="A1019" s="144" t="s">
        <v>1083</v>
      </c>
      <c r="B1019" s="213" t="s">
        <v>4246</v>
      </c>
      <c r="C1019" s="208" t="s">
        <v>270</v>
      </c>
      <c r="D1019" s="208" t="s">
        <v>4247</v>
      </c>
      <c r="E1019" s="247">
        <v>1</v>
      </c>
      <c r="F1019" s="144" t="s">
        <v>302</v>
      </c>
      <c r="G1019" s="248">
        <v>105604</v>
      </c>
      <c r="H1019" s="248">
        <f t="shared" si="93"/>
        <v>105604</v>
      </c>
      <c r="I1019" s="156">
        <v>103932</v>
      </c>
      <c r="J1019" s="249">
        <f t="shared" si="91"/>
        <v>1672</v>
      </c>
      <c r="K1019" s="295">
        <f t="shared" ref="K1019:K1031" si="94">J1019*E1019</f>
        <v>1672</v>
      </c>
      <c r="L1019" s="296">
        <f t="shared" ref="L1019:L1031" si="95">J1019/G1019</f>
        <v>1.5832733608575431E-2</v>
      </c>
      <c r="M1019" s="208" t="s">
        <v>40</v>
      </c>
      <c r="N1019" s="208" t="s">
        <v>105</v>
      </c>
    </row>
    <row r="1020" spans="1:14">
      <c r="A1020" s="144" t="s">
        <v>1083</v>
      </c>
      <c r="B1020" s="213" t="s">
        <v>4248</v>
      </c>
      <c r="C1020" s="208" t="s">
        <v>17</v>
      </c>
      <c r="D1020" s="208" t="s">
        <v>4249</v>
      </c>
      <c r="E1020" s="247">
        <v>500</v>
      </c>
      <c r="F1020" s="144" t="s">
        <v>19</v>
      </c>
      <c r="G1020" s="248">
        <v>100</v>
      </c>
      <c r="H1020" s="248">
        <f t="shared" si="93"/>
        <v>50000</v>
      </c>
      <c r="I1020" s="156">
        <v>95</v>
      </c>
      <c r="J1020" s="249">
        <f t="shared" si="91"/>
        <v>5</v>
      </c>
      <c r="K1020" s="295">
        <f t="shared" si="94"/>
        <v>2500</v>
      </c>
      <c r="L1020" s="296">
        <f t="shared" si="95"/>
        <v>0.05</v>
      </c>
      <c r="M1020" s="208" t="s">
        <v>40</v>
      </c>
      <c r="N1020" s="208" t="s">
        <v>105</v>
      </c>
    </row>
    <row r="1021" spans="1:14">
      <c r="A1021" s="144" t="s">
        <v>1083</v>
      </c>
      <c r="B1021" s="213" t="s">
        <v>4250</v>
      </c>
      <c r="C1021" s="208" t="s">
        <v>94</v>
      </c>
      <c r="D1021" s="208" t="s">
        <v>1038</v>
      </c>
      <c r="E1021" s="247">
        <v>100</v>
      </c>
      <c r="F1021" s="144" t="s">
        <v>19</v>
      </c>
      <c r="G1021" s="248">
        <v>15.5</v>
      </c>
      <c r="H1021" s="248">
        <f t="shared" si="93"/>
        <v>1550</v>
      </c>
      <c r="I1021" s="156">
        <v>14.76</v>
      </c>
      <c r="J1021" s="249">
        <f t="shared" si="91"/>
        <v>0.74000000000000021</v>
      </c>
      <c r="K1021" s="295">
        <f t="shared" si="94"/>
        <v>74.000000000000028</v>
      </c>
      <c r="L1021" s="296">
        <f t="shared" si="95"/>
        <v>4.7741935483870984E-2</v>
      </c>
      <c r="M1021" s="208" t="s">
        <v>22</v>
      </c>
      <c r="N1021" s="208" t="s">
        <v>105</v>
      </c>
    </row>
    <row r="1022" spans="1:14">
      <c r="A1022" s="144" t="s">
        <v>1083</v>
      </c>
      <c r="B1022" s="213" t="s">
        <v>4250</v>
      </c>
      <c r="C1022" s="208" t="s">
        <v>94</v>
      </c>
      <c r="D1022" s="208" t="s">
        <v>1316</v>
      </c>
      <c r="E1022" s="247">
        <v>100</v>
      </c>
      <c r="F1022" s="144" t="s">
        <v>19</v>
      </c>
      <c r="G1022" s="248">
        <v>15.5</v>
      </c>
      <c r="H1022" s="248">
        <f t="shared" si="93"/>
        <v>1550</v>
      </c>
      <c r="I1022" s="156">
        <v>14.76</v>
      </c>
      <c r="J1022" s="249">
        <f t="shared" si="91"/>
        <v>0.74000000000000021</v>
      </c>
      <c r="K1022" s="295">
        <f t="shared" si="94"/>
        <v>74.000000000000028</v>
      </c>
      <c r="L1022" s="296">
        <f t="shared" si="95"/>
        <v>4.7741935483870984E-2</v>
      </c>
      <c r="M1022" s="208" t="s">
        <v>22</v>
      </c>
      <c r="N1022" s="208" t="s">
        <v>105</v>
      </c>
    </row>
    <row r="1023" spans="1:14">
      <c r="A1023" s="144" t="s">
        <v>1083</v>
      </c>
      <c r="B1023" s="213" t="s">
        <v>4250</v>
      </c>
      <c r="C1023" s="208" t="s">
        <v>94</v>
      </c>
      <c r="D1023" s="208" t="s">
        <v>550</v>
      </c>
      <c r="E1023" s="247">
        <v>300</v>
      </c>
      <c r="F1023" s="144" t="s">
        <v>19</v>
      </c>
      <c r="G1023" s="248">
        <v>50</v>
      </c>
      <c r="H1023" s="248">
        <f t="shared" si="93"/>
        <v>15000</v>
      </c>
      <c r="I1023" s="156">
        <v>47.56</v>
      </c>
      <c r="J1023" s="249">
        <f t="shared" si="91"/>
        <v>2.4399999999999977</v>
      </c>
      <c r="K1023" s="295">
        <f t="shared" si="94"/>
        <v>731.99999999999932</v>
      </c>
      <c r="L1023" s="296">
        <f t="shared" si="95"/>
        <v>4.8799999999999955E-2</v>
      </c>
      <c r="M1023" s="208" t="s">
        <v>22</v>
      </c>
      <c r="N1023" s="208" t="s">
        <v>105</v>
      </c>
    </row>
    <row r="1024" spans="1:14">
      <c r="A1024" s="144" t="s">
        <v>1083</v>
      </c>
      <c r="B1024" s="213" t="s">
        <v>4250</v>
      </c>
      <c r="C1024" s="208" t="s">
        <v>94</v>
      </c>
      <c r="D1024" s="208" t="s">
        <v>546</v>
      </c>
      <c r="E1024" s="247">
        <v>200</v>
      </c>
      <c r="F1024" s="144" t="s">
        <v>19</v>
      </c>
      <c r="G1024" s="248">
        <v>190</v>
      </c>
      <c r="H1024" s="248">
        <f t="shared" si="93"/>
        <v>38000</v>
      </c>
      <c r="I1024" s="156">
        <v>182.25</v>
      </c>
      <c r="J1024" s="249">
        <f t="shared" si="91"/>
        <v>7.75</v>
      </c>
      <c r="K1024" s="295">
        <f t="shared" si="94"/>
        <v>1550</v>
      </c>
      <c r="L1024" s="296">
        <f t="shared" si="95"/>
        <v>4.0789473684210528E-2</v>
      </c>
      <c r="M1024" s="208" t="s">
        <v>22</v>
      </c>
      <c r="N1024" s="208" t="s">
        <v>105</v>
      </c>
    </row>
    <row r="1025" spans="1:14" ht="15">
      <c r="A1025" s="144" t="s">
        <v>1083</v>
      </c>
      <c r="B1025" s="213" t="s">
        <v>4250</v>
      </c>
      <c r="C1025" s="208" t="s">
        <v>94</v>
      </c>
      <c r="D1025" s="208" t="s">
        <v>457</v>
      </c>
      <c r="E1025" s="247">
        <v>200</v>
      </c>
      <c r="F1025" s="144" t="s">
        <v>19</v>
      </c>
      <c r="G1025" s="359">
        <v>5.25</v>
      </c>
      <c r="H1025" s="248">
        <f t="shared" si="93"/>
        <v>1050</v>
      </c>
      <c r="I1025" s="156">
        <v>5.0999999999999996</v>
      </c>
      <c r="J1025" s="249">
        <f t="shared" si="91"/>
        <v>0.15000000000000036</v>
      </c>
      <c r="K1025" s="295">
        <f t="shared" si="94"/>
        <v>30.000000000000071</v>
      </c>
      <c r="L1025" s="296">
        <f t="shared" si="95"/>
        <v>2.857142857142864E-2</v>
      </c>
      <c r="M1025" s="208" t="s">
        <v>22</v>
      </c>
      <c r="N1025" s="208" t="s">
        <v>105</v>
      </c>
    </row>
    <row r="1026" spans="1:14" ht="15">
      <c r="A1026" s="144" t="s">
        <v>1083</v>
      </c>
      <c r="B1026" s="213" t="s">
        <v>4250</v>
      </c>
      <c r="C1026" s="208" t="s">
        <v>94</v>
      </c>
      <c r="D1026" s="208" t="s">
        <v>458</v>
      </c>
      <c r="E1026" s="247">
        <v>100</v>
      </c>
      <c r="F1026" s="144" t="s">
        <v>19</v>
      </c>
      <c r="G1026" s="359">
        <v>9.5</v>
      </c>
      <c r="H1026" s="248">
        <f t="shared" si="93"/>
        <v>950</v>
      </c>
      <c r="I1026" s="156">
        <v>9.35</v>
      </c>
      <c r="J1026" s="249">
        <f t="shared" si="91"/>
        <v>0.15000000000000036</v>
      </c>
      <c r="K1026" s="295">
        <f t="shared" si="94"/>
        <v>15.000000000000036</v>
      </c>
      <c r="L1026" s="296">
        <f t="shared" si="95"/>
        <v>1.5789473684210565E-2</v>
      </c>
      <c r="M1026" s="208" t="s">
        <v>22</v>
      </c>
      <c r="N1026" s="208" t="s">
        <v>105</v>
      </c>
    </row>
    <row r="1027" spans="1:14">
      <c r="A1027" s="144" t="s">
        <v>1083</v>
      </c>
      <c r="B1027" s="213" t="s">
        <v>4251</v>
      </c>
      <c r="C1027" s="208" t="s">
        <v>94</v>
      </c>
      <c r="D1027" s="208" t="s">
        <v>613</v>
      </c>
      <c r="E1027" s="247">
        <v>300</v>
      </c>
      <c r="F1027" s="144" t="s">
        <v>19</v>
      </c>
      <c r="G1027" s="248">
        <v>26</v>
      </c>
      <c r="H1027" s="248">
        <f t="shared" si="93"/>
        <v>7800</v>
      </c>
      <c r="I1027" s="156">
        <v>24.6</v>
      </c>
      <c r="J1027" s="249">
        <f t="shared" si="91"/>
        <v>1.3999999999999986</v>
      </c>
      <c r="K1027" s="295">
        <f t="shared" si="94"/>
        <v>419.99999999999955</v>
      </c>
      <c r="L1027" s="296">
        <f t="shared" si="95"/>
        <v>5.3846153846153794E-2</v>
      </c>
      <c r="M1027" s="208" t="s">
        <v>22</v>
      </c>
      <c r="N1027" s="208" t="s">
        <v>105</v>
      </c>
    </row>
    <row r="1028" spans="1:14" ht="15">
      <c r="A1028" s="144" t="s">
        <v>1083</v>
      </c>
      <c r="B1028" s="213" t="s">
        <v>4251</v>
      </c>
      <c r="C1028" s="208" t="s">
        <v>94</v>
      </c>
      <c r="D1028" s="208" t="s">
        <v>457</v>
      </c>
      <c r="E1028" s="247">
        <v>100</v>
      </c>
      <c r="F1028" s="144" t="s">
        <v>19</v>
      </c>
      <c r="G1028" s="359">
        <v>5.25</v>
      </c>
      <c r="H1028" s="248">
        <f t="shared" si="93"/>
        <v>525</v>
      </c>
      <c r="I1028" s="156">
        <v>5.0999999999999996</v>
      </c>
      <c r="J1028" s="249">
        <f t="shared" si="91"/>
        <v>0.15000000000000036</v>
      </c>
      <c r="K1028" s="295">
        <f t="shared" si="94"/>
        <v>15.000000000000036</v>
      </c>
      <c r="L1028" s="296">
        <f t="shared" si="95"/>
        <v>2.857142857142864E-2</v>
      </c>
      <c r="M1028" s="208" t="s">
        <v>22</v>
      </c>
      <c r="N1028" s="208" t="s">
        <v>105</v>
      </c>
    </row>
    <row r="1029" spans="1:14">
      <c r="A1029" s="144" t="s">
        <v>1083</v>
      </c>
      <c r="B1029" s="213" t="s">
        <v>4252</v>
      </c>
      <c r="C1029" s="208" t="s">
        <v>926</v>
      </c>
      <c r="D1029" s="208" t="s">
        <v>2158</v>
      </c>
      <c r="E1029" s="247">
        <v>4</v>
      </c>
      <c r="F1029" s="144" t="s">
        <v>302</v>
      </c>
      <c r="G1029" s="248">
        <v>22445</v>
      </c>
      <c r="H1029" s="248">
        <f t="shared" si="93"/>
        <v>89780</v>
      </c>
      <c r="I1029" s="156">
        <v>19500</v>
      </c>
      <c r="J1029" s="249">
        <f t="shared" si="91"/>
        <v>2945</v>
      </c>
      <c r="K1029" s="295">
        <f t="shared" si="94"/>
        <v>11780</v>
      </c>
      <c r="L1029" s="296">
        <f t="shared" si="95"/>
        <v>0.1312096235241702</v>
      </c>
      <c r="M1029" s="208" t="s">
        <v>22</v>
      </c>
      <c r="N1029" s="208" t="s">
        <v>105</v>
      </c>
    </row>
    <row r="1030" spans="1:14">
      <c r="A1030" s="144" t="s">
        <v>1083</v>
      </c>
      <c r="B1030" s="213" t="s">
        <v>4253</v>
      </c>
      <c r="C1030" s="208" t="s">
        <v>270</v>
      </c>
      <c r="D1030" s="208" t="s">
        <v>4254</v>
      </c>
      <c r="E1030" s="247">
        <v>230</v>
      </c>
      <c r="F1030" s="144" t="s">
        <v>37</v>
      </c>
      <c r="G1030" s="248">
        <v>380</v>
      </c>
      <c r="H1030" s="248">
        <f t="shared" si="93"/>
        <v>87400</v>
      </c>
      <c r="I1030" s="156">
        <v>375</v>
      </c>
      <c r="J1030" s="249">
        <f t="shared" si="91"/>
        <v>5</v>
      </c>
      <c r="K1030" s="295">
        <f t="shared" si="94"/>
        <v>1150</v>
      </c>
      <c r="L1030" s="296">
        <f t="shared" si="95"/>
        <v>1.3157894736842105E-2</v>
      </c>
      <c r="M1030" s="208" t="s">
        <v>22</v>
      </c>
      <c r="N1030" s="208" t="s">
        <v>105</v>
      </c>
    </row>
    <row r="1031" spans="1:14">
      <c r="A1031" s="144" t="s">
        <v>1083</v>
      </c>
      <c r="B1031" s="213" t="s">
        <v>4255</v>
      </c>
      <c r="C1031" s="208" t="s">
        <v>304</v>
      </c>
      <c r="D1031" s="208" t="s">
        <v>4256</v>
      </c>
      <c r="E1031" s="247">
        <v>4</v>
      </c>
      <c r="F1031" s="144" t="s">
        <v>19</v>
      </c>
      <c r="G1031" s="248">
        <v>10000</v>
      </c>
      <c r="H1031" s="248">
        <f t="shared" si="93"/>
        <v>40000</v>
      </c>
      <c r="I1031" s="156">
        <v>9500</v>
      </c>
      <c r="J1031" s="249">
        <f t="shared" si="91"/>
        <v>500</v>
      </c>
      <c r="K1031" s="295">
        <f t="shared" si="94"/>
        <v>2000</v>
      </c>
      <c r="L1031" s="296">
        <f t="shared" si="95"/>
        <v>0.05</v>
      </c>
      <c r="M1031" s="208" t="s">
        <v>22</v>
      </c>
      <c r="N1031" s="208" t="s">
        <v>105</v>
      </c>
    </row>
    <row r="1032" spans="1:14">
      <c r="A1032" s="144" t="s">
        <v>1083</v>
      </c>
      <c r="B1032" s="213" t="s">
        <v>4255</v>
      </c>
      <c r="C1032" s="208" t="s">
        <v>304</v>
      </c>
      <c r="D1032" s="208" t="s">
        <v>4257</v>
      </c>
      <c r="E1032" s="247">
        <v>10</v>
      </c>
      <c r="F1032" s="144" t="s">
        <v>19</v>
      </c>
      <c r="G1032" s="248">
        <v>11000</v>
      </c>
      <c r="H1032" s="248">
        <f>G1032*E1032</f>
        <v>110000</v>
      </c>
      <c r="I1032" s="156">
        <v>10500</v>
      </c>
      <c r="J1032" s="249">
        <f>G1032-I1032</f>
        <v>500</v>
      </c>
      <c r="K1032" s="295">
        <f>J1032*E1032</f>
        <v>5000</v>
      </c>
      <c r="L1032" s="296">
        <f>J1032/G1032</f>
        <v>4.5454545454545456E-2</v>
      </c>
      <c r="M1032" s="208" t="s">
        <v>22</v>
      </c>
      <c r="N1032" s="208" t="s">
        <v>105</v>
      </c>
    </row>
    <row r="1033" spans="1:14">
      <c r="A1033" s="144" t="s">
        <v>1083</v>
      </c>
      <c r="B1033" s="213" t="s">
        <v>4258</v>
      </c>
      <c r="C1033" s="208" t="s">
        <v>270</v>
      </c>
      <c r="D1033" s="208" t="s">
        <v>72</v>
      </c>
      <c r="E1033" s="247">
        <v>1897</v>
      </c>
      <c r="F1033" s="144" t="s">
        <v>37</v>
      </c>
      <c r="G1033" s="248">
        <v>390</v>
      </c>
      <c r="H1033" s="248">
        <f t="shared" ref="H1033:H1096" si="96">G1033*E1033</f>
        <v>739830</v>
      </c>
      <c r="I1033" s="156">
        <v>375</v>
      </c>
      <c r="J1033" s="249">
        <f t="shared" ref="J1033:J1096" si="97">G1033-I1033</f>
        <v>15</v>
      </c>
      <c r="K1033" s="295">
        <f t="shared" ref="K1033:K1072" si="98">J1033*E1033</f>
        <v>28455</v>
      </c>
      <c r="L1033" s="296">
        <f t="shared" ref="L1033:L1072" si="99">J1033/G1033</f>
        <v>3.8461538461538464E-2</v>
      </c>
      <c r="M1033" s="208" t="s">
        <v>22</v>
      </c>
      <c r="N1033" s="208" t="s">
        <v>105</v>
      </c>
    </row>
    <row r="1034" spans="1:14">
      <c r="A1034" s="144" t="s">
        <v>1083</v>
      </c>
      <c r="B1034" s="213" t="s">
        <v>4259</v>
      </c>
      <c r="C1034" s="208" t="s">
        <v>283</v>
      </c>
      <c r="D1034" s="208" t="s">
        <v>4260</v>
      </c>
      <c r="E1034" s="247">
        <v>2</v>
      </c>
      <c r="F1034" s="144" t="s">
        <v>285</v>
      </c>
      <c r="G1034" s="248">
        <v>40500</v>
      </c>
      <c r="H1034" s="248">
        <f t="shared" si="96"/>
        <v>81000</v>
      </c>
      <c r="I1034" s="156">
        <v>39500</v>
      </c>
      <c r="J1034" s="249">
        <f t="shared" si="97"/>
        <v>1000</v>
      </c>
      <c r="K1034" s="295">
        <f t="shared" si="98"/>
        <v>2000</v>
      </c>
      <c r="L1034" s="296">
        <f t="shared" si="99"/>
        <v>2.4691358024691357E-2</v>
      </c>
      <c r="M1034" s="208" t="s">
        <v>40</v>
      </c>
      <c r="N1034" s="208" t="s">
        <v>105</v>
      </c>
    </row>
    <row r="1035" spans="1:14">
      <c r="A1035" s="144" t="s">
        <v>1083</v>
      </c>
      <c r="B1035" s="213" t="s">
        <v>4261</v>
      </c>
      <c r="C1035" s="208" t="s">
        <v>4099</v>
      </c>
      <c r="D1035" s="208" t="s">
        <v>4262</v>
      </c>
      <c r="E1035" s="247">
        <v>28</v>
      </c>
      <c r="F1035" s="144" t="s">
        <v>19</v>
      </c>
      <c r="G1035" s="248">
        <v>1935</v>
      </c>
      <c r="H1035" s="248">
        <f t="shared" si="96"/>
        <v>54180</v>
      </c>
      <c r="I1035" s="156">
        <v>950</v>
      </c>
      <c r="J1035" s="249">
        <f t="shared" si="97"/>
        <v>985</v>
      </c>
      <c r="K1035" s="295">
        <f t="shared" si="98"/>
        <v>27580</v>
      </c>
      <c r="L1035" s="296">
        <f t="shared" si="99"/>
        <v>0.50904392764857886</v>
      </c>
      <c r="M1035" s="208" t="s">
        <v>22</v>
      </c>
      <c r="N1035" s="208" t="s">
        <v>39</v>
      </c>
    </row>
    <row r="1036" spans="1:14">
      <c r="A1036" s="144" t="s">
        <v>1083</v>
      </c>
      <c r="B1036" s="213" t="s">
        <v>4261</v>
      </c>
      <c r="C1036" s="208" t="s">
        <v>4099</v>
      </c>
      <c r="D1036" s="208" t="s">
        <v>4263</v>
      </c>
      <c r="E1036" s="247">
        <v>28</v>
      </c>
      <c r="F1036" s="144" t="s">
        <v>19</v>
      </c>
      <c r="G1036" s="248">
        <v>1880</v>
      </c>
      <c r="H1036" s="248">
        <f t="shared" si="96"/>
        <v>52640</v>
      </c>
      <c r="I1036" s="156">
        <v>978</v>
      </c>
      <c r="J1036" s="249">
        <f t="shared" si="97"/>
        <v>902</v>
      </c>
      <c r="K1036" s="295">
        <f t="shared" si="98"/>
        <v>25256</v>
      </c>
      <c r="L1036" s="296">
        <f t="shared" si="99"/>
        <v>0.47978723404255319</v>
      </c>
      <c r="M1036" s="208" t="s">
        <v>22</v>
      </c>
      <c r="N1036" s="208" t="s">
        <v>39</v>
      </c>
    </row>
    <row r="1037" spans="1:14">
      <c r="A1037" s="144" t="s">
        <v>1083</v>
      </c>
      <c r="B1037" s="213" t="s">
        <v>4261</v>
      </c>
      <c r="C1037" s="208" t="s">
        <v>4099</v>
      </c>
      <c r="D1037" s="208" t="s">
        <v>4264</v>
      </c>
      <c r="E1037" s="247">
        <v>56</v>
      </c>
      <c r="F1037" s="144" t="s">
        <v>19</v>
      </c>
      <c r="G1037" s="248">
        <v>1580</v>
      </c>
      <c r="H1037" s="248">
        <f t="shared" si="96"/>
        <v>88480</v>
      </c>
      <c r="I1037" s="156">
        <v>840</v>
      </c>
      <c r="J1037" s="249">
        <f t="shared" si="97"/>
        <v>740</v>
      </c>
      <c r="K1037" s="295">
        <f t="shared" si="98"/>
        <v>41440</v>
      </c>
      <c r="L1037" s="296">
        <f t="shared" si="99"/>
        <v>0.46835443037974683</v>
      </c>
      <c r="M1037" s="208" t="s">
        <v>22</v>
      </c>
      <c r="N1037" s="208" t="s">
        <v>39</v>
      </c>
    </row>
    <row r="1038" spans="1:14">
      <c r="A1038" s="144" t="s">
        <v>1083</v>
      </c>
      <c r="B1038" s="213" t="s">
        <v>4261</v>
      </c>
      <c r="C1038" s="208" t="s">
        <v>4099</v>
      </c>
      <c r="D1038" s="208" t="s">
        <v>4265</v>
      </c>
      <c r="E1038" s="247">
        <v>28</v>
      </c>
      <c r="F1038" s="144" t="s">
        <v>19</v>
      </c>
      <c r="G1038" s="248">
        <v>1370</v>
      </c>
      <c r="H1038" s="248">
        <f t="shared" si="96"/>
        <v>38360</v>
      </c>
      <c r="I1038" s="156">
        <v>640</v>
      </c>
      <c r="J1038" s="249">
        <f t="shared" si="97"/>
        <v>730</v>
      </c>
      <c r="K1038" s="295">
        <f t="shared" si="98"/>
        <v>20440</v>
      </c>
      <c r="L1038" s="296">
        <f t="shared" si="99"/>
        <v>0.53284671532846717</v>
      </c>
      <c r="M1038" s="208" t="s">
        <v>22</v>
      </c>
      <c r="N1038" s="208" t="s">
        <v>39</v>
      </c>
    </row>
    <row r="1039" spans="1:14">
      <c r="A1039" s="144" t="s">
        <v>1083</v>
      </c>
      <c r="B1039" s="213" t="s">
        <v>4266</v>
      </c>
      <c r="C1039" s="208" t="s">
        <v>1042</v>
      </c>
      <c r="D1039" s="208" t="s">
        <v>4267</v>
      </c>
      <c r="E1039" s="247">
        <v>1</v>
      </c>
      <c r="F1039" s="144" t="s">
        <v>285</v>
      </c>
      <c r="G1039" s="248">
        <v>38011.4</v>
      </c>
      <c r="H1039" s="248">
        <f t="shared" si="96"/>
        <v>38011.4</v>
      </c>
      <c r="I1039" s="156">
        <v>13151.72</v>
      </c>
      <c r="J1039" s="249">
        <f t="shared" si="97"/>
        <v>24859.68</v>
      </c>
      <c r="K1039" s="295">
        <f t="shared" si="98"/>
        <v>24859.68</v>
      </c>
      <c r="L1039" s="296">
        <f t="shared" si="99"/>
        <v>0.6540059034921103</v>
      </c>
      <c r="M1039" s="208" t="s">
        <v>33</v>
      </c>
      <c r="N1039" s="208" t="s">
        <v>105</v>
      </c>
    </row>
    <row r="1040" spans="1:14">
      <c r="A1040" s="144" t="s">
        <v>1083</v>
      </c>
      <c r="B1040" s="213" t="s">
        <v>4268</v>
      </c>
      <c r="C1040" s="208" t="s">
        <v>708</v>
      </c>
      <c r="D1040" s="208" t="s">
        <v>1663</v>
      </c>
      <c r="E1040" s="247">
        <v>4000</v>
      </c>
      <c r="F1040" s="144" t="s">
        <v>37</v>
      </c>
      <c r="G1040" s="248">
        <v>375.29</v>
      </c>
      <c r="H1040" s="248">
        <f t="shared" si="96"/>
        <v>1501160</v>
      </c>
      <c r="I1040" s="156">
        <v>370.29</v>
      </c>
      <c r="J1040" s="249">
        <f t="shared" si="97"/>
        <v>5</v>
      </c>
      <c r="K1040" s="295">
        <f t="shared" si="98"/>
        <v>20000</v>
      </c>
      <c r="L1040" s="296">
        <f t="shared" si="99"/>
        <v>1.332303018998641E-2</v>
      </c>
      <c r="M1040" s="208" t="s">
        <v>40</v>
      </c>
      <c r="N1040" s="208" t="s">
        <v>105</v>
      </c>
    </row>
    <row r="1041" spans="1:14">
      <c r="A1041" s="144" t="s">
        <v>1083</v>
      </c>
      <c r="B1041" s="213" t="s">
        <v>4269</v>
      </c>
      <c r="C1041" s="208" t="s">
        <v>192</v>
      </c>
      <c r="D1041" s="213" t="s">
        <v>5846</v>
      </c>
      <c r="E1041" s="247">
        <v>50</v>
      </c>
      <c r="F1041" s="144" t="s">
        <v>19</v>
      </c>
      <c r="G1041" s="248">
        <v>3940</v>
      </c>
      <c r="H1041" s="248">
        <f t="shared" si="96"/>
        <v>197000</v>
      </c>
      <c r="I1041" s="156">
        <v>3860</v>
      </c>
      <c r="J1041" s="249">
        <f t="shared" si="97"/>
        <v>80</v>
      </c>
      <c r="K1041" s="295">
        <f t="shared" si="98"/>
        <v>4000</v>
      </c>
      <c r="L1041" s="296">
        <f t="shared" si="99"/>
        <v>2.030456852791878E-2</v>
      </c>
      <c r="M1041" s="208" t="s">
        <v>40</v>
      </c>
      <c r="N1041" s="208" t="s">
        <v>105</v>
      </c>
    </row>
    <row r="1042" spans="1:14">
      <c r="A1042" s="144" t="s">
        <v>1083</v>
      </c>
      <c r="B1042" s="213" t="s">
        <v>4271</v>
      </c>
      <c r="C1042" s="208" t="s">
        <v>926</v>
      </c>
      <c r="D1042" s="208" t="s">
        <v>449</v>
      </c>
      <c r="E1042" s="247">
        <v>5</v>
      </c>
      <c r="F1042" s="144" t="s">
        <v>302</v>
      </c>
      <c r="G1042" s="248">
        <v>2000</v>
      </c>
      <c r="H1042" s="248">
        <f t="shared" si="96"/>
        <v>10000</v>
      </c>
      <c r="I1042" s="156">
        <v>1500</v>
      </c>
      <c r="J1042" s="249">
        <f t="shared" si="97"/>
        <v>500</v>
      </c>
      <c r="K1042" s="295">
        <f t="shared" si="98"/>
        <v>2500</v>
      </c>
      <c r="L1042" s="296">
        <f t="shared" si="99"/>
        <v>0.25</v>
      </c>
      <c r="M1042" s="208" t="s">
        <v>22</v>
      </c>
      <c r="N1042" s="208" t="s">
        <v>105</v>
      </c>
    </row>
    <row r="1043" spans="1:14">
      <c r="A1043" s="144" t="s">
        <v>1083</v>
      </c>
      <c r="B1043" s="213" t="s">
        <v>4272</v>
      </c>
      <c r="C1043" s="208" t="s">
        <v>335</v>
      </c>
      <c r="D1043" s="208" t="s">
        <v>336</v>
      </c>
      <c r="E1043" s="247">
        <v>112000</v>
      </c>
      <c r="F1043" s="144" t="s">
        <v>337</v>
      </c>
      <c r="G1043" s="248">
        <v>33.5</v>
      </c>
      <c r="H1043" s="248">
        <f t="shared" si="96"/>
        <v>3752000</v>
      </c>
      <c r="I1043" s="156">
        <v>32</v>
      </c>
      <c r="J1043" s="249">
        <f t="shared" si="97"/>
        <v>1.5</v>
      </c>
      <c r="K1043" s="295">
        <f t="shared" si="98"/>
        <v>168000</v>
      </c>
      <c r="L1043" s="296">
        <f t="shared" si="99"/>
        <v>4.4776119402985072E-2</v>
      </c>
      <c r="M1043" s="208" t="s">
        <v>40</v>
      </c>
      <c r="N1043" s="208" t="s">
        <v>39</v>
      </c>
    </row>
    <row r="1044" spans="1:14">
      <c r="A1044" s="144" t="s">
        <v>1083</v>
      </c>
      <c r="B1044" s="213" t="s">
        <v>4273</v>
      </c>
      <c r="C1044" s="208" t="s">
        <v>617</v>
      </c>
      <c r="D1044" s="208" t="s">
        <v>230</v>
      </c>
      <c r="E1044" s="247">
        <v>6000</v>
      </c>
      <c r="F1044" s="144" t="s">
        <v>37</v>
      </c>
      <c r="G1044" s="248">
        <v>27</v>
      </c>
      <c r="H1044" s="248">
        <f t="shared" si="96"/>
        <v>162000</v>
      </c>
      <c r="I1044" s="156">
        <v>26.5</v>
      </c>
      <c r="J1044" s="249">
        <f t="shared" si="97"/>
        <v>0.5</v>
      </c>
      <c r="K1044" s="295">
        <f t="shared" si="98"/>
        <v>3000</v>
      </c>
      <c r="L1044" s="296">
        <f t="shared" si="99"/>
        <v>1.8518518518518517E-2</v>
      </c>
      <c r="M1044" s="208" t="s">
        <v>40</v>
      </c>
      <c r="N1044" s="208" t="s">
        <v>39</v>
      </c>
    </row>
    <row r="1045" spans="1:14">
      <c r="A1045" s="144" t="s">
        <v>1083</v>
      </c>
      <c r="B1045" s="213" t="s">
        <v>4273</v>
      </c>
      <c r="C1045" s="208" t="s">
        <v>617</v>
      </c>
      <c r="D1045" s="208" t="s">
        <v>233</v>
      </c>
      <c r="E1045" s="247">
        <v>9000</v>
      </c>
      <c r="F1045" s="144" t="s">
        <v>37</v>
      </c>
      <c r="G1045" s="248">
        <v>26.5</v>
      </c>
      <c r="H1045" s="248">
        <f t="shared" si="96"/>
        <v>238500</v>
      </c>
      <c r="I1045" s="156">
        <v>25.5</v>
      </c>
      <c r="J1045" s="249">
        <f t="shared" si="97"/>
        <v>1</v>
      </c>
      <c r="K1045" s="295">
        <f t="shared" si="98"/>
        <v>9000</v>
      </c>
      <c r="L1045" s="296">
        <f t="shared" si="99"/>
        <v>3.7735849056603772E-2</v>
      </c>
      <c r="M1045" s="208" t="s">
        <v>40</v>
      </c>
      <c r="N1045" s="208" t="s">
        <v>39</v>
      </c>
    </row>
    <row r="1046" spans="1:14">
      <c r="A1046" s="144" t="s">
        <v>1083</v>
      </c>
      <c r="B1046" s="213" t="s">
        <v>4274</v>
      </c>
      <c r="C1046" s="208" t="s">
        <v>94</v>
      </c>
      <c r="D1046" s="208" t="s">
        <v>550</v>
      </c>
      <c r="E1046" s="247">
        <v>400</v>
      </c>
      <c r="F1046" s="144" t="s">
        <v>19</v>
      </c>
      <c r="G1046" s="248">
        <v>50</v>
      </c>
      <c r="H1046" s="248">
        <f t="shared" si="96"/>
        <v>20000</v>
      </c>
      <c r="I1046" s="156">
        <v>47.56</v>
      </c>
      <c r="J1046" s="249">
        <f t="shared" si="97"/>
        <v>2.4399999999999977</v>
      </c>
      <c r="K1046" s="295">
        <f t="shared" si="98"/>
        <v>975.99999999999909</v>
      </c>
      <c r="L1046" s="296">
        <f t="shared" si="99"/>
        <v>4.8799999999999955E-2</v>
      </c>
      <c r="M1046" s="208" t="s">
        <v>22</v>
      </c>
      <c r="N1046" s="208" t="s">
        <v>105</v>
      </c>
    </row>
    <row r="1047" spans="1:14">
      <c r="A1047" s="144" t="s">
        <v>1083</v>
      </c>
      <c r="B1047" s="213" t="s">
        <v>4275</v>
      </c>
      <c r="C1047" s="208" t="s">
        <v>200</v>
      </c>
      <c r="D1047" s="208" t="s">
        <v>4276</v>
      </c>
      <c r="E1047" s="247">
        <v>3</v>
      </c>
      <c r="F1047" s="144" t="s">
        <v>302</v>
      </c>
      <c r="G1047" s="247">
        <v>48500</v>
      </c>
      <c r="H1047" s="248">
        <f t="shared" si="96"/>
        <v>145500</v>
      </c>
      <c r="I1047" s="156">
        <v>47000</v>
      </c>
      <c r="J1047" s="249">
        <f t="shared" si="97"/>
        <v>1500</v>
      </c>
      <c r="K1047" s="295">
        <f t="shared" si="98"/>
        <v>4500</v>
      </c>
      <c r="L1047" s="296">
        <f t="shared" si="99"/>
        <v>3.0927835051546393E-2</v>
      </c>
      <c r="M1047" s="208" t="s">
        <v>40</v>
      </c>
      <c r="N1047" s="208" t="s">
        <v>39</v>
      </c>
    </row>
    <row r="1048" spans="1:14">
      <c r="A1048" s="144" t="s">
        <v>1083</v>
      </c>
      <c r="B1048" s="213" t="s">
        <v>4277</v>
      </c>
      <c r="C1048" s="208" t="s">
        <v>1181</v>
      </c>
      <c r="D1048" s="208" t="s">
        <v>2514</v>
      </c>
      <c r="E1048" s="247">
        <v>1</v>
      </c>
      <c r="F1048" s="144" t="s">
        <v>285</v>
      </c>
      <c r="G1048" s="248">
        <v>3500</v>
      </c>
      <c r="H1048" s="248">
        <f t="shared" si="96"/>
        <v>3500</v>
      </c>
      <c r="I1048" s="156">
        <v>0</v>
      </c>
      <c r="J1048" s="249">
        <f t="shared" si="97"/>
        <v>3500</v>
      </c>
      <c r="K1048" s="295">
        <f t="shared" si="98"/>
        <v>3500</v>
      </c>
      <c r="L1048" s="296">
        <f t="shared" si="99"/>
        <v>1</v>
      </c>
      <c r="M1048" s="208" t="s">
        <v>40</v>
      </c>
      <c r="N1048" s="208" t="s">
        <v>105</v>
      </c>
    </row>
    <row r="1049" spans="1:14">
      <c r="A1049" s="144" t="s">
        <v>1083</v>
      </c>
      <c r="B1049" s="213" t="s">
        <v>4278</v>
      </c>
      <c r="C1049" s="208" t="s">
        <v>192</v>
      </c>
      <c r="D1049" s="138" t="s">
        <v>2502</v>
      </c>
      <c r="E1049" s="299">
        <v>3000</v>
      </c>
      <c r="F1049" s="142" t="s">
        <v>337</v>
      </c>
      <c r="G1049" s="229">
        <v>184.26</v>
      </c>
      <c r="H1049" s="248">
        <f t="shared" si="96"/>
        <v>552780</v>
      </c>
      <c r="I1049" s="156">
        <v>147.5</v>
      </c>
      <c r="J1049" s="249">
        <f t="shared" si="97"/>
        <v>36.759999999999991</v>
      </c>
      <c r="K1049" s="295">
        <f t="shared" si="98"/>
        <v>110279.99999999997</v>
      </c>
      <c r="L1049" s="296">
        <f t="shared" si="99"/>
        <v>0.19950070552480187</v>
      </c>
      <c r="M1049" s="208" t="s">
        <v>22</v>
      </c>
      <c r="N1049" s="208" t="s">
        <v>105</v>
      </c>
    </row>
    <row r="1050" spans="1:14">
      <c r="A1050" s="144" t="s">
        <v>1083</v>
      </c>
      <c r="B1050" s="213" t="s">
        <v>4279</v>
      </c>
      <c r="C1050" s="208" t="s">
        <v>3847</v>
      </c>
      <c r="D1050" s="208" t="s">
        <v>2514</v>
      </c>
      <c r="E1050" s="247">
        <v>1</v>
      </c>
      <c r="F1050" s="144" t="s">
        <v>285</v>
      </c>
      <c r="G1050" s="226">
        <v>3500</v>
      </c>
      <c r="H1050" s="248">
        <f t="shared" si="96"/>
        <v>3500</v>
      </c>
      <c r="I1050" s="227">
        <v>0</v>
      </c>
      <c r="J1050" s="249">
        <f t="shared" si="97"/>
        <v>3500</v>
      </c>
      <c r="K1050" s="295">
        <f t="shared" si="98"/>
        <v>3500</v>
      </c>
      <c r="L1050" s="296">
        <f t="shared" si="99"/>
        <v>1</v>
      </c>
      <c r="M1050" s="208" t="s">
        <v>40</v>
      </c>
      <c r="N1050" s="208" t="s">
        <v>105</v>
      </c>
    </row>
    <row r="1051" spans="1:14">
      <c r="A1051" s="144" t="s">
        <v>1083</v>
      </c>
      <c r="B1051" s="213" t="s">
        <v>4280</v>
      </c>
      <c r="C1051" s="208" t="s">
        <v>2043</v>
      </c>
      <c r="D1051" s="208" t="s">
        <v>2514</v>
      </c>
      <c r="E1051" s="247">
        <v>1</v>
      </c>
      <c r="F1051" s="144" t="s">
        <v>285</v>
      </c>
      <c r="G1051" s="226">
        <v>3500</v>
      </c>
      <c r="H1051" s="248">
        <f t="shared" si="96"/>
        <v>3500</v>
      </c>
      <c r="I1051" s="227">
        <v>0</v>
      </c>
      <c r="J1051" s="249">
        <f t="shared" si="97"/>
        <v>3500</v>
      </c>
      <c r="K1051" s="295">
        <f t="shared" si="98"/>
        <v>3500</v>
      </c>
      <c r="L1051" s="296">
        <f t="shared" si="99"/>
        <v>1</v>
      </c>
      <c r="M1051" s="208" t="s">
        <v>40</v>
      </c>
      <c r="N1051" s="208" t="s">
        <v>105</v>
      </c>
    </row>
    <row r="1052" spans="1:14">
      <c r="A1052" s="144" t="s">
        <v>1083</v>
      </c>
      <c r="B1052" s="213" t="s">
        <v>4281</v>
      </c>
      <c r="C1052" s="208" t="s">
        <v>2167</v>
      </c>
      <c r="D1052" s="208" t="s">
        <v>2514</v>
      </c>
      <c r="E1052" s="247">
        <v>1</v>
      </c>
      <c r="F1052" s="144" t="s">
        <v>285</v>
      </c>
      <c r="G1052" s="226">
        <v>3500</v>
      </c>
      <c r="H1052" s="248">
        <f t="shared" si="96"/>
        <v>3500</v>
      </c>
      <c r="I1052" s="227">
        <v>0</v>
      </c>
      <c r="J1052" s="249">
        <f t="shared" si="97"/>
        <v>3500</v>
      </c>
      <c r="K1052" s="295">
        <f t="shared" si="98"/>
        <v>3500</v>
      </c>
      <c r="L1052" s="296">
        <f t="shared" si="99"/>
        <v>1</v>
      </c>
      <c r="M1052" s="208" t="s">
        <v>40</v>
      </c>
      <c r="N1052" s="208" t="s">
        <v>105</v>
      </c>
    </row>
    <row r="1053" spans="1:14">
      <c r="A1053" s="144" t="s">
        <v>1083</v>
      </c>
      <c r="B1053" s="213" t="s">
        <v>4282</v>
      </c>
      <c r="C1053" s="208" t="s">
        <v>593</v>
      </c>
      <c r="D1053" s="140" t="s">
        <v>1280</v>
      </c>
      <c r="E1053" s="300">
        <v>100</v>
      </c>
      <c r="F1053" s="143" t="s">
        <v>37</v>
      </c>
      <c r="G1053" s="226">
        <v>220</v>
      </c>
      <c r="H1053" s="248">
        <f t="shared" si="96"/>
        <v>22000</v>
      </c>
      <c r="I1053" s="360" t="s">
        <v>4283</v>
      </c>
      <c r="J1053" s="249">
        <f t="shared" si="97"/>
        <v>25</v>
      </c>
      <c r="K1053" s="295">
        <f t="shared" si="98"/>
        <v>2500</v>
      </c>
      <c r="L1053" s="296">
        <f t="shared" si="99"/>
        <v>0.11363636363636363</v>
      </c>
      <c r="M1053" s="208" t="s">
        <v>22</v>
      </c>
      <c r="N1053" s="208" t="s">
        <v>105</v>
      </c>
    </row>
    <row r="1054" spans="1:14">
      <c r="A1054" s="144" t="s">
        <v>1083</v>
      </c>
      <c r="B1054" s="213" t="s">
        <v>4284</v>
      </c>
      <c r="C1054" s="208" t="s">
        <v>200</v>
      </c>
      <c r="D1054" s="140" t="s">
        <v>4285</v>
      </c>
      <c r="E1054" s="300">
        <v>2</v>
      </c>
      <c r="F1054" s="143" t="s">
        <v>302</v>
      </c>
      <c r="G1054" s="226">
        <v>18500</v>
      </c>
      <c r="H1054" s="248">
        <f t="shared" si="96"/>
        <v>37000</v>
      </c>
      <c r="I1054" s="227">
        <v>18000</v>
      </c>
      <c r="J1054" s="249">
        <f t="shared" si="97"/>
        <v>500</v>
      </c>
      <c r="K1054" s="295">
        <f t="shared" si="98"/>
        <v>1000</v>
      </c>
      <c r="L1054" s="296">
        <f t="shared" si="99"/>
        <v>2.7027027027027029E-2</v>
      </c>
      <c r="M1054" s="208" t="s">
        <v>40</v>
      </c>
      <c r="N1054" s="208" t="s">
        <v>39</v>
      </c>
    </row>
    <row r="1055" spans="1:14">
      <c r="A1055" s="144" t="s">
        <v>1083</v>
      </c>
      <c r="B1055" s="213" t="s">
        <v>4286</v>
      </c>
      <c r="C1055" s="208" t="s">
        <v>200</v>
      </c>
      <c r="D1055" s="208" t="s">
        <v>4287</v>
      </c>
      <c r="E1055" s="247">
        <v>2</v>
      </c>
      <c r="F1055" s="144" t="s">
        <v>302</v>
      </c>
      <c r="G1055" s="248">
        <v>64500</v>
      </c>
      <c r="H1055" s="248">
        <f t="shared" si="96"/>
        <v>129000</v>
      </c>
      <c r="I1055" s="156">
        <v>62000</v>
      </c>
      <c r="J1055" s="249">
        <f t="shared" si="97"/>
        <v>2500</v>
      </c>
      <c r="K1055" s="295">
        <f t="shared" si="98"/>
        <v>5000</v>
      </c>
      <c r="L1055" s="296">
        <f t="shared" si="99"/>
        <v>3.875968992248062E-2</v>
      </c>
      <c r="M1055" s="208" t="s">
        <v>40</v>
      </c>
      <c r="N1055" s="208" t="s">
        <v>39</v>
      </c>
    </row>
    <row r="1056" spans="1:14">
      <c r="A1056" s="144" t="s">
        <v>1083</v>
      </c>
      <c r="B1056" s="213" t="s">
        <v>4288</v>
      </c>
      <c r="C1056" s="208" t="s">
        <v>192</v>
      </c>
      <c r="D1056" s="208" t="s">
        <v>4049</v>
      </c>
      <c r="E1056" s="247">
        <v>4</v>
      </c>
      <c r="F1056" s="144" t="s">
        <v>19</v>
      </c>
      <c r="G1056" s="248">
        <v>24190</v>
      </c>
      <c r="H1056" s="248">
        <f t="shared" si="96"/>
        <v>96760</v>
      </c>
      <c r="I1056" s="156">
        <v>22840</v>
      </c>
      <c r="J1056" s="249">
        <f t="shared" si="97"/>
        <v>1350</v>
      </c>
      <c r="K1056" s="295">
        <f t="shared" si="98"/>
        <v>5400</v>
      </c>
      <c r="L1056" s="296">
        <f t="shared" si="99"/>
        <v>5.5808185200496074E-2</v>
      </c>
      <c r="M1056" s="208" t="s">
        <v>40</v>
      </c>
      <c r="N1056" s="208" t="s">
        <v>105</v>
      </c>
    </row>
    <row r="1057" spans="1:14">
      <c r="A1057" s="144" t="s">
        <v>1083</v>
      </c>
      <c r="B1057" s="213" t="s">
        <v>4289</v>
      </c>
      <c r="C1057" s="208" t="s">
        <v>166</v>
      </c>
      <c r="D1057" s="208" t="s">
        <v>4160</v>
      </c>
      <c r="E1057" s="247">
        <v>18279</v>
      </c>
      <c r="F1057" s="144" t="s">
        <v>37</v>
      </c>
      <c r="G1057" s="248">
        <v>372.57</v>
      </c>
      <c r="H1057" s="248">
        <f t="shared" si="96"/>
        <v>6810207.0300000003</v>
      </c>
      <c r="I1057" s="156">
        <v>344.35</v>
      </c>
      <c r="J1057" s="249">
        <f t="shared" si="97"/>
        <v>28.21999999999997</v>
      </c>
      <c r="K1057" s="295">
        <f t="shared" si="98"/>
        <v>515833.37999999948</v>
      </c>
      <c r="L1057" s="296">
        <f t="shared" si="99"/>
        <v>7.5744155460718707E-2</v>
      </c>
      <c r="M1057" s="208" t="s">
        <v>20</v>
      </c>
      <c r="N1057" s="208" t="s">
        <v>105</v>
      </c>
    </row>
    <row r="1058" spans="1:14">
      <c r="A1058" s="144" t="s">
        <v>1083</v>
      </c>
      <c r="B1058" s="213" t="s">
        <v>4290</v>
      </c>
      <c r="C1058" s="208" t="s">
        <v>94</v>
      </c>
      <c r="D1058" s="208" t="s">
        <v>550</v>
      </c>
      <c r="E1058" s="247">
        <v>300</v>
      </c>
      <c r="F1058" s="144" t="s">
        <v>19</v>
      </c>
      <c r="G1058" s="248">
        <v>50</v>
      </c>
      <c r="H1058" s="248">
        <f t="shared" si="96"/>
        <v>15000</v>
      </c>
      <c r="I1058" s="156">
        <v>47.56</v>
      </c>
      <c r="J1058" s="249">
        <f t="shared" si="97"/>
        <v>2.4399999999999977</v>
      </c>
      <c r="K1058" s="295">
        <f t="shared" si="98"/>
        <v>731.99999999999932</v>
      </c>
      <c r="L1058" s="296">
        <f t="shared" si="99"/>
        <v>4.8799999999999955E-2</v>
      </c>
      <c r="M1058" s="208" t="s">
        <v>22</v>
      </c>
      <c r="N1058" s="208" t="s">
        <v>105</v>
      </c>
    </row>
    <row r="1059" spans="1:14">
      <c r="A1059" s="144" t="s">
        <v>1083</v>
      </c>
      <c r="B1059" s="213" t="s">
        <v>4290</v>
      </c>
      <c r="C1059" s="208" t="s">
        <v>94</v>
      </c>
      <c r="D1059" s="208" t="s">
        <v>546</v>
      </c>
      <c r="E1059" s="247">
        <v>200</v>
      </c>
      <c r="F1059" s="144" t="s">
        <v>19</v>
      </c>
      <c r="G1059" s="248">
        <v>190</v>
      </c>
      <c r="H1059" s="248">
        <f t="shared" si="96"/>
        <v>38000</v>
      </c>
      <c r="I1059" s="156">
        <v>182.25</v>
      </c>
      <c r="J1059" s="249">
        <f t="shared" si="97"/>
        <v>7.75</v>
      </c>
      <c r="K1059" s="295">
        <f t="shared" si="98"/>
        <v>1550</v>
      </c>
      <c r="L1059" s="296">
        <f t="shared" si="99"/>
        <v>4.0789473684210528E-2</v>
      </c>
      <c r="M1059" s="208" t="s">
        <v>22</v>
      </c>
      <c r="N1059" s="208" t="s">
        <v>105</v>
      </c>
    </row>
    <row r="1060" spans="1:14">
      <c r="A1060" s="144" t="s">
        <v>1083</v>
      </c>
      <c r="B1060" s="213" t="s">
        <v>4290</v>
      </c>
      <c r="C1060" s="208" t="s">
        <v>94</v>
      </c>
      <c r="D1060" s="208" t="s">
        <v>457</v>
      </c>
      <c r="E1060" s="247">
        <v>100</v>
      </c>
      <c r="F1060" s="144" t="s">
        <v>19</v>
      </c>
      <c r="G1060" s="248">
        <v>5.25</v>
      </c>
      <c r="H1060" s="248">
        <f t="shared" si="96"/>
        <v>525</v>
      </c>
      <c r="I1060" s="156">
        <v>5.0999999999999996</v>
      </c>
      <c r="J1060" s="249">
        <f t="shared" si="97"/>
        <v>0.15000000000000036</v>
      </c>
      <c r="K1060" s="295">
        <f t="shared" si="98"/>
        <v>15.000000000000036</v>
      </c>
      <c r="L1060" s="296">
        <f t="shared" si="99"/>
        <v>2.857142857142864E-2</v>
      </c>
      <c r="M1060" s="208" t="s">
        <v>22</v>
      </c>
      <c r="N1060" s="208" t="s">
        <v>105</v>
      </c>
    </row>
    <row r="1061" spans="1:14">
      <c r="A1061" s="144" t="s">
        <v>1083</v>
      </c>
      <c r="B1061" s="213" t="s">
        <v>4290</v>
      </c>
      <c r="C1061" s="208" t="s">
        <v>94</v>
      </c>
      <c r="D1061" s="208" t="s">
        <v>458</v>
      </c>
      <c r="E1061" s="247">
        <v>100</v>
      </c>
      <c r="F1061" s="144" t="s">
        <v>19</v>
      </c>
      <c r="G1061" s="248">
        <v>9.5</v>
      </c>
      <c r="H1061" s="248">
        <f t="shared" si="96"/>
        <v>950</v>
      </c>
      <c r="I1061" s="156">
        <v>9.35</v>
      </c>
      <c r="J1061" s="249">
        <f t="shared" si="97"/>
        <v>0.15000000000000036</v>
      </c>
      <c r="K1061" s="295">
        <f t="shared" si="98"/>
        <v>15.000000000000036</v>
      </c>
      <c r="L1061" s="296">
        <f t="shared" si="99"/>
        <v>1.5789473684210565E-2</v>
      </c>
      <c r="M1061" s="208" t="s">
        <v>22</v>
      </c>
      <c r="N1061" s="208" t="s">
        <v>105</v>
      </c>
    </row>
    <row r="1062" spans="1:14">
      <c r="A1062" s="144" t="s">
        <v>1083</v>
      </c>
      <c r="B1062" s="213" t="s">
        <v>4291</v>
      </c>
      <c r="C1062" s="208" t="s">
        <v>708</v>
      </c>
      <c r="D1062" s="208" t="s">
        <v>1663</v>
      </c>
      <c r="E1062" s="247">
        <v>2200</v>
      </c>
      <c r="F1062" s="144" t="s">
        <v>37</v>
      </c>
      <c r="G1062" s="248">
        <v>397.29</v>
      </c>
      <c r="H1062" s="248">
        <f t="shared" si="96"/>
        <v>874038</v>
      </c>
      <c r="I1062" s="156">
        <v>385.29</v>
      </c>
      <c r="J1062" s="249">
        <f t="shared" si="97"/>
        <v>12</v>
      </c>
      <c r="K1062" s="295">
        <f t="shared" si="98"/>
        <v>26400</v>
      </c>
      <c r="L1062" s="296">
        <f t="shared" si="99"/>
        <v>3.0204636411689193E-2</v>
      </c>
      <c r="M1062" s="208" t="s">
        <v>40</v>
      </c>
      <c r="N1062" s="208" t="s">
        <v>105</v>
      </c>
    </row>
    <row r="1063" spans="1:14">
      <c r="A1063" s="144" t="s">
        <v>1083</v>
      </c>
      <c r="B1063" s="213" t="s">
        <v>4292</v>
      </c>
      <c r="C1063" s="208" t="s">
        <v>2294</v>
      </c>
      <c r="D1063" s="208" t="s">
        <v>4293</v>
      </c>
      <c r="E1063" s="247">
        <v>1</v>
      </c>
      <c r="F1063" s="144" t="s">
        <v>285</v>
      </c>
      <c r="G1063" s="248">
        <v>525800</v>
      </c>
      <c r="H1063" s="248">
        <f t="shared" si="96"/>
        <v>525800</v>
      </c>
      <c r="I1063" s="156">
        <v>500000</v>
      </c>
      <c r="J1063" s="249">
        <f t="shared" si="97"/>
        <v>25800</v>
      </c>
      <c r="K1063" s="295">
        <f t="shared" si="98"/>
        <v>25800</v>
      </c>
      <c r="L1063" s="296">
        <f t="shared" si="99"/>
        <v>4.9068086724990488E-2</v>
      </c>
      <c r="M1063" s="208" t="s">
        <v>40</v>
      </c>
      <c r="N1063" s="208" t="s">
        <v>4066</v>
      </c>
    </row>
    <row r="1064" spans="1:14">
      <c r="A1064" s="144" t="s">
        <v>1083</v>
      </c>
      <c r="B1064" s="213" t="s">
        <v>4294</v>
      </c>
      <c r="C1064" s="208" t="s">
        <v>3020</v>
      </c>
      <c r="D1064" s="208" t="s">
        <v>4295</v>
      </c>
      <c r="E1064" s="247">
        <v>1</v>
      </c>
      <c r="F1064" s="144" t="s">
        <v>285</v>
      </c>
      <c r="G1064" s="248">
        <v>59500</v>
      </c>
      <c r="H1064" s="248">
        <f t="shared" si="96"/>
        <v>59500</v>
      </c>
      <c r="I1064" s="156">
        <v>55000</v>
      </c>
      <c r="J1064" s="249">
        <f t="shared" si="97"/>
        <v>4500</v>
      </c>
      <c r="K1064" s="295">
        <f t="shared" si="98"/>
        <v>4500</v>
      </c>
      <c r="L1064" s="296">
        <f t="shared" si="99"/>
        <v>7.5630252100840331E-2</v>
      </c>
      <c r="M1064" s="208" t="s">
        <v>40</v>
      </c>
      <c r="N1064" s="208" t="s">
        <v>4066</v>
      </c>
    </row>
    <row r="1065" spans="1:14">
      <c r="A1065" s="144" t="s">
        <v>1083</v>
      </c>
      <c r="B1065" s="213" t="s">
        <v>4296</v>
      </c>
      <c r="C1065" s="208" t="s">
        <v>4297</v>
      </c>
      <c r="D1065" s="208" t="s">
        <v>4298</v>
      </c>
      <c r="E1065" s="247">
        <v>1</v>
      </c>
      <c r="F1065" s="144" t="s">
        <v>285</v>
      </c>
      <c r="G1065" s="248">
        <v>2187500</v>
      </c>
      <c r="H1065" s="248">
        <f t="shared" si="96"/>
        <v>2187500</v>
      </c>
      <c r="I1065" s="156">
        <v>2107760</v>
      </c>
      <c r="J1065" s="249">
        <f t="shared" si="97"/>
        <v>79740</v>
      </c>
      <c r="K1065" s="295">
        <f t="shared" si="98"/>
        <v>79740</v>
      </c>
      <c r="L1065" s="296">
        <f t="shared" si="99"/>
        <v>3.6452571428571431E-2</v>
      </c>
      <c r="M1065" s="208" t="s">
        <v>40</v>
      </c>
      <c r="N1065" s="208" t="s">
        <v>4066</v>
      </c>
    </row>
    <row r="1066" spans="1:14">
      <c r="A1066" s="144" t="s">
        <v>1083</v>
      </c>
      <c r="B1066" s="213" t="s">
        <v>4299</v>
      </c>
      <c r="C1066" s="208" t="s">
        <v>2934</v>
      </c>
      <c r="D1066" s="208" t="s">
        <v>4300</v>
      </c>
      <c r="E1066" s="247">
        <v>1</v>
      </c>
      <c r="F1066" s="144" t="s">
        <v>285</v>
      </c>
      <c r="G1066" s="248">
        <v>2619304.94</v>
      </c>
      <c r="H1066" s="248">
        <f t="shared" si="96"/>
        <v>2619304.94</v>
      </c>
      <c r="I1066" s="156">
        <v>2565000</v>
      </c>
      <c r="J1066" s="249">
        <f t="shared" si="97"/>
        <v>54304.939999999944</v>
      </c>
      <c r="K1066" s="295">
        <f t="shared" si="98"/>
        <v>54304.939999999944</v>
      </c>
      <c r="L1066" s="296">
        <f t="shared" si="99"/>
        <v>2.0732576482675569E-2</v>
      </c>
      <c r="M1066" s="208" t="s">
        <v>40</v>
      </c>
      <c r="N1066" s="208" t="s">
        <v>4066</v>
      </c>
    </row>
    <row r="1067" spans="1:14">
      <c r="A1067" s="144" t="s">
        <v>1083</v>
      </c>
      <c r="B1067" s="213" t="s">
        <v>4301</v>
      </c>
      <c r="C1067" s="208" t="s">
        <v>4302</v>
      </c>
      <c r="D1067" s="208" t="s">
        <v>4303</v>
      </c>
      <c r="E1067" s="247">
        <v>1</v>
      </c>
      <c r="F1067" s="144" t="s">
        <v>285</v>
      </c>
      <c r="G1067" s="248">
        <v>98710</v>
      </c>
      <c r="H1067" s="248">
        <f t="shared" si="96"/>
        <v>98710</v>
      </c>
      <c r="I1067" s="156">
        <v>86753.5</v>
      </c>
      <c r="J1067" s="249">
        <f t="shared" si="97"/>
        <v>11956.5</v>
      </c>
      <c r="K1067" s="295">
        <f t="shared" si="98"/>
        <v>11956.5</v>
      </c>
      <c r="L1067" s="296">
        <f t="shared" si="99"/>
        <v>0.12112754533481916</v>
      </c>
      <c r="M1067" s="208" t="s">
        <v>40</v>
      </c>
      <c r="N1067" s="208" t="s">
        <v>4066</v>
      </c>
    </row>
    <row r="1068" spans="1:14">
      <c r="A1068" s="144" t="s">
        <v>1083</v>
      </c>
      <c r="B1068" s="213" t="s">
        <v>4304</v>
      </c>
      <c r="C1068" s="208" t="s">
        <v>118</v>
      </c>
      <c r="D1068" s="208" t="s">
        <v>4305</v>
      </c>
      <c r="E1068" s="247">
        <v>40</v>
      </c>
      <c r="F1068" s="144" t="s">
        <v>19</v>
      </c>
      <c r="G1068" s="248">
        <v>735</v>
      </c>
      <c r="H1068" s="248">
        <f t="shared" si="96"/>
        <v>29400</v>
      </c>
      <c r="I1068" s="156">
        <v>725</v>
      </c>
      <c r="J1068" s="249">
        <f t="shared" si="97"/>
        <v>10</v>
      </c>
      <c r="K1068" s="295">
        <f t="shared" si="98"/>
        <v>400</v>
      </c>
      <c r="L1068" s="296">
        <f t="shared" si="99"/>
        <v>1.3605442176870748E-2</v>
      </c>
      <c r="M1068" s="208" t="s">
        <v>40</v>
      </c>
      <c r="N1068" s="208" t="s">
        <v>4066</v>
      </c>
    </row>
    <row r="1069" spans="1:14">
      <c r="A1069" s="144" t="s">
        <v>1083</v>
      </c>
      <c r="B1069" s="213" t="s">
        <v>4306</v>
      </c>
      <c r="C1069" s="208" t="s">
        <v>1948</v>
      </c>
      <c r="D1069" s="208" t="s">
        <v>4307</v>
      </c>
      <c r="E1069" s="247">
        <v>1</v>
      </c>
      <c r="F1069" s="144" t="s">
        <v>302</v>
      </c>
      <c r="G1069" s="248">
        <v>560</v>
      </c>
      <c r="H1069" s="248">
        <f t="shared" si="96"/>
        <v>560</v>
      </c>
      <c r="I1069" s="156">
        <v>532</v>
      </c>
      <c r="J1069" s="249">
        <f t="shared" si="97"/>
        <v>28</v>
      </c>
      <c r="K1069" s="295">
        <f t="shared" si="98"/>
        <v>28</v>
      </c>
      <c r="L1069" s="296">
        <f t="shared" si="99"/>
        <v>0.05</v>
      </c>
      <c r="M1069" s="208" t="s">
        <v>40</v>
      </c>
      <c r="N1069" s="208" t="s">
        <v>4066</v>
      </c>
    </row>
    <row r="1070" spans="1:14">
      <c r="A1070" s="144" t="s">
        <v>1083</v>
      </c>
      <c r="B1070" s="213" t="s">
        <v>4306</v>
      </c>
      <c r="C1070" s="208" t="s">
        <v>1948</v>
      </c>
      <c r="D1070" s="208" t="s">
        <v>4307</v>
      </c>
      <c r="E1070" s="247">
        <v>1</v>
      </c>
      <c r="F1070" s="144" t="s">
        <v>302</v>
      </c>
      <c r="G1070" s="248">
        <v>575</v>
      </c>
      <c r="H1070" s="248">
        <f t="shared" si="96"/>
        <v>575</v>
      </c>
      <c r="I1070" s="156">
        <v>546.25</v>
      </c>
      <c r="J1070" s="249">
        <f t="shared" si="97"/>
        <v>28.75</v>
      </c>
      <c r="K1070" s="295">
        <f t="shared" si="98"/>
        <v>28.75</v>
      </c>
      <c r="L1070" s="296">
        <f t="shared" si="99"/>
        <v>0.05</v>
      </c>
      <c r="M1070" s="208" t="s">
        <v>40</v>
      </c>
      <c r="N1070" s="208" t="s">
        <v>4066</v>
      </c>
    </row>
    <row r="1071" spans="1:14">
      <c r="A1071" s="144" t="s">
        <v>1083</v>
      </c>
      <c r="B1071" s="213" t="s">
        <v>4308</v>
      </c>
      <c r="C1071" s="208" t="s">
        <v>1948</v>
      </c>
      <c r="D1071" s="208" t="s">
        <v>4309</v>
      </c>
      <c r="E1071" s="247">
        <v>4</v>
      </c>
      <c r="F1071" s="144" t="s">
        <v>3703</v>
      </c>
      <c r="G1071" s="248">
        <v>222</v>
      </c>
      <c r="H1071" s="248">
        <f t="shared" si="96"/>
        <v>888</v>
      </c>
      <c r="I1071" s="156">
        <v>199.8</v>
      </c>
      <c r="J1071" s="249">
        <f t="shared" si="97"/>
        <v>22.199999999999989</v>
      </c>
      <c r="K1071" s="295">
        <f t="shared" si="98"/>
        <v>88.799999999999955</v>
      </c>
      <c r="L1071" s="296">
        <f t="shared" si="99"/>
        <v>9.999999999999995E-2</v>
      </c>
      <c r="M1071" s="208" t="s">
        <v>40</v>
      </c>
      <c r="N1071" s="208" t="s">
        <v>4066</v>
      </c>
    </row>
    <row r="1072" spans="1:14">
      <c r="A1072" s="144" t="s">
        <v>1083</v>
      </c>
      <c r="B1072" s="213" t="s">
        <v>4310</v>
      </c>
      <c r="C1072" s="208" t="s">
        <v>1948</v>
      </c>
      <c r="D1072" s="208" t="s">
        <v>4311</v>
      </c>
      <c r="E1072" s="247">
        <v>10</v>
      </c>
      <c r="F1072" s="144" t="s">
        <v>302</v>
      </c>
      <c r="G1072" s="248">
        <v>51</v>
      </c>
      <c r="H1072" s="248">
        <f t="shared" si="96"/>
        <v>510</v>
      </c>
      <c r="I1072" s="156">
        <v>48.45</v>
      </c>
      <c r="J1072" s="249">
        <f t="shared" si="97"/>
        <v>2.5499999999999972</v>
      </c>
      <c r="K1072" s="295">
        <f t="shared" si="98"/>
        <v>25.499999999999972</v>
      </c>
      <c r="L1072" s="296">
        <f t="shared" si="99"/>
        <v>4.9999999999999947E-2</v>
      </c>
      <c r="M1072" s="208" t="s">
        <v>40</v>
      </c>
      <c r="N1072" s="208" t="s">
        <v>4066</v>
      </c>
    </row>
    <row r="1073" spans="1:14">
      <c r="A1073" s="144" t="s">
        <v>1083</v>
      </c>
      <c r="B1073" s="213" t="s">
        <v>4310</v>
      </c>
      <c r="C1073" s="208" t="s">
        <v>1948</v>
      </c>
      <c r="D1073" s="27" t="s">
        <v>4312</v>
      </c>
      <c r="E1073" s="247">
        <v>1</v>
      </c>
      <c r="F1073" s="144" t="s">
        <v>19</v>
      </c>
      <c r="G1073" s="248">
        <v>3080</v>
      </c>
      <c r="H1073" s="248">
        <f t="shared" si="96"/>
        <v>3080</v>
      </c>
      <c r="I1073" s="156">
        <v>2772</v>
      </c>
      <c r="J1073" s="249">
        <f t="shared" si="97"/>
        <v>308</v>
      </c>
      <c r="K1073" s="295">
        <f>J1073*E1073</f>
        <v>308</v>
      </c>
      <c r="L1073" s="296">
        <f>J1073/G1073</f>
        <v>0.1</v>
      </c>
      <c r="M1073" s="208" t="s">
        <v>40</v>
      </c>
      <c r="N1073" s="208" t="s">
        <v>4066</v>
      </c>
    </row>
    <row r="1074" spans="1:14">
      <c r="A1074" s="144" t="s">
        <v>1083</v>
      </c>
      <c r="B1074" s="213" t="s">
        <v>4313</v>
      </c>
      <c r="C1074" s="208" t="s">
        <v>2291</v>
      </c>
      <c r="D1074" s="208" t="s">
        <v>4314</v>
      </c>
      <c r="E1074" s="247">
        <v>1</v>
      </c>
      <c r="F1074" s="144" t="s">
        <v>285</v>
      </c>
      <c r="G1074" s="248">
        <v>1296000</v>
      </c>
      <c r="H1074" s="248">
        <f t="shared" si="96"/>
        <v>1296000</v>
      </c>
      <c r="I1074" s="156">
        <v>1230000</v>
      </c>
      <c r="J1074" s="249">
        <f t="shared" si="97"/>
        <v>66000</v>
      </c>
      <c r="K1074" s="295">
        <f>J1074*E1074</f>
        <v>66000</v>
      </c>
      <c r="L1074" s="296">
        <f>J1074/G1074</f>
        <v>5.0925925925925923E-2</v>
      </c>
      <c r="M1074" s="208" t="s">
        <v>22</v>
      </c>
      <c r="N1074" s="208" t="s">
        <v>4066</v>
      </c>
    </row>
    <row r="1075" spans="1:14">
      <c r="A1075" s="144" t="s">
        <v>1083</v>
      </c>
      <c r="B1075" s="213" t="s">
        <v>4315</v>
      </c>
      <c r="C1075" s="208" t="s">
        <v>335</v>
      </c>
      <c r="D1075" s="208" t="s">
        <v>4316</v>
      </c>
      <c r="E1075" s="247">
        <v>1</v>
      </c>
      <c r="F1075" s="144" t="s">
        <v>285</v>
      </c>
      <c r="G1075" s="248">
        <v>3883800</v>
      </c>
      <c r="H1075" s="248">
        <f t="shared" si="96"/>
        <v>3883800</v>
      </c>
      <c r="I1075" s="156">
        <v>3750000</v>
      </c>
      <c r="J1075" s="249">
        <f t="shared" si="97"/>
        <v>133800</v>
      </c>
      <c r="K1075" s="295">
        <f>J1075*E1075</f>
        <v>133800</v>
      </c>
      <c r="L1075" s="296">
        <f>J1075/G1075</f>
        <v>3.4450795612544417E-2</v>
      </c>
      <c r="M1075" s="208" t="s">
        <v>22</v>
      </c>
      <c r="N1075" s="208" t="s">
        <v>4066</v>
      </c>
    </row>
    <row r="1076" spans="1:14">
      <c r="A1076" s="144" t="s">
        <v>1083</v>
      </c>
      <c r="B1076" s="213" t="s">
        <v>4317</v>
      </c>
      <c r="C1076" s="208" t="s">
        <v>4318</v>
      </c>
      <c r="D1076" s="208" t="s">
        <v>4319</v>
      </c>
      <c r="E1076" s="247">
        <v>1</v>
      </c>
      <c r="F1076" s="144" t="s">
        <v>19</v>
      </c>
      <c r="G1076" s="248">
        <v>7500</v>
      </c>
      <c r="H1076" s="248">
        <f t="shared" si="96"/>
        <v>7500</v>
      </c>
      <c r="I1076" s="156">
        <v>7000</v>
      </c>
      <c r="J1076" s="249">
        <f t="shared" si="97"/>
        <v>500</v>
      </c>
      <c r="K1076" s="295">
        <f>J1076*E1076</f>
        <v>500</v>
      </c>
      <c r="L1076" s="296">
        <f>J1076/G1076</f>
        <v>6.6666666666666666E-2</v>
      </c>
      <c r="M1076" s="208" t="s">
        <v>40</v>
      </c>
      <c r="N1076" s="208" t="s">
        <v>4066</v>
      </c>
    </row>
    <row r="1077" spans="1:14">
      <c r="A1077" s="144" t="s">
        <v>1083</v>
      </c>
      <c r="B1077" s="271" t="s">
        <v>4320</v>
      </c>
      <c r="C1077" s="208" t="s">
        <v>4179</v>
      </c>
      <c r="D1077" s="279" t="s">
        <v>4321</v>
      </c>
      <c r="E1077" s="263">
        <v>1</v>
      </c>
      <c r="F1077" s="144" t="s">
        <v>285</v>
      </c>
      <c r="G1077" s="248">
        <v>1046677.45</v>
      </c>
      <c r="H1077" s="248">
        <f t="shared" si="96"/>
        <v>1046677.45</v>
      </c>
      <c r="I1077" s="156">
        <v>950000</v>
      </c>
      <c r="J1077" s="249">
        <f t="shared" si="97"/>
        <v>96677.449999999953</v>
      </c>
      <c r="K1077" s="295">
        <f>J1077*E1077</f>
        <v>96677.449999999953</v>
      </c>
      <c r="L1077" s="296">
        <f>J1077/G1077</f>
        <v>9.2366038840332287E-2</v>
      </c>
      <c r="M1077" s="208" t="s">
        <v>40</v>
      </c>
      <c r="N1077" s="208" t="s">
        <v>4066</v>
      </c>
    </row>
    <row r="1078" spans="1:14">
      <c r="A1078" s="144" t="s">
        <v>1083</v>
      </c>
      <c r="B1078" s="213" t="s">
        <v>4322</v>
      </c>
      <c r="C1078" s="302" t="s">
        <v>2610</v>
      </c>
      <c r="D1078" s="292" t="s">
        <v>982</v>
      </c>
      <c r="E1078" s="303">
        <v>1000</v>
      </c>
      <c r="F1078" s="144" t="s">
        <v>19</v>
      </c>
      <c r="G1078" s="248">
        <v>15.24</v>
      </c>
      <c r="H1078" s="248">
        <f t="shared" si="96"/>
        <v>15240</v>
      </c>
      <c r="I1078" s="156">
        <v>14.52</v>
      </c>
      <c r="J1078" s="249">
        <f t="shared" si="97"/>
        <v>0.72000000000000064</v>
      </c>
      <c r="K1078" s="295">
        <f t="shared" ref="K1078:K1084" si="100">J1078*E1078</f>
        <v>720.00000000000068</v>
      </c>
      <c r="L1078" s="296">
        <f t="shared" ref="L1078:L1084" si="101">J1078/G1078</f>
        <v>4.7244094488189017E-2</v>
      </c>
      <c r="M1078" s="208" t="s">
        <v>40</v>
      </c>
      <c r="N1078" s="208" t="s">
        <v>105</v>
      </c>
    </row>
    <row r="1079" spans="1:14">
      <c r="A1079" s="144" t="s">
        <v>1083</v>
      </c>
      <c r="B1079" s="213" t="s">
        <v>4323</v>
      </c>
      <c r="C1079" s="302" t="s">
        <v>270</v>
      </c>
      <c r="D1079" s="292" t="s">
        <v>4324</v>
      </c>
      <c r="E1079" s="303">
        <v>1</v>
      </c>
      <c r="F1079" s="144" t="s">
        <v>302</v>
      </c>
      <c r="G1079" s="248">
        <v>85556</v>
      </c>
      <c r="H1079" s="248">
        <f t="shared" si="96"/>
        <v>85556</v>
      </c>
      <c r="I1079" s="156">
        <v>84280</v>
      </c>
      <c r="J1079" s="249">
        <f t="shared" si="97"/>
        <v>1276</v>
      </c>
      <c r="K1079" s="295">
        <f t="shared" si="100"/>
        <v>1276</v>
      </c>
      <c r="L1079" s="296">
        <f t="shared" si="101"/>
        <v>1.4914208237879284E-2</v>
      </c>
      <c r="M1079" s="208" t="s">
        <v>40</v>
      </c>
      <c r="N1079" s="208" t="s">
        <v>105</v>
      </c>
    </row>
    <row r="1080" spans="1:14">
      <c r="A1080" s="144" t="s">
        <v>1083</v>
      </c>
      <c r="B1080" s="213" t="s">
        <v>4325</v>
      </c>
      <c r="C1080" s="302" t="s">
        <v>2610</v>
      </c>
      <c r="D1080" s="292" t="s">
        <v>982</v>
      </c>
      <c r="E1080" s="303">
        <v>1000</v>
      </c>
      <c r="F1080" s="144" t="s">
        <v>19</v>
      </c>
      <c r="G1080" s="248">
        <v>15.24</v>
      </c>
      <c r="H1080" s="248">
        <f t="shared" si="96"/>
        <v>15240</v>
      </c>
      <c r="I1080" s="156">
        <v>14.52</v>
      </c>
      <c r="J1080" s="249">
        <f t="shared" si="97"/>
        <v>0.72000000000000064</v>
      </c>
      <c r="K1080" s="295">
        <f t="shared" si="100"/>
        <v>720.00000000000068</v>
      </c>
      <c r="L1080" s="296">
        <f t="shared" si="101"/>
        <v>4.7244094488189017E-2</v>
      </c>
      <c r="M1080" s="208" t="s">
        <v>40</v>
      </c>
      <c r="N1080" s="208" t="s">
        <v>105</v>
      </c>
    </row>
    <row r="1081" spans="1:14">
      <c r="A1081" s="144" t="s">
        <v>1083</v>
      </c>
      <c r="B1081" s="213" t="s">
        <v>4326</v>
      </c>
      <c r="C1081" s="302" t="s">
        <v>27</v>
      </c>
      <c r="D1081" s="292" t="s">
        <v>4327</v>
      </c>
      <c r="E1081" s="303">
        <v>100</v>
      </c>
      <c r="F1081" s="144" t="s">
        <v>19</v>
      </c>
      <c r="G1081" s="248">
        <v>1.22</v>
      </c>
      <c r="H1081" s="248">
        <f t="shared" si="96"/>
        <v>122</v>
      </c>
      <c r="I1081" s="156">
        <v>1.2</v>
      </c>
      <c r="J1081" s="249">
        <f t="shared" si="97"/>
        <v>2.0000000000000018E-2</v>
      </c>
      <c r="K1081" s="295">
        <f t="shared" si="100"/>
        <v>2.0000000000000018</v>
      </c>
      <c r="L1081" s="296">
        <f t="shared" si="101"/>
        <v>1.6393442622950834E-2</v>
      </c>
      <c r="M1081" s="208" t="s">
        <v>22</v>
      </c>
      <c r="N1081" s="208" t="s">
        <v>105</v>
      </c>
    </row>
    <row r="1082" spans="1:14">
      <c r="A1082" s="144" t="s">
        <v>1083</v>
      </c>
      <c r="B1082" s="213" t="s">
        <v>4326</v>
      </c>
      <c r="C1082" s="302" t="s">
        <v>27</v>
      </c>
      <c r="D1082" s="292" t="s">
        <v>2859</v>
      </c>
      <c r="E1082" s="303">
        <v>20</v>
      </c>
      <c r="F1082" s="144" t="s">
        <v>19</v>
      </c>
      <c r="G1082" s="248">
        <v>80</v>
      </c>
      <c r="H1082" s="248">
        <f t="shared" si="96"/>
        <v>1600</v>
      </c>
      <c r="I1082" s="156">
        <v>70</v>
      </c>
      <c r="J1082" s="249">
        <f t="shared" si="97"/>
        <v>10</v>
      </c>
      <c r="K1082" s="295">
        <f t="shared" si="100"/>
        <v>200</v>
      </c>
      <c r="L1082" s="296">
        <f t="shared" si="101"/>
        <v>0.125</v>
      </c>
      <c r="M1082" s="208" t="s">
        <v>22</v>
      </c>
      <c r="N1082" s="208" t="s">
        <v>105</v>
      </c>
    </row>
    <row r="1083" spans="1:14">
      <c r="A1083" s="301" t="s">
        <v>1083</v>
      </c>
      <c r="B1083" s="213" t="s">
        <v>4328</v>
      </c>
      <c r="C1083" s="302" t="s">
        <v>4329</v>
      </c>
      <c r="D1083" s="292" t="s">
        <v>4330</v>
      </c>
      <c r="E1083" s="303">
        <v>1</v>
      </c>
      <c r="F1083" s="144" t="s">
        <v>285</v>
      </c>
      <c r="G1083" s="248">
        <v>176275</v>
      </c>
      <c r="H1083" s="248">
        <f t="shared" si="96"/>
        <v>176275</v>
      </c>
      <c r="I1083" s="156">
        <v>173002.57</v>
      </c>
      <c r="J1083" s="249">
        <f t="shared" si="97"/>
        <v>3272.429999999993</v>
      </c>
      <c r="K1083" s="295">
        <f t="shared" si="100"/>
        <v>3272.429999999993</v>
      </c>
      <c r="L1083" s="296">
        <f t="shared" si="101"/>
        <v>1.8564345482910187E-2</v>
      </c>
      <c r="M1083" s="208" t="s">
        <v>22</v>
      </c>
      <c r="N1083" s="208" t="s">
        <v>105</v>
      </c>
    </row>
    <row r="1084" spans="1:14" ht="25.5">
      <c r="A1084" s="363" t="s">
        <v>1083</v>
      </c>
      <c r="B1084" s="364" t="s">
        <v>4331</v>
      </c>
      <c r="C1084" s="365" t="s">
        <v>2011</v>
      </c>
      <c r="D1084" s="366" t="s">
        <v>4332</v>
      </c>
      <c r="E1084" s="303">
        <v>1</v>
      </c>
      <c r="F1084" s="361" t="s">
        <v>285</v>
      </c>
      <c r="G1084" s="367">
        <v>25774.2</v>
      </c>
      <c r="H1084" s="367">
        <f t="shared" si="96"/>
        <v>25774.2</v>
      </c>
      <c r="I1084" s="368">
        <v>23924</v>
      </c>
      <c r="J1084" s="249">
        <f t="shared" si="97"/>
        <v>1850.2000000000007</v>
      </c>
      <c r="K1084" s="295">
        <f t="shared" si="100"/>
        <v>1850.2000000000007</v>
      </c>
      <c r="L1084" s="296">
        <f t="shared" si="101"/>
        <v>7.1784963257831499E-2</v>
      </c>
      <c r="M1084" s="369" t="s">
        <v>40</v>
      </c>
      <c r="N1084" s="369" t="s">
        <v>105</v>
      </c>
    </row>
    <row r="1085" spans="1:14" ht="38.25">
      <c r="A1085" s="363" t="s">
        <v>1083</v>
      </c>
      <c r="B1085" s="364" t="s">
        <v>4333</v>
      </c>
      <c r="C1085" s="369" t="s">
        <v>4334</v>
      </c>
      <c r="D1085" s="366" t="s">
        <v>4332</v>
      </c>
      <c r="E1085" s="247">
        <v>1</v>
      </c>
      <c r="F1085" s="362" t="s">
        <v>285</v>
      </c>
      <c r="G1085" s="367">
        <v>69966.36</v>
      </c>
      <c r="H1085" s="367">
        <f t="shared" si="96"/>
        <v>69966.36</v>
      </c>
      <c r="I1085" s="368">
        <v>68285.899999999994</v>
      </c>
      <c r="J1085" s="249">
        <f t="shared" si="97"/>
        <v>1680.4600000000064</v>
      </c>
      <c r="K1085" s="295">
        <f>J1085*E1085</f>
        <v>1680.4600000000064</v>
      </c>
      <c r="L1085" s="296">
        <f>J1085/G1085</f>
        <v>2.4018113847854974E-2</v>
      </c>
      <c r="M1085" s="369" t="s">
        <v>40</v>
      </c>
      <c r="N1085" s="369" t="s">
        <v>105</v>
      </c>
    </row>
    <row r="1086" spans="1:14">
      <c r="A1086" s="301" t="s">
        <v>1083</v>
      </c>
      <c r="B1086" s="213" t="s">
        <v>4335</v>
      </c>
      <c r="C1086" s="208" t="s">
        <v>926</v>
      </c>
      <c r="D1086" s="208" t="s">
        <v>449</v>
      </c>
      <c r="E1086" s="247">
        <v>20</v>
      </c>
      <c r="F1086" s="144" t="s">
        <v>302</v>
      </c>
      <c r="G1086" s="248">
        <v>2160</v>
      </c>
      <c r="H1086" s="248">
        <f t="shared" si="96"/>
        <v>43200</v>
      </c>
      <c r="I1086" s="156">
        <v>1500</v>
      </c>
      <c r="J1086" s="249">
        <f t="shared" si="97"/>
        <v>660</v>
      </c>
      <c r="K1086" s="295">
        <f>J1086*E1086</f>
        <v>13200</v>
      </c>
      <c r="L1086" s="296">
        <f>J1086/G1086</f>
        <v>0.30555555555555558</v>
      </c>
      <c r="M1086" s="208" t="s">
        <v>22</v>
      </c>
      <c r="N1086" s="208" t="s">
        <v>105</v>
      </c>
    </row>
    <row r="1087" spans="1:14">
      <c r="A1087" s="301" t="s">
        <v>1083</v>
      </c>
      <c r="B1087" s="213" t="s">
        <v>4336</v>
      </c>
      <c r="C1087" s="302" t="s">
        <v>270</v>
      </c>
      <c r="D1087" s="292" t="s">
        <v>962</v>
      </c>
      <c r="E1087" s="303">
        <v>2361.6999999999998</v>
      </c>
      <c r="F1087" s="144" t="s">
        <v>37</v>
      </c>
      <c r="G1087" s="248">
        <v>405</v>
      </c>
      <c r="H1087" s="248">
        <f t="shared" si="96"/>
        <v>956488.49999999988</v>
      </c>
      <c r="I1087" s="156">
        <v>380</v>
      </c>
      <c r="J1087" s="249">
        <f t="shared" si="97"/>
        <v>25</v>
      </c>
      <c r="K1087" s="295">
        <f t="shared" ref="K1087:K1121" si="102">J1087*E1087</f>
        <v>59042.499999999993</v>
      </c>
      <c r="L1087" s="296">
        <f t="shared" ref="L1087:L1121" si="103">J1087/G1087</f>
        <v>6.1728395061728392E-2</v>
      </c>
      <c r="M1087" s="208" t="s">
        <v>22</v>
      </c>
      <c r="N1087" s="208" t="s">
        <v>105</v>
      </c>
    </row>
    <row r="1088" spans="1:14">
      <c r="A1088" s="301" t="s">
        <v>1083</v>
      </c>
      <c r="B1088" s="213" t="s">
        <v>4337</v>
      </c>
      <c r="C1088" s="302" t="s">
        <v>1948</v>
      </c>
      <c r="D1088" s="292" t="s">
        <v>4338</v>
      </c>
      <c r="E1088" s="303">
        <v>1</v>
      </c>
      <c r="F1088" s="144" t="s">
        <v>29</v>
      </c>
      <c r="G1088" s="248">
        <v>1335</v>
      </c>
      <c r="H1088" s="248">
        <f t="shared" si="96"/>
        <v>1335</v>
      </c>
      <c r="I1088" s="156">
        <v>1201.5</v>
      </c>
      <c r="J1088" s="249">
        <f t="shared" si="97"/>
        <v>133.5</v>
      </c>
      <c r="K1088" s="295">
        <f t="shared" si="102"/>
        <v>133.5</v>
      </c>
      <c r="L1088" s="296">
        <f t="shared" si="103"/>
        <v>0.1</v>
      </c>
      <c r="M1088" s="208" t="s">
        <v>40</v>
      </c>
      <c r="N1088" s="208" t="s">
        <v>4066</v>
      </c>
    </row>
    <row r="1089" spans="1:14">
      <c r="A1089" s="301" t="s">
        <v>1083</v>
      </c>
      <c r="B1089" s="213" t="s">
        <v>4339</v>
      </c>
      <c r="C1089" s="302" t="s">
        <v>398</v>
      </c>
      <c r="D1089" s="292" t="s">
        <v>4340</v>
      </c>
      <c r="E1089" s="303">
        <v>1</v>
      </c>
      <c r="F1089" s="144" t="s">
        <v>59</v>
      </c>
      <c r="G1089" s="248">
        <v>32000</v>
      </c>
      <c r="H1089" s="248">
        <f t="shared" si="96"/>
        <v>32000</v>
      </c>
      <c r="I1089" s="156">
        <v>30000</v>
      </c>
      <c r="J1089" s="249">
        <f t="shared" si="97"/>
        <v>2000</v>
      </c>
      <c r="K1089" s="295">
        <f t="shared" si="102"/>
        <v>2000</v>
      </c>
      <c r="L1089" s="296">
        <f t="shared" si="103"/>
        <v>6.25E-2</v>
      </c>
      <c r="M1089" s="208" t="s">
        <v>40</v>
      </c>
      <c r="N1089" s="208" t="s">
        <v>4066</v>
      </c>
    </row>
    <row r="1090" spans="1:14">
      <c r="A1090" s="301" t="s">
        <v>1083</v>
      </c>
      <c r="B1090" s="213" t="s">
        <v>4341</v>
      </c>
      <c r="C1090" s="302" t="s">
        <v>1948</v>
      </c>
      <c r="D1090" s="292" t="s">
        <v>4342</v>
      </c>
      <c r="E1090" s="303">
        <v>3</v>
      </c>
      <c r="F1090" s="144" t="s">
        <v>19</v>
      </c>
      <c r="G1090" s="248">
        <v>1725</v>
      </c>
      <c r="H1090" s="248">
        <f t="shared" si="96"/>
        <v>5175</v>
      </c>
      <c r="I1090" s="156">
        <v>1638.75</v>
      </c>
      <c r="J1090" s="249">
        <f t="shared" si="97"/>
        <v>86.25</v>
      </c>
      <c r="K1090" s="295">
        <f t="shared" si="102"/>
        <v>258.75</v>
      </c>
      <c r="L1090" s="296">
        <f t="shared" si="103"/>
        <v>0.05</v>
      </c>
      <c r="M1090" s="208" t="s">
        <v>40</v>
      </c>
      <c r="N1090" s="208" t="s">
        <v>4066</v>
      </c>
    </row>
    <row r="1091" spans="1:14">
      <c r="A1091" s="301" t="s">
        <v>1083</v>
      </c>
      <c r="B1091" s="213" t="s">
        <v>4343</v>
      </c>
      <c r="C1091" s="302" t="s">
        <v>171</v>
      </c>
      <c r="D1091" s="292" t="s">
        <v>4344</v>
      </c>
      <c r="E1091" s="303">
        <v>1</v>
      </c>
      <c r="F1091" s="144" t="s">
        <v>59</v>
      </c>
      <c r="G1091" s="248">
        <v>35000</v>
      </c>
      <c r="H1091" s="248">
        <f t="shared" si="96"/>
        <v>35000</v>
      </c>
      <c r="I1091" s="156">
        <v>33250</v>
      </c>
      <c r="J1091" s="249">
        <f t="shared" si="97"/>
        <v>1750</v>
      </c>
      <c r="K1091" s="295">
        <f t="shared" si="102"/>
        <v>1750</v>
      </c>
      <c r="L1091" s="296">
        <f t="shared" si="103"/>
        <v>0.05</v>
      </c>
      <c r="M1091" s="208" t="s">
        <v>40</v>
      </c>
      <c r="N1091" s="208" t="s">
        <v>4066</v>
      </c>
    </row>
    <row r="1092" spans="1:14">
      <c r="A1092" s="301" t="s">
        <v>1083</v>
      </c>
      <c r="B1092" s="213" t="s">
        <v>4345</v>
      </c>
      <c r="C1092" s="302" t="s">
        <v>3020</v>
      </c>
      <c r="D1092" s="292" t="s">
        <v>4346</v>
      </c>
      <c r="E1092" s="303">
        <v>1</v>
      </c>
      <c r="F1092" s="144" t="s">
        <v>59</v>
      </c>
      <c r="G1092" s="248">
        <v>80250</v>
      </c>
      <c r="H1092" s="248">
        <f t="shared" si="96"/>
        <v>80250</v>
      </c>
      <c r="I1092" s="156">
        <v>77000</v>
      </c>
      <c r="J1092" s="249">
        <f t="shared" si="97"/>
        <v>3250</v>
      </c>
      <c r="K1092" s="295">
        <f t="shared" si="102"/>
        <v>3250</v>
      </c>
      <c r="L1092" s="296">
        <f t="shared" si="103"/>
        <v>4.0498442367601244E-2</v>
      </c>
      <c r="M1092" s="208" t="s">
        <v>40</v>
      </c>
      <c r="N1092" s="208" t="s">
        <v>4066</v>
      </c>
    </row>
    <row r="1093" spans="1:14">
      <c r="A1093" s="301" t="s">
        <v>1083</v>
      </c>
      <c r="B1093" s="213" t="s">
        <v>4347</v>
      </c>
      <c r="C1093" s="302" t="s">
        <v>57</v>
      </c>
      <c r="D1093" s="292" t="s">
        <v>4348</v>
      </c>
      <c r="E1093" s="303">
        <v>1</v>
      </c>
      <c r="F1093" s="144" t="s">
        <v>59</v>
      </c>
      <c r="G1093" s="248">
        <v>54000</v>
      </c>
      <c r="H1093" s="248">
        <f t="shared" si="96"/>
        <v>54000</v>
      </c>
      <c r="I1093" s="156">
        <v>52000</v>
      </c>
      <c r="J1093" s="249">
        <f t="shared" si="97"/>
        <v>2000</v>
      </c>
      <c r="K1093" s="295">
        <f t="shared" si="102"/>
        <v>2000</v>
      </c>
      <c r="L1093" s="296">
        <f t="shared" si="103"/>
        <v>3.7037037037037035E-2</v>
      </c>
      <c r="M1093" s="208" t="s">
        <v>40</v>
      </c>
      <c r="N1093" s="208" t="s">
        <v>4066</v>
      </c>
    </row>
    <row r="1094" spans="1:14">
      <c r="A1094" s="301" t="s">
        <v>1083</v>
      </c>
      <c r="B1094" s="213" t="s">
        <v>4349</v>
      </c>
      <c r="C1094" s="302" t="s">
        <v>157</v>
      </c>
      <c r="D1094" s="292" t="s">
        <v>4350</v>
      </c>
      <c r="E1094" s="303">
        <v>1</v>
      </c>
      <c r="F1094" s="144" t="s">
        <v>302</v>
      </c>
      <c r="G1094" s="248">
        <v>32750</v>
      </c>
      <c r="H1094" s="248">
        <f t="shared" si="96"/>
        <v>32750</v>
      </c>
      <c r="I1094" s="156">
        <v>26200</v>
      </c>
      <c r="J1094" s="249">
        <f t="shared" si="97"/>
        <v>6550</v>
      </c>
      <c r="K1094" s="295">
        <f t="shared" si="102"/>
        <v>6550</v>
      </c>
      <c r="L1094" s="296">
        <f t="shared" si="103"/>
        <v>0.2</v>
      </c>
      <c r="M1094" s="208" t="s">
        <v>40</v>
      </c>
      <c r="N1094" s="208" t="s">
        <v>4066</v>
      </c>
    </row>
    <row r="1095" spans="1:14">
      <c r="A1095" s="301" t="s">
        <v>1083</v>
      </c>
      <c r="B1095" s="213" t="s">
        <v>4351</v>
      </c>
      <c r="C1095" s="302" t="s">
        <v>1948</v>
      </c>
      <c r="D1095" s="292" t="s">
        <v>4312</v>
      </c>
      <c r="E1095" s="303">
        <v>1</v>
      </c>
      <c r="F1095" s="144" t="s">
        <v>19</v>
      </c>
      <c r="G1095" s="248">
        <v>3080</v>
      </c>
      <c r="H1095" s="248">
        <f t="shared" si="96"/>
        <v>3080</v>
      </c>
      <c r="I1095" s="156">
        <v>2772</v>
      </c>
      <c r="J1095" s="249">
        <f t="shared" si="97"/>
        <v>308</v>
      </c>
      <c r="K1095" s="295">
        <f t="shared" si="102"/>
        <v>308</v>
      </c>
      <c r="L1095" s="296">
        <f t="shared" si="103"/>
        <v>0.1</v>
      </c>
      <c r="M1095" s="208" t="s">
        <v>40</v>
      </c>
      <c r="N1095" s="208" t="s">
        <v>4066</v>
      </c>
    </row>
    <row r="1096" spans="1:14">
      <c r="A1096" s="301" t="s">
        <v>1083</v>
      </c>
      <c r="B1096" s="213" t="s">
        <v>4352</v>
      </c>
      <c r="C1096" s="302" t="s">
        <v>398</v>
      </c>
      <c r="D1096" s="292" t="s">
        <v>4353</v>
      </c>
      <c r="E1096" s="303">
        <v>1</v>
      </c>
      <c r="F1096" s="144" t="s">
        <v>59</v>
      </c>
      <c r="G1096" s="248">
        <v>32000</v>
      </c>
      <c r="H1096" s="248">
        <f t="shared" si="96"/>
        <v>32000</v>
      </c>
      <c r="I1096" s="156">
        <v>30000</v>
      </c>
      <c r="J1096" s="249">
        <f t="shared" si="97"/>
        <v>2000</v>
      </c>
      <c r="K1096" s="295">
        <f t="shared" si="102"/>
        <v>2000</v>
      </c>
      <c r="L1096" s="296">
        <f t="shared" si="103"/>
        <v>6.25E-2</v>
      </c>
      <c r="M1096" s="208" t="s">
        <v>40</v>
      </c>
      <c r="N1096" s="208" t="s">
        <v>4066</v>
      </c>
    </row>
    <row r="1097" spans="1:14">
      <c r="A1097" s="301" t="s">
        <v>1083</v>
      </c>
      <c r="B1097" s="213" t="s">
        <v>4354</v>
      </c>
      <c r="C1097" s="302" t="s">
        <v>118</v>
      </c>
      <c r="D1097" s="292" t="s">
        <v>4355</v>
      </c>
      <c r="E1097" s="303">
        <v>10</v>
      </c>
      <c r="F1097" s="144" t="s">
        <v>19</v>
      </c>
      <c r="G1097" s="248">
        <v>6650</v>
      </c>
      <c r="H1097" s="248">
        <f t="shared" ref="H1097:H1104" si="104">G1097*E1097</f>
        <v>66500</v>
      </c>
      <c r="I1097" s="156">
        <v>3657.5</v>
      </c>
      <c r="J1097" s="249">
        <f t="shared" ref="J1097:J1121" si="105">G1097-I1097</f>
        <v>2992.5</v>
      </c>
      <c r="K1097" s="295">
        <f t="shared" si="102"/>
        <v>29925</v>
      </c>
      <c r="L1097" s="296">
        <f t="shared" si="103"/>
        <v>0.45</v>
      </c>
      <c r="M1097" s="208" t="s">
        <v>40</v>
      </c>
      <c r="N1097" s="208" t="s">
        <v>4066</v>
      </c>
    </row>
    <row r="1098" spans="1:14">
      <c r="A1098" s="301" t="s">
        <v>1083</v>
      </c>
      <c r="B1098" s="213" t="s">
        <v>4356</v>
      </c>
      <c r="C1098" s="302" t="s">
        <v>248</v>
      </c>
      <c r="D1098" s="292" t="s">
        <v>4357</v>
      </c>
      <c r="E1098" s="303">
        <v>1</v>
      </c>
      <c r="F1098" s="144" t="s">
        <v>19</v>
      </c>
      <c r="G1098" s="248">
        <v>3100</v>
      </c>
      <c r="H1098" s="248">
        <f t="shared" si="104"/>
        <v>3100</v>
      </c>
      <c r="I1098" s="156">
        <v>2050</v>
      </c>
      <c r="J1098" s="249">
        <f t="shared" si="105"/>
        <v>1050</v>
      </c>
      <c r="K1098" s="295">
        <f t="shared" si="102"/>
        <v>1050</v>
      </c>
      <c r="L1098" s="296">
        <f t="shared" si="103"/>
        <v>0.33870967741935482</v>
      </c>
      <c r="M1098" s="208" t="s">
        <v>40</v>
      </c>
      <c r="N1098" s="208" t="s">
        <v>4066</v>
      </c>
    </row>
    <row r="1099" spans="1:14">
      <c r="A1099" s="301" t="s">
        <v>1083</v>
      </c>
      <c r="B1099" s="213" t="s">
        <v>4358</v>
      </c>
      <c r="C1099" s="27" t="s">
        <v>57</v>
      </c>
      <c r="D1099" s="292" t="s">
        <v>4359</v>
      </c>
      <c r="E1099" s="303">
        <v>1</v>
      </c>
      <c r="F1099" s="144" t="s">
        <v>285</v>
      </c>
      <c r="G1099" s="248">
        <v>35000</v>
      </c>
      <c r="H1099" s="248">
        <f t="shared" si="104"/>
        <v>35000</v>
      </c>
      <c r="I1099" s="156">
        <v>30000</v>
      </c>
      <c r="J1099" s="249">
        <f t="shared" si="105"/>
        <v>5000</v>
      </c>
      <c r="K1099" s="295">
        <f t="shared" si="102"/>
        <v>5000</v>
      </c>
      <c r="L1099" s="296">
        <f t="shared" si="103"/>
        <v>0.14285714285714285</v>
      </c>
      <c r="M1099" s="208" t="s">
        <v>40</v>
      </c>
      <c r="N1099" s="208" t="s">
        <v>4066</v>
      </c>
    </row>
    <row r="1100" spans="1:14">
      <c r="A1100" s="301" t="s">
        <v>1083</v>
      </c>
      <c r="B1100" s="213" t="s">
        <v>4273</v>
      </c>
      <c r="C1100" s="302" t="s">
        <v>617</v>
      </c>
      <c r="D1100" s="292" t="s">
        <v>233</v>
      </c>
      <c r="E1100" s="303">
        <v>9000</v>
      </c>
      <c r="F1100" s="304" t="s">
        <v>37</v>
      </c>
      <c r="G1100" s="248">
        <v>26</v>
      </c>
      <c r="H1100" s="248">
        <f t="shared" si="104"/>
        <v>234000</v>
      </c>
      <c r="I1100" s="156">
        <v>25.5</v>
      </c>
      <c r="J1100" s="249">
        <f t="shared" si="105"/>
        <v>0.5</v>
      </c>
      <c r="K1100" s="295">
        <f t="shared" si="102"/>
        <v>4500</v>
      </c>
      <c r="L1100" s="296">
        <f t="shared" si="103"/>
        <v>1.9230769230769232E-2</v>
      </c>
      <c r="M1100" s="208" t="s">
        <v>22</v>
      </c>
      <c r="N1100" s="208" t="s">
        <v>39</v>
      </c>
    </row>
    <row r="1101" spans="1:14">
      <c r="A1101" s="301" t="s">
        <v>1083</v>
      </c>
      <c r="B1101" s="213" t="s">
        <v>4273</v>
      </c>
      <c r="C1101" s="302" t="s">
        <v>617</v>
      </c>
      <c r="D1101" s="292" t="s">
        <v>230</v>
      </c>
      <c r="E1101" s="303">
        <v>6000</v>
      </c>
      <c r="F1101" s="144" t="s">
        <v>37</v>
      </c>
      <c r="G1101" s="248">
        <v>26</v>
      </c>
      <c r="H1101" s="248">
        <f t="shared" si="104"/>
        <v>156000</v>
      </c>
      <c r="I1101" s="156">
        <v>25.5</v>
      </c>
      <c r="J1101" s="249">
        <f t="shared" si="105"/>
        <v>0.5</v>
      </c>
      <c r="K1101" s="295">
        <f t="shared" si="102"/>
        <v>3000</v>
      </c>
      <c r="L1101" s="296">
        <f t="shared" si="103"/>
        <v>1.9230769230769232E-2</v>
      </c>
      <c r="M1101" s="208" t="s">
        <v>22</v>
      </c>
      <c r="N1101" s="208" t="s">
        <v>39</v>
      </c>
    </row>
    <row r="1102" spans="1:14">
      <c r="A1102" s="301" t="s">
        <v>1083</v>
      </c>
      <c r="B1102" s="213" t="s">
        <v>4360</v>
      </c>
      <c r="C1102" s="302" t="s">
        <v>3235</v>
      </c>
      <c r="D1102" s="292" t="s">
        <v>2255</v>
      </c>
      <c r="E1102" s="303">
        <v>3080</v>
      </c>
      <c r="F1102" s="144" t="s">
        <v>37</v>
      </c>
      <c r="G1102" s="248">
        <v>26.5</v>
      </c>
      <c r="H1102" s="248">
        <f t="shared" si="104"/>
        <v>81620</v>
      </c>
      <c r="I1102" s="156">
        <v>26</v>
      </c>
      <c r="J1102" s="249">
        <f t="shared" si="105"/>
        <v>0.5</v>
      </c>
      <c r="K1102" s="295">
        <f t="shared" si="102"/>
        <v>1540</v>
      </c>
      <c r="L1102" s="296">
        <f t="shared" si="103"/>
        <v>1.8867924528301886E-2</v>
      </c>
      <c r="M1102" s="208" t="s">
        <v>22</v>
      </c>
      <c r="N1102" s="208" t="s">
        <v>39</v>
      </c>
    </row>
    <row r="1103" spans="1:14">
      <c r="A1103" s="301" t="s">
        <v>1083</v>
      </c>
      <c r="B1103" s="213" t="s">
        <v>4361</v>
      </c>
      <c r="C1103" s="302" t="s">
        <v>617</v>
      </c>
      <c r="D1103" s="292" t="s">
        <v>996</v>
      </c>
      <c r="E1103" s="303">
        <v>3000</v>
      </c>
      <c r="F1103" s="144" t="s">
        <v>37</v>
      </c>
      <c r="G1103" s="248">
        <v>26</v>
      </c>
      <c r="H1103" s="248">
        <f t="shared" si="104"/>
        <v>78000</v>
      </c>
      <c r="I1103" s="156">
        <v>25.5</v>
      </c>
      <c r="J1103" s="249">
        <f t="shared" si="105"/>
        <v>0.5</v>
      </c>
      <c r="K1103" s="295">
        <f t="shared" si="102"/>
        <v>1500</v>
      </c>
      <c r="L1103" s="296">
        <f t="shared" si="103"/>
        <v>1.9230769230769232E-2</v>
      </c>
      <c r="M1103" s="208" t="s">
        <v>22</v>
      </c>
      <c r="N1103" s="208" t="s">
        <v>39</v>
      </c>
    </row>
    <row r="1104" spans="1:14">
      <c r="A1104" s="301" t="s">
        <v>1083</v>
      </c>
      <c r="B1104" s="213" t="s">
        <v>4361</v>
      </c>
      <c r="C1104" s="302" t="s">
        <v>617</v>
      </c>
      <c r="D1104" s="292" t="s">
        <v>233</v>
      </c>
      <c r="E1104" s="303">
        <v>6000</v>
      </c>
      <c r="F1104" s="144" t="s">
        <v>37</v>
      </c>
      <c r="G1104" s="248">
        <v>26</v>
      </c>
      <c r="H1104" s="248">
        <f t="shared" si="104"/>
        <v>156000</v>
      </c>
      <c r="I1104" s="156">
        <v>25.5</v>
      </c>
      <c r="J1104" s="249">
        <f t="shared" si="105"/>
        <v>0.5</v>
      </c>
      <c r="K1104" s="295">
        <f t="shared" si="102"/>
        <v>3000</v>
      </c>
      <c r="L1104" s="296">
        <f t="shared" si="103"/>
        <v>1.9230769230769232E-2</v>
      </c>
      <c r="M1104" s="208" t="s">
        <v>22</v>
      </c>
      <c r="N1104" s="208" t="s">
        <v>39</v>
      </c>
    </row>
    <row r="1105" spans="1:14">
      <c r="A1105" s="144" t="s">
        <v>1295</v>
      </c>
      <c r="B1105" s="213" t="s">
        <v>4362</v>
      </c>
      <c r="C1105" s="208" t="s">
        <v>329</v>
      </c>
      <c r="D1105" s="208" t="s">
        <v>2873</v>
      </c>
      <c r="E1105" s="247">
        <v>20</v>
      </c>
      <c r="F1105" s="144" t="s">
        <v>701</v>
      </c>
      <c r="G1105" s="248">
        <v>8900</v>
      </c>
      <c r="H1105" s="248">
        <f>G1105*E1105</f>
        <v>178000</v>
      </c>
      <c r="I1105" s="156">
        <v>8890</v>
      </c>
      <c r="J1105" s="249">
        <f t="shared" si="105"/>
        <v>10</v>
      </c>
      <c r="K1105" s="295">
        <f t="shared" si="102"/>
        <v>200</v>
      </c>
      <c r="L1105" s="296">
        <f t="shared" si="103"/>
        <v>1.1235955056179776E-3</v>
      </c>
      <c r="M1105" s="208" t="s">
        <v>40</v>
      </c>
      <c r="N1105" s="208" t="s">
        <v>39</v>
      </c>
    </row>
    <row r="1106" spans="1:14">
      <c r="A1106" s="144" t="s">
        <v>1295</v>
      </c>
      <c r="B1106" s="213" t="s">
        <v>4363</v>
      </c>
      <c r="C1106" s="208" t="s">
        <v>708</v>
      </c>
      <c r="D1106" s="208" t="s">
        <v>4047</v>
      </c>
      <c r="E1106" s="247">
        <v>3100</v>
      </c>
      <c r="F1106" s="144" t="s">
        <v>37</v>
      </c>
      <c r="G1106" s="248">
        <v>403.23</v>
      </c>
      <c r="H1106" s="248">
        <f t="shared" ref="H1106:H1121" si="106">G1106*E1106</f>
        <v>1250013</v>
      </c>
      <c r="I1106" s="156">
        <v>392</v>
      </c>
      <c r="J1106" s="249">
        <f t="shared" si="105"/>
        <v>11.230000000000018</v>
      </c>
      <c r="K1106" s="295">
        <f t="shared" si="102"/>
        <v>34813.000000000058</v>
      </c>
      <c r="L1106" s="296">
        <f t="shared" si="103"/>
        <v>2.7850110358852313E-2</v>
      </c>
      <c r="M1106" s="208" t="s">
        <v>40</v>
      </c>
      <c r="N1106" s="208" t="s">
        <v>105</v>
      </c>
    </row>
    <row r="1107" spans="1:14">
      <c r="A1107" s="144" t="s">
        <v>1295</v>
      </c>
      <c r="B1107" s="213" t="s">
        <v>4364</v>
      </c>
      <c r="C1107" s="208" t="s">
        <v>1042</v>
      </c>
      <c r="D1107" s="208" t="s">
        <v>711</v>
      </c>
      <c r="E1107" s="247">
        <v>1172</v>
      </c>
      <c r="F1107" s="144" t="s">
        <v>37</v>
      </c>
      <c r="G1107" s="248">
        <v>393</v>
      </c>
      <c r="H1107" s="248">
        <f t="shared" si="106"/>
        <v>460596</v>
      </c>
      <c r="I1107" s="156">
        <v>363</v>
      </c>
      <c r="J1107" s="249">
        <f t="shared" si="105"/>
        <v>30</v>
      </c>
      <c r="K1107" s="295">
        <f t="shared" si="102"/>
        <v>35160</v>
      </c>
      <c r="L1107" s="296">
        <f t="shared" si="103"/>
        <v>7.6335877862595422E-2</v>
      </c>
      <c r="M1107" s="208" t="s">
        <v>40</v>
      </c>
      <c r="N1107" s="208" t="s">
        <v>105</v>
      </c>
    </row>
    <row r="1108" spans="1:14">
      <c r="A1108" s="144" t="s">
        <v>1295</v>
      </c>
      <c r="B1108" s="213" t="s">
        <v>4365</v>
      </c>
      <c r="C1108" s="208" t="s">
        <v>1042</v>
      </c>
      <c r="D1108" s="208" t="s">
        <v>1141</v>
      </c>
      <c r="E1108" s="247">
        <v>1</v>
      </c>
      <c r="F1108" s="144" t="s">
        <v>285</v>
      </c>
      <c r="G1108" s="248">
        <v>13655.9</v>
      </c>
      <c r="H1108" s="248">
        <f t="shared" si="106"/>
        <v>13655.9</v>
      </c>
      <c r="I1108" s="156">
        <v>0</v>
      </c>
      <c r="J1108" s="249">
        <f t="shared" si="105"/>
        <v>13655.9</v>
      </c>
      <c r="K1108" s="295">
        <f t="shared" si="102"/>
        <v>13655.9</v>
      </c>
      <c r="L1108" s="296">
        <f t="shared" si="103"/>
        <v>1</v>
      </c>
      <c r="M1108" s="208" t="s">
        <v>33</v>
      </c>
      <c r="N1108" s="208" t="s">
        <v>105</v>
      </c>
    </row>
    <row r="1109" spans="1:14">
      <c r="A1109" s="144" t="s">
        <v>1295</v>
      </c>
      <c r="B1109" s="213" t="s">
        <v>4366</v>
      </c>
      <c r="C1109" s="208" t="s">
        <v>776</v>
      </c>
      <c r="D1109" s="208" t="s">
        <v>502</v>
      </c>
      <c r="E1109" s="247">
        <v>100000</v>
      </c>
      <c r="F1109" s="144" t="s">
        <v>37</v>
      </c>
      <c r="G1109" s="248">
        <v>50.83</v>
      </c>
      <c r="H1109" s="248">
        <f t="shared" si="106"/>
        <v>5083000</v>
      </c>
      <c r="I1109" s="156">
        <v>49.68</v>
      </c>
      <c r="J1109" s="249">
        <f t="shared" si="105"/>
        <v>1.1499999999999986</v>
      </c>
      <c r="K1109" s="295">
        <f t="shared" si="102"/>
        <v>114999.99999999985</v>
      </c>
      <c r="L1109" s="296">
        <f t="shared" si="103"/>
        <v>2.2624434389140243E-2</v>
      </c>
      <c r="M1109" s="208" t="s">
        <v>22</v>
      </c>
      <c r="N1109" s="208" t="s">
        <v>39</v>
      </c>
    </row>
    <row r="1110" spans="1:14">
      <c r="A1110" s="144" t="s">
        <v>1295</v>
      </c>
      <c r="B1110" s="213" t="s">
        <v>4366</v>
      </c>
      <c r="C1110" s="208" t="s">
        <v>776</v>
      </c>
      <c r="D1110" s="208" t="s">
        <v>813</v>
      </c>
      <c r="E1110" s="247">
        <v>80000</v>
      </c>
      <c r="F1110" s="144" t="s">
        <v>37</v>
      </c>
      <c r="G1110" s="248">
        <v>48.69</v>
      </c>
      <c r="H1110" s="248">
        <f t="shared" si="106"/>
        <v>3895200</v>
      </c>
      <c r="I1110" s="156">
        <v>47.86</v>
      </c>
      <c r="J1110" s="249">
        <f t="shared" si="105"/>
        <v>0.82999999999999829</v>
      </c>
      <c r="K1110" s="295">
        <f t="shared" si="102"/>
        <v>66399.999999999869</v>
      </c>
      <c r="L1110" s="296">
        <f t="shared" si="103"/>
        <v>1.7046621482850653E-2</v>
      </c>
      <c r="M1110" s="208" t="s">
        <v>22</v>
      </c>
      <c r="N1110" s="208" t="s">
        <v>39</v>
      </c>
    </row>
    <row r="1111" spans="1:14">
      <c r="A1111" s="144" t="s">
        <v>1295</v>
      </c>
      <c r="B1111" s="213" t="s">
        <v>4367</v>
      </c>
      <c r="C1111" s="208" t="s">
        <v>522</v>
      </c>
      <c r="D1111" s="208" t="s">
        <v>4368</v>
      </c>
      <c r="E1111" s="247">
        <v>1</v>
      </c>
      <c r="F1111" s="144" t="s">
        <v>285</v>
      </c>
      <c r="G1111" s="248">
        <v>1140919.1499999999</v>
      </c>
      <c r="H1111" s="248">
        <f t="shared" si="106"/>
        <v>1140919.1499999999</v>
      </c>
      <c r="I1111" s="156">
        <v>1070000</v>
      </c>
      <c r="J1111" s="249">
        <f t="shared" si="105"/>
        <v>70919.149999999907</v>
      </c>
      <c r="K1111" s="295">
        <f t="shared" si="102"/>
        <v>70919.149999999907</v>
      </c>
      <c r="L1111" s="296">
        <f t="shared" si="103"/>
        <v>6.2159663110221183E-2</v>
      </c>
      <c r="M1111" s="208" t="s">
        <v>40</v>
      </c>
      <c r="N1111" s="208" t="s">
        <v>4066</v>
      </c>
    </row>
    <row r="1112" spans="1:14">
      <c r="A1112" s="144" t="s">
        <v>1295</v>
      </c>
      <c r="B1112" s="213" t="s">
        <v>4369</v>
      </c>
      <c r="C1112" s="208" t="s">
        <v>708</v>
      </c>
      <c r="D1112" s="208" t="s">
        <v>3616</v>
      </c>
      <c r="E1112" s="247">
        <v>500</v>
      </c>
      <c r="F1112" s="144" t="s">
        <v>37</v>
      </c>
      <c r="G1112" s="248">
        <v>407.16</v>
      </c>
      <c r="H1112" s="248">
        <f t="shared" si="106"/>
        <v>203580</v>
      </c>
      <c r="I1112" s="156">
        <v>402.16</v>
      </c>
      <c r="J1112" s="249">
        <f t="shared" si="105"/>
        <v>5</v>
      </c>
      <c r="K1112" s="295">
        <f t="shared" si="102"/>
        <v>2500</v>
      </c>
      <c r="L1112" s="296">
        <f t="shared" si="103"/>
        <v>1.2280184693977797E-2</v>
      </c>
      <c r="M1112" s="208" t="s">
        <v>40</v>
      </c>
      <c r="N1112" s="208" t="s">
        <v>105</v>
      </c>
    </row>
    <row r="1113" spans="1:14">
      <c r="A1113" s="144" t="s">
        <v>1295</v>
      </c>
      <c r="B1113" s="213" t="s">
        <v>4369</v>
      </c>
      <c r="C1113" s="208" t="s">
        <v>708</v>
      </c>
      <c r="D1113" s="208" t="s">
        <v>206</v>
      </c>
      <c r="E1113" s="247">
        <v>510</v>
      </c>
      <c r="F1113" s="144" t="s">
        <v>37</v>
      </c>
      <c r="G1113" s="248">
        <v>407.98</v>
      </c>
      <c r="H1113" s="248">
        <f t="shared" si="106"/>
        <v>208069.80000000002</v>
      </c>
      <c r="I1113" s="156">
        <v>402.98</v>
      </c>
      <c r="J1113" s="249">
        <f t="shared" si="105"/>
        <v>5</v>
      </c>
      <c r="K1113" s="295">
        <f t="shared" si="102"/>
        <v>2550</v>
      </c>
      <c r="L1113" s="296">
        <f t="shared" si="103"/>
        <v>1.2255502720721604E-2</v>
      </c>
      <c r="M1113" s="208" t="s">
        <v>40</v>
      </c>
      <c r="N1113" s="208" t="s">
        <v>105</v>
      </c>
    </row>
    <row r="1114" spans="1:14">
      <c r="A1114" s="144" t="s">
        <v>1295</v>
      </c>
      <c r="B1114" s="213" t="s">
        <v>4369</v>
      </c>
      <c r="C1114" s="208" t="s">
        <v>708</v>
      </c>
      <c r="D1114" s="208" t="s">
        <v>1135</v>
      </c>
      <c r="E1114" s="247">
        <v>500</v>
      </c>
      <c r="F1114" s="144" t="s">
        <v>37</v>
      </c>
      <c r="G1114" s="248">
        <v>406.66</v>
      </c>
      <c r="H1114" s="248">
        <f t="shared" si="106"/>
        <v>203330</v>
      </c>
      <c r="I1114" s="156">
        <v>401.66</v>
      </c>
      <c r="J1114" s="249">
        <f t="shared" si="105"/>
        <v>5</v>
      </c>
      <c r="K1114" s="295">
        <f t="shared" si="102"/>
        <v>2500</v>
      </c>
      <c r="L1114" s="296">
        <f t="shared" si="103"/>
        <v>1.2295283529238183E-2</v>
      </c>
      <c r="M1114" s="208" t="s">
        <v>40</v>
      </c>
      <c r="N1114" s="208" t="s">
        <v>105</v>
      </c>
    </row>
    <row r="1115" spans="1:14">
      <c r="A1115" s="144" t="s">
        <v>1295</v>
      </c>
      <c r="B1115" s="213" t="s">
        <v>4369</v>
      </c>
      <c r="C1115" s="208" t="s">
        <v>708</v>
      </c>
      <c r="D1115" s="208" t="s">
        <v>709</v>
      </c>
      <c r="E1115" s="247">
        <v>900</v>
      </c>
      <c r="F1115" s="144" t="s">
        <v>37</v>
      </c>
      <c r="G1115" s="248">
        <v>406.36</v>
      </c>
      <c r="H1115" s="248">
        <f t="shared" si="106"/>
        <v>365724</v>
      </c>
      <c r="I1115" s="156">
        <v>401.36</v>
      </c>
      <c r="J1115" s="249">
        <f t="shared" si="105"/>
        <v>5</v>
      </c>
      <c r="K1115" s="295">
        <f t="shared" si="102"/>
        <v>4500</v>
      </c>
      <c r="L1115" s="296">
        <f t="shared" si="103"/>
        <v>1.2304360665419824E-2</v>
      </c>
      <c r="M1115" s="208" t="s">
        <v>40</v>
      </c>
      <c r="N1115" s="208" t="s">
        <v>105</v>
      </c>
    </row>
    <row r="1116" spans="1:14">
      <c r="A1116" s="144" t="s">
        <v>1295</v>
      </c>
      <c r="B1116" s="213" t="s">
        <v>4369</v>
      </c>
      <c r="C1116" s="208" t="s">
        <v>708</v>
      </c>
      <c r="D1116" s="208" t="s">
        <v>1662</v>
      </c>
      <c r="E1116" s="247">
        <v>500</v>
      </c>
      <c r="F1116" s="144" t="s">
        <v>37</v>
      </c>
      <c r="G1116" s="248">
        <v>406.55</v>
      </c>
      <c r="H1116" s="248">
        <f t="shared" si="106"/>
        <v>203275</v>
      </c>
      <c r="I1116" s="156">
        <v>401.55</v>
      </c>
      <c r="J1116" s="249">
        <f t="shared" si="105"/>
        <v>5</v>
      </c>
      <c r="K1116" s="295">
        <f t="shared" si="102"/>
        <v>2500</v>
      </c>
      <c r="L1116" s="296">
        <f t="shared" si="103"/>
        <v>1.2298610257040954E-2</v>
      </c>
      <c r="M1116" s="208" t="s">
        <v>40</v>
      </c>
      <c r="N1116" s="208" t="s">
        <v>105</v>
      </c>
    </row>
    <row r="1117" spans="1:14">
      <c r="A1117" s="144" t="s">
        <v>1295</v>
      </c>
      <c r="B1117" s="213" t="s">
        <v>4370</v>
      </c>
      <c r="C1117" s="208" t="s">
        <v>4371</v>
      </c>
      <c r="D1117" s="292" t="s">
        <v>4330</v>
      </c>
      <c r="E1117" s="247">
        <v>1</v>
      </c>
      <c r="F1117" s="144" t="s">
        <v>285</v>
      </c>
      <c r="G1117" s="248">
        <v>25623.599999999999</v>
      </c>
      <c r="H1117" s="248">
        <f t="shared" si="106"/>
        <v>25623.599999999999</v>
      </c>
      <c r="I1117" s="156">
        <v>21207</v>
      </c>
      <c r="J1117" s="249">
        <f t="shared" si="105"/>
        <v>4416.5999999999985</v>
      </c>
      <c r="K1117" s="295">
        <f t="shared" si="102"/>
        <v>4416.5999999999985</v>
      </c>
      <c r="L1117" s="296">
        <f t="shared" si="103"/>
        <v>0.17236453894066403</v>
      </c>
      <c r="M1117" s="208" t="s">
        <v>22</v>
      </c>
      <c r="N1117" s="208" t="s">
        <v>105</v>
      </c>
    </row>
    <row r="1118" spans="1:14">
      <c r="A1118" s="144" t="s">
        <v>1295</v>
      </c>
      <c r="B1118" s="213" t="s">
        <v>4372</v>
      </c>
      <c r="C1118" s="208" t="s">
        <v>4179</v>
      </c>
      <c r="D1118" s="208" t="s">
        <v>4373</v>
      </c>
      <c r="E1118" s="247">
        <v>1</v>
      </c>
      <c r="F1118" s="144" t="s">
        <v>285</v>
      </c>
      <c r="G1118" s="248">
        <v>3140000</v>
      </c>
      <c r="H1118" s="248">
        <f t="shared" si="106"/>
        <v>3140000</v>
      </c>
      <c r="I1118" s="156">
        <v>3100000</v>
      </c>
      <c r="J1118" s="249">
        <f t="shared" si="105"/>
        <v>40000</v>
      </c>
      <c r="K1118" s="295">
        <f t="shared" si="102"/>
        <v>40000</v>
      </c>
      <c r="L1118" s="296">
        <f t="shared" si="103"/>
        <v>1.2738853503184714E-2</v>
      </c>
      <c r="M1118" s="208" t="s">
        <v>40</v>
      </c>
      <c r="N1118" s="208" t="s">
        <v>4066</v>
      </c>
    </row>
    <row r="1119" spans="1:14">
      <c r="A1119" s="144" t="s">
        <v>1295</v>
      </c>
      <c r="B1119" s="213" t="s">
        <v>4374</v>
      </c>
      <c r="C1119" s="208" t="s">
        <v>335</v>
      </c>
      <c r="D1119" s="341" t="s">
        <v>336</v>
      </c>
      <c r="E1119" s="247">
        <v>98000</v>
      </c>
      <c r="F1119" s="144" t="s">
        <v>337</v>
      </c>
      <c r="G1119" s="248">
        <v>33.5</v>
      </c>
      <c r="H1119" s="248">
        <f t="shared" si="106"/>
        <v>3283000</v>
      </c>
      <c r="I1119" s="156">
        <v>32</v>
      </c>
      <c r="J1119" s="249">
        <f t="shared" si="105"/>
        <v>1.5</v>
      </c>
      <c r="K1119" s="295">
        <f t="shared" si="102"/>
        <v>147000</v>
      </c>
      <c r="L1119" s="296">
        <f t="shared" si="103"/>
        <v>4.4776119402985072E-2</v>
      </c>
      <c r="M1119" s="208" t="s">
        <v>22</v>
      </c>
      <c r="N1119" s="208" t="s">
        <v>39</v>
      </c>
    </row>
    <row r="1120" spans="1:14">
      <c r="A1120" s="144" t="s">
        <v>1295</v>
      </c>
      <c r="B1120" s="213" t="s">
        <v>4375</v>
      </c>
      <c r="C1120" s="208" t="s">
        <v>2580</v>
      </c>
      <c r="D1120" s="208" t="s">
        <v>2581</v>
      </c>
      <c r="E1120" s="247">
        <v>6</v>
      </c>
      <c r="F1120" s="144" t="s">
        <v>1259</v>
      </c>
      <c r="G1120" s="248">
        <v>10000</v>
      </c>
      <c r="H1120" s="248">
        <f t="shared" si="106"/>
        <v>60000</v>
      </c>
      <c r="I1120" s="156">
        <v>7500</v>
      </c>
      <c r="J1120" s="249">
        <f t="shared" si="105"/>
        <v>2500</v>
      </c>
      <c r="K1120" s="295">
        <f t="shared" si="102"/>
        <v>15000</v>
      </c>
      <c r="L1120" s="296">
        <f t="shared" si="103"/>
        <v>0.25</v>
      </c>
      <c r="M1120" s="208" t="s">
        <v>40</v>
      </c>
      <c r="N1120" s="208" t="s">
        <v>4066</v>
      </c>
    </row>
    <row r="1121" spans="1:14">
      <c r="A1121" s="144" t="s">
        <v>1295</v>
      </c>
      <c r="B1121" s="213" t="s">
        <v>4376</v>
      </c>
      <c r="C1121" s="208" t="s">
        <v>27</v>
      </c>
      <c r="D1121" s="208" t="s">
        <v>1145</v>
      </c>
      <c r="E1121" s="247">
        <v>100</v>
      </c>
      <c r="F1121" s="144" t="s">
        <v>615</v>
      </c>
      <c r="G1121" s="248">
        <v>76.17</v>
      </c>
      <c r="H1121" s="248">
        <f t="shared" si="106"/>
        <v>7617</v>
      </c>
      <c r="I1121" s="156">
        <v>74</v>
      </c>
      <c r="J1121" s="249">
        <f t="shared" si="105"/>
        <v>2.1700000000000017</v>
      </c>
      <c r="K1121" s="295">
        <f t="shared" si="102"/>
        <v>217.00000000000017</v>
      </c>
      <c r="L1121" s="296">
        <f t="shared" si="103"/>
        <v>2.8488906393593302E-2</v>
      </c>
      <c r="M1121" s="208" t="s">
        <v>22</v>
      </c>
      <c r="N1121" s="208" t="s">
        <v>105</v>
      </c>
    </row>
    <row r="1122" spans="1:14">
      <c r="A1122" s="144" t="s">
        <v>1295</v>
      </c>
      <c r="B1122" s="213" t="s">
        <v>4376</v>
      </c>
      <c r="C1122" s="208" t="s">
        <v>27</v>
      </c>
      <c r="D1122" s="208" t="s">
        <v>1147</v>
      </c>
      <c r="E1122" s="247">
        <v>100</v>
      </c>
      <c r="F1122" s="144" t="s">
        <v>615</v>
      </c>
      <c r="G1122" s="248">
        <v>137.58000000000001</v>
      </c>
      <c r="H1122" s="248">
        <f>G1122*E1122</f>
        <v>13758.000000000002</v>
      </c>
      <c r="I1122" s="156">
        <v>137.5</v>
      </c>
      <c r="J1122" s="249">
        <f>G1122-I1122</f>
        <v>8.0000000000012506E-2</v>
      </c>
      <c r="K1122" s="295">
        <f>J1122*E1122</f>
        <v>8.0000000000012506</v>
      </c>
      <c r="L1122" s="296">
        <f>J1122/G1122</f>
        <v>5.814798662597216E-4</v>
      </c>
      <c r="M1122" s="208" t="s">
        <v>22</v>
      </c>
      <c r="N1122" s="208" t="s">
        <v>105</v>
      </c>
    </row>
    <row r="1123" spans="1:14">
      <c r="A1123" s="144" t="s">
        <v>1295</v>
      </c>
      <c r="B1123" s="213" t="s">
        <v>4376</v>
      </c>
      <c r="C1123" s="208" t="s">
        <v>27</v>
      </c>
      <c r="D1123" s="208" t="s">
        <v>2978</v>
      </c>
      <c r="E1123" s="247">
        <v>40</v>
      </c>
      <c r="F1123" s="144" t="s">
        <v>19</v>
      </c>
      <c r="G1123" s="248">
        <v>82</v>
      </c>
      <c r="H1123" s="248">
        <f t="shared" ref="H1123:H1186" si="107">G1123*E1123</f>
        <v>3280</v>
      </c>
      <c r="I1123" s="156">
        <v>72</v>
      </c>
      <c r="J1123" s="249">
        <f t="shared" ref="J1123:J1186" si="108">G1123-I1123</f>
        <v>10</v>
      </c>
      <c r="K1123" s="295">
        <f t="shared" ref="K1123:K1162" si="109">J1123*E1123</f>
        <v>400</v>
      </c>
      <c r="L1123" s="296">
        <f t="shared" ref="L1123:L1162" si="110">J1123/G1123</f>
        <v>0.12195121951219512</v>
      </c>
      <c r="M1123" s="208" t="s">
        <v>22</v>
      </c>
      <c r="N1123" s="208" t="s">
        <v>105</v>
      </c>
    </row>
    <row r="1124" spans="1:14">
      <c r="A1124" s="144" t="s">
        <v>1295</v>
      </c>
      <c r="B1124" s="213" t="s">
        <v>4377</v>
      </c>
      <c r="C1124" s="208" t="s">
        <v>44</v>
      </c>
      <c r="D1124" s="208" t="s">
        <v>210</v>
      </c>
      <c r="E1124" s="247">
        <v>400</v>
      </c>
      <c r="F1124" s="144" t="s">
        <v>37</v>
      </c>
      <c r="G1124" s="248">
        <v>406.55</v>
      </c>
      <c r="H1124" s="248">
        <f t="shared" si="107"/>
        <v>162620</v>
      </c>
      <c r="I1124" s="156">
        <v>400.5</v>
      </c>
      <c r="J1124" s="249">
        <f t="shared" si="108"/>
        <v>6.0500000000000114</v>
      </c>
      <c r="K1124" s="295">
        <f t="shared" si="109"/>
        <v>2420.0000000000045</v>
      </c>
      <c r="L1124" s="296">
        <f t="shared" si="110"/>
        <v>1.4881318411019582E-2</v>
      </c>
      <c r="M1124" s="208" t="s">
        <v>22</v>
      </c>
      <c r="N1124" s="208" t="s">
        <v>105</v>
      </c>
    </row>
    <row r="1125" spans="1:14">
      <c r="A1125" s="144" t="s">
        <v>1295</v>
      </c>
      <c r="B1125" s="213" t="s">
        <v>4378</v>
      </c>
      <c r="C1125" s="208" t="s">
        <v>590</v>
      </c>
      <c r="D1125" s="208" t="s">
        <v>4379</v>
      </c>
      <c r="E1125" s="247">
        <v>4</v>
      </c>
      <c r="F1125" s="144" t="s">
        <v>302</v>
      </c>
      <c r="G1125" s="248">
        <v>40500</v>
      </c>
      <c r="H1125" s="248">
        <f t="shared" si="107"/>
        <v>162000</v>
      </c>
      <c r="I1125" s="156">
        <v>39000</v>
      </c>
      <c r="J1125" s="249">
        <f t="shared" si="108"/>
        <v>1500</v>
      </c>
      <c r="K1125" s="295">
        <f t="shared" si="109"/>
        <v>6000</v>
      </c>
      <c r="L1125" s="296">
        <f t="shared" si="110"/>
        <v>3.7037037037037035E-2</v>
      </c>
      <c r="M1125" s="208" t="s">
        <v>40</v>
      </c>
      <c r="N1125" s="208" t="s">
        <v>39</v>
      </c>
    </row>
    <row r="1126" spans="1:14">
      <c r="A1126" s="144" t="s">
        <v>1295</v>
      </c>
      <c r="B1126" s="213" t="s">
        <v>4380</v>
      </c>
      <c r="C1126" s="208" t="s">
        <v>590</v>
      </c>
      <c r="D1126" s="208" t="s">
        <v>4379</v>
      </c>
      <c r="E1126" s="247">
        <v>6</v>
      </c>
      <c r="F1126" s="144" t="s">
        <v>302</v>
      </c>
      <c r="G1126" s="248">
        <v>40500</v>
      </c>
      <c r="H1126" s="248">
        <f t="shared" si="107"/>
        <v>243000</v>
      </c>
      <c r="I1126" s="156">
        <v>39000</v>
      </c>
      <c r="J1126" s="249">
        <f t="shared" si="108"/>
        <v>1500</v>
      </c>
      <c r="K1126" s="295">
        <f t="shared" si="109"/>
        <v>9000</v>
      </c>
      <c r="L1126" s="296">
        <f t="shared" si="110"/>
        <v>3.7037037037037035E-2</v>
      </c>
      <c r="M1126" s="208" t="s">
        <v>40</v>
      </c>
      <c r="N1126" s="208" t="s">
        <v>39</v>
      </c>
    </row>
    <row r="1127" spans="1:14">
      <c r="A1127" s="144" t="s">
        <v>1295</v>
      </c>
      <c r="B1127" s="213" t="s">
        <v>4381</v>
      </c>
      <c r="C1127" s="208" t="s">
        <v>279</v>
      </c>
      <c r="D1127" s="208" t="s">
        <v>3724</v>
      </c>
      <c r="E1127" s="247">
        <v>600</v>
      </c>
      <c r="F1127" s="144" t="s">
        <v>19</v>
      </c>
      <c r="G1127" s="248">
        <v>18.239999999999998</v>
      </c>
      <c r="H1127" s="248">
        <f t="shared" si="107"/>
        <v>10943.999999999998</v>
      </c>
      <c r="I1127" s="156">
        <v>15.92</v>
      </c>
      <c r="J1127" s="249">
        <f t="shared" si="108"/>
        <v>2.3199999999999985</v>
      </c>
      <c r="K1127" s="295">
        <f t="shared" si="109"/>
        <v>1391.9999999999991</v>
      </c>
      <c r="L1127" s="296">
        <f t="shared" si="110"/>
        <v>0.12719298245614027</v>
      </c>
      <c r="M1127" s="208" t="s">
        <v>40</v>
      </c>
      <c r="N1127" s="208" t="s">
        <v>105</v>
      </c>
    </row>
    <row r="1128" spans="1:14">
      <c r="A1128" s="144" t="s">
        <v>1295</v>
      </c>
      <c r="B1128" s="213" t="s">
        <v>4382</v>
      </c>
      <c r="C1128" s="208" t="s">
        <v>1119</v>
      </c>
      <c r="D1128" s="208" t="s">
        <v>4383</v>
      </c>
      <c r="E1128" s="247">
        <v>20</v>
      </c>
      <c r="F1128" s="144" t="s">
        <v>19</v>
      </c>
      <c r="G1128" s="248">
        <v>250</v>
      </c>
      <c r="H1128" s="248">
        <f t="shared" si="107"/>
        <v>5000</v>
      </c>
      <c r="I1128" s="156">
        <v>230</v>
      </c>
      <c r="J1128" s="249">
        <f t="shared" si="108"/>
        <v>20</v>
      </c>
      <c r="K1128" s="295">
        <f t="shared" si="109"/>
        <v>400</v>
      </c>
      <c r="L1128" s="296">
        <f t="shared" si="110"/>
        <v>0.08</v>
      </c>
      <c r="M1128" s="208" t="s">
        <v>40</v>
      </c>
      <c r="N1128" s="208" t="s">
        <v>39</v>
      </c>
    </row>
    <row r="1129" spans="1:14">
      <c r="A1129" s="144" t="s">
        <v>1295</v>
      </c>
      <c r="B1129" s="213" t="s">
        <v>4382</v>
      </c>
      <c r="C1129" s="208" t="s">
        <v>1119</v>
      </c>
      <c r="D1129" s="208" t="s">
        <v>4384</v>
      </c>
      <c r="E1129" s="247">
        <v>10</v>
      </c>
      <c r="F1129" s="144" t="s">
        <v>19</v>
      </c>
      <c r="G1129" s="248">
        <v>45</v>
      </c>
      <c r="H1129" s="248">
        <f t="shared" si="107"/>
        <v>450</v>
      </c>
      <c r="I1129" s="156">
        <v>40</v>
      </c>
      <c r="J1129" s="249">
        <f t="shared" si="108"/>
        <v>5</v>
      </c>
      <c r="K1129" s="295">
        <f t="shared" si="109"/>
        <v>50</v>
      </c>
      <c r="L1129" s="296">
        <f t="shared" si="110"/>
        <v>0.1111111111111111</v>
      </c>
      <c r="M1129" s="208" t="s">
        <v>40</v>
      </c>
      <c r="N1129" s="208" t="s">
        <v>39</v>
      </c>
    </row>
    <row r="1130" spans="1:14">
      <c r="A1130" s="144" t="s">
        <v>1295</v>
      </c>
      <c r="B1130" s="213" t="s">
        <v>4385</v>
      </c>
      <c r="C1130" s="208" t="s">
        <v>708</v>
      </c>
      <c r="D1130" s="208" t="s">
        <v>208</v>
      </c>
      <c r="E1130" s="247">
        <v>200</v>
      </c>
      <c r="F1130" s="144" t="s">
        <v>37</v>
      </c>
      <c r="G1130" s="248">
        <v>406.1</v>
      </c>
      <c r="H1130" s="248">
        <f t="shared" si="107"/>
        <v>81220</v>
      </c>
      <c r="I1130" s="156">
        <v>401.1</v>
      </c>
      <c r="J1130" s="249">
        <f t="shared" si="108"/>
        <v>5</v>
      </c>
      <c r="K1130" s="295">
        <f t="shared" si="109"/>
        <v>1000</v>
      </c>
      <c r="L1130" s="296">
        <f t="shared" si="110"/>
        <v>1.2312238364934745E-2</v>
      </c>
      <c r="M1130" s="208" t="s">
        <v>40</v>
      </c>
      <c r="N1130" s="208" t="s">
        <v>105</v>
      </c>
    </row>
    <row r="1131" spans="1:14">
      <c r="A1131" s="144" t="s">
        <v>1295</v>
      </c>
      <c r="B1131" s="213" t="s">
        <v>4385</v>
      </c>
      <c r="C1131" s="208" t="s">
        <v>708</v>
      </c>
      <c r="D1131" s="208" t="s">
        <v>3616</v>
      </c>
      <c r="E1131" s="247">
        <v>1000</v>
      </c>
      <c r="F1131" s="144" t="s">
        <v>37</v>
      </c>
      <c r="G1131" s="248">
        <v>407.16</v>
      </c>
      <c r="H1131" s="248">
        <f t="shared" si="107"/>
        <v>407160</v>
      </c>
      <c r="I1131" s="156">
        <v>402.16</v>
      </c>
      <c r="J1131" s="249">
        <f t="shared" si="108"/>
        <v>5</v>
      </c>
      <c r="K1131" s="295">
        <f t="shared" si="109"/>
        <v>5000</v>
      </c>
      <c r="L1131" s="296">
        <f t="shared" si="110"/>
        <v>1.2280184693977797E-2</v>
      </c>
      <c r="M1131" s="208" t="s">
        <v>40</v>
      </c>
      <c r="N1131" s="208" t="s">
        <v>105</v>
      </c>
    </row>
    <row r="1132" spans="1:14">
      <c r="A1132" s="144" t="s">
        <v>1295</v>
      </c>
      <c r="B1132" s="213" t="s">
        <v>4385</v>
      </c>
      <c r="C1132" s="208" t="s">
        <v>708</v>
      </c>
      <c r="D1132" s="208" t="s">
        <v>1248</v>
      </c>
      <c r="E1132" s="247">
        <v>700</v>
      </c>
      <c r="F1132" s="144" t="s">
        <v>37</v>
      </c>
      <c r="G1132" s="248">
        <v>406.36</v>
      </c>
      <c r="H1132" s="248">
        <f t="shared" si="107"/>
        <v>284452</v>
      </c>
      <c r="I1132" s="156">
        <v>401.36</v>
      </c>
      <c r="J1132" s="249">
        <f t="shared" si="108"/>
        <v>5</v>
      </c>
      <c r="K1132" s="295">
        <f t="shared" si="109"/>
        <v>3500</v>
      </c>
      <c r="L1132" s="296">
        <f t="shared" si="110"/>
        <v>1.2304360665419824E-2</v>
      </c>
      <c r="M1132" s="208" t="s">
        <v>40</v>
      </c>
      <c r="N1132" s="208" t="s">
        <v>105</v>
      </c>
    </row>
    <row r="1133" spans="1:14">
      <c r="A1133" s="144" t="s">
        <v>1295</v>
      </c>
      <c r="B1133" s="213" t="s">
        <v>4385</v>
      </c>
      <c r="C1133" s="208" t="s">
        <v>708</v>
      </c>
      <c r="D1133" s="208" t="s">
        <v>293</v>
      </c>
      <c r="E1133" s="247">
        <v>400</v>
      </c>
      <c r="F1133" s="144" t="s">
        <v>37</v>
      </c>
      <c r="G1133" s="248">
        <v>405.83</v>
      </c>
      <c r="H1133" s="248">
        <f t="shared" si="107"/>
        <v>162332</v>
      </c>
      <c r="I1133" s="156">
        <v>400.83</v>
      </c>
      <c r="J1133" s="249">
        <f t="shared" si="108"/>
        <v>5</v>
      </c>
      <c r="K1133" s="295">
        <f t="shared" si="109"/>
        <v>2000</v>
      </c>
      <c r="L1133" s="296">
        <f t="shared" si="110"/>
        <v>1.2320429736589212E-2</v>
      </c>
      <c r="M1133" s="208" t="s">
        <v>40</v>
      </c>
      <c r="N1133" s="208" t="s">
        <v>105</v>
      </c>
    </row>
    <row r="1134" spans="1:14">
      <c r="A1134" s="144" t="s">
        <v>1295</v>
      </c>
      <c r="B1134" s="213" t="s">
        <v>4386</v>
      </c>
      <c r="C1134" s="208" t="s">
        <v>1042</v>
      </c>
      <c r="D1134" s="208" t="s">
        <v>711</v>
      </c>
      <c r="E1134" s="247">
        <v>8749</v>
      </c>
      <c r="F1134" s="144" t="s">
        <v>37</v>
      </c>
      <c r="G1134" s="248">
        <v>393</v>
      </c>
      <c r="H1134" s="248">
        <f>G1134*E1134</f>
        <v>3438357</v>
      </c>
      <c r="I1134" s="156">
        <v>392</v>
      </c>
      <c r="J1134" s="249">
        <f>G1134-I1134</f>
        <v>1</v>
      </c>
      <c r="K1134" s="295">
        <f>J1134*E1134</f>
        <v>8749</v>
      </c>
      <c r="L1134" s="296">
        <f t="shared" si="110"/>
        <v>2.5445292620865142E-3</v>
      </c>
      <c r="M1134" s="208" t="s">
        <v>40</v>
      </c>
      <c r="N1134" s="208" t="s">
        <v>105</v>
      </c>
    </row>
    <row r="1135" spans="1:14">
      <c r="A1135" s="144" t="s">
        <v>1295</v>
      </c>
      <c r="B1135" s="213" t="s">
        <v>4387</v>
      </c>
      <c r="C1135" s="208" t="s">
        <v>776</v>
      </c>
      <c r="D1135" s="208" t="s">
        <v>503</v>
      </c>
      <c r="E1135" s="247">
        <v>80000</v>
      </c>
      <c r="F1135" s="144" t="s">
        <v>37</v>
      </c>
      <c r="G1135" s="248">
        <v>64.69</v>
      </c>
      <c r="H1135" s="248">
        <f t="shared" si="107"/>
        <v>5175200</v>
      </c>
      <c r="I1135" s="156">
        <v>58.75</v>
      </c>
      <c r="J1135" s="249">
        <f t="shared" si="108"/>
        <v>5.9399999999999977</v>
      </c>
      <c r="K1135" s="295">
        <f t="shared" si="109"/>
        <v>475199.99999999983</v>
      </c>
      <c r="L1135" s="296">
        <f t="shared" si="110"/>
        <v>9.1822538259390907E-2</v>
      </c>
      <c r="M1135" s="208" t="s">
        <v>22</v>
      </c>
      <c r="N1135" s="208" t="s">
        <v>39</v>
      </c>
    </row>
    <row r="1136" spans="1:14">
      <c r="A1136" s="144" t="s">
        <v>1295</v>
      </c>
      <c r="B1136" s="213" t="s">
        <v>4388</v>
      </c>
      <c r="C1136" s="208" t="s">
        <v>1119</v>
      </c>
      <c r="D1136" s="208" t="s">
        <v>4389</v>
      </c>
      <c r="E1136" s="247">
        <v>5</v>
      </c>
      <c r="F1136" s="144" t="s">
        <v>19</v>
      </c>
      <c r="G1136" s="248">
        <v>200</v>
      </c>
      <c r="H1136" s="248">
        <f t="shared" si="107"/>
        <v>1000</v>
      </c>
      <c r="I1136" s="156">
        <v>190</v>
      </c>
      <c r="J1136" s="249">
        <f t="shared" si="108"/>
        <v>10</v>
      </c>
      <c r="K1136" s="295">
        <f t="shared" si="109"/>
        <v>50</v>
      </c>
      <c r="L1136" s="296">
        <f t="shared" si="110"/>
        <v>0.05</v>
      </c>
      <c r="M1136" s="208" t="s">
        <v>40</v>
      </c>
      <c r="N1136" s="208" t="s">
        <v>39</v>
      </c>
    </row>
    <row r="1137" spans="1:14">
      <c r="A1137" s="144" t="s">
        <v>1295</v>
      </c>
      <c r="B1137" s="213" t="s">
        <v>4388</v>
      </c>
      <c r="C1137" s="208" t="s">
        <v>1119</v>
      </c>
      <c r="D1137" s="208" t="s">
        <v>4390</v>
      </c>
      <c r="E1137" s="247">
        <v>10</v>
      </c>
      <c r="F1137" s="144" t="s">
        <v>19</v>
      </c>
      <c r="G1137" s="248">
        <v>580</v>
      </c>
      <c r="H1137" s="248">
        <f t="shared" si="107"/>
        <v>5800</v>
      </c>
      <c r="I1137" s="156">
        <v>520</v>
      </c>
      <c r="J1137" s="249">
        <f t="shared" si="108"/>
        <v>60</v>
      </c>
      <c r="K1137" s="295">
        <f t="shared" si="109"/>
        <v>600</v>
      </c>
      <c r="L1137" s="296">
        <f t="shared" si="110"/>
        <v>0.10344827586206896</v>
      </c>
      <c r="M1137" s="208" t="s">
        <v>40</v>
      </c>
      <c r="N1137" s="208" t="s">
        <v>39</v>
      </c>
    </row>
    <row r="1138" spans="1:14">
      <c r="A1138" s="144" t="s">
        <v>1295</v>
      </c>
      <c r="B1138" s="213" t="s">
        <v>4388</v>
      </c>
      <c r="C1138" s="208" t="s">
        <v>1119</v>
      </c>
      <c r="D1138" s="208" t="s">
        <v>4391</v>
      </c>
      <c r="E1138" s="247">
        <v>50</v>
      </c>
      <c r="F1138" s="144" t="s">
        <v>19</v>
      </c>
      <c r="G1138" s="248">
        <v>40</v>
      </c>
      <c r="H1138" s="248">
        <f t="shared" si="107"/>
        <v>2000</v>
      </c>
      <c r="I1138" s="156">
        <v>38</v>
      </c>
      <c r="J1138" s="249">
        <f t="shared" si="108"/>
        <v>2</v>
      </c>
      <c r="K1138" s="295">
        <f t="shared" si="109"/>
        <v>100</v>
      </c>
      <c r="L1138" s="296">
        <f t="shared" si="110"/>
        <v>0.05</v>
      </c>
      <c r="M1138" s="208" t="s">
        <v>40</v>
      </c>
      <c r="N1138" s="208" t="s">
        <v>39</v>
      </c>
    </row>
    <row r="1139" spans="1:14">
      <c r="A1139" s="144" t="s">
        <v>1295</v>
      </c>
      <c r="B1139" s="213" t="s">
        <v>4388</v>
      </c>
      <c r="C1139" s="208" t="s">
        <v>1119</v>
      </c>
      <c r="D1139" s="138" t="s">
        <v>4392</v>
      </c>
      <c r="E1139" s="299">
        <v>5</v>
      </c>
      <c r="F1139" s="142" t="s">
        <v>19</v>
      </c>
      <c r="G1139" s="229">
        <v>650</v>
      </c>
      <c r="H1139" s="248">
        <f t="shared" si="107"/>
        <v>3250</v>
      </c>
      <c r="I1139" s="230">
        <v>420</v>
      </c>
      <c r="J1139" s="249">
        <f t="shared" si="108"/>
        <v>230</v>
      </c>
      <c r="K1139" s="295">
        <f t="shared" si="109"/>
        <v>1150</v>
      </c>
      <c r="L1139" s="296">
        <f t="shared" si="110"/>
        <v>0.35384615384615387</v>
      </c>
      <c r="M1139" s="208" t="s">
        <v>40</v>
      </c>
      <c r="N1139" s="208" t="s">
        <v>39</v>
      </c>
    </row>
    <row r="1140" spans="1:14">
      <c r="A1140" s="144" t="s">
        <v>1295</v>
      </c>
      <c r="B1140" s="213" t="s">
        <v>4388</v>
      </c>
      <c r="C1140" s="208" t="s">
        <v>1119</v>
      </c>
      <c r="D1140" s="140" t="s">
        <v>4393</v>
      </c>
      <c r="E1140" s="300">
        <v>10</v>
      </c>
      <c r="F1140" s="143" t="s">
        <v>19</v>
      </c>
      <c r="G1140" s="226">
        <v>40</v>
      </c>
      <c r="H1140" s="248">
        <f t="shared" si="107"/>
        <v>400</v>
      </c>
      <c r="I1140" s="227">
        <v>38</v>
      </c>
      <c r="J1140" s="249">
        <f t="shared" si="108"/>
        <v>2</v>
      </c>
      <c r="K1140" s="295">
        <f t="shared" si="109"/>
        <v>20</v>
      </c>
      <c r="L1140" s="296">
        <f t="shared" si="110"/>
        <v>0.05</v>
      </c>
      <c r="M1140" s="208" t="s">
        <v>40</v>
      </c>
      <c r="N1140" s="208" t="s">
        <v>39</v>
      </c>
    </row>
    <row r="1141" spans="1:14">
      <c r="A1141" s="144" t="s">
        <v>1295</v>
      </c>
      <c r="B1141" s="213" t="s">
        <v>4394</v>
      </c>
      <c r="C1141" s="208" t="s">
        <v>68</v>
      </c>
      <c r="D1141" s="140" t="s">
        <v>755</v>
      </c>
      <c r="E1141" s="300">
        <v>552.20000000000005</v>
      </c>
      <c r="F1141" s="143" t="s">
        <v>37</v>
      </c>
      <c r="G1141" s="226">
        <v>415</v>
      </c>
      <c r="H1141" s="248">
        <f t="shared" si="107"/>
        <v>229163.00000000003</v>
      </c>
      <c r="I1141" s="227">
        <v>400</v>
      </c>
      <c r="J1141" s="249">
        <f t="shared" si="108"/>
        <v>15</v>
      </c>
      <c r="K1141" s="295">
        <f t="shared" si="109"/>
        <v>8283</v>
      </c>
      <c r="L1141" s="296">
        <f t="shared" si="110"/>
        <v>3.614457831325301E-2</v>
      </c>
      <c r="M1141" s="208" t="s">
        <v>22</v>
      </c>
      <c r="N1141" s="208" t="s">
        <v>105</v>
      </c>
    </row>
    <row r="1142" spans="1:14">
      <c r="A1142" s="144" t="s">
        <v>1295</v>
      </c>
      <c r="B1142" s="213" t="s">
        <v>4395</v>
      </c>
      <c r="C1142" s="208" t="s">
        <v>192</v>
      </c>
      <c r="D1142" s="140" t="s">
        <v>4049</v>
      </c>
      <c r="E1142" s="300">
        <v>1</v>
      </c>
      <c r="F1142" s="143" t="s">
        <v>19</v>
      </c>
      <c r="G1142" s="226">
        <v>27880</v>
      </c>
      <c r="H1142" s="248">
        <f t="shared" si="107"/>
        <v>27880</v>
      </c>
      <c r="I1142" s="227">
        <v>27120</v>
      </c>
      <c r="J1142" s="249">
        <f t="shared" si="108"/>
        <v>760</v>
      </c>
      <c r="K1142" s="295">
        <f t="shared" si="109"/>
        <v>760</v>
      </c>
      <c r="L1142" s="296">
        <f t="shared" si="110"/>
        <v>2.7259684361549498E-2</v>
      </c>
      <c r="M1142" s="208" t="s">
        <v>40</v>
      </c>
      <c r="N1142" s="208" t="s">
        <v>105</v>
      </c>
    </row>
    <row r="1143" spans="1:14">
      <c r="A1143" s="144" t="s">
        <v>1295</v>
      </c>
      <c r="B1143" s="213" t="s">
        <v>4396</v>
      </c>
      <c r="C1143" s="208" t="s">
        <v>166</v>
      </c>
      <c r="D1143" s="140" t="s">
        <v>4160</v>
      </c>
      <c r="E1143" s="300">
        <v>21950</v>
      </c>
      <c r="F1143" s="143" t="s">
        <v>37</v>
      </c>
      <c r="G1143" s="226">
        <v>385.77</v>
      </c>
      <c r="H1143" s="248">
        <f t="shared" si="107"/>
        <v>8467651.5</v>
      </c>
      <c r="I1143" s="227">
        <v>344.19</v>
      </c>
      <c r="J1143" s="249">
        <f t="shared" si="108"/>
        <v>41.579999999999984</v>
      </c>
      <c r="K1143" s="295">
        <f t="shared" si="109"/>
        <v>912680.99999999965</v>
      </c>
      <c r="L1143" s="296">
        <f t="shared" si="110"/>
        <v>0.10778443113772451</v>
      </c>
      <c r="M1143" s="208" t="s">
        <v>20</v>
      </c>
      <c r="N1143" s="208" t="s">
        <v>105</v>
      </c>
    </row>
    <row r="1144" spans="1:14">
      <c r="A1144" s="144" t="s">
        <v>1295</v>
      </c>
      <c r="B1144" s="213" t="s">
        <v>4397</v>
      </c>
      <c r="C1144" s="208" t="s">
        <v>4398</v>
      </c>
      <c r="D1144" s="140" t="s">
        <v>3914</v>
      </c>
      <c r="E1144" s="300">
        <v>1</v>
      </c>
      <c r="F1144" s="143" t="s">
        <v>285</v>
      </c>
      <c r="G1144" s="226">
        <v>207.19</v>
      </c>
      <c r="H1144" s="248">
        <f t="shared" si="107"/>
        <v>207.19</v>
      </c>
      <c r="I1144" s="227">
        <v>0</v>
      </c>
      <c r="J1144" s="249">
        <f t="shared" si="108"/>
        <v>207.19</v>
      </c>
      <c r="K1144" s="295">
        <f t="shared" si="109"/>
        <v>207.19</v>
      </c>
      <c r="L1144" s="296">
        <f t="shared" si="110"/>
        <v>1</v>
      </c>
      <c r="M1144" s="208" t="s">
        <v>30</v>
      </c>
      <c r="N1144" s="208" t="s">
        <v>105</v>
      </c>
    </row>
    <row r="1145" spans="1:14">
      <c r="A1145" s="144" t="s">
        <v>1295</v>
      </c>
      <c r="B1145" s="213" t="s">
        <v>4399</v>
      </c>
      <c r="C1145" s="208" t="s">
        <v>1119</v>
      </c>
      <c r="D1145" s="208" t="s">
        <v>4400</v>
      </c>
      <c r="E1145" s="247">
        <v>20</v>
      </c>
      <c r="F1145" s="144" t="s">
        <v>19</v>
      </c>
      <c r="G1145" s="248">
        <v>230</v>
      </c>
      <c r="H1145" s="248">
        <f t="shared" si="107"/>
        <v>4600</v>
      </c>
      <c r="I1145" s="156">
        <v>220</v>
      </c>
      <c r="J1145" s="249">
        <f t="shared" si="108"/>
        <v>10</v>
      </c>
      <c r="K1145" s="295">
        <f t="shared" si="109"/>
        <v>200</v>
      </c>
      <c r="L1145" s="296">
        <f t="shared" si="110"/>
        <v>4.3478260869565216E-2</v>
      </c>
      <c r="M1145" s="208" t="s">
        <v>40</v>
      </c>
      <c r="N1145" s="208" t="s">
        <v>39</v>
      </c>
    </row>
    <row r="1146" spans="1:14">
      <c r="A1146" s="144" t="s">
        <v>1295</v>
      </c>
      <c r="B1146" s="213" t="s">
        <v>4401</v>
      </c>
      <c r="C1146" s="208" t="s">
        <v>708</v>
      </c>
      <c r="D1146" s="208" t="s">
        <v>45</v>
      </c>
      <c r="E1146" s="247">
        <v>1300</v>
      </c>
      <c r="F1146" s="144" t="s">
        <v>37</v>
      </c>
      <c r="G1146" s="248">
        <v>408.21</v>
      </c>
      <c r="H1146" s="248">
        <f t="shared" si="107"/>
        <v>530673</v>
      </c>
      <c r="I1146" s="156">
        <v>403.21</v>
      </c>
      <c r="J1146" s="249">
        <f t="shared" si="108"/>
        <v>5</v>
      </c>
      <c r="K1146" s="295">
        <f t="shared" si="109"/>
        <v>6500</v>
      </c>
      <c r="L1146" s="296">
        <f t="shared" si="110"/>
        <v>1.2248597535582176E-2</v>
      </c>
      <c r="M1146" s="208" t="s">
        <v>40</v>
      </c>
      <c r="N1146" s="208" t="s">
        <v>105</v>
      </c>
    </row>
    <row r="1147" spans="1:14">
      <c r="A1147" s="144" t="s">
        <v>1295</v>
      </c>
      <c r="B1147" s="213" t="s">
        <v>4401</v>
      </c>
      <c r="C1147" s="208" t="s">
        <v>708</v>
      </c>
      <c r="D1147" s="208" t="s">
        <v>3616</v>
      </c>
      <c r="E1147" s="247">
        <v>700</v>
      </c>
      <c r="F1147" s="144" t="s">
        <v>37</v>
      </c>
      <c r="G1147" s="248">
        <v>407.16</v>
      </c>
      <c r="H1147" s="248">
        <f t="shared" si="107"/>
        <v>285012</v>
      </c>
      <c r="I1147" s="156">
        <v>402.16</v>
      </c>
      <c r="J1147" s="249">
        <f t="shared" si="108"/>
        <v>5</v>
      </c>
      <c r="K1147" s="295">
        <f t="shared" si="109"/>
        <v>3500</v>
      </c>
      <c r="L1147" s="296">
        <f t="shared" si="110"/>
        <v>1.2280184693977797E-2</v>
      </c>
      <c r="M1147" s="208" t="s">
        <v>40</v>
      </c>
      <c r="N1147" s="208" t="s">
        <v>105</v>
      </c>
    </row>
    <row r="1148" spans="1:14">
      <c r="A1148" s="144" t="s">
        <v>1295</v>
      </c>
      <c r="B1148" s="213" t="s">
        <v>4401</v>
      </c>
      <c r="C1148" s="208" t="s">
        <v>708</v>
      </c>
      <c r="D1148" s="208" t="s">
        <v>293</v>
      </c>
      <c r="E1148" s="247">
        <v>449</v>
      </c>
      <c r="F1148" s="144" t="s">
        <v>37</v>
      </c>
      <c r="G1148" s="248">
        <v>405.83</v>
      </c>
      <c r="H1148" s="248">
        <f t="shared" si="107"/>
        <v>182217.66999999998</v>
      </c>
      <c r="I1148" s="156">
        <v>400.83</v>
      </c>
      <c r="J1148" s="249">
        <f t="shared" si="108"/>
        <v>5</v>
      </c>
      <c r="K1148" s="295">
        <f t="shared" si="109"/>
        <v>2245</v>
      </c>
      <c r="L1148" s="296">
        <f t="shared" si="110"/>
        <v>1.2320429736589212E-2</v>
      </c>
      <c r="M1148" s="208" t="s">
        <v>40</v>
      </c>
      <c r="N1148" s="208" t="s">
        <v>105</v>
      </c>
    </row>
    <row r="1149" spans="1:14">
      <c r="A1149" s="144" t="s">
        <v>1295</v>
      </c>
      <c r="B1149" s="213" t="s">
        <v>4402</v>
      </c>
      <c r="C1149" s="208" t="s">
        <v>94</v>
      </c>
      <c r="D1149" s="208" t="s">
        <v>1038</v>
      </c>
      <c r="E1149" s="247">
        <v>200</v>
      </c>
      <c r="F1149" s="144" t="s">
        <v>19</v>
      </c>
      <c r="G1149" s="248">
        <v>15.5</v>
      </c>
      <c r="H1149" s="248">
        <f t="shared" si="107"/>
        <v>3100</v>
      </c>
      <c r="I1149" s="156">
        <v>14.76</v>
      </c>
      <c r="J1149" s="249">
        <f t="shared" si="108"/>
        <v>0.74000000000000021</v>
      </c>
      <c r="K1149" s="295">
        <f t="shared" si="109"/>
        <v>148.00000000000006</v>
      </c>
      <c r="L1149" s="296">
        <f t="shared" si="110"/>
        <v>4.7741935483870984E-2</v>
      </c>
      <c r="M1149" s="208" t="s">
        <v>22</v>
      </c>
      <c r="N1149" s="208" t="s">
        <v>105</v>
      </c>
    </row>
    <row r="1150" spans="1:14">
      <c r="A1150" s="144" t="s">
        <v>1295</v>
      </c>
      <c r="B1150" s="213" t="s">
        <v>4402</v>
      </c>
      <c r="C1150" s="208" t="s">
        <v>94</v>
      </c>
      <c r="D1150" s="208" t="s">
        <v>550</v>
      </c>
      <c r="E1150" s="247">
        <v>200</v>
      </c>
      <c r="F1150" s="144" t="s">
        <v>19</v>
      </c>
      <c r="G1150" s="248">
        <v>50</v>
      </c>
      <c r="H1150" s="248">
        <f t="shared" si="107"/>
        <v>10000</v>
      </c>
      <c r="I1150" s="156">
        <v>47.56</v>
      </c>
      <c r="J1150" s="249">
        <f t="shared" si="108"/>
        <v>2.4399999999999977</v>
      </c>
      <c r="K1150" s="295">
        <f t="shared" si="109"/>
        <v>487.99999999999955</v>
      </c>
      <c r="L1150" s="296">
        <f t="shared" si="110"/>
        <v>4.8799999999999955E-2</v>
      </c>
      <c r="M1150" s="208" t="s">
        <v>22</v>
      </c>
      <c r="N1150" s="208" t="s">
        <v>105</v>
      </c>
    </row>
    <row r="1151" spans="1:14">
      <c r="A1151" s="144" t="s">
        <v>1295</v>
      </c>
      <c r="B1151" s="213" t="s">
        <v>4402</v>
      </c>
      <c r="C1151" s="208" t="s">
        <v>94</v>
      </c>
      <c r="D1151" s="208" t="s">
        <v>457</v>
      </c>
      <c r="E1151" s="247">
        <v>200</v>
      </c>
      <c r="F1151" s="144" t="s">
        <v>19</v>
      </c>
      <c r="G1151" s="248">
        <v>5.25</v>
      </c>
      <c r="H1151" s="248">
        <f t="shared" si="107"/>
        <v>1050</v>
      </c>
      <c r="I1151" s="156">
        <v>5.0999999999999996</v>
      </c>
      <c r="J1151" s="249">
        <f t="shared" si="108"/>
        <v>0.15000000000000036</v>
      </c>
      <c r="K1151" s="295">
        <f t="shared" si="109"/>
        <v>30.000000000000071</v>
      </c>
      <c r="L1151" s="296">
        <f t="shared" si="110"/>
        <v>2.857142857142864E-2</v>
      </c>
      <c r="M1151" s="208" t="s">
        <v>22</v>
      </c>
      <c r="N1151" s="208" t="s">
        <v>105</v>
      </c>
    </row>
    <row r="1152" spans="1:14">
      <c r="A1152" s="144" t="s">
        <v>1295</v>
      </c>
      <c r="B1152" s="213" t="s">
        <v>4403</v>
      </c>
      <c r="C1152" s="208" t="s">
        <v>1119</v>
      </c>
      <c r="D1152" s="208" t="s">
        <v>4404</v>
      </c>
      <c r="E1152" s="247">
        <v>1</v>
      </c>
      <c r="F1152" s="144" t="s">
        <v>19</v>
      </c>
      <c r="G1152" s="248">
        <v>600</v>
      </c>
      <c r="H1152" s="248">
        <f t="shared" si="107"/>
        <v>600</v>
      </c>
      <c r="I1152" s="156">
        <v>580</v>
      </c>
      <c r="J1152" s="249">
        <f t="shared" si="108"/>
        <v>20</v>
      </c>
      <c r="K1152" s="295">
        <f t="shared" si="109"/>
        <v>20</v>
      </c>
      <c r="L1152" s="296">
        <f t="shared" si="110"/>
        <v>3.3333333333333333E-2</v>
      </c>
      <c r="M1152" s="208" t="s">
        <v>40</v>
      </c>
      <c r="N1152" s="208" t="s">
        <v>39</v>
      </c>
    </row>
    <row r="1153" spans="1:14">
      <c r="A1153" s="144" t="s">
        <v>1295</v>
      </c>
      <c r="B1153" s="213" t="s">
        <v>4405</v>
      </c>
      <c r="C1153" s="208" t="s">
        <v>1119</v>
      </c>
      <c r="D1153" s="208" t="s">
        <v>2240</v>
      </c>
      <c r="E1153" s="247">
        <v>150</v>
      </c>
      <c r="F1153" s="144" t="s">
        <v>19</v>
      </c>
      <c r="G1153" s="248">
        <v>20</v>
      </c>
      <c r="H1153" s="248">
        <f t="shared" si="107"/>
        <v>3000</v>
      </c>
      <c r="I1153" s="156">
        <v>14</v>
      </c>
      <c r="J1153" s="249">
        <f t="shared" si="108"/>
        <v>6</v>
      </c>
      <c r="K1153" s="295">
        <f t="shared" si="109"/>
        <v>900</v>
      </c>
      <c r="L1153" s="296">
        <f t="shared" si="110"/>
        <v>0.3</v>
      </c>
      <c r="M1153" s="208" t="s">
        <v>40</v>
      </c>
      <c r="N1153" s="208" t="s">
        <v>39</v>
      </c>
    </row>
    <row r="1154" spans="1:14">
      <c r="A1154" s="144" t="s">
        <v>1295</v>
      </c>
      <c r="B1154" s="213" t="s">
        <v>4405</v>
      </c>
      <c r="C1154" s="208" t="s">
        <v>1119</v>
      </c>
      <c r="D1154" s="208" t="s">
        <v>4406</v>
      </c>
      <c r="E1154" s="247">
        <v>40</v>
      </c>
      <c r="F1154" s="144" t="s">
        <v>19</v>
      </c>
      <c r="G1154" s="248">
        <v>25</v>
      </c>
      <c r="H1154" s="248">
        <f t="shared" si="107"/>
        <v>1000</v>
      </c>
      <c r="I1154" s="156">
        <v>22</v>
      </c>
      <c r="J1154" s="249">
        <f t="shared" si="108"/>
        <v>3</v>
      </c>
      <c r="K1154" s="295">
        <f t="shared" si="109"/>
        <v>120</v>
      </c>
      <c r="L1154" s="296">
        <f t="shared" si="110"/>
        <v>0.12</v>
      </c>
      <c r="M1154" s="208" t="s">
        <v>40</v>
      </c>
      <c r="N1154" s="208" t="s">
        <v>39</v>
      </c>
    </row>
    <row r="1155" spans="1:14">
      <c r="A1155" s="144" t="s">
        <v>1295</v>
      </c>
      <c r="B1155" s="213" t="s">
        <v>4405</v>
      </c>
      <c r="C1155" s="208" t="s">
        <v>1119</v>
      </c>
      <c r="D1155" s="208" t="s">
        <v>4407</v>
      </c>
      <c r="E1155" s="247">
        <v>200</v>
      </c>
      <c r="F1155" s="144" t="s">
        <v>19</v>
      </c>
      <c r="G1155" s="248">
        <v>450</v>
      </c>
      <c r="H1155" s="248">
        <f t="shared" si="107"/>
        <v>90000</v>
      </c>
      <c r="I1155" s="156">
        <v>430</v>
      </c>
      <c r="J1155" s="249">
        <f t="shared" si="108"/>
        <v>20</v>
      </c>
      <c r="K1155" s="295">
        <f t="shared" si="109"/>
        <v>4000</v>
      </c>
      <c r="L1155" s="296">
        <f t="shared" si="110"/>
        <v>4.4444444444444446E-2</v>
      </c>
      <c r="M1155" s="208" t="s">
        <v>40</v>
      </c>
      <c r="N1155" s="208" t="s">
        <v>39</v>
      </c>
    </row>
    <row r="1156" spans="1:14">
      <c r="A1156" s="144" t="s">
        <v>1295</v>
      </c>
      <c r="B1156" s="213" t="s">
        <v>4405</v>
      </c>
      <c r="C1156" s="208" t="s">
        <v>1119</v>
      </c>
      <c r="D1156" s="208" t="s">
        <v>4408</v>
      </c>
      <c r="E1156" s="247">
        <v>10</v>
      </c>
      <c r="F1156" s="144" t="s">
        <v>19</v>
      </c>
      <c r="G1156" s="248">
        <v>19</v>
      </c>
      <c r="H1156" s="248">
        <f t="shared" si="107"/>
        <v>190</v>
      </c>
      <c r="I1156" s="156">
        <v>18</v>
      </c>
      <c r="J1156" s="249">
        <f t="shared" si="108"/>
        <v>1</v>
      </c>
      <c r="K1156" s="295">
        <f t="shared" si="109"/>
        <v>10</v>
      </c>
      <c r="L1156" s="296">
        <f t="shared" si="110"/>
        <v>5.2631578947368418E-2</v>
      </c>
      <c r="M1156" s="208" t="s">
        <v>40</v>
      </c>
      <c r="N1156" s="208" t="s">
        <v>39</v>
      </c>
    </row>
    <row r="1157" spans="1:14">
      <c r="A1157" s="144" t="s">
        <v>1295</v>
      </c>
      <c r="B1157" s="213" t="s">
        <v>4409</v>
      </c>
      <c r="C1157" s="208" t="s">
        <v>304</v>
      </c>
      <c r="D1157" s="208" t="s">
        <v>4410</v>
      </c>
      <c r="E1157" s="247">
        <v>1</v>
      </c>
      <c r="F1157" s="144" t="s">
        <v>19</v>
      </c>
      <c r="G1157" s="248">
        <v>9000</v>
      </c>
      <c r="H1157" s="248">
        <f t="shared" si="107"/>
        <v>9000</v>
      </c>
      <c r="I1157" s="156">
        <v>8500</v>
      </c>
      <c r="J1157" s="249">
        <f t="shared" si="108"/>
        <v>500</v>
      </c>
      <c r="K1157" s="295">
        <f t="shared" si="109"/>
        <v>500</v>
      </c>
      <c r="L1157" s="296">
        <f t="shared" si="110"/>
        <v>5.5555555555555552E-2</v>
      </c>
      <c r="M1157" s="208" t="s">
        <v>40</v>
      </c>
      <c r="N1157" s="208" t="s">
        <v>105</v>
      </c>
    </row>
    <row r="1158" spans="1:14">
      <c r="A1158" s="144" t="s">
        <v>1295</v>
      </c>
      <c r="B1158" s="213" t="s">
        <v>4409</v>
      </c>
      <c r="C1158" s="208" t="s">
        <v>304</v>
      </c>
      <c r="D1158" s="208" t="s">
        <v>4411</v>
      </c>
      <c r="E1158" s="247">
        <v>1</v>
      </c>
      <c r="F1158" s="144" t="s">
        <v>19</v>
      </c>
      <c r="G1158" s="248">
        <v>10000</v>
      </c>
      <c r="H1158" s="248">
        <f t="shared" si="107"/>
        <v>10000</v>
      </c>
      <c r="I1158" s="156">
        <v>9500</v>
      </c>
      <c r="J1158" s="249">
        <f t="shared" si="108"/>
        <v>500</v>
      </c>
      <c r="K1158" s="295">
        <f t="shared" si="109"/>
        <v>500</v>
      </c>
      <c r="L1158" s="296">
        <f t="shared" si="110"/>
        <v>0.05</v>
      </c>
      <c r="M1158" s="208" t="s">
        <v>40</v>
      </c>
      <c r="N1158" s="208" t="s">
        <v>105</v>
      </c>
    </row>
    <row r="1159" spans="1:14">
      <c r="A1159" s="144" t="s">
        <v>1295</v>
      </c>
      <c r="B1159" s="213" t="s">
        <v>4412</v>
      </c>
      <c r="C1159" s="208" t="s">
        <v>1119</v>
      </c>
      <c r="D1159" s="208" t="s">
        <v>4413</v>
      </c>
      <c r="E1159" s="247">
        <v>10</v>
      </c>
      <c r="F1159" s="144" t="s">
        <v>19</v>
      </c>
      <c r="G1159" s="248">
        <v>250</v>
      </c>
      <c r="H1159" s="248">
        <f t="shared" si="107"/>
        <v>2500</v>
      </c>
      <c r="I1159" s="156">
        <v>230</v>
      </c>
      <c r="J1159" s="249">
        <f t="shared" si="108"/>
        <v>20</v>
      </c>
      <c r="K1159" s="295">
        <f t="shared" si="109"/>
        <v>200</v>
      </c>
      <c r="L1159" s="296">
        <f t="shared" si="110"/>
        <v>0.08</v>
      </c>
      <c r="M1159" s="208" t="s">
        <v>40</v>
      </c>
      <c r="N1159" s="208" t="s">
        <v>39</v>
      </c>
    </row>
    <row r="1160" spans="1:14">
      <c r="A1160" s="144" t="s">
        <v>1295</v>
      </c>
      <c r="B1160" s="213" t="s">
        <v>4412</v>
      </c>
      <c r="C1160" s="208" t="s">
        <v>1119</v>
      </c>
      <c r="D1160" s="208" t="s">
        <v>4414</v>
      </c>
      <c r="E1160" s="247">
        <v>500</v>
      </c>
      <c r="F1160" s="144" t="s">
        <v>19</v>
      </c>
      <c r="G1160" s="248">
        <v>16</v>
      </c>
      <c r="H1160" s="248">
        <f t="shared" si="107"/>
        <v>8000</v>
      </c>
      <c r="I1160" s="156">
        <v>15</v>
      </c>
      <c r="J1160" s="249">
        <f t="shared" si="108"/>
        <v>1</v>
      </c>
      <c r="K1160" s="295">
        <f t="shared" si="109"/>
        <v>500</v>
      </c>
      <c r="L1160" s="296">
        <f t="shared" si="110"/>
        <v>6.25E-2</v>
      </c>
      <c r="M1160" s="208" t="s">
        <v>40</v>
      </c>
      <c r="N1160" s="208" t="s">
        <v>39</v>
      </c>
    </row>
    <row r="1161" spans="1:14">
      <c r="A1161" s="144" t="s">
        <v>1295</v>
      </c>
      <c r="B1161" s="213" t="s">
        <v>4412</v>
      </c>
      <c r="C1161" s="208" t="s">
        <v>1119</v>
      </c>
      <c r="D1161" s="208" t="s">
        <v>4383</v>
      </c>
      <c r="E1161" s="247">
        <v>20</v>
      </c>
      <c r="F1161" s="144" t="s">
        <v>19</v>
      </c>
      <c r="G1161" s="248">
        <v>250</v>
      </c>
      <c r="H1161" s="248">
        <f t="shared" si="107"/>
        <v>5000</v>
      </c>
      <c r="I1161" s="156">
        <v>230</v>
      </c>
      <c r="J1161" s="249">
        <f t="shared" si="108"/>
        <v>20</v>
      </c>
      <c r="K1161" s="295">
        <f t="shared" si="109"/>
        <v>400</v>
      </c>
      <c r="L1161" s="296">
        <f t="shared" si="110"/>
        <v>0.08</v>
      </c>
      <c r="M1161" s="208" t="s">
        <v>40</v>
      </c>
      <c r="N1161" s="208" t="s">
        <v>39</v>
      </c>
    </row>
    <row r="1162" spans="1:14">
      <c r="A1162" s="144" t="s">
        <v>1295</v>
      </c>
      <c r="B1162" s="213" t="s">
        <v>4412</v>
      </c>
      <c r="C1162" s="208" t="s">
        <v>1119</v>
      </c>
      <c r="D1162" s="208" t="s">
        <v>4390</v>
      </c>
      <c r="E1162" s="247">
        <v>20</v>
      </c>
      <c r="F1162" s="144" t="s">
        <v>19</v>
      </c>
      <c r="G1162" s="248">
        <v>560</v>
      </c>
      <c r="H1162" s="248">
        <f t="shared" si="107"/>
        <v>11200</v>
      </c>
      <c r="I1162" s="156">
        <v>520</v>
      </c>
      <c r="J1162" s="249">
        <f t="shared" si="108"/>
        <v>40</v>
      </c>
      <c r="K1162" s="295">
        <f t="shared" si="109"/>
        <v>800</v>
      </c>
      <c r="L1162" s="296">
        <f t="shared" si="110"/>
        <v>7.1428571428571425E-2</v>
      </c>
      <c r="M1162" s="208" t="s">
        <v>40</v>
      </c>
      <c r="N1162" s="208" t="s">
        <v>39</v>
      </c>
    </row>
    <row r="1163" spans="1:14">
      <c r="A1163" s="144" t="s">
        <v>1295</v>
      </c>
      <c r="B1163" s="213" t="s">
        <v>4415</v>
      </c>
      <c r="C1163" s="208" t="s">
        <v>4416</v>
      </c>
      <c r="D1163" s="27" t="s">
        <v>4417</v>
      </c>
      <c r="E1163" s="247">
        <v>1</v>
      </c>
      <c r="F1163" s="144" t="s">
        <v>285</v>
      </c>
      <c r="G1163" s="248">
        <v>43000</v>
      </c>
      <c r="H1163" s="248">
        <f t="shared" si="107"/>
        <v>43000</v>
      </c>
      <c r="I1163" s="156">
        <v>41500</v>
      </c>
      <c r="J1163" s="249">
        <f t="shared" si="108"/>
        <v>1500</v>
      </c>
      <c r="K1163" s="295">
        <f>J1163*E1163</f>
        <v>1500</v>
      </c>
      <c r="L1163" s="296">
        <f>J1163/G1163</f>
        <v>3.4883720930232558E-2</v>
      </c>
      <c r="M1163" s="208" t="s">
        <v>22</v>
      </c>
      <c r="N1163" s="208" t="s">
        <v>105</v>
      </c>
    </row>
    <row r="1164" spans="1:14">
      <c r="A1164" s="144" t="s">
        <v>1295</v>
      </c>
      <c r="B1164" s="213" t="s">
        <v>4418</v>
      </c>
      <c r="C1164" s="208" t="s">
        <v>68</v>
      </c>
      <c r="D1164" s="208" t="s">
        <v>755</v>
      </c>
      <c r="E1164" s="247">
        <v>750.5</v>
      </c>
      <c r="F1164" s="144" t="s">
        <v>37</v>
      </c>
      <c r="G1164" s="248">
        <v>415</v>
      </c>
      <c r="H1164" s="248">
        <f t="shared" si="107"/>
        <v>311457.5</v>
      </c>
      <c r="I1164" s="156">
        <v>395</v>
      </c>
      <c r="J1164" s="249">
        <f t="shared" si="108"/>
        <v>20</v>
      </c>
      <c r="K1164" s="295">
        <f>J1164*E1164</f>
        <v>15010</v>
      </c>
      <c r="L1164" s="296">
        <f>J1164/G1164</f>
        <v>4.8192771084337352E-2</v>
      </c>
      <c r="M1164" s="208" t="s">
        <v>22</v>
      </c>
      <c r="N1164" s="208" t="s">
        <v>105</v>
      </c>
    </row>
    <row r="1165" spans="1:14">
      <c r="A1165" s="144" t="s">
        <v>1295</v>
      </c>
      <c r="B1165" s="213" t="s">
        <v>4419</v>
      </c>
      <c r="C1165" s="208" t="s">
        <v>2167</v>
      </c>
      <c r="D1165" s="208" t="s">
        <v>4420</v>
      </c>
      <c r="E1165" s="247">
        <v>1300</v>
      </c>
      <c r="F1165" s="144" t="s">
        <v>19</v>
      </c>
      <c r="G1165" s="248">
        <v>660</v>
      </c>
      <c r="H1165" s="248" t="s">
        <v>4421</v>
      </c>
      <c r="I1165" s="156">
        <v>613.79999999999995</v>
      </c>
      <c r="J1165" s="249">
        <f t="shared" si="108"/>
        <v>46.200000000000045</v>
      </c>
      <c r="K1165" s="295">
        <f>J1165*E1165</f>
        <v>60060.000000000058</v>
      </c>
      <c r="L1165" s="296">
        <f>J1165/G1165</f>
        <v>7.0000000000000062E-2</v>
      </c>
      <c r="M1165" s="208" t="s">
        <v>40</v>
      </c>
      <c r="N1165" s="208" t="s">
        <v>105</v>
      </c>
    </row>
    <row r="1166" spans="1:14">
      <c r="A1166" s="144" t="s">
        <v>1295</v>
      </c>
      <c r="B1166" s="213" t="s">
        <v>4419</v>
      </c>
      <c r="C1166" s="208" t="s">
        <v>2167</v>
      </c>
      <c r="D1166" s="208" t="s">
        <v>4422</v>
      </c>
      <c r="E1166" s="247">
        <v>90</v>
      </c>
      <c r="F1166" s="144" t="s">
        <v>19</v>
      </c>
      <c r="G1166" s="248">
        <v>4521</v>
      </c>
      <c r="H1166" s="248">
        <f t="shared" si="107"/>
        <v>406890</v>
      </c>
      <c r="I1166" s="156">
        <v>4191</v>
      </c>
      <c r="J1166" s="249">
        <f t="shared" si="108"/>
        <v>330</v>
      </c>
      <c r="K1166" s="295">
        <f>J1166*E1166</f>
        <v>29700</v>
      </c>
      <c r="L1166" s="296">
        <f>J1166/G1166</f>
        <v>7.2992700729927001E-2</v>
      </c>
      <c r="M1166" s="208" t="s">
        <v>40</v>
      </c>
      <c r="N1166" s="208" t="s">
        <v>105</v>
      </c>
    </row>
    <row r="1167" spans="1:14">
      <c r="A1167" s="144" t="s">
        <v>1295</v>
      </c>
      <c r="B1167" s="271" t="s">
        <v>4423</v>
      </c>
      <c r="C1167" s="208" t="s">
        <v>229</v>
      </c>
      <c r="D1167" s="279" t="s">
        <v>1601</v>
      </c>
      <c r="E1167" s="263">
        <v>256000</v>
      </c>
      <c r="F1167" s="144" t="s">
        <v>231</v>
      </c>
      <c r="G1167" s="248">
        <v>23.5</v>
      </c>
      <c r="H1167" s="248">
        <f t="shared" si="107"/>
        <v>6016000</v>
      </c>
      <c r="I1167" s="156">
        <v>23.2</v>
      </c>
      <c r="J1167" s="249">
        <f t="shared" si="108"/>
        <v>0.30000000000000071</v>
      </c>
      <c r="K1167" s="295">
        <f>J1167*E1167</f>
        <v>76800.000000000175</v>
      </c>
      <c r="L1167" s="296">
        <f>J1167/G1167</f>
        <v>1.2765957446808541E-2</v>
      </c>
      <c r="M1167" s="208" t="s">
        <v>22</v>
      </c>
      <c r="N1167" s="208" t="s">
        <v>39</v>
      </c>
    </row>
    <row r="1168" spans="1:14">
      <c r="A1168" s="301" t="s">
        <v>1295</v>
      </c>
      <c r="B1168" s="213" t="s">
        <v>4424</v>
      </c>
      <c r="C1168" s="302" t="s">
        <v>94</v>
      </c>
      <c r="D1168" s="292" t="s">
        <v>550</v>
      </c>
      <c r="E1168" s="303">
        <v>200</v>
      </c>
      <c r="F1168" s="144" t="s">
        <v>19</v>
      </c>
      <c r="G1168" s="248">
        <v>50</v>
      </c>
      <c r="H1168" s="248">
        <f t="shared" si="107"/>
        <v>10000</v>
      </c>
      <c r="I1168" s="156">
        <v>47.56</v>
      </c>
      <c r="J1168" s="249">
        <f t="shared" si="108"/>
        <v>2.4399999999999977</v>
      </c>
      <c r="K1168" s="295">
        <f t="shared" ref="K1168:K1175" si="111">J1168*E1168</f>
        <v>487.99999999999955</v>
      </c>
      <c r="L1168" s="296">
        <f t="shared" ref="L1168:L1175" si="112">J1168/G1168</f>
        <v>4.8799999999999955E-2</v>
      </c>
      <c r="M1168" s="208" t="s">
        <v>22</v>
      </c>
      <c r="N1168" s="208" t="s">
        <v>105</v>
      </c>
    </row>
    <row r="1169" spans="1:14">
      <c r="A1169" s="301" t="s">
        <v>1295</v>
      </c>
      <c r="B1169" s="213" t="s">
        <v>4425</v>
      </c>
      <c r="C1169" s="302" t="s">
        <v>107</v>
      </c>
      <c r="D1169" s="292" t="s">
        <v>4426</v>
      </c>
      <c r="E1169" s="303">
        <v>68</v>
      </c>
      <c r="F1169" s="144" t="s">
        <v>19</v>
      </c>
      <c r="G1169" s="248">
        <v>3600</v>
      </c>
      <c r="H1169" s="248">
        <f t="shared" si="107"/>
        <v>244800</v>
      </c>
      <c r="I1169" s="156">
        <v>3500</v>
      </c>
      <c r="J1169" s="249">
        <f t="shared" si="108"/>
        <v>100</v>
      </c>
      <c r="K1169" s="295">
        <f t="shared" si="111"/>
        <v>6800</v>
      </c>
      <c r="L1169" s="296">
        <f t="shared" si="112"/>
        <v>2.7777777777777776E-2</v>
      </c>
      <c r="M1169" s="208" t="s">
        <v>22</v>
      </c>
      <c r="N1169" s="208" t="s">
        <v>4066</v>
      </c>
    </row>
    <row r="1170" spans="1:14">
      <c r="A1170" s="301" t="s">
        <v>1295</v>
      </c>
      <c r="B1170" s="213" t="s">
        <v>4427</v>
      </c>
      <c r="C1170" s="302" t="s">
        <v>192</v>
      </c>
      <c r="D1170" s="292" t="s">
        <v>4428</v>
      </c>
      <c r="E1170" s="303">
        <v>575</v>
      </c>
      <c r="F1170" s="144" t="s">
        <v>19</v>
      </c>
      <c r="G1170" s="248">
        <v>1990</v>
      </c>
      <c r="H1170" s="248">
        <f t="shared" si="107"/>
        <v>1144250</v>
      </c>
      <c r="I1170" s="156">
        <v>1700</v>
      </c>
      <c r="J1170" s="249">
        <f t="shared" si="108"/>
        <v>290</v>
      </c>
      <c r="K1170" s="295">
        <f t="shared" si="111"/>
        <v>166750</v>
      </c>
      <c r="L1170" s="296">
        <f t="shared" si="112"/>
        <v>0.14572864321608039</v>
      </c>
      <c r="M1170" s="208" t="s">
        <v>22</v>
      </c>
      <c r="N1170" s="208" t="s">
        <v>105</v>
      </c>
    </row>
    <row r="1171" spans="1:14">
      <c r="A1171" s="301" t="s">
        <v>1295</v>
      </c>
      <c r="B1171" s="213" t="s">
        <v>4423</v>
      </c>
      <c r="C1171" s="302" t="s">
        <v>229</v>
      </c>
      <c r="D1171" s="292" t="s">
        <v>1729</v>
      </c>
      <c r="E1171" s="303">
        <v>3000</v>
      </c>
      <c r="F1171" s="144" t="s">
        <v>37</v>
      </c>
      <c r="G1171" s="248">
        <v>23.5</v>
      </c>
      <c r="H1171" s="248">
        <f t="shared" si="107"/>
        <v>70500</v>
      </c>
      <c r="I1171" s="156">
        <v>23.2</v>
      </c>
      <c r="J1171" s="249">
        <f t="shared" si="108"/>
        <v>0.30000000000000071</v>
      </c>
      <c r="K1171" s="295">
        <f t="shared" si="111"/>
        <v>900.00000000000216</v>
      </c>
      <c r="L1171" s="296">
        <f t="shared" si="112"/>
        <v>1.2765957446808541E-2</v>
      </c>
      <c r="M1171" s="208" t="s">
        <v>22</v>
      </c>
      <c r="N1171" s="208" t="s">
        <v>39</v>
      </c>
    </row>
    <row r="1172" spans="1:14">
      <c r="A1172" s="301" t="s">
        <v>1295</v>
      </c>
      <c r="B1172" s="213" t="s">
        <v>4423</v>
      </c>
      <c r="C1172" s="302" t="s">
        <v>229</v>
      </c>
      <c r="D1172" s="292" t="s">
        <v>2255</v>
      </c>
      <c r="E1172" s="303">
        <v>12000</v>
      </c>
      <c r="F1172" s="144" t="s">
        <v>37</v>
      </c>
      <c r="G1172" s="248">
        <v>23.5</v>
      </c>
      <c r="H1172" s="248">
        <f t="shared" si="107"/>
        <v>282000</v>
      </c>
      <c r="I1172" s="156">
        <v>23.2</v>
      </c>
      <c r="J1172" s="249">
        <f t="shared" si="108"/>
        <v>0.30000000000000071</v>
      </c>
      <c r="K1172" s="295">
        <f t="shared" si="111"/>
        <v>3600.0000000000086</v>
      </c>
      <c r="L1172" s="296">
        <f t="shared" si="112"/>
        <v>1.2765957446808541E-2</v>
      </c>
      <c r="M1172" s="208" t="s">
        <v>22</v>
      </c>
      <c r="N1172" s="208" t="s">
        <v>39</v>
      </c>
    </row>
    <row r="1173" spans="1:14">
      <c r="A1173" s="301" t="s">
        <v>1295</v>
      </c>
      <c r="B1173" s="213" t="s">
        <v>4423</v>
      </c>
      <c r="C1173" s="302" t="s">
        <v>229</v>
      </c>
      <c r="D1173" s="292" t="s">
        <v>2255</v>
      </c>
      <c r="E1173" s="303">
        <v>36000</v>
      </c>
      <c r="F1173" s="144" t="s">
        <v>37</v>
      </c>
      <c r="G1173" s="248">
        <v>23.5</v>
      </c>
      <c r="H1173" s="248">
        <f t="shared" si="107"/>
        <v>846000</v>
      </c>
      <c r="I1173" s="156">
        <v>23.2</v>
      </c>
      <c r="J1173" s="249">
        <f t="shared" si="108"/>
        <v>0.30000000000000071</v>
      </c>
      <c r="K1173" s="295">
        <f t="shared" si="111"/>
        <v>10800.000000000025</v>
      </c>
      <c r="L1173" s="296">
        <f t="shared" si="112"/>
        <v>1.2765957446808541E-2</v>
      </c>
      <c r="M1173" s="208" t="s">
        <v>22</v>
      </c>
      <c r="N1173" s="208" t="s">
        <v>39</v>
      </c>
    </row>
    <row r="1174" spans="1:14">
      <c r="A1174" s="301" t="s">
        <v>1295</v>
      </c>
      <c r="B1174" s="213" t="s">
        <v>4423</v>
      </c>
      <c r="C1174" s="302" t="s">
        <v>229</v>
      </c>
      <c r="D1174" s="292" t="s">
        <v>2345</v>
      </c>
      <c r="E1174" s="303">
        <v>18000</v>
      </c>
      <c r="F1174" s="304" t="s">
        <v>37</v>
      </c>
      <c r="G1174" s="248">
        <v>23.5</v>
      </c>
      <c r="H1174" s="248">
        <f t="shared" si="107"/>
        <v>423000</v>
      </c>
      <c r="I1174" s="156">
        <v>23.2</v>
      </c>
      <c r="J1174" s="249">
        <f t="shared" si="108"/>
        <v>0.30000000000000071</v>
      </c>
      <c r="K1174" s="295">
        <f t="shared" si="111"/>
        <v>5400.0000000000127</v>
      </c>
      <c r="L1174" s="296">
        <f t="shared" si="112"/>
        <v>1.2765957446808541E-2</v>
      </c>
      <c r="M1174" s="208" t="s">
        <v>22</v>
      </c>
      <c r="N1174" s="208" t="s">
        <v>39</v>
      </c>
    </row>
    <row r="1175" spans="1:14">
      <c r="A1175" s="301" t="s">
        <v>1295</v>
      </c>
      <c r="B1175" s="213" t="s">
        <v>4423</v>
      </c>
      <c r="C1175" s="302" t="s">
        <v>229</v>
      </c>
      <c r="D1175" s="292" t="s">
        <v>333</v>
      </c>
      <c r="E1175" s="303">
        <v>63000</v>
      </c>
      <c r="F1175" s="304" t="s">
        <v>37</v>
      </c>
      <c r="G1175" s="248">
        <v>23.5</v>
      </c>
      <c r="H1175" s="248">
        <f t="shared" si="107"/>
        <v>1480500</v>
      </c>
      <c r="I1175" s="156">
        <v>23.2</v>
      </c>
      <c r="J1175" s="249">
        <f t="shared" si="108"/>
        <v>0.30000000000000071</v>
      </c>
      <c r="K1175" s="295">
        <f t="shared" si="111"/>
        <v>18900.000000000044</v>
      </c>
      <c r="L1175" s="296">
        <f t="shared" si="112"/>
        <v>1.2765957446808541E-2</v>
      </c>
      <c r="M1175" s="208" t="s">
        <v>22</v>
      </c>
      <c r="N1175" s="208" t="s">
        <v>39</v>
      </c>
    </row>
    <row r="1176" spans="1:14">
      <c r="A1176" s="301" t="s">
        <v>1295</v>
      </c>
      <c r="B1176" s="213" t="s">
        <v>4423</v>
      </c>
      <c r="C1176" s="302" t="s">
        <v>229</v>
      </c>
      <c r="D1176" s="208" t="s">
        <v>274</v>
      </c>
      <c r="E1176" s="247">
        <v>70000</v>
      </c>
      <c r="F1176" s="144" t="s">
        <v>37</v>
      </c>
      <c r="G1176" s="248">
        <v>23.5</v>
      </c>
      <c r="H1176" s="248">
        <f t="shared" si="107"/>
        <v>1645000</v>
      </c>
      <c r="I1176" s="156">
        <v>23.2</v>
      </c>
      <c r="J1176" s="249">
        <f t="shared" si="108"/>
        <v>0.30000000000000071</v>
      </c>
      <c r="K1176" s="295">
        <f>J1176*E1176</f>
        <v>21000.000000000051</v>
      </c>
      <c r="L1176" s="296">
        <f>J1176/G1176</f>
        <v>1.2765957446808541E-2</v>
      </c>
      <c r="M1176" s="208" t="s">
        <v>22</v>
      </c>
      <c r="N1176" s="208" t="s">
        <v>39</v>
      </c>
    </row>
    <row r="1177" spans="1:14">
      <c r="A1177" s="301" t="s">
        <v>1295</v>
      </c>
      <c r="B1177" s="213" t="s">
        <v>4423</v>
      </c>
      <c r="C1177" s="302" t="s">
        <v>229</v>
      </c>
      <c r="D1177" s="208" t="s">
        <v>275</v>
      </c>
      <c r="E1177" s="247">
        <v>30000</v>
      </c>
      <c r="F1177" s="144" t="s">
        <v>37</v>
      </c>
      <c r="G1177" s="248">
        <v>23.5</v>
      </c>
      <c r="H1177" s="248">
        <f t="shared" si="107"/>
        <v>705000</v>
      </c>
      <c r="I1177" s="156">
        <v>23.2</v>
      </c>
      <c r="J1177" s="249">
        <f t="shared" si="108"/>
        <v>0.30000000000000071</v>
      </c>
      <c r="K1177" s="295">
        <f>J1177*E1177</f>
        <v>9000.0000000000218</v>
      </c>
      <c r="L1177" s="296">
        <f>J1177/G1177</f>
        <v>1.2765957446808541E-2</v>
      </c>
      <c r="M1177" s="208" t="s">
        <v>22</v>
      </c>
      <c r="N1177" s="208" t="s">
        <v>39</v>
      </c>
    </row>
    <row r="1178" spans="1:14">
      <c r="A1178" s="301" t="s">
        <v>1295</v>
      </c>
      <c r="B1178" s="213" t="s">
        <v>4423</v>
      </c>
      <c r="C1178" s="302" t="s">
        <v>229</v>
      </c>
      <c r="D1178" s="292" t="s">
        <v>996</v>
      </c>
      <c r="E1178" s="303">
        <v>15000</v>
      </c>
      <c r="F1178" s="144" t="s">
        <v>37</v>
      </c>
      <c r="G1178" s="248">
        <v>23.5</v>
      </c>
      <c r="H1178" s="248">
        <f t="shared" si="107"/>
        <v>352500</v>
      </c>
      <c r="I1178" s="156">
        <v>23.2</v>
      </c>
      <c r="J1178" s="249">
        <f t="shared" si="108"/>
        <v>0.30000000000000071</v>
      </c>
      <c r="K1178" s="295">
        <f t="shared" ref="K1178:K1241" si="113">J1178*E1178</f>
        <v>4500.0000000000109</v>
      </c>
      <c r="L1178" s="296">
        <f t="shared" ref="L1178:L1241" si="114">J1178/G1178</f>
        <v>1.2765957446808541E-2</v>
      </c>
      <c r="M1178" s="208" t="s">
        <v>22</v>
      </c>
      <c r="N1178" s="208" t="s">
        <v>39</v>
      </c>
    </row>
    <row r="1179" spans="1:14">
      <c r="A1179" s="301" t="s">
        <v>1295</v>
      </c>
      <c r="B1179" s="213" t="s">
        <v>4423</v>
      </c>
      <c r="C1179" s="302" t="s">
        <v>229</v>
      </c>
      <c r="D1179" s="292" t="s">
        <v>230</v>
      </c>
      <c r="E1179" s="303">
        <v>9000</v>
      </c>
      <c r="F1179" s="144" t="s">
        <v>37</v>
      </c>
      <c r="G1179" s="248">
        <v>23.5</v>
      </c>
      <c r="H1179" s="248">
        <f t="shared" si="107"/>
        <v>211500</v>
      </c>
      <c r="I1179" s="156">
        <v>23.2</v>
      </c>
      <c r="J1179" s="249">
        <f t="shared" si="108"/>
        <v>0.30000000000000071</v>
      </c>
      <c r="K1179" s="295">
        <f t="shared" si="113"/>
        <v>2700.0000000000064</v>
      </c>
      <c r="L1179" s="296">
        <f t="shared" si="114"/>
        <v>1.2765957446808541E-2</v>
      </c>
      <c r="M1179" s="208" t="s">
        <v>22</v>
      </c>
      <c r="N1179" s="208" t="s">
        <v>39</v>
      </c>
    </row>
    <row r="1180" spans="1:14">
      <c r="A1180" s="301" t="s">
        <v>1295</v>
      </c>
      <c r="B1180" s="213" t="s">
        <v>4429</v>
      </c>
      <c r="C1180" s="292" t="s">
        <v>4371</v>
      </c>
      <c r="D1180" s="292" t="s">
        <v>4330</v>
      </c>
      <c r="E1180" s="303">
        <v>1</v>
      </c>
      <c r="F1180" s="144" t="s">
        <v>285</v>
      </c>
      <c r="G1180" s="248">
        <v>23043</v>
      </c>
      <c r="H1180" s="248">
        <f t="shared" si="107"/>
        <v>23043</v>
      </c>
      <c r="I1180" s="156">
        <v>21207</v>
      </c>
      <c r="J1180" s="249">
        <f t="shared" si="108"/>
        <v>1836</v>
      </c>
      <c r="K1180" s="295">
        <f t="shared" si="113"/>
        <v>1836</v>
      </c>
      <c r="L1180" s="296">
        <f t="shared" si="114"/>
        <v>7.9677125374300217E-2</v>
      </c>
      <c r="M1180" s="208" t="s">
        <v>40</v>
      </c>
      <c r="N1180" s="208" t="s">
        <v>105</v>
      </c>
    </row>
    <row r="1181" spans="1:14">
      <c r="A1181" s="301" t="s">
        <v>1295</v>
      </c>
      <c r="B1181" s="213" t="s">
        <v>4430</v>
      </c>
      <c r="C1181" s="302" t="s">
        <v>4431</v>
      </c>
      <c r="D1181" s="292" t="s">
        <v>4330</v>
      </c>
      <c r="E1181" s="303">
        <v>1</v>
      </c>
      <c r="F1181" s="144" t="s">
        <v>285</v>
      </c>
      <c r="G1181" s="248">
        <v>145839.89000000001</v>
      </c>
      <c r="H1181" s="248">
        <f t="shared" si="107"/>
        <v>145839.89000000001</v>
      </c>
      <c r="I1181" s="156">
        <v>104451.5</v>
      </c>
      <c r="J1181" s="249">
        <f t="shared" si="108"/>
        <v>41388.390000000014</v>
      </c>
      <c r="K1181" s="295">
        <f t="shared" si="113"/>
        <v>41388.390000000014</v>
      </c>
      <c r="L1181" s="296">
        <f t="shared" si="114"/>
        <v>0.28379334350841878</v>
      </c>
      <c r="M1181" s="208" t="s">
        <v>22</v>
      </c>
      <c r="N1181" s="208" t="s">
        <v>105</v>
      </c>
    </row>
    <row r="1182" spans="1:14" ht="38.25">
      <c r="A1182" s="363" t="s">
        <v>1295</v>
      </c>
      <c r="B1182" s="370" t="s">
        <v>4432</v>
      </c>
      <c r="C1182" s="371" t="s">
        <v>4433</v>
      </c>
      <c r="D1182" s="366" t="s">
        <v>4330</v>
      </c>
      <c r="E1182" s="303">
        <v>1</v>
      </c>
      <c r="F1182" s="362" t="s">
        <v>285</v>
      </c>
      <c r="G1182" s="367">
        <v>265753.96000000002</v>
      </c>
      <c r="H1182" s="367">
        <f t="shared" si="107"/>
        <v>265753.96000000002</v>
      </c>
      <c r="I1182" s="368">
        <v>148107</v>
      </c>
      <c r="J1182" s="372">
        <f t="shared" si="108"/>
        <v>117646.96000000002</v>
      </c>
      <c r="K1182" s="373">
        <f t="shared" si="113"/>
        <v>117646.96000000002</v>
      </c>
      <c r="L1182" s="374">
        <f t="shared" si="114"/>
        <v>0.44269127730025176</v>
      </c>
      <c r="M1182" s="369" t="s">
        <v>22</v>
      </c>
      <c r="N1182" s="208" t="s">
        <v>105</v>
      </c>
    </row>
    <row r="1183" spans="1:14">
      <c r="A1183" s="301" t="s">
        <v>1295</v>
      </c>
      <c r="B1183" s="213" t="s">
        <v>4434</v>
      </c>
      <c r="C1183" s="302" t="s">
        <v>4329</v>
      </c>
      <c r="D1183" s="292" t="s">
        <v>4330</v>
      </c>
      <c r="E1183" s="303">
        <v>1</v>
      </c>
      <c r="F1183" s="144" t="s">
        <v>285</v>
      </c>
      <c r="G1183" s="248">
        <v>218661.27</v>
      </c>
      <c r="H1183" s="248">
        <f t="shared" si="107"/>
        <v>218661.27</v>
      </c>
      <c r="I1183" s="156">
        <v>202435.15</v>
      </c>
      <c r="J1183" s="249">
        <f t="shared" si="108"/>
        <v>16226.119999999995</v>
      </c>
      <c r="K1183" s="295">
        <f t="shared" si="113"/>
        <v>16226.119999999995</v>
      </c>
      <c r="L1183" s="296">
        <f t="shared" si="114"/>
        <v>7.4206648484205717E-2</v>
      </c>
      <c r="M1183" s="208" t="s">
        <v>22</v>
      </c>
      <c r="N1183" s="208" t="s">
        <v>105</v>
      </c>
    </row>
    <row r="1184" spans="1:14">
      <c r="A1184" s="301" t="s">
        <v>1295</v>
      </c>
      <c r="B1184" s="213" t="s">
        <v>4435</v>
      </c>
      <c r="C1184" s="302" t="s">
        <v>4002</v>
      </c>
      <c r="D1184" s="292" t="s">
        <v>4436</v>
      </c>
      <c r="E1184" s="303">
        <v>2</v>
      </c>
      <c r="F1184" s="144" t="s">
        <v>29</v>
      </c>
      <c r="G1184" s="248">
        <v>3900</v>
      </c>
      <c r="H1184" s="248">
        <f t="shared" si="107"/>
        <v>7800</v>
      </c>
      <c r="I1184" s="156">
        <v>3100</v>
      </c>
      <c r="J1184" s="249">
        <f t="shared" si="108"/>
        <v>800</v>
      </c>
      <c r="K1184" s="295">
        <f t="shared" si="113"/>
        <v>1600</v>
      </c>
      <c r="L1184" s="296">
        <f t="shared" si="114"/>
        <v>0.20512820512820512</v>
      </c>
      <c r="M1184" s="208" t="s">
        <v>40</v>
      </c>
      <c r="N1184" s="208" t="s">
        <v>4066</v>
      </c>
    </row>
    <row r="1185" spans="1:14">
      <c r="A1185" s="301" t="s">
        <v>1295</v>
      </c>
      <c r="B1185" s="213" t="s">
        <v>4437</v>
      </c>
      <c r="C1185" s="302" t="s">
        <v>118</v>
      </c>
      <c r="D1185" s="292" t="s">
        <v>4438</v>
      </c>
      <c r="E1185" s="303">
        <v>2</v>
      </c>
      <c r="F1185" s="144" t="s">
        <v>19</v>
      </c>
      <c r="G1185" s="248">
        <v>26000</v>
      </c>
      <c r="H1185" s="248">
        <f t="shared" si="107"/>
        <v>52000</v>
      </c>
      <c r="I1185" s="156">
        <v>24700</v>
      </c>
      <c r="J1185" s="249">
        <f t="shared" si="108"/>
        <v>1300</v>
      </c>
      <c r="K1185" s="295">
        <f t="shared" si="113"/>
        <v>2600</v>
      </c>
      <c r="L1185" s="296">
        <f t="shared" si="114"/>
        <v>0.05</v>
      </c>
      <c r="M1185" s="208" t="s">
        <v>22</v>
      </c>
      <c r="N1185" s="208" t="s">
        <v>4066</v>
      </c>
    </row>
    <row r="1186" spans="1:14">
      <c r="A1186" s="301" t="s">
        <v>1295</v>
      </c>
      <c r="B1186" s="213" t="s">
        <v>4439</v>
      </c>
      <c r="C1186" s="302" t="s">
        <v>118</v>
      </c>
      <c r="D1186" s="292" t="s">
        <v>4440</v>
      </c>
      <c r="E1186" s="303">
        <v>3</v>
      </c>
      <c r="F1186" s="144" t="s">
        <v>19</v>
      </c>
      <c r="G1186" s="248">
        <v>2068</v>
      </c>
      <c r="H1186" s="248">
        <f t="shared" si="107"/>
        <v>6204</v>
      </c>
      <c r="I1186" s="156">
        <v>1551</v>
      </c>
      <c r="J1186" s="249">
        <f t="shared" si="108"/>
        <v>517</v>
      </c>
      <c r="K1186" s="295">
        <f t="shared" si="113"/>
        <v>1551</v>
      </c>
      <c r="L1186" s="296">
        <f t="shared" si="114"/>
        <v>0.25</v>
      </c>
      <c r="M1186" s="208" t="s">
        <v>22</v>
      </c>
      <c r="N1186" s="208" t="s">
        <v>4066</v>
      </c>
    </row>
    <row r="1187" spans="1:14">
      <c r="A1187" s="301" t="s">
        <v>1295</v>
      </c>
      <c r="B1187" s="213" t="s">
        <v>4441</v>
      </c>
      <c r="C1187" s="302" t="s">
        <v>4302</v>
      </c>
      <c r="D1187" s="292" t="s">
        <v>4442</v>
      </c>
      <c r="E1187" s="303">
        <v>1</v>
      </c>
      <c r="F1187" s="144" t="s">
        <v>285</v>
      </c>
      <c r="G1187" s="248">
        <v>135000</v>
      </c>
      <c r="H1187" s="248">
        <f t="shared" ref="H1187:H1207" si="115">G1187*E1187</f>
        <v>135000</v>
      </c>
      <c r="I1187" s="156">
        <v>130950</v>
      </c>
      <c r="J1187" s="249">
        <f t="shared" ref="J1187:J1250" si="116">G1187-I1187</f>
        <v>4050</v>
      </c>
      <c r="K1187" s="295">
        <f t="shared" si="113"/>
        <v>4050</v>
      </c>
      <c r="L1187" s="296">
        <f t="shared" si="114"/>
        <v>0.03</v>
      </c>
      <c r="M1187" s="208" t="s">
        <v>40</v>
      </c>
      <c r="N1187" s="208" t="s">
        <v>4066</v>
      </c>
    </row>
    <row r="1188" spans="1:14">
      <c r="A1188" s="284" t="s">
        <v>1295</v>
      </c>
      <c r="B1188" s="159" t="s">
        <v>4443</v>
      </c>
      <c r="C1188" s="209" t="s">
        <v>2918</v>
      </c>
      <c r="D1188" s="209" t="s">
        <v>4444</v>
      </c>
      <c r="E1188" s="281">
        <v>1</v>
      </c>
      <c r="F1188" s="144" t="s">
        <v>285</v>
      </c>
      <c r="G1188" s="282">
        <v>7290</v>
      </c>
      <c r="H1188" s="264">
        <f t="shared" si="115"/>
        <v>7290</v>
      </c>
      <c r="I1188" s="280">
        <v>6500</v>
      </c>
      <c r="J1188" s="265">
        <f t="shared" si="116"/>
        <v>790</v>
      </c>
      <c r="K1188" s="267">
        <f t="shared" si="113"/>
        <v>790</v>
      </c>
      <c r="L1188" s="306">
        <f t="shared" si="114"/>
        <v>0.1083676268861454</v>
      </c>
      <c r="M1188" s="208" t="s">
        <v>40</v>
      </c>
      <c r="N1188" s="208" t="s">
        <v>4066</v>
      </c>
    </row>
    <row r="1189" spans="1:14">
      <c r="A1189" s="284" t="s">
        <v>1295</v>
      </c>
      <c r="B1189" s="159" t="s">
        <v>4445</v>
      </c>
      <c r="C1189" s="209" t="s">
        <v>17</v>
      </c>
      <c r="D1189" s="209" t="s">
        <v>4446</v>
      </c>
      <c r="E1189" s="281">
        <v>2</v>
      </c>
      <c r="F1189" s="284" t="s">
        <v>19</v>
      </c>
      <c r="G1189" s="282">
        <v>5300</v>
      </c>
      <c r="H1189" s="264">
        <f t="shared" si="115"/>
        <v>10600</v>
      </c>
      <c r="I1189" s="280">
        <v>5200</v>
      </c>
      <c r="J1189" s="265">
        <f t="shared" si="116"/>
        <v>100</v>
      </c>
      <c r="K1189" s="267">
        <f t="shared" si="113"/>
        <v>200</v>
      </c>
      <c r="L1189" s="306">
        <f t="shared" si="114"/>
        <v>1.8867924528301886E-2</v>
      </c>
      <c r="M1189" s="208" t="s">
        <v>40</v>
      </c>
      <c r="N1189" s="208" t="s">
        <v>4066</v>
      </c>
    </row>
    <row r="1190" spans="1:14">
      <c r="A1190" s="284" t="s">
        <v>1295</v>
      </c>
      <c r="B1190" s="159" t="s">
        <v>4447</v>
      </c>
      <c r="C1190" s="209" t="s">
        <v>4448</v>
      </c>
      <c r="D1190" s="307" t="s">
        <v>4449</v>
      </c>
      <c r="E1190" s="281">
        <v>2</v>
      </c>
      <c r="F1190" s="284" t="s">
        <v>3703</v>
      </c>
      <c r="G1190" s="282">
        <v>4220</v>
      </c>
      <c r="H1190" s="264">
        <f t="shared" si="115"/>
        <v>8440</v>
      </c>
      <c r="I1190" s="280">
        <v>3207</v>
      </c>
      <c r="J1190" s="265">
        <f t="shared" si="116"/>
        <v>1013</v>
      </c>
      <c r="K1190" s="267">
        <f t="shared" si="113"/>
        <v>2026</v>
      </c>
      <c r="L1190" s="306">
        <f t="shared" si="114"/>
        <v>0.24004739336492892</v>
      </c>
      <c r="M1190" s="208" t="s">
        <v>40</v>
      </c>
      <c r="N1190" s="208" t="s">
        <v>4066</v>
      </c>
    </row>
    <row r="1191" spans="1:14">
      <c r="A1191" s="284" t="s">
        <v>1295</v>
      </c>
      <c r="B1191" s="159" t="s">
        <v>4450</v>
      </c>
      <c r="C1191" s="209" t="s">
        <v>4179</v>
      </c>
      <c r="D1191" s="209" t="s">
        <v>4451</v>
      </c>
      <c r="E1191" s="281">
        <v>1</v>
      </c>
      <c r="F1191" s="144" t="s">
        <v>285</v>
      </c>
      <c r="G1191" s="282">
        <v>1240000</v>
      </c>
      <c r="H1191" s="264">
        <f t="shared" si="115"/>
        <v>1240000</v>
      </c>
      <c r="I1191" s="280">
        <v>1200000</v>
      </c>
      <c r="J1191" s="265">
        <f t="shared" si="116"/>
        <v>40000</v>
      </c>
      <c r="K1191" s="267">
        <f t="shared" si="113"/>
        <v>40000</v>
      </c>
      <c r="L1191" s="306">
        <f t="shared" si="114"/>
        <v>3.2258064516129031E-2</v>
      </c>
      <c r="M1191" s="208" t="s">
        <v>40</v>
      </c>
      <c r="N1191" s="208" t="s">
        <v>4066</v>
      </c>
    </row>
    <row r="1192" spans="1:14">
      <c r="A1192" s="284" t="s">
        <v>1295</v>
      </c>
      <c r="B1192" s="159" t="s">
        <v>4452</v>
      </c>
      <c r="C1192" s="209" t="s">
        <v>57</v>
      </c>
      <c r="D1192" s="209" t="s">
        <v>4453</v>
      </c>
      <c r="E1192" s="281">
        <v>1</v>
      </c>
      <c r="F1192" s="144" t="s">
        <v>285</v>
      </c>
      <c r="G1192" s="282">
        <v>626950</v>
      </c>
      <c r="H1192" s="264">
        <f t="shared" si="115"/>
        <v>626950</v>
      </c>
      <c r="I1192" s="280">
        <v>616950</v>
      </c>
      <c r="J1192" s="265">
        <f t="shared" si="116"/>
        <v>10000</v>
      </c>
      <c r="K1192" s="267">
        <f t="shared" si="113"/>
        <v>10000</v>
      </c>
      <c r="L1192" s="306">
        <f t="shared" si="114"/>
        <v>1.5950235265970173E-2</v>
      </c>
      <c r="M1192" s="208" t="s">
        <v>40</v>
      </c>
      <c r="N1192" s="208" t="s">
        <v>4066</v>
      </c>
    </row>
    <row r="1193" spans="1:14">
      <c r="A1193" s="284" t="s">
        <v>1295</v>
      </c>
      <c r="B1193" s="159" t="s">
        <v>4454</v>
      </c>
      <c r="C1193" s="209" t="s">
        <v>24</v>
      </c>
      <c r="D1193" s="209" t="s">
        <v>4455</v>
      </c>
      <c r="E1193" s="281">
        <v>5</v>
      </c>
      <c r="F1193" s="284" t="s">
        <v>19</v>
      </c>
      <c r="G1193" s="282">
        <v>65</v>
      </c>
      <c r="H1193" s="264">
        <f t="shared" si="115"/>
        <v>325</v>
      </c>
      <c r="I1193" s="280">
        <v>63</v>
      </c>
      <c r="J1193" s="265">
        <f t="shared" si="116"/>
        <v>2</v>
      </c>
      <c r="K1193" s="267">
        <f t="shared" si="113"/>
        <v>10</v>
      </c>
      <c r="L1193" s="306">
        <f t="shared" si="114"/>
        <v>3.0769230769230771E-2</v>
      </c>
      <c r="M1193" s="208" t="s">
        <v>40</v>
      </c>
      <c r="N1193" s="208" t="s">
        <v>4066</v>
      </c>
    </row>
    <row r="1194" spans="1:14">
      <c r="A1194" s="284" t="s">
        <v>1295</v>
      </c>
      <c r="B1194" s="159" t="s">
        <v>4454</v>
      </c>
      <c r="C1194" s="209" t="s">
        <v>24</v>
      </c>
      <c r="D1194" s="209" t="s">
        <v>4456</v>
      </c>
      <c r="E1194" s="281">
        <v>20</v>
      </c>
      <c r="F1194" s="284" t="s">
        <v>19</v>
      </c>
      <c r="G1194" s="282">
        <v>45</v>
      </c>
      <c r="H1194" s="264">
        <f t="shared" si="115"/>
        <v>900</v>
      </c>
      <c r="I1194" s="280">
        <v>42</v>
      </c>
      <c r="J1194" s="265">
        <f t="shared" si="116"/>
        <v>3</v>
      </c>
      <c r="K1194" s="267">
        <f t="shared" si="113"/>
        <v>60</v>
      </c>
      <c r="L1194" s="306">
        <f t="shared" si="114"/>
        <v>6.6666666666666666E-2</v>
      </c>
      <c r="M1194" s="208" t="s">
        <v>40</v>
      </c>
      <c r="N1194" s="208" t="s">
        <v>4066</v>
      </c>
    </row>
    <row r="1195" spans="1:14">
      <c r="A1195" s="284" t="s">
        <v>1295</v>
      </c>
      <c r="B1195" s="159" t="s">
        <v>4454</v>
      </c>
      <c r="C1195" s="209" t="s">
        <v>24</v>
      </c>
      <c r="D1195" s="209" t="s">
        <v>4457</v>
      </c>
      <c r="E1195" s="281">
        <v>10</v>
      </c>
      <c r="F1195" s="284" t="s">
        <v>19</v>
      </c>
      <c r="G1195" s="282">
        <v>425</v>
      </c>
      <c r="H1195" s="264">
        <f t="shared" si="115"/>
        <v>4250</v>
      </c>
      <c r="I1195" s="280">
        <v>420</v>
      </c>
      <c r="J1195" s="265">
        <f t="shared" si="116"/>
        <v>5</v>
      </c>
      <c r="K1195" s="267">
        <f t="shared" si="113"/>
        <v>50</v>
      </c>
      <c r="L1195" s="306">
        <f t="shared" si="114"/>
        <v>1.1764705882352941E-2</v>
      </c>
      <c r="M1195" s="208" t="s">
        <v>40</v>
      </c>
      <c r="N1195" s="208" t="s">
        <v>4066</v>
      </c>
    </row>
    <row r="1196" spans="1:14">
      <c r="A1196" s="284" t="s">
        <v>1295</v>
      </c>
      <c r="B1196" s="159" t="s">
        <v>4454</v>
      </c>
      <c r="C1196" s="209" t="s">
        <v>24</v>
      </c>
      <c r="D1196" s="209" t="s">
        <v>4458</v>
      </c>
      <c r="E1196" s="281">
        <v>10</v>
      </c>
      <c r="F1196" s="284" t="s">
        <v>19</v>
      </c>
      <c r="G1196" s="282">
        <v>529</v>
      </c>
      <c r="H1196" s="264">
        <f t="shared" si="115"/>
        <v>5290</v>
      </c>
      <c r="I1196" s="280">
        <v>520</v>
      </c>
      <c r="J1196" s="265">
        <f t="shared" si="116"/>
        <v>9</v>
      </c>
      <c r="K1196" s="267">
        <f t="shared" si="113"/>
        <v>90</v>
      </c>
      <c r="L1196" s="306">
        <f t="shared" si="114"/>
        <v>1.7013232514177693E-2</v>
      </c>
      <c r="M1196" s="208" t="s">
        <v>40</v>
      </c>
      <c r="N1196" s="208" t="s">
        <v>4066</v>
      </c>
    </row>
    <row r="1197" spans="1:14">
      <c r="A1197" s="284" t="s">
        <v>1295</v>
      </c>
      <c r="B1197" s="159" t="s">
        <v>4454</v>
      </c>
      <c r="C1197" s="209" t="s">
        <v>24</v>
      </c>
      <c r="D1197" s="209" t="s">
        <v>4459</v>
      </c>
      <c r="E1197" s="281">
        <v>1</v>
      </c>
      <c r="F1197" s="284" t="s">
        <v>29</v>
      </c>
      <c r="G1197" s="282">
        <v>1200</v>
      </c>
      <c r="H1197" s="264">
        <f t="shared" si="115"/>
        <v>1200</v>
      </c>
      <c r="I1197" s="280">
        <v>1180</v>
      </c>
      <c r="J1197" s="265">
        <f t="shared" si="116"/>
        <v>20</v>
      </c>
      <c r="K1197" s="267">
        <f t="shared" si="113"/>
        <v>20</v>
      </c>
      <c r="L1197" s="306">
        <f t="shared" si="114"/>
        <v>1.6666666666666666E-2</v>
      </c>
      <c r="M1197" s="208" t="s">
        <v>40</v>
      </c>
      <c r="N1197" s="208" t="s">
        <v>4066</v>
      </c>
    </row>
    <row r="1198" spans="1:14">
      <c r="A1198" s="284" t="s">
        <v>1295</v>
      </c>
      <c r="B1198" s="159" t="s">
        <v>4454</v>
      </c>
      <c r="C1198" s="209" t="s">
        <v>24</v>
      </c>
      <c r="D1198" s="209" t="s">
        <v>4460</v>
      </c>
      <c r="E1198" s="281">
        <v>6</v>
      </c>
      <c r="F1198" s="284" t="s">
        <v>19</v>
      </c>
      <c r="G1198" s="282">
        <v>350</v>
      </c>
      <c r="H1198" s="264">
        <f t="shared" si="115"/>
        <v>2100</v>
      </c>
      <c r="I1198" s="280">
        <v>280</v>
      </c>
      <c r="J1198" s="265">
        <f t="shared" si="116"/>
        <v>70</v>
      </c>
      <c r="K1198" s="267">
        <f t="shared" si="113"/>
        <v>420</v>
      </c>
      <c r="L1198" s="306">
        <f t="shared" si="114"/>
        <v>0.2</v>
      </c>
      <c r="M1198" s="208" t="s">
        <v>40</v>
      </c>
      <c r="N1198" s="208" t="s">
        <v>4066</v>
      </c>
    </row>
    <row r="1199" spans="1:14">
      <c r="A1199" s="284" t="s">
        <v>1295</v>
      </c>
      <c r="B1199" s="159" t="s">
        <v>4461</v>
      </c>
      <c r="C1199" s="209" t="s">
        <v>17</v>
      </c>
      <c r="D1199" s="209" t="s">
        <v>4462</v>
      </c>
      <c r="E1199" s="281">
        <v>7</v>
      </c>
      <c r="F1199" s="284" t="s">
        <v>19</v>
      </c>
      <c r="G1199" s="282">
        <v>2350</v>
      </c>
      <c r="H1199" s="264">
        <f t="shared" si="115"/>
        <v>16450</v>
      </c>
      <c r="I1199" s="280">
        <v>2200</v>
      </c>
      <c r="J1199" s="265">
        <f t="shared" si="116"/>
        <v>150</v>
      </c>
      <c r="K1199" s="267">
        <f t="shared" si="113"/>
        <v>1050</v>
      </c>
      <c r="L1199" s="306">
        <f t="shared" si="114"/>
        <v>6.3829787234042548E-2</v>
      </c>
      <c r="M1199" s="208" t="s">
        <v>40</v>
      </c>
      <c r="N1199" s="208" t="s">
        <v>4066</v>
      </c>
    </row>
    <row r="1200" spans="1:14">
      <c r="A1200" s="284" t="s">
        <v>1295</v>
      </c>
      <c r="B1200" s="159" t="s">
        <v>4463</v>
      </c>
      <c r="C1200" s="209" t="s">
        <v>398</v>
      </c>
      <c r="D1200" s="209" t="s">
        <v>4464</v>
      </c>
      <c r="E1200" s="281">
        <v>1</v>
      </c>
      <c r="F1200" s="284" t="s">
        <v>285</v>
      </c>
      <c r="G1200" s="282">
        <v>48000</v>
      </c>
      <c r="H1200" s="264">
        <f t="shared" si="115"/>
        <v>48000</v>
      </c>
      <c r="I1200" s="280">
        <v>45000</v>
      </c>
      <c r="J1200" s="265">
        <f t="shared" si="116"/>
        <v>3000</v>
      </c>
      <c r="K1200" s="267">
        <f t="shared" si="113"/>
        <v>3000</v>
      </c>
      <c r="L1200" s="306">
        <f t="shared" si="114"/>
        <v>6.25E-2</v>
      </c>
      <c r="M1200" s="208" t="s">
        <v>40</v>
      </c>
      <c r="N1200" s="208" t="s">
        <v>4066</v>
      </c>
    </row>
    <row r="1201" spans="1:14">
      <c r="A1201" s="284" t="s">
        <v>1295</v>
      </c>
      <c r="B1201" s="159" t="s">
        <v>4465</v>
      </c>
      <c r="C1201" s="209" t="s">
        <v>4179</v>
      </c>
      <c r="D1201" s="209" t="s">
        <v>4466</v>
      </c>
      <c r="E1201" s="281">
        <v>1</v>
      </c>
      <c r="F1201" s="284" t="s">
        <v>285</v>
      </c>
      <c r="G1201" s="282">
        <v>370000</v>
      </c>
      <c r="H1201" s="264">
        <f t="shared" si="115"/>
        <v>370000</v>
      </c>
      <c r="I1201" s="280">
        <v>360000</v>
      </c>
      <c r="J1201" s="265">
        <f t="shared" si="116"/>
        <v>10000</v>
      </c>
      <c r="K1201" s="267">
        <f t="shared" si="113"/>
        <v>10000</v>
      </c>
      <c r="L1201" s="306">
        <f t="shared" si="114"/>
        <v>2.7027027027027029E-2</v>
      </c>
      <c r="M1201" s="208" t="s">
        <v>40</v>
      </c>
      <c r="N1201" s="208" t="s">
        <v>4066</v>
      </c>
    </row>
    <row r="1202" spans="1:14">
      <c r="A1202" s="284" t="s">
        <v>1295</v>
      </c>
      <c r="B1202" s="159" t="s">
        <v>4467</v>
      </c>
      <c r="C1202" s="209" t="s">
        <v>1566</v>
      </c>
      <c r="D1202" s="209" t="s">
        <v>4468</v>
      </c>
      <c r="E1202" s="281">
        <v>1</v>
      </c>
      <c r="F1202" s="284" t="s">
        <v>285</v>
      </c>
      <c r="G1202" s="282">
        <v>316000</v>
      </c>
      <c r="H1202" s="264">
        <f t="shared" si="115"/>
        <v>316000</v>
      </c>
      <c r="I1202" s="280">
        <v>284400</v>
      </c>
      <c r="J1202" s="265">
        <f t="shared" si="116"/>
        <v>31600</v>
      </c>
      <c r="K1202" s="267">
        <f t="shared" si="113"/>
        <v>31600</v>
      </c>
      <c r="L1202" s="306">
        <f t="shared" si="114"/>
        <v>0.1</v>
      </c>
      <c r="M1202" s="208" t="s">
        <v>40</v>
      </c>
      <c r="N1202" s="208" t="s">
        <v>4066</v>
      </c>
    </row>
    <row r="1203" spans="1:14">
      <c r="A1203" s="284" t="s">
        <v>1295</v>
      </c>
      <c r="B1203" s="159" t="s">
        <v>4469</v>
      </c>
      <c r="C1203" s="209" t="s">
        <v>1461</v>
      </c>
      <c r="D1203" s="209" t="s">
        <v>4470</v>
      </c>
      <c r="E1203" s="281">
        <v>1</v>
      </c>
      <c r="F1203" s="284" t="s">
        <v>285</v>
      </c>
      <c r="G1203" s="282">
        <v>23400</v>
      </c>
      <c r="H1203" s="264">
        <f t="shared" si="115"/>
        <v>23400</v>
      </c>
      <c r="I1203" s="280">
        <v>21060</v>
      </c>
      <c r="J1203" s="265">
        <f t="shared" si="116"/>
        <v>2340</v>
      </c>
      <c r="K1203" s="267">
        <f t="shared" si="113"/>
        <v>2340</v>
      </c>
      <c r="L1203" s="306">
        <f t="shared" si="114"/>
        <v>0.1</v>
      </c>
      <c r="M1203" s="208" t="s">
        <v>40</v>
      </c>
      <c r="N1203" s="208" t="s">
        <v>4066</v>
      </c>
    </row>
    <row r="1204" spans="1:14">
      <c r="A1204" s="284" t="s">
        <v>1295</v>
      </c>
      <c r="B1204" s="159" t="s">
        <v>4471</v>
      </c>
      <c r="C1204" s="209" t="s">
        <v>1461</v>
      </c>
      <c r="D1204" s="209" t="s">
        <v>4472</v>
      </c>
      <c r="E1204" s="281">
        <v>1</v>
      </c>
      <c r="F1204" s="284" t="s">
        <v>285</v>
      </c>
      <c r="G1204" s="282">
        <v>28800</v>
      </c>
      <c r="H1204" s="264">
        <f t="shared" si="115"/>
        <v>28800</v>
      </c>
      <c r="I1204" s="280">
        <v>25920</v>
      </c>
      <c r="J1204" s="265">
        <f t="shared" si="116"/>
        <v>2880</v>
      </c>
      <c r="K1204" s="267">
        <f t="shared" si="113"/>
        <v>2880</v>
      </c>
      <c r="L1204" s="306">
        <f t="shared" si="114"/>
        <v>0.1</v>
      </c>
      <c r="M1204" s="208" t="s">
        <v>40</v>
      </c>
      <c r="N1204" s="208" t="s">
        <v>4066</v>
      </c>
    </row>
    <row r="1205" spans="1:14">
      <c r="A1205" s="284" t="s">
        <v>1295</v>
      </c>
      <c r="B1205" s="159" t="s">
        <v>4473</v>
      </c>
      <c r="C1205" s="209" t="s">
        <v>4297</v>
      </c>
      <c r="D1205" s="209" t="s">
        <v>4474</v>
      </c>
      <c r="E1205" s="281">
        <v>1</v>
      </c>
      <c r="F1205" s="284" t="s">
        <v>285</v>
      </c>
      <c r="G1205" s="282">
        <v>1400160</v>
      </c>
      <c r="H1205" s="264">
        <f t="shared" si="115"/>
        <v>1400160</v>
      </c>
      <c r="I1205" s="280">
        <v>1260144</v>
      </c>
      <c r="J1205" s="265">
        <f t="shared" si="116"/>
        <v>140016</v>
      </c>
      <c r="K1205" s="267">
        <f t="shared" si="113"/>
        <v>140016</v>
      </c>
      <c r="L1205" s="306">
        <f t="shared" si="114"/>
        <v>0.1</v>
      </c>
      <c r="M1205" s="208" t="s">
        <v>22</v>
      </c>
      <c r="N1205" s="208" t="s">
        <v>4066</v>
      </c>
    </row>
    <row r="1206" spans="1:14">
      <c r="A1206" s="284" t="s">
        <v>1295</v>
      </c>
      <c r="B1206" s="159" t="s">
        <v>4475</v>
      </c>
      <c r="C1206" s="209" t="s">
        <v>160</v>
      </c>
      <c r="D1206" s="209" t="s">
        <v>4476</v>
      </c>
      <c r="E1206" s="281">
        <v>11</v>
      </c>
      <c r="F1206" s="284" t="s">
        <v>19</v>
      </c>
      <c r="G1206" s="282">
        <v>4500</v>
      </c>
      <c r="H1206" s="264">
        <f t="shared" si="115"/>
        <v>49500</v>
      </c>
      <c r="I1206" s="280">
        <v>4050</v>
      </c>
      <c r="J1206" s="265">
        <f t="shared" si="116"/>
        <v>450</v>
      </c>
      <c r="K1206" s="267">
        <f t="shared" si="113"/>
        <v>4950</v>
      </c>
      <c r="L1206" s="306">
        <f t="shared" si="114"/>
        <v>0.1</v>
      </c>
      <c r="M1206" s="208" t="s">
        <v>22</v>
      </c>
      <c r="N1206" s="208" t="s">
        <v>4066</v>
      </c>
    </row>
    <row r="1207" spans="1:14">
      <c r="A1207" s="284" t="s">
        <v>1295</v>
      </c>
      <c r="B1207" s="159" t="s">
        <v>4477</v>
      </c>
      <c r="C1207" s="209" t="s">
        <v>335</v>
      </c>
      <c r="D1207" s="209" t="s">
        <v>336</v>
      </c>
      <c r="E1207" s="281">
        <v>98000</v>
      </c>
      <c r="F1207" s="284" t="s">
        <v>337</v>
      </c>
      <c r="G1207" s="248">
        <v>33.5</v>
      </c>
      <c r="H1207" s="264">
        <f t="shared" si="115"/>
        <v>3283000</v>
      </c>
      <c r="I1207" s="280">
        <v>32</v>
      </c>
      <c r="J1207" s="265">
        <f t="shared" si="116"/>
        <v>1.5</v>
      </c>
      <c r="K1207" s="267">
        <f t="shared" si="113"/>
        <v>147000</v>
      </c>
      <c r="L1207" s="306">
        <f t="shared" si="114"/>
        <v>4.4776119402985072E-2</v>
      </c>
      <c r="M1207" s="208" t="s">
        <v>22</v>
      </c>
      <c r="N1207" s="208" t="s">
        <v>39</v>
      </c>
    </row>
    <row r="1208" spans="1:14">
      <c r="A1208" s="284" t="s">
        <v>1400</v>
      </c>
      <c r="B1208" s="159" t="s">
        <v>4478</v>
      </c>
      <c r="C1208" s="209" t="s">
        <v>17</v>
      </c>
      <c r="D1208" s="209" t="s">
        <v>4479</v>
      </c>
      <c r="E1208" s="281">
        <v>800</v>
      </c>
      <c r="F1208" s="284" t="s">
        <v>869</v>
      </c>
      <c r="G1208" s="282">
        <v>45.9</v>
      </c>
      <c r="H1208" s="264">
        <f>G1208*E1208</f>
        <v>36720</v>
      </c>
      <c r="I1208" s="280">
        <v>40</v>
      </c>
      <c r="J1208" s="265">
        <f t="shared" si="116"/>
        <v>5.8999999999999986</v>
      </c>
      <c r="K1208" s="267">
        <f t="shared" si="113"/>
        <v>4719.9999999999991</v>
      </c>
      <c r="L1208" s="306">
        <f t="shared" si="114"/>
        <v>0.12854030501089322</v>
      </c>
      <c r="M1208" s="208" t="s">
        <v>40</v>
      </c>
      <c r="N1208" s="289" t="s">
        <v>39</v>
      </c>
    </row>
    <row r="1209" spans="1:14">
      <c r="A1209" s="284" t="s">
        <v>1400</v>
      </c>
      <c r="B1209" s="159" t="s">
        <v>4478</v>
      </c>
      <c r="C1209" s="209" t="s">
        <v>17</v>
      </c>
      <c r="D1209" s="209" t="s">
        <v>3919</v>
      </c>
      <c r="E1209" s="281">
        <v>545</v>
      </c>
      <c r="F1209" s="284" t="s">
        <v>19</v>
      </c>
      <c r="G1209" s="282">
        <v>50</v>
      </c>
      <c r="H1209" s="264">
        <f t="shared" ref="H1209:H1255" si="117">G1209*E1209</f>
        <v>27250</v>
      </c>
      <c r="I1209" s="280">
        <v>27</v>
      </c>
      <c r="J1209" s="265">
        <f t="shared" si="116"/>
        <v>23</v>
      </c>
      <c r="K1209" s="267">
        <f t="shared" si="113"/>
        <v>12535</v>
      </c>
      <c r="L1209" s="306">
        <f t="shared" si="114"/>
        <v>0.46</v>
      </c>
      <c r="M1209" s="208" t="s">
        <v>40</v>
      </c>
      <c r="N1209" s="289" t="s">
        <v>39</v>
      </c>
    </row>
    <row r="1210" spans="1:14">
      <c r="A1210" s="284" t="s">
        <v>1400</v>
      </c>
      <c r="B1210" s="159" t="s">
        <v>4478</v>
      </c>
      <c r="C1210" s="209" t="s">
        <v>17</v>
      </c>
      <c r="D1210" s="209" t="s">
        <v>3920</v>
      </c>
      <c r="E1210" s="281">
        <v>3270</v>
      </c>
      <c r="F1210" s="284" t="s">
        <v>19</v>
      </c>
      <c r="G1210" s="282">
        <v>55</v>
      </c>
      <c r="H1210" s="264">
        <f t="shared" si="117"/>
        <v>179850</v>
      </c>
      <c r="I1210" s="280">
        <v>32</v>
      </c>
      <c r="J1210" s="265">
        <f t="shared" si="116"/>
        <v>23</v>
      </c>
      <c r="K1210" s="267">
        <f t="shared" si="113"/>
        <v>75210</v>
      </c>
      <c r="L1210" s="306">
        <f t="shared" si="114"/>
        <v>0.41818181818181815</v>
      </c>
      <c r="M1210" s="208" t="s">
        <v>40</v>
      </c>
      <c r="N1210" s="289" t="s">
        <v>39</v>
      </c>
    </row>
    <row r="1211" spans="1:14">
      <c r="A1211" s="284" t="s">
        <v>1400</v>
      </c>
      <c r="B1211" s="159" t="s">
        <v>4480</v>
      </c>
      <c r="C1211" s="209" t="s">
        <v>335</v>
      </c>
      <c r="D1211" s="209" t="s">
        <v>336</v>
      </c>
      <c r="E1211" s="281">
        <v>70000</v>
      </c>
      <c r="F1211" s="284" t="s">
        <v>337</v>
      </c>
      <c r="G1211" s="282">
        <v>32</v>
      </c>
      <c r="H1211" s="264">
        <f t="shared" si="117"/>
        <v>2240000</v>
      </c>
      <c r="I1211" s="280">
        <v>31.25</v>
      </c>
      <c r="J1211" s="265">
        <f t="shared" si="116"/>
        <v>0.75</v>
      </c>
      <c r="K1211" s="267">
        <f t="shared" si="113"/>
        <v>52500</v>
      </c>
      <c r="L1211" s="306">
        <f t="shared" si="114"/>
        <v>2.34375E-2</v>
      </c>
      <c r="M1211" s="208" t="s">
        <v>22</v>
      </c>
      <c r="N1211" s="289" t="s">
        <v>39</v>
      </c>
    </row>
    <row r="1212" spans="1:14">
      <c r="A1212" s="284" t="s">
        <v>1400</v>
      </c>
      <c r="B1212" s="159" t="s">
        <v>4481</v>
      </c>
      <c r="C1212" s="209" t="s">
        <v>17</v>
      </c>
      <c r="D1212" s="209" t="s">
        <v>4482</v>
      </c>
      <c r="E1212" s="281">
        <v>2200</v>
      </c>
      <c r="F1212" s="284" t="s">
        <v>869</v>
      </c>
      <c r="G1212" s="282">
        <v>45.9</v>
      </c>
      <c r="H1212" s="264">
        <f t="shared" si="117"/>
        <v>100980</v>
      </c>
      <c r="I1212" s="280">
        <v>40</v>
      </c>
      <c r="J1212" s="265">
        <f t="shared" si="116"/>
        <v>5.8999999999999986</v>
      </c>
      <c r="K1212" s="267">
        <f t="shared" si="113"/>
        <v>12979.999999999996</v>
      </c>
      <c r="L1212" s="306">
        <f t="shared" si="114"/>
        <v>0.12854030501089322</v>
      </c>
      <c r="M1212" s="208" t="s">
        <v>40</v>
      </c>
      <c r="N1212" s="289" t="s">
        <v>39</v>
      </c>
    </row>
    <row r="1213" spans="1:14">
      <c r="A1213" s="284" t="s">
        <v>1400</v>
      </c>
      <c r="B1213" s="159" t="s">
        <v>4483</v>
      </c>
      <c r="C1213" s="209" t="s">
        <v>599</v>
      </c>
      <c r="D1213" s="209" t="s">
        <v>600</v>
      </c>
      <c r="E1213" s="281">
        <v>1635</v>
      </c>
      <c r="F1213" s="284" t="s">
        <v>19</v>
      </c>
      <c r="G1213" s="282">
        <v>245</v>
      </c>
      <c r="H1213" s="264">
        <f t="shared" si="117"/>
        <v>400575</v>
      </c>
      <c r="I1213" s="280">
        <v>235</v>
      </c>
      <c r="J1213" s="265">
        <f t="shared" si="116"/>
        <v>10</v>
      </c>
      <c r="K1213" s="267">
        <f t="shared" si="113"/>
        <v>16350</v>
      </c>
      <c r="L1213" s="306">
        <f t="shared" si="114"/>
        <v>4.0816326530612242E-2</v>
      </c>
      <c r="M1213" s="208" t="s">
        <v>22</v>
      </c>
      <c r="N1213" s="289" t="s">
        <v>39</v>
      </c>
    </row>
    <row r="1214" spans="1:14">
      <c r="A1214" s="284" t="s">
        <v>1400</v>
      </c>
      <c r="B1214" s="159" t="s">
        <v>4484</v>
      </c>
      <c r="C1214" s="209" t="s">
        <v>1119</v>
      </c>
      <c r="D1214" s="209" t="s">
        <v>4413</v>
      </c>
      <c r="E1214" s="281">
        <v>10</v>
      </c>
      <c r="F1214" s="284" t="s">
        <v>19</v>
      </c>
      <c r="G1214" s="282">
        <v>250</v>
      </c>
      <c r="H1214" s="264">
        <f t="shared" si="117"/>
        <v>2500</v>
      </c>
      <c r="I1214" s="280">
        <v>230</v>
      </c>
      <c r="J1214" s="265">
        <f t="shared" si="116"/>
        <v>20</v>
      </c>
      <c r="K1214" s="267">
        <f t="shared" si="113"/>
        <v>200</v>
      </c>
      <c r="L1214" s="306">
        <f t="shared" si="114"/>
        <v>0.08</v>
      </c>
      <c r="M1214" s="208" t="s">
        <v>40</v>
      </c>
      <c r="N1214" s="289" t="s">
        <v>39</v>
      </c>
    </row>
    <row r="1215" spans="1:14">
      <c r="A1215" s="284" t="s">
        <v>1400</v>
      </c>
      <c r="B1215" s="159" t="s">
        <v>4484</v>
      </c>
      <c r="C1215" s="209" t="s">
        <v>1119</v>
      </c>
      <c r="D1215" s="12" t="s">
        <v>4393</v>
      </c>
      <c r="E1215" s="308">
        <v>10</v>
      </c>
      <c r="F1215" s="284" t="s">
        <v>19</v>
      </c>
      <c r="G1215" s="282">
        <v>40</v>
      </c>
      <c r="H1215" s="264">
        <f t="shared" si="117"/>
        <v>400</v>
      </c>
      <c r="I1215" s="280">
        <v>38</v>
      </c>
      <c r="J1215" s="265">
        <f t="shared" si="116"/>
        <v>2</v>
      </c>
      <c r="K1215" s="267">
        <f t="shared" si="113"/>
        <v>20</v>
      </c>
      <c r="L1215" s="306">
        <f t="shared" si="114"/>
        <v>0.05</v>
      </c>
      <c r="M1215" s="208" t="s">
        <v>40</v>
      </c>
      <c r="N1215" s="289" t="s">
        <v>39</v>
      </c>
    </row>
    <row r="1216" spans="1:14">
      <c r="A1216" s="284" t="s">
        <v>1400</v>
      </c>
      <c r="B1216" s="159" t="s">
        <v>4484</v>
      </c>
      <c r="C1216" s="209" t="s">
        <v>1119</v>
      </c>
      <c r="D1216" s="209" t="s">
        <v>4485</v>
      </c>
      <c r="E1216" s="281">
        <v>5</v>
      </c>
      <c r="F1216" s="284" t="s">
        <v>19</v>
      </c>
      <c r="G1216" s="282">
        <v>220</v>
      </c>
      <c r="H1216" s="264">
        <f t="shared" si="117"/>
        <v>1100</v>
      </c>
      <c r="I1216" s="280">
        <v>200</v>
      </c>
      <c r="J1216" s="265">
        <f t="shared" si="116"/>
        <v>20</v>
      </c>
      <c r="K1216" s="267">
        <f t="shared" si="113"/>
        <v>100</v>
      </c>
      <c r="L1216" s="306">
        <f t="shared" si="114"/>
        <v>9.0909090909090912E-2</v>
      </c>
      <c r="M1216" s="208" t="s">
        <v>40</v>
      </c>
      <c r="N1216" s="289" t="s">
        <v>39</v>
      </c>
    </row>
    <row r="1217" spans="1:14">
      <c r="A1217" s="284" t="s">
        <v>1400</v>
      </c>
      <c r="B1217" s="159" t="s">
        <v>4484</v>
      </c>
      <c r="C1217" s="209" t="s">
        <v>1119</v>
      </c>
      <c r="D1217" s="209" t="s">
        <v>4486</v>
      </c>
      <c r="E1217" s="281">
        <v>10</v>
      </c>
      <c r="F1217" s="284" t="s">
        <v>19</v>
      </c>
      <c r="G1217" s="282">
        <v>600</v>
      </c>
      <c r="H1217" s="264">
        <f t="shared" si="117"/>
        <v>6000</v>
      </c>
      <c r="I1217" s="280">
        <v>580</v>
      </c>
      <c r="J1217" s="265">
        <f t="shared" si="116"/>
        <v>20</v>
      </c>
      <c r="K1217" s="267">
        <f t="shared" si="113"/>
        <v>200</v>
      </c>
      <c r="L1217" s="306">
        <f t="shared" si="114"/>
        <v>3.3333333333333333E-2</v>
      </c>
      <c r="M1217" s="208" t="s">
        <v>40</v>
      </c>
      <c r="N1217" s="289" t="s">
        <v>39</v>
      </c>
    </row>
    <row r="1218" spans="1:14">
      <c r="A1218" s="284" t="s">
        <v>1400</v>
      </c>
      <c r="B1218" s="159" t="s">
        <v>4484</v>
      </c>
      <c r="C1218" s="209" t="s">
        <v>1119</v>
      </c>
      <c r="D1218" s="209" t="s">
        <v>4487</v>
      </c>
      <c r="E1218" s="281">
        <v>20</v>
      </c>
      <c r="F1218" s="284" t="s">
        <v>19</v>
      </c>
      <c r="G1218" s="282">
        <v>500</v>
      </c>
      <c r="H1218" s="264">
        <f>G1218*E1218</f>
        <v>10000</v>
      </c>
      <c r="I1218" s="280">
        <v>450</v>
      </c>
      <c r="J1218" s="265">
        <f t="shared" si="116"/>
        <v>50</v>
      </c>
      <c r="K1218" s="267">
        <f t="shared" si="113"/>
        <v>1000</v>
      </c>
      <c r="L1218" s="306">
        <f t="shared" si="114"/>
        <v>0.1</v>
      </c>
      <c r="M1218" s="208" t="s">
        <v>40</v>
      </c>
      <c r="N1218" s="289" t="s">
        <v>39</v>
      </c>
    </row>
    <row r="1219" spans="1:14">
      <c r="A1219" s="284" t="s">
        <v>1400</v>
      </c>
      <c r="B1219" s="159" t="s">
        <v>4484</v>
      </c>
      <c r="C1219" s="209" t="s">
        <v>1119</v>
      </c>
      <c r="D1219" s="209" t="s">
        <v>4488</v>
      </c>
      <c r="E1219" s="281">
        <v>20</v>
      </c>
      <c r="F1219" s="284" t="s">
        <v>19</v>
      </c>
      <c r="G1219" s="282">
        <v>400</v>
      </c>
      <c r="H1219" s="264">
        <f t="shared" si="117"/>
        <v>8000</v>
      </c>
      <c r="I1219" s="280">
        <v>380</v>
      </c>
      <c r="J1219" s="265">
        <f t="shared" si="116"/>
        <v>20</v>
      </c>
      <c r="K1219" s="267">
        <f t="shared" si="113"/>
        <v>400</v>
      </c>
      <c r="L1219" s="306">
        <f t="shared" si="114"/>
        <v>0.05</v>
      </c>
      <c r="M1219" s="208" t="s">
        <v>40</v>
      </c>
      <c r="N1219" s="289" t="s">
        <v>39</v>
      </c>
    </row>
    <row r="1220" spans="1:14">
      <c r="A1220" s="284" t="s">
        <v>1400</v>
      </c>
      <c r="B1220" s="159" t="s">
        <v>4484</v>
      </c>
      <c r="C1220" s="209" t="s">
        <v>1119</v>
      </c>
      <c r="D1220" s="209" t="s">
        <v>4489</v>
      </c>
      <c r="E1220" s="281">
        <v>10</v>
      </c>
      <c r="F1220" s="284" t="s">
        <v>19</v>
      </c>
      <c r="G1220" s="282">
        <v>350</v>
      </c>
      <c r="H1220" s="264">
        <f t="shared" si="117"/>
        <v>3500</v>
      </c>
      <c r="I1220" s="280">
        <v>340</v>
      </c>
      <c r="J1220" s="265">
        <f t="shared" si="116"/>
        <v>10</v>
      </c>
      <c r="K1220" s="267">
        <f t="shared" si="113"/>
        <v>100</v>
      </c>
      <c r="L1220" s="306">
        <f t="shared" si="114"/>
        <v>2.8571428571428571E-2</v>
      </c>
      <c r="M1220" s="208" t="s">
        <v>40</v>
      </c>
      <c r="N1220" s="289" t="s">
        <v>39</v>
      </c>
    </row>
    <row r="1221" spans="1:14">
      <c r="A1221" s="284" t="s">
        <v>1400</v>
      </c>
      <c r="B1221" s="159" t="s">
        <v>4484</v>
      </c>
      <c r="C1221" s="209" t="s">
        <v>1119</v>
      </c>
      <c r="D1221" s="209" t="s">
        <v>4404</v>
      </c>
      <c r="E1221" s="281">
        <v>1</v>
      </c>
      <c r="F1221" s="284" t="s">
        <v>19</v>
      </c>
      <c r="G1221" s="282">
        <v>650</v>
      </c>
      <c r="H1221" s="264">
        <f t="shared" si="117"/>
        <v>650</v>
      </c>
      <c r="I1221" s="280">
        <v>580</v>
      </c>
      <c r="J1221" s="265">
        <f t="shared" si="116"/>
        <v>70</v>
      </c>
      <c r="K1221" s="267">
        <f t="shared" si="113"/>
        <v>70</v>
      </c>
      <c r="L1221" s="306">
        <f t="shared" si="114"/>
        <v>0.1076923076923077</v>
      </c>
      <c r="M1221" s="208" t="s">
        <v>40</v>
      </c>
      <c r="N1221" s="289" t="s">
        <v>39</v>
      </c>
    </row>
    <row r="1222" spans="1:14">
      <c r="A1222" s="284" t="s">
        <v>1400</v>
      </c>
      <c r="B1222" s="159" t="s">
        <v>4484</v>
      </c>
      <c r="C1222" s="209" t="s">
        <v>1119</v>
      </c>
      <c r="D1222" s="209" t="s">
        <v>4490</v>
      </c>
      <c r="E1222" s="281">
        <v>10</v>
      </c>
      <c r="F1222" s="284" t="s">
        <v>19</v>
      </c>
      <c r="G1222" s="282">
        <v>100</v>
      </c>
      <c r="H1222" s="264">
        <f t="shared" si="117"/>
        <v>1000</v>
      </c>
      <c r="I1222" s="280">
        <v>80</v>
      </c>
      <c r="J1222" s="265">
        <f t="shared" si="116"/>
        <v>20</v>
      </c>
      <c r="K1222" s="267">
        <f t="shared" si="113"/>
        <v>200</v>
      </c>
      <c r="L1222" s="306">
        <f t="shared" si="114"/>
        <v>0.2</v>
      </c>
      <c r="M1222" s="208" t="s">
        <v>40</v>
      </c>
      <c r="N1222" s="289" t="s">
        <v>39</v>
      </c>
    </row>
    <row r="1223" spans="1:14">
      <c r="A1223" s="284" t="s">
        <v>1400</v>
      </c>
      <c r="B1223" s="159" t="s">
        <v>4484</v>
      </c>
      <c r="C1223" s="209" t="s">
        <v>1119</v>
      </c>
      <c r="D1223" s="209" t="s">
        <v>4491</v>
      </c>
      <c r="E1223" s="281">
        <v>2</v>
      </c>
      <c r="F1223" s="284" t="s">
        <v>19</v>
      </c>
      <c r="G1223" s="282">
        <v>200</v>
      </c>
      <c r="H1223" s="264">
        <f t="shared" si="117"/>
        <v>400</v>
      </c>
      <c r="I1223" s="280">
        <v>190</v>
      </c>
      <c r="J1223" s="265">
        <f t="shared" si="116"/>
        <v>10</v>
      </c>
      <c r="K1223" s="267">
        <f t="shared" si="113"/>
        <v>20</v>
      </c>
      <c r="L1223" s="306">
        <f t="shared" si="114"/>
        <v>0.05</v>
      </c>
      <c r="M1223" s="208" t="s">
        <v>40</v>
      </c>
      <c r="N1223" s="289" t="s">
        <v>39</v>
      </c>
    </row>
    <row r="1224" spans="1:14">
      <c r="A1224" s="284" t="s">
        <v>1400</v>
      </c>
      <c r="B1224" s="159" t="s">
        <v>4484</v>
      </c>
      <c r="C1224" s="209" t="s">
        <v>1119</v>
      </c>
      <c r="D1224" s="209" t="s">
        <v>4389</v>
      </c>
      <c r="E1224" s="281">
        <v>5</v>
      </c>
      <c r="F1224" s="284" t="s">
        <v>19</v>
      </c>
      <c r="G1224" s="282">
        <v>200</v>
      </c>
      <c r="H1224" s="264">
        <f t="shared" si="117"/>
        <v>1000</v>
      </c>
      <c r="I1224" s="280">
        <v>190</v>
      </c>
      <c r="J1224" s="265">
        <f t="shared" si="116"/>
        <v>10</v>
      </c>
      <c r="K1224" s="267">
        <f t="shared" si="113"/>
        <v>50</v>
      </c>
      <c r="L1224" s="306">
        <f t="shared" si="114"/>
        <v>0.05</v>
      </c>
      <c r="M1224" s="208" t="s">
        <v>40</v>
      </c>
      <c r="N1224" s="289" t="s">
        <v>39</v>
      </c>
    </row>
    <row r="1225" spans="1:14">
      <c r="A1225" s="284" t="s">
        <v>1400</v>
      </c>
      <c r="B1225" s="159" t="s">
        <v>4492</v>
      </c>
      <c r="C1225" s="209" t="s">
        <v>68</v>
      </c>
      <c r="D1225" s="209" t="s">
        <v>962</v>
      </c>
      <c r="E1225" s="281">
        <v>2157.5</v>
      </c>
      <c r="F1225" s="284" t="s">
        <v>37</v>
      </c>
      <c r="G1225" s="282">
        <v>410</v>
      </c>
      <c r="H1225" s="264">
        <f t="shared" si="117"/>
        <v>884575</v>
      </c>
      <c r="I1225" s="280">
        <v>404</v>
      </c>
      <c r="J1225" s="265">
        <f t="shared" si="116"/>
        <v>6</v>
      </c>
      <c r="K1225" s="267">
        <f t="shared" si="113"/>
        <v>12945</v>
      </c>
      <c r="L1225" s="306">
        <f t="shared" si="114"/>
        <v>1.4634146341463415E-2</v>
      </c>
      <c r="M1225" s="208" t="s">
        <v>22</v>
      </c>
      <c r="N1225" s="289" t="s">
        <v>105</v>
      </c>
    </row>
    <row r="1226" spans="1:14">
      <c r="A1226" s="284" t="s">
        <v>1400</v>
      </c>
      <c r="B1226" s="159" t="s">
        <v>4493</v>
      </c>
      <c r="C1226" s="209" t="s">
        <v>4494</v>
      </c>
      <c r="D1226" s="209" t="s">
        <v>4495</v>
      </c>
      <c r="E1226" s="281">
        <v>1</v>
      </c>
      <c r="F1226" s="284" t="s">
        <v>285</v>
      </c>
      <c r="G1226" s="282">
        <v>3660000</v>
      </c>
      <c r="H1226" s="264">
        <f t="shared" si="117"/>
        <v>3660000</v>
      </c>
      <c r="I1226" s="280">
        <v>3600000</v>
      </c>
      <c r="J1226" s="265">
        <f t="shared" si="116"/>
        <v>60000</v>
      </c>
      <c r="K1226" s="267">
        <f t="shared" si="113"/>
        <v>60000</v>
      </c>
      <c r="L1226" s="306">
        <f>J1226/G1226</f>
        <v>1.6393442622950821E-2</v>
      </c>
      <c r="M1226" s="208" t="s">
        <v>22</v>
      </c>
      <c r="N1226" s="289" t="s">
        <v>4066</v>
      </c>
    </row>
    <row r="1227" spans="1:14">
      <c r="A1227" s="284" t="s">
        <v>1400</v>
      </c>
      <c r="B1227" s="159" t="s">
        <v>4496</v>
      </c>
      <c r="C1227" s="209" t="s">
        <v>171</v>
      </c>
      <c r="D1227" s="209" t="s">
        <v>4497</v>
      </c>
      <c r="E1227" s="281">
        <v>20</v>
      </c>
      <c r="F1227" s="284" t="s">
        <v>19</v>
      </c>
      <c r="G1227" s="282">
        <v>22500</v>
      </c>
      <c r="H1227" s="264">
        <f t="shared" si="117"/>
        <v>450000</v>
      </c>
      <c r="I1227" s="280">
        <v>22000</v>
      </c>
      <c r="J1227" s="265">
        <f t="shared" si="116"/>
        <v>500</v>
      </c>
      <c r="K1227" s="267">
        <f t="shared" si="113"/>
        <v>10000</v>
      </c>
      <c r="L1227" s="306">
        <f t="shared" si="114"/>
        <v>2.2222222222222223E-2</v>
      </c>
      <c r="M1227" s="208" t="s">
        <v>40</v>
      </c>
      <c r="N1227" s="289" t="s">
        <v>105</v>
      </c>
    </row>
    <row r="1228" spans="1:14">
      <c r="A1228" s="284" t="s">
        <v>1400</v>
      </c>
      <c r="B1228" s="159" t="s">
        <v>4498</v>
      </c>
      <c r="C1228" s="209" t="s">
        <v>200</v>
      </c>
      <c r="D1228" s="209" t="s">
        <v>4499</v>
      </c>
      <c r="E1228" s="281">
        <v>2</v>
      </c>
      <c r="F1228" s="284" t="s">
        <v>302</v>
      </c>
      <c r="G1228" s="282">
        <v>82000</v>
      </c>
      <c r="H1228" s="264">
        <f>G1228*E1228</f>
        <v>164000</v>
      </c>
      <c r="I1228" s="280">
        <v>80000</v>
      </c>
      <c r="J1228" s="265">
        <f t="shared" si="116"/>
        <v>2000</v>
      </c>
      <c r="K1228" s="267">
        <f t="shared" si="113"/>
        <v>4000</v>
      </c>
      <c r="L1228" s="306">
        <f t="shared" si="114"/>
        <v>2.4390243902439025E-2</v>
      </c>
      <c r="M1228" s="208" t="s">
        <v>40</v>
      </c>
      <c r="N1228" s="289" t="s">
        <v>39</v>
      </c>
    </row>
    <row r="1229" spans="1:14">
      <c r="A1229" s="284" t="s">
        <v>1400</v>
      </c>
      <c r="B1229" s="159" t="s">
        <v>4500</v>
      </c>
      <c r="C1229" s="209" t="s">
        <v>192</v>
      </c>
      <c r="D1229" s="209" t="s">
        <v>1194</v>
      </c>
      <c r="E1229" s="281">
        <v>50</v>
      </c>
      <c r="F1229" s="284" t="s">
        <v>19</v>
      </c>
      <c r="G1229" s="282">
        <v>360</v>
      </c>
      <c r="H1229" s="264">
        <f t="shared" si="117"/>
        <v>18000</v>
      </c>
      <c r="I1229" s="280">
        <v>350</v>
      </c>
      <c r="J1229" s="265">
        <f t="shared" si="116"/>
        <v>10</v>
      </c>
      <c r="K1229" s="267">
        <f t="shared" si="113"/>
        <v>500</v>
      </c>
      <c r="L1229" s="306">
        <f t="shared" si="114"/>
        <v>2.7777777777777776E-2</v>
      </c>
      <c r="M1229" s="208" t="s">
        <v>40</v>
      </c>
      <c r="N1229" s="289" t="s">
        <v>105</v>
      </c>
    </row>
    <row r="1230" spans="1:14">
      <c r="A1230" s="284" t="s">
        <v>1400</v>
      </c>
      <c r="B1230" s="159" t="s">
        <v>4500</v>
      </c>
      <c r="C1230" s="209" t="s">
        <v>192</v>
      </c>
      <c r="D1230" s="209" t="s">
        <v>4501</v>
      </c>
      <c r="E1230" s="281">
        <v>1300</v>
      </c>
      <c r="F1230" s="284" t="s">
        <v>19</v>
      </c>
      <c r="G1230" s="282">
        <v>360</v>
      </c>
      <c r="H1230" s="264">
        <f t="shared" si="117"/>
        <v>468000</v>
      </c>
      <c r="I1230" s="280">
        <v>350</v>
      </c>
      <c r="J1230" s="265">
        <f t="shared" si="116"/>
        <v>10</v>
      </c>
      <c r="K1230" s="267">
        <f t="shared" si="113"/>
        <v>13000</v>
      </c>
      <c r="L1230" s="306">
        <f t="shared" si="114"/>
        <v>2.7777777777777776E-2</v>
      </c>
      <c r="M1230" s="208" t="s">
        <v>40</v>
      </c>
      <c r="N1230" s="289" t="s">
        <v>105</v>
      </c>
    </row>
    <row r="1231" spans="1:14">
      <c r="A1231" s="284" t="s">
        <v>1400</v>
      </c>
      <c r="B1231" s="159" t="s">
        <v>4500</v>
      </c>
      <c r="C1231" s="209" t="s">
        <v>192</v>
      </c>
      <c r="D1231" s="209" t="s">
        <v>2866</v>
      </c>
      <c r="E1231" s="281">
        <v>5</v>
      </c>
      <c r="F1231" s="284" t="s">
        <v>19</v>
      </c>
      <c r="G1231" s="282">
        <v>2480</v>
      </c>
      <c r="H1231" s="264">
        <f t="shared" si="117"/>
        <v>12400</v>
      </c>
      <c r="I1231" s="280">
        <v>2380</v>
      </c>
      <c r="J1231" s="265">
        <f t="shared" si="116"/>
        <v>100</v>
      </c>
      <c r="K1231" s="267">
        <f t="shared" si="113"/>
        <v>500</v>
      </c>
      <c r="L1231" s="306">
        <f t="shared" si="114"/>
        <v>4.0322580645161289E-2</v>
      </c>
      <c r="M1231" s="208" t="s">
        <v>40</v>
      </c>
      <c r="N1231" s="289" t="s">
        <v>105</v>
      </c>
    </row>
    <row r="1232" spans="1:14">
      <c r="A1232" s="284" t="s">
        <v>1400</v>
      </c>
      <c r="B1232" s="159" t="s">
        <v>4502</v>
      </c>
      <c r="C1232" s="209" t="s">
        <v>27</v>
      </c>
      <c r="D1232" s="209" t="s">
        <v>1145</v>
      </c>
      <c r="E1232" s="281">
        <v>100</v>
      </c>
      <c r="F1232" s="284" t="s">
        <v>615</v>
      </c>
      <c r="G1232" s="282">
        <v>78.5</v>
      </c>
      <c r="H1232" s="264">
        <f t="shared" si="117"/>
        <v>7850</v>
      </c>
      <c r="I1232" s="280">
        <v>77</v>
      </c>
      <c r="J1232" s="265">
        <f t="shared" si="116"/>
        <v>1.5</v>
      </c>
      <c r="K1232" s="267">
        <f t="shared" si="113"/>
        <v>150</v>
      </c>
      <c r="L1232" s="306">
        <f t="shared" si="114"/>
        <v>1.9108280254777069E-2</v>
      </c>
      <c r="M1232" s="208" t="s">
        <v>40</v>
      </c>
      <c r="N1232" s="289" t="s">
        <v>105</v>
      </c>
    </row>
    <row r="1233" spans="1:14">
      <c r="A1233" s="284" t="s">
        <v>1400</v>
      </c>
      <c r="B1233" s="159" t="s">
        <v>4503</v>
      </c>
      <c r="C1233" s="209" t="s">
        <v>708</v>
      </c>
      <c r="D1233" s="209" t="s">
        <v>709</v>
      </c>
      <c r="E1233" s="281">
        <v>1620</v>
      </c>
      <c r="F1233" s="284" t="s">
        <v>37</v>
      </c>
      <c r="G1233" s="282">
        <v>408.36</v>
      </c>
      <c r="H1233" s="264">
        <f t="shared" si="117"/>
        <v>661543.20000000007</v>
      </c>
      <c r="I1233" s="280">
        <v>406.36</v>
      </c>
      <c r="J1233" s="265">
        <f t="shared" si="116"/>
        <v>2</v>
      </c>
      <c r="K1233" s="267">
        <f t="shared" si="113"/>
        <v>3240</v>
      </c>
      <c r="L1233" s="306">
        <f t="shared" si="114"/>
        <v>4.8976393378391617E-3</v>
      </c>
      <c r="M1233" s="208" t="s">
        <v>40</v>
      </c>
      <c r="N1233" s="289" t="s">
        <v>105</v>
      </c>
    </row>
    <row r="1234" spans="1:14">
      <c r="A1234" s="284" t="s">
        <v>1400</v>
      </c>
      <c r="B1234" s="159" t="s">
        <v>4504</v>
      </c>
      <c r="C1234" s="209" t="s">
        <v>1042</v>
      </c>
      <c r="D1234" s="209" t="s">
        <v>3260</v>
      </c>
      <c r="E1234" s="281">
        <v>4045</v>
      </c>
      <c r="F1234" s="284" t="s">
        <v>37</v>
      </c>
      <c r="G1234" s="282">
        <v>413</v>
      </c>
      <c r="H1234" s="264">
        <f t="shared" si="117"/>
        <v>1670585</v>
      </c>
      <c r="I1234" s="280">
        <v>395</v>
      </c>
      <c r="J1234" s="265">
        <f t="shared" si="116"/>
        <v>18</v>
      </c>
      <c r="K1234" s="267">
        <f t="shared" si="113"/>
        <v>72810</v>
      </c>
      <c r="L1234" s="306">
        <f t="shared" si="114"/>
        <v>4.3583535108958835E-2</v>
      </c>
      <c r="M1234" s="208" t="s">
        <v>40</v>
      </c>
      <c r="N1234" s="289" t="s">
        <v>105</v>
      </c>
    </row>
    <row r="1235" spans="1:14">
      <c r="A1235" s="284" t="s">
        <v>1400</v>
      </c>
      <c r="B1235" s="159" t="s">
        <v>4505</v>
      </c>
      <c r="C1235" s="209" t="s">
        <v>35</v>
      </c>
      <c r="D1235" s="209" t="s">
        <v>3260</v>
      </c>
      <c r="E1235" s="281">
        <v>10506</v>
      </c>
      <c r="F1235" s="284" t="s">
        <v>37</v>
      </c>
      <c r="G1235" s="282">
        <v>390</v>
      </c>
      <c r="H1235" s="264">
        <f t="shared" si="117"/>
        <v>4097340</v>
      </c>
      <c r="I1235" s="280">
        <v>389</v>
      </c>
      <c r="J1235" s="265">
        <f t="shared" si="116"/>
        <v>1</v>
      </c>
      <c r="K1235" s="267">
        <f t="shared" si="113"/>
        <v>10506</v>
      </c>
      <c r="L1235" s="306">
        <f t="shared" si="114"/>
        <v>2.5641025641025641E-3</v>
      </c>
      <c r="M1235" s="208" t="s">
        <v>40</v>
      </c>
      <c r="N1235" s="289" t="s">
        <v>105</v>
      </c>
    </row>
    <row r="1236" spans="1:14">
      <c r="A1236" s="284" t="s">
        <v>1400</v>
      </c>
      <c r="B1236" s="159" t="s">
        <v>4506</v>
      </c>
      <c r="C1236" s="209" t="s">
        <v>1042</v>
      </c>
      <c r="D1236" s="209" t="s">
        <v>1141</v>
      </c>
      <c r="E1236" s="281">
        <v>900</v>
      </c>
      <c r="F1236" s="284" t="s">
        <v>37</v>
      </c>
      <c r="G1236" s="282">
        <v>412</v>
      </c>
      <c r="H1236" s="264">
        <f>G1236*E1236</f>
        <v>370800</v>
      </c>
      <c r="I1236" s="280">
        <v>406</v>
      </c>
      <c r="J1236" s="265">
        <f t="shared" si="116"/>
        <v>6</v>
      </c>
      <c r="K1236" s="267">
        <f t="shared" si="113"/>
        <v>5400</v>
      </c>
      <c r="L1236" s="306">
        <f t="shared" si="114"/>
        <v>1.4563106796116505E-2</v>
      </c>
      <c r="M1236" s="208" t="s">
        <v>40</v>
      </c>
      <c r="N1236" s="289" t="s">
        <v>105</v>
      </c>
    </row>
    <row r="1237" spans="1:14">
      <c r="A1237" s="284" t="s">
        <v>1400</v>
      </c>
      <c r="B1237" s="159" t="s">
        <v>4506</v>
      </c>
      <c r="C1237" s="209" t="s">
        <v>1042</v>
      </c>
      <c r="D1237" s="209" t="s">
        <v>3288</v>
      </c>
      <c r="E1237" s="281">
        <v>600</v>
      </c>
      <c r="F1237" s="284" t="s">
        <v>615</v>
      </c>
      <c r="G1237" s="282">
        <v>258</v>
      </c>
      <c r="H1237" s="264">
        <f t="shared" si="117"/>
        <v>154800</v>
      </c>
      <c r="I1237" s="280">
        <v>252</v>
      </c>
      <c r="J1237" s="265">
        <f t="shared" si="116"/>
        <v>6</v>
      </c>
      <c r="K1237" s="267">
        <f t="shared" si="113"/>
        <v>3600</v>
      </c>
      <c r="L1237" s="306">
        <f t="shared" si="114"/>
        <v>2.3255813953488372E-2</v>
      </c>
      <c r="M1237" s="208" t="s">
        <v>40</v>
      </c>
      <c r="N1237" s="289" t="s">
        <v>105</v>
      </c>
    </row>
    <row r="1238" spans="1:14">
      <c r="A1238" s="284" t="s">
        <v>1400</v>
      </c>
      <c r="B1238" s="159" t="s">
        <v>4506</v>
      </c>
      <c r="C1238" s="209" t="s">
        <v>1042</v>
      </c>
      <c r="D1238" s="209" t="s">
        <v>614</v>
      </c>
      <c r="E1238" s="281">
        <v>400</v>
      </c>
      <c r="F1238" s="284" t="s">
        <v>615</v>
      </c>
      <c r="G1238" s="282">
        <v>174</v>
      </c>
      <c r="H1238" s="264">
        <f t="shared" si="117"/>
        <v>69600</v>
      </c>
      <c r="I1238" s="280">
        <v>170</v>
      </c>
      <c r="J1238" s="265">
        <f t="shared" si="116"/>
        <v>4</v>
      </c>
      <c r="K1238" s="267">
        <f t="shared" si="113"/>
        <v>1600</v>
      </c>
      <c r="L1238" s="306">
        <f t="shared" si="114"/>
        <v>2.2988505747126436E-2</v>
      </c>
      <c r="M1238" s="208" t="s">
        <v>40</v>
      </c>
      <c r="N1238" s="289" t="s">
        <v>105</v>
      </c>
    </row>
    <row r="1239" spans="1:14">
      <c r="A1239" s="284" t="s">
        <v>1400</v>
      </c>
      <c r="B1239" s="159" t="s">
        <v>4506</v>
      </c>
      <c r="C1239" s="209" t="s">
        <v>1042</v>
      </c>
      <c r="D1239" s="209" t="s">
        <v>621</v>
      </c>
      <c r="E1239" s="281">
        <v>1200</v>
      </c>
      <c r="F1239" s="284" t="s">
        <v>615</v>
      </c>
      <c r="G1239" s="282">
        <v>449</v>
      </c>
      <c r="H1239" s="264">
        <f t="shared" si="117"/>
        <v>538800</v>
      </c>
      <c r="I1239" s="280">
        <v>441</v>
      </c>
      <c r="J1239" s="265">
        <f t="shared" si="116"/>
        <v>8</v>
      </c>
      <c r="K1239" s="267">
        <f t="shared" si="113"/>
        <v>9600</v>
      </c>
      <c r="L1239" s="306">
        <f t="shared" si="114"/>
        <v>1.7817371937639197E-2</v>
      </c>
      <c r="M1239" s="208" t="s">
        <v>40</v>
      </c>
      <c r="N1239" s="289" t="s">
        <v>105</v>
      </c>
    </row>
    <row r="1240" spans="1:14">
      <c r="A1240" s="284" t="s">
        <v>1400</v>
      </c>
      <c r="B1240" s="159" t="s">
        <v>4506</v>
      </c>
      <c r="C1240" s="209" t="s">
        <v>1042</v>
      </c>
      <c r="D1240" s="209" t="s">
        <v>622</v>
      </c>
      <c r="E1240" s="281">
        <v>300</v>
      </c>
      <c r="F1240" s="284" t="s">
        <v>615</v>
      </c>
      <c r="G1240" s="282">
        <v>917</v>
      </c>
      <c r="H1240" s="264">
        <f t="shared" si="117"/>
        <v>275100</v>
      </c>
      <c r="I1240" s="280">
        <v>909</v>
      </c>
      <c r="J1240" s="265">
        <f t="shared" si="116"/>
        <v>8</v>
      </c>
      <c r="K1240" s="267">
        <f t="shared" si="113"/>
        <v>2400</v>
      </c>
      <c r="L1240" s="306">
        <f t="shared" si="114"/>
        <v>8.7241003271537627E-3</v>
      </c>
      <c r="M1240" s="208" t="s">
        <v>40</v>
      </c>
      <c r="N1240" s="289" t="s">
        <v>105</v>
      </c>
    </row>
    <row r="1241" spans="1:14">
      <c r="A1241" s="284" t="s">
        <v>1400</v>
      </c>
      <c r="B1241" s="159" t="s">
        <v>4506</v>
      </c>
      <c r="C1241" s="209" t="s">
        <v>1042</v>
      </c>
      <c r="D1241" s="209" t="s">
        <v>1319</v>
      </c>
      <c r="E1241" s="281">
        <v>300</v>
      </c>
      <c r="F1241" s="284" t="s">
        <v>37</v>
      </c>
      <c r="G1241" s="282">
        <v>417</v>
      </c>
      <c r="H1241" s="264">
        <f t="shared" si="117"/>
        <v>125100</v>
      </c>
      <c r="I1241" s="280">
        <v>412</v>
      </c>
      <c r="J1241" s="265">
        <f t="shared" si="116"/>
        <v>5</v>
      </c>
      <c r="K1241" s="267">
        <f t="shared" si="113"/>
        <v>1500</v>
      </c>
      <c r="L1241" s="306">
        <f t="shared" si="114"/>
        <v>1.1990407673860911E-2</v>
      </c>
      <c r="M1241" s="208" t="s">
        <v>40</v>
      </c>
      <c r="N1241" s="289" t="s">
        <v>105</v>
      </c>
    </row>
    <row r="1242" spans="1:14">
      <c r="A1242" s="284" t="s">
        <v>1400</v>
      </c>
      <c r="B1242" s="159" t="s">
        <v>4507</v>
      </c>
      <c r="C1242" s="209" t="s">
        <v>1204</v>
      </c>
      <c r="D1242" s="209" t="s">
        <v>1205</v>
      </c>
      <c r="E1242" s="281">
        <v>1300</v>
      </c>
      <c r="F1242" s="284" t="s">
        <v>19</v>
      </c>
      <c r="G1242" s="282">
        <v>10</v>
      </c>
      <c r="H1242" s="264">
        <f t="shared" si="117"/>
        <v>13000</v>
      </c>
      <c r="I1242" s="280">
        <v>7</v>
      </c>
      <c r="J1242" s="265">
        <f t="shared" si="116"/>
        <v>3</v>
      </c>
      <c r="K1242" s="267">
        <f t="shared" ref="K1242:K1250" si="118">J1242*E1242</f>
        <v>3900</v>
      </c>
      <c r="L1242" s="306">
        <f t="shared" ref="L1242:L1250" si="119">J1242/G1242</f>
        <v>0.3</v>
      </c>
      <c r="M1242" s="208" t="s">
        <v>40</v>
      </c>
      <c r="N1242" s="289" t="s">
        <v>105</v>
      </c>
    </row>
    <row r="1243" spans="1:14">
      <c r="A1243" s="284" t="s">
        <v>1400</v>
      </c>
      <c r="B1243" s="159" t="s">
        <v>4507</v>
      </c>
      <c r="C1243" s="209" t="s">
        <v>1204</v>
      </c>
      <c r="D1243" s="209" t="s">
        <v>4508</v>
      </c>
      <c r="E1243" s="281">
        <v>700</v>
      </c>
      <c r="F1243" s="284" t="s">
        <v>19</v>
      </c>
      <c r="G1243" s="282">
        <v>12</v>
      </c>
      <c r="H1243" s="264">
        <f t="shared" si="117"/>
        <v>8400</v>
      </c>
      <c r="I1243" s="309">
        <v>8.8000000000000007</v>
      </c>
      <c r="J1243" s="265">
        <f t="shared" si="116"/>
        <v>3.1999999999999993</v>
      </c>
      <c r="K1243" s="267">
        <f t="shared" si="118"/>
        <v>2239.9999999999995</v>
      </c>
      <c r="L1243" s="306">
        <f t="shared" si="119"/>
        <v>0.26666666666666661</v>
      </c>
      <c r="M1243" s="208" t="s">
        <v>40</v>
      </c>
      <c r="N1243" s="289" t="s">
        <v>105</v>
      </c>
    </row>
    <row r="1244" spans="1:14">
      <c r="A1244" s="284" t="s">
        <v>1400</v>
      </c>
      <c r="B1244" s="159" t="s">
        <v>4507</v>
      </c>
      <c r="C1244" s="209" t="s">
        <v>1204</v>
      </c>
      <c r="D1244" s="209" t="s">
        <v>4509</v>
      </c>
      <c r="E1244" s="281">
        <v>150</v>
      </c>
      <c r="F1244" s="284" t="s">
        <v>19</v>
      </c>
      <c r="G1244" s="282">
        <v>16</v>
      </c>
      <c r="H1244" s="264">
        <f t="shared" si="117"/>
        <v>2400</v>
      </c>
      <c r="I1244" s="309">
        <v>14</v>
      </c>
      <c r="J1244" s="265">
        <f t="shared" si="116"/>
        <v>2</v>
      </c>
      <c r="K1244" s="267">
        <f t="shared" si="118"/>
        <v>300</v>
      </c>
      <c r="L1244" s="306">
        <f t="shared" si="119"/>
        <v>0.125</v>
      </c>
      <c r="M1244" s="208" t="s">
        <v>40</v>
      </c>
      <c r="N1244" s="289" t="s">
        <v>105</v>
      </c>
    </row>
    <row r="1245" spans="1:14" ht="15">
      <c r="A1245" s="284" t="s">
        <v>1400</v>
      </c>
      <c r="B1245" s="159" t="s">
        <v>4510</v>
      </c>
      <c r="C1245" s="290" t="s">
        <v>94</v>
      </c>
      <c r="D1245" s="209" t="s">
        <v>1038</v>
      </c>
      <c r="E1245" s="281">
        <v>2100</v>
      </c>
      <c r="F1245" s="284" t="s">
        <v>19</v>
      </c>
      <c r="G1245" s="375" t="s">
        <v>4511</v>
      </c>
      <c r="H1245" s="264">
        <f t="shared" si="117"/>
        <v>32130</v>
      </c>
      <c r="I1245" s="309">
        <v>14.76</v>
      </c>
      <c r="J1245" s="265">
        <f t="shared" si="116"/>
        <v>0.54000000000000092</v>
      </c>
      <c r="K1245" s="267">
        <f t="shared" si="118"/>
        <v>1134.000000000002</v>
      </c>
      <c r="L1245" s="306">
        <f t="shared" si="119"/>
        <v>3.5294117647058885E-2</v>
      </c>
      <c r="M1245" s="208" t="s">
        <v>40</v>
      </c>
      <c r="N1245" s="289" t="s">
        <v>105</v>
      </c>
    </row>
    <row r="1246" spans="1:14" ht="15">
      <c r="A1246" s="284" t="s">
        <v>1400</v>
      </c>
      <c r="B1246" s="159" t="s">
        <v>4510</v>
      </c>
      <c r="C1246" s="290" t="s">
        <v>94</v>
      </c>
      <c r="D1246" s="209" t="s">
        <v>613</v>
      </c>
      <c r="E1246" s="281">
        <v>4000</v>
      </c>
      <c r="F1246" s="284" t="s">
        <v>19</v>
      </c>
      <c r="G1246" s="375" t="s">
        <v>4512</v>
      </c>
      <c r="H1246" s="264">
        <f t="shared" si="117"/>
        <v>102000</v>
      </c>
      <c r="I1246" s="309">
        <v>24.6</v>
      </c>
      <c r="J1246" s="265">
        <f t="shared" si="116"/>
        <v>0.89999999999999858</v>
      </c>
      <c r="K1246" s="267">
        <f t="shared" si="118"/>
        <v>3599.9999999999945</v>
      </c>
      <c r="L1246" s="306">
        <f t="shared" si="119"/>
        <v>3.5294117647058768E-2</v>
      </c>
      <c r="M1246" s="208" t="s">
        <v>40</v>
      </c>
      <c r="N1246" s="289" t="s">
        <v>105</v>
      </c>
    </row>
    <row r="1247" spans="1:14" ht="15">
      <c r="A1247" s="284" t="s">
        <v>1400</v>
      </c>
      <c r="B1247" s="159" t="s">
        <v>4510</v>
      </c>
      <c r="C1247" s="290" t="s">
        <v>94</v>
      </c>
      <c r="D1247" s="209" t="s">
        <v>550</v>
      </c>
      <c r="E1247" s="281">
        <v>4000</v>
      </c>
      <c r="F1247" s="284" t="s">
        <v>19</v>
      </c>
      <c r="G1247" s="375" t="s">
        <v>4513</v>
      </c>
      <c r="H1247" s="264">
        <f t="shared" si="117"/>
        <v>196000</v>
      </c>
      <c r="I1247" s="309">
        <v>47.56</v>
      </c>
      <c r="J1247" s="265">
        <f t="shared" si="116"/>
        <v>1.4399999999999977</v>
      </c>
      <c r="K1247" s="267">
        <f t="shared" si="118"/>
        <v>5759.9999999999909</v>
      </c>
      <c r="L1247" s="306">
        <f t="shared" si="119"/>
        <v>2.938775510204077E-2</v>
      </c>
      <c r="M1247" s="208" t="s">
        <v>40</v>
      </c>
      <c r="N1247" s="289" t="s">
        <v>105</v>
      </c>
    </row>
    <row r="1248" spans="1:14" ht="15">
      <c r="A1248" s="284" t="s">
        <v>1400</v>
      </c>
      <c r="B1248" s="159" t="s">
        <v>4510</v>
      </c>
      <c r="C1248" s="290" t="s">
        <v>94</v>
      </c>
      <c r="D1248" s="209" t="s">
        <v>546</v>
      </c>
      <c r="E1248" s="281">
        <v>700</v>
      </c>
      <c r="F1248" s="284" t="s">
        <v>19</v>
      </c>
      <c r="G1248" s="375" t="s">
        <v>4514</v>
      </c>
      <c r="H1248" s="264">
        <f t="shared" si="117"/>
        <v>129500</v>
      </c>
      <c r="I1248" s="309">
        <v>182.25</v>
      </c>
      <c r="J1248" s="265">
        <f t="shared" si="116"/>
        <v>2.75</v>
      </c>
      <c r="K1248" s="267">
        <f t="shared" si="118"/>
        <v>1925</v>
      </c>
      <c r="L1248" s="306">
        <f t="shared" si="119"/>
        <v>1.4864864864864866E-2</v>
      </c>
      <c r="M1248" s="208" t="s">
        <v>40</v>
      </c>
      <c r="N1248" s="289" t="s">
        <v>105</v>
      </c>
    </row>
    <row r="1249" spans="1:14">
      <c r="A1249" s="284" t="s">
        <v>1400</v>
      </c>
      <c r="B1249" s="159" t="s">
        <v>4515</v>
      </c>
      <c r="C1249" s="290" t="s">
        <v>270</v>
      </c>
      <c r="D1249" s="209" t="s">
        <v>72</v>
      </c>
      <c r="E1249" s="281">
        <v>18428</v>
      </c>
      <c r="F1249" s="284" t="s">
        <v>37</v>
      </c>
      <c r="G1249" s="282">
        <v>415</v>
      </c>
      <c r="H1249" s="264">
        <f>G1249*E1249</f>
        <v>7647620</v>
      </c>
      <c r="I1249" s="309">
        <v>408</v>
      </c>
      <c r="J1249" s="265">
        <f t="shared" si="116"/>
        <v>7</v>
      </c>
      <c r="K1249" s="267">
        <f t="shared" si="118"/>
        <v>128996</v>
      </c>
      <c r="L1249" s="306">
        <f t="shared" si="119"/>
        <v>1.6867469879518072E-2</v>
      </c>
      <c r="M1249" s="208" t="s">
        <v>22</v>
      </c>
      <c r="N1249" s="289" t="s">
        <v>105</v>
      </c>
    </row>
    <row r="1250" spans="1:14">
      <c r="A1250" s="284" t="s">
        <v>1400</v>
      </c>
      <c r="B1250" s="159" t="s">
        <v>4516</v>
      </c>
      <c r="C1250" s="290" t="s">
        <v>497</v>
      </c>
      <c r="D1250" s="209" t="s">
        <v>498</v>
      </c>
      <c r="E1250" s="281">
        <v>560000</v>
      </c>
      <c r="F1250" s="284" t="s">
        <v>37</v>
      </c>
      <c r="G1250" s="282">
        <v>90.47</v>
      </c>
      <c r="H1250" s="264">
        <f t="shared" si="117"/>
        <v>50663200</v>
      </c>
      <c r="I1250" s="309">
        <v>85.44</v>
      </c>
      <c r="J1250" s="265">
        <f t="shared" si="116"/>
        <v>5.0300000000000011</v>
      </c>
      <c r="K1250" s="267">
        <f t="shared" si="118"/>
        <v>2816800.0000000005</v>
      </c>
      <c r="L1250" s="306">
        <f t="shared" si="119"/>
        <v>5.5598540952802047E-2</v>
      </c>
      <c r="M1250" s="208" t="s">
        <v>40</v>
      </c>
      <c r="N1250" s="289" t="s">
        <v>39</v>
      </c>
    </row>
    <row r="1251" spans="1:14">
      <c r="A1251" s="284" t="s">
        <v>1400</v>
      </c>
      <c r="B1251" s="159" t="s">
        <v>4517</v>
      </c>
      <c r="C1251" s="290" t="s">
        <v>270</v>
      </c>
      <c r="D1251" s="209" t="s">
        <v>962</v>
      </c>
      <c r="E1251" s="281">
        <v>13332</v>
      </c>
      <c r="F1251" s="284" t="s">
        <v>37</v>
      </c>
      <c r="G1251" s="282">
        <v>415</v>
      </c>
      <c r="H1251" s="264">
        <f>G1251*E1251</f>
        <v>5532780</v>
      </c>
      <c r="I1251" s="309">
        <v>408</v>
      </c>
      <c r="J1251" s="265">
        <f>G1251-I1251</f>
        <v>7</v>
      </c>
      <c r="K1251" s="267">
        <f>J1251*E1251</f>
        <v>93324</v>
      </c>
      <c r="L1251" s="306">
        <f>J1251/G1251</f>
        <v>1.6867469879518072E-2</v>
      </c>
      <c r="M1251" s="208" t="s">
        <v>22</v>
      </c>
      <c r="N1251" s="289" t="s">
        <v>105</v>
      </c>
    </row>
    <row r="1252" spans="1:14">
      <c r="A1252" s="284" t="s">
        <v>1400</v>
      </c>
      <c r="B1252" s="159" t="s">
        <v>4518</v>
      </c>
      <c r="C1252" s="290" t="s">
        <v>78</v>
      </c>
      <c r="D1252" s="209" t="s">
        <v>4519</v>
      </c>
      <c r="E1252" s="281">
        <v>550</v>
      </c>
      <c r="F1252" s="284" t="s">
        <v>19</v>
      </c>
      <c r="G1252" s="282">
        <v>20</v>
      </c>
      <c r="H1252" s="264">
        <f t="shared" si="117"/>
        <v>11000</v>
      </c>
      <c r="I1252" s="309">
        <v>16</v>
      </c>
      <c r="J1252" s="265">
        <f>G1252-I1252</f>
        <v>4</v>
      </c>
      <c r="K1252" s="267">
        <f>J1252*E1252</f>
        <v>2200</v>
      </c>
      <c r="L1252" s="310">
        <f>J1252/G1252</f>
        <v>0.2</v>
      </c>
      <c r="M1252" s="208" t="s">
        <v>40</v>
      </c>
      <c r="N1252" s="289" t="s">
        <v>105</v>
      </c>
    </row>
    <row r="1253" spans="1:14">
      <c r="A1253" s="284" t="s">
        <v>1400</v>
      </c>
      <c r="B1253" s="159" t="s">
        <v>4520</v>
      </c>
      <c r="C1253" s="290" t="s">
        <v>174</v>
      </c>
      <c r="D1253" s="209" t="s">
        <v>4521</v>
      </c>
      <c r="E1253" s="281">
        <v>1090</v>
      </c>
      <c r="F1253" s="284" t="s">
        <v>19</v>
      </c>
      <c r="G1253" s="282">
        <v>360</v>
      </c>
      <c r="H1253" s="264">
        <f t="shared" si="117"/>
        <v>392400</v>
      </c>
      <c r="I1253" s="309">
        <v>340</v>
      </c>
      <c r="J1253" s="265">
        <f>G1253-I1253</f>
        <v>20</v>
      </c>
      <c r="K1253" s="267">
        <f>J1253*E1253</f>
        <v>21800</v>
      </c>
      <c r="L1253" s="310">
        <f>J1253/G1253</f>
        <v>5.5555555555555552E-2</v>
      </c>
      <c r="M1253" s="208" t="s">
        <v>40</v>
      </c>
      <c r="N1253" s="289" t="s">
        <v>105</v>
      </c>
    </row>
    <row r="1254" spans="1:14">
      <c r="A1254" s="284" t="s">
        <v>1400</v>
      </c>
      <c r="B1254" s="159" t="s">
        <v>4520</v>
      </c>
      <c r="C1254" s="290" t="s">
        <v>174</v>
      </c>
      <c r="D1254" s="209" t="s">
        <v>4522</v>
      </c>
      <c r="E1254" s="281">
        <v>600</v>
      </c>
      <c r="F1254" s="284" t="s">
        <v>19</v>
      </c>
      <c r="G1254" s="282">
        <v>55</v>
      </c>
      <c r="H1254" s="264">
        <f t="shared" si="117"/>
        <v>33000</v>
      </c>
      <c r="I1254" s="309">
        <v>50</v>
      </c>
      <c r="J1254" s="265">
        <f t="shared" ref="J1254:J1268" si="120">G1254-I1254</f>
        <v>5</v>
      </c>
      <c r="K1254" s="267">
        <f t="shared" ref="K1254:K1268" si="121">J1254*E1254</f>
        <v>3000</v>
      </c>
      <c r="L1254" s="306">
        <f t="shared" ref="L1254:L1268" si="122">J1254/G1254</f>
        <v>9.0909090909090912E-2</v>
      </c>
      <c r="M1254" s="208" t="s">
        <v>40</v>
      </c>
      <c r="N1254" s="289" t="s">
        <v>105</v>
      </c>
    </row>
    <row r="1255" spans="1:14">
      <c r="A1255" s="284" t="s">
        <v>1400</v>
      </c>
      <c r="B1255" s="159" t="s">
        <v>4520</v>
      </c>
      <c r="C1255" s="290" t="s">
        <v>174</v>
      </c>
      <c r="D1255" s="209" t="s">
        <v>4052</v>
      </c>
      <c r="E1255" s="281">
        <v>1090</v>
      </c>
      <c r="F1255" s="284" t="s">
        <v>19</v>
      </c>
      <c r="G1255" s="282">
        <v>245</v>
      </c>
      <c r="H1255" s="264">
        <f t="shared" si="117"/>
        <v>267050</v>
      </c>
      <c r="I1255" s="309">
        <v>240</v>
      </c>
      <c r="J1255" s="265">
        <f t="shared" si="120"/>
        <v>5</v>
      </c>
      <c r="K1255" s="267">
        <f t="shared" si="121"/>
        <v>5450</v>
      </c>
      <c r="L1255" s="306">
        <f t="shared" si="122"/>
        <v>2.0408163265306121E-2</v>
      </c>
      <c r="M1255" s="208" t="s">
        <v>40</v>
      </c>
      <c r="N1255" s="289" t="s">
        <v>105</v>
      </c>
    </row>
    <row r="1256" spans="1:14">
      <c r="A1256" s="284" t="s">
        <v>1400</v>
      </c>
      <c r="B1256" s="159" t="s">
        <v>4520</v>
      </c>
      <c r="C1256" s="290" t="s">
        <v>174</v>
      </c>
      <c r="D1256" s="209" t="s">
        <v>4523</v>
      </c>
      <c r="E1256" s="281">
        <v>550</v>
      </c>
      <c r="F1256" s="284" t="s">
        <v>19</v>
      </c>
      <c r="G1256" s="282">
        <v>45</v>
      </c>
      <c r="H1256" s="264">
        <f>G1256*E1256</f>
        <v>24750</v>
      </c>
      <c r="I1256" s="309">
        <v>40</v>
      </c>
      <c r="J1256" s="265">
        <f t="shared" si="120"/>
        <v>5</v>
      </c>
      <c r="K1256" s="267">
        <f t="shared" si="121"/>
        <v>2750</v>
      </c>
      <c r="L1256" s="310">
        <f t="shared" si="122"/>
        <v>0.1111111111111111</v>
      </c>
      <c r="M1256" s="208" t="s">
        <v>40</v>
      </c>
      <c r="N1256" s="289" t="s">
        <v>105</v>
      </c>
    </row>
    <row r="1257" spans="1:14">
      <c r="A1257" s="284" t="s">
        <v>1400</v>
      </c>
      <c r="B1257" s="159" t="s">
        <v>4524</v>
      </c>
      <c r="C1257" s="290" t="s">
        <v>1042</v>
      </c>
      <c r="D1257" s="209" t="s">
        <v>1141</v>
      </c>
      <c r="E1257" s="281">
        <v>500</v>
      </c>
      <c r="F1257" s="284" t="s">
        <v>37</v>
      </c>
      <c r="G1257" s="282">
        <v>412</v>
      </c>
      <c r="H1257" s="264">
        <f t="shared" ref="H1257:H1265" si="123">G1257*E1257</f>
        <v>206000</v>
      </c>
      <c r="I1257" s="309">
        <v>407</v>
      </c>
      <c r="J1257" s="265">
        <f t="shared" si="120"/>
        <v>5</v>
      </c>
      <c r="K1257" s="267">
        <f t="shared" si="121"/>
        <v>2500</v>
      </c>
      <c r="L1257" s="306">
        <f t="shared" si="122"/>
        <v>1.2135922330097087E-2</v>
      </c>
      <c r="M1257" s="208" t="s">
        <v>40</v>
      </c>
      <c r="N1257" s="289" t="s">
        <v>105</v>
      </c>
    </row>
    <row r="1258" spans="1:14">
      <c r="A1258" s="284" t="s">
        <v>1400</v>
      </c>
      <c r="B1258" s="159" t="s">
        <v>4524</v>
      </c>
      <c r="C1258" s="290" t="s">
        <v>1042</v>
      </c>
      <c r="D1258" s="209" t="s">
        <v>621</v>
      </c>
      <c r="E1258" s="281">
        <v>1500</v>
      </c>
      <c r="F1258" s="284" t="s">
        <v>615</v>
      </c>
      <c r="G1258" s="282">
        <v>449</v>
      </c>
      <c r="H1258" s="264">
        <f t="shared" si="123"/>
        <v>673500</v>
      </c>
      <c r="I1258" s="309">
        <v>437</v>
      </c>
      <c r="J1258" s="265">
        <f t="shared" si="120"/>
        <v>12</v>
      </c>
      <c r="K1258" s="267">
        <f t="shared" si="121"/>
        <v>18000</v>
      </c>
      <c r="L1258" s="310">
        <f t="shared" si="122"/>
        <v>2.6726057906458798E-2</v>
      </c>
      <c r="M1258" s="208" t="s">
        <v>40</v>
      </c>
      <c r="N1258" s="289" t="s">
        <v>105</v>
      </c>
    </row>
    <row r="1259" spans="1:14">
      <c r="A1259" s="284" t="s">
        <v>1400</v>
      </c>
      <c r="B1259" s="159" t="s">
        <v>4525</v>
      </c>
      <c r="C1259" s="290" t="s">
        <v>304</v>
      </c>
      <c r="D1259" s="209" t="s">
        <v>597</v>
      </c>
      <c r="E1259" s="281">
        <v>1635</v>
      </c>
      <c r="F1259" s="284" t="s">
        <v>19</v>
      </c>
      <c r="G1259" s="282">
        <v>5300</v>
      </c>
      <c r="H1259" s="264">
        <f t="shared" si="123"/>
        <v>8665500</v>
      </c>
      <c r="I1259" s="309">
        <v>5100</v>
      </c>
      <c r="J1259" s="265">
        <f t="shared" si="120"/>
        <v>200</v>
      </c>
      <c r="K1259" s="267">
        <f t="shared" si="121"/>
        <v>327000</v>
      </c>
      <c r="L1259" s="310">
        <f t="shared" si="122"/>
        <v>3.7735849056603772E-2</v>
      </c>
      <c r="M1259" s="208" t="s">
        <v>40</v>
      </c>
      <c r="N1259" s="289" t="s">
        <v>105</v>
      </c>
    </row>
    <row r="1260" spans="1:14">
      <c r="A1260" s="284" t="s">
        <v>1400</v>
      </c>
      <c r="B1260" s="159" t="s">
        <v>4525</v>
      </c>
      <c r="C1260" s="290" t="s">
        <v>304</v>
      </c>
      <c r="D1260" s="209" t="s">
        <v>602</v>
      </c>
      <c r="E1260" s="281">
        <v>1635</v>
      </c>
      <c r="F1260" s="284" t="s">
        <v>19</v>
      </c>
      <c r="G1260" s="282">
        <v>1600</v>
      </c>
      <c r="H1260" s="264">
        <f t="shared" si="123"/>
        <v>2616000</v>
      </c>
      <c r="I1260" s="309">
        <v>1500</v>
      </c>
      <c r="J1260" s="265">
        <f t="shared" si="120"/>
        <v>100</v>
      </c>
      <c r="K1260" s="267">
        <f t="shared" si="121"/>
        <v>163500</v>
      </c>
      <c r="L1260" s="306">
        <f t="shared" si="122"/>
        <v>6.25E-2</v>
      </c>
      <c r="M1260" s="208" t="s">
        <v>40</v>
      </c>
      <c r="N1260" s="289" t="s">
        <v>105</v>
      </c>
    </row>
    <row r="1261" spans="1:14">
      <c r="A1261" s="284" t="s">
        <v>1400</v>
      </c>
      <c r="B1261" s="159" t="s">
        <v>4526</v>
      </c>
      <c r="C1261" s="290" t="s">
        <v>2688</v>
      </c>
      <c r="D1261" s="209" t="s">
        <v>4527</v>
      </c>
      <c r="E1261" s="281">
        <v>1650</v>
      </c>
      <c r="F1261" s="284" t="s">
        <v>302</v>
      </c>
      <c r="G1261" s="282">
        <v>1204.5</v>
      </c>
      <c r="H1261" s="264">
        <f>G1261*E1261</f>
        <v>1987425</v>
      </c>
      <c r="I1261" s="309">
        <v>1095.5999999999999</v>
      </c>
      <c r="J1261" s="265">
        <f>G1261-I1261</f>
        <v>108.90000000000009</v>
      </c>
      <c r="K1261" s="267">
        <f>J1261*E1261</f>
        <v>179685.00000000015</v>
      </c>
      <c r="L1261" s="306">
        <f>J1261/G1261</f>
        <v>9.0410958904109662E-2</v>
      </c>
      <c r="M1261" s="208" t="s">
        <v>40</v>
      </c>
      <c r="N1261" s="289" t="s">
        <v>39</v>
      </c>
    </row>
    <row r="1262" spans="1:14">
      <c r="A1262" s="284" t="s">
        <v>1400</v>
      </c>
      <c r="B1262" s="159" t="s">
        <v>4528</v>
      </c>
      <c r="C1262" s="290" t="s">
        <v>708</v>
      </c>
      <c r="D1262" s="209" t="s">
        <v>45</v>
      </c>
      <c r="E1262" s="281">
        <v>24000</v>
      </c>
      <c r="F1262" s="284" t="s">
        <v>37</v>
      </c>
      <c r="G1262" s="282">
        <v>431</v>
      </c>
      <c r="H1262" s="264">
        <f>G1262*E1262</f>
        <v>10344000</v>
      </c>
      <c r="I1262" s="309">
        <v>396</v>
      </c>
      <c r="J1262" s="265">
        <f>G1262-I1262</f>
        <v>35</v>
      </c>
      <c r="K1262" s="267">
        <f>J1262*E1262</f>
        <v>840000</v>
      </c>
      <c r="L1262" s="306">
        <f>J1262/G1262</f>
        <v>8.1206496519721574E-2</v>
      </c>
      <c r="M1262" s="208" t="s">
        <v>22</v>
      </c>
      <c r="N1262" s="289" t="s">
        <v>105</v>
      </c>
    </row>
    <row r="1263" spans="1:14">
      <c r="A1263" s="284" t="s">
        <v>1400</v>
      </c>
      <c r="B1263" s="159" t="s">
        <v>4528</v>
      </c>
      <c r="C1263" s="290" t="s">
        <v>708</v>
      </c>
      <c r="D1263" s="292" t="s">
        <v>1134</v>
      </c>
      <c r="E1263" s="281">
        <v>4000</v>
      </c>
      <c r="F1263" s="284" t="s">
        <v>37</v>
      </c>
      <c r="G1263" s="282">
        <v>423</v>
      </c>
      <c r="H1263" s="264">
        <f t="shared" si="123"/>
        <v>1692000</v>
      </c>
      <c r="I1263" s="280">
        <v>403</v>
      </c>
      <c r="J1263" s="265">
        <f t="shared" si="120"/>
        <v>20</v>
      </c>
      <c r="K1263" s="267">
        <f t="shared" si="121"/>
        <v>80000</v>
      </c>
      <c r="L1263" s="310">
        <f t="shared" si="122"/>
        <v>4.7281323877068557E-2</v>
      </c>
      <c r="M1263" s="208" t="s">
        <v>22</v>
      </c>
      <c r="N1263" s="289" t="s">
        <v>105</v>
      </c>
    </row>
    <row r="1264" spans="1:14">
      <c r="A1264" s="284" t="s">
        <v>1400</v>
      </c>
      <c r="B1264" s="159" t="s">
        <v>4528</v>
      </c>
      <c r="C1264" s="290" t="s">
        <v>708</v>
      </c>
      <c r="D1264" s="292" t="s">
        <v>48</v>
      </c>
      <c r="E1264" s="281">
        <v>3550</v>
      </c>
      <c r="F1264" s="284" t="s">
        <v>37</v>
      </c>
      <c r="G1264" s="282">
        <v>423</v>
      </c>
      <c r="H1264" s="264">
        <f t="shared" si="123"/>
        <v>1501650</v>
      </c>
      <c r="I1264" s="280">
        <v>403</v>
      </c>
      <c r="J1264" s="265">
        <f t="shared" si="120"/>
        <v>20</v>
      </c>
      <c r="K1264" s="267">
        <f t="shared" si="121"/>
        <v>71000</v>
      </c>
      <c r="L1264" s="310">
        <f t="shared" si="122"/>
        <v>4.7281323877068557E-2</v>
      </c>
      <c r="M1264" s="208" t="s">
        <v>22</v>
      </c>
      <c r="N1264" s="289" t="s">
        <v>105</v>
      </c>
    </row>
    <row r="1265" spans="1:14">
      <c r="A1265" s="284" t="s">
        <v>1400</v>
      </c>
      <c r="B1265" s="159" t="s">
        <v>4528</v>
      </c>
      <c r="C1265" s="290" t="s">
        <v>708</v>
      </c>
      <c r="D1265" s="292" t="s">
        <v>50</v>
      </c>
      <c r="E1265" s="281">
        <v>3300</v>
      </c>
      <c r="F1265" s="284" t="s">
        <v>37</v>
      </c>
      <c r="G1265" s="282">
        <v>423</v>
      </c>
      <c r="H1265" s="264">
        <f t="shared" si="123"/>
        <v>1395900</v>
      </c>
      <c r="I1265" s="280">
        <v>403</v>
      </c>
      <c r="J1265" s="265">
        <f t="shared" si="120"/>
        <v>20</v>
      </c>
      <c r="K1265" s="267">
        <f t="shared" si="121"/>
        <v>66000</v>
      </c>
      <c r="L1265" s="310">
        <f t="shared" si="122"/>
        <v>4.7281323877068557E-2</v>
      </c>
      <c r="M1265" s="208" t="s">
        <v>22</v>
      </c>
      <c r="N1265" s="289" t="s">
        <v>105</v>
      </c>
    </row>
    <row r="1266" spans="1:14">
      <c r="A1266" s="284" t="s">
        <v>1400</v>
      </c>
      <c r="B1266" s="159" t="s">
        <v>4528</v>
      </c>
      <c r="C1266" s="290" t="s">
        <v>708</v>
      </c>
      <c r="D1266" s="292" t="s">
        <v>49</v>
      </c>
      <c r="E1266" s="281">
        <v>10000</v>
      </c>
      <c r="F1266" s="284" t="s">
        <v>37</v>
      </c>
      <c r="G1266" s="282">
        <v>416</v>
      </c>
      <c r="H1266" s="264">
        <f>G1266*E1266</f>
        <v>4160000</v>
      </c>
      <c r="I1266" s="280">
        <v>396</v>
      </c>
      <c r="J1266" s="265">
        <f t="shared" si="120"/>
        <v>20</v>
      </c>
      <c r="K1266" s="267">
        <f t="shared" si="121"/>
        <v>200000</v>
      </c>
      <c r="L1266" s="310">
        <f t="shared" si="122"/>
        <v>4.807692307692308E-2</v>
      </c>
      <c r="M1266" s="208" t="s">
        <v>22</v>
      </c>
      <c r="N1266" s="289" t="s">
        <v>105</v>
      </c>
    </row>
    <row r="1267" spans="1:14">
      <c r="A1267" s="284" t="s">
        <v>1400</v>
      </c>
      <c r="B1267" s="159" t="s">
        <v>4528</v>
      </c>
      <c r="C1267" s="290" t="s">
        <v>708</v>
      </c>
      <c r="D1267" s="292" t="s">
        <v>207</v>
      </c>
      <c r="E1267" s="281">
        <v>9000</v>
      </c>
      <c r="F1267" s="284" t="s">
        <v>37</v>
      </c>
      <c r="G1267" s="282">
        <v>416</v>
      </c>
      <c r="H1267" s="264">
        <f t="shared" ref="H1267:H1353" si="124">G1267*E1267</f>
        <v>3744000</v>
      </c>
      <c r="I1267" s="280">
        <v>396</v>
      </c>
      <c r="J1267" s="265">
        <f t="shared" si="120"/>
        <v>20</v>
      </c>
      <c r="K1267" s="267">
        <f t="shared" si="121"/>
        <v>180000</v>
      </c>
      <c r="L1267" s="310">
        <f t="shared" si="122"/>
        <v>4.807692307692308E-2</v>
      </c>
      <c r="M1267" s="208" t="s">
        <v>22</v>
      </c>
      <c r="N1267" s="289" t="s">
        <v>105</v>
      </c>
    </row>
    <row r="1268" spans="1:14">
      <c r="A1268" s="284" t="s">
        <v>1400</v>
      </c>
      <c r="B1268" s="159" t="s">
        <v>4528</v>
      </c>
      <c r="C1268" s="290" t="s">
        <v>708</v>
      </c>
      <c r="D1268" s="292" t="s">
        <v>206</v>
      </c>
      <c r="E1268" s="281">
        <v>20000</v>
      </c>
      <c r="F1268" s="284" t="s">
        <v>37</v>
      </c>
      <c r="G1268" s="282">
        <v>414</v>
      </c>
      <c r="H1268" s="264">
        <f t="shared" si="124"/>
        <v>8280000</v>
      </c>
      <c r="I1268" s="280">
        <v>394</v>
      </c>
      <c r="J1268" s="265">
        <f t="shared" si="120"/>
        <v>20</v>
      </c>
      <c r="K1268" s="267">
        <f t="shared" si="121"/>
        <v>400000</v>
      </c>
      <c r="L1268" s="310">
        <f t="shared" si="122"/>
        <v>4.8309178743961352E-2</v>
      </c>
      <c r="M1268" s="208" t="s">
        <v>22</v>
      </c>
      <c r="N1268" s="289" t="s">
        <v>105</v>
      </c>
    </row>
    <row r="1269" spans="1:14">
      <c r="A1269" s="284" t="s">
        <v>1400</v>
      </c>
      <c r="B1269" s="159" t="s">
        <v>4528</v>
      </c>
      <c r="C1269" s="290" t="s">
        <v>708</v>
      </c>
      <c r="D1269" s="292" t="s">
        <v>3616</v>
      </c>
      <c r="E1269" s="281">
        <v>3300</v>
      </c>
      <c r="F1269" s="284" t="s">
        <v>37</v>
      </c>
      <c r="G1269" s="282">
        <v>409</v>
      </c>
      <c r="H1269" s="264">
        <f t="shared" si="124"/>
        <v>1349700</v>
      </c>
      <c r="I1269" s="280">
        <v>389</v>
      </c>
      <c r="J1269" s="265">
        <f>G1269-I1269</f>
        <v>20</v>
      </c>
      <c r="K1269" s="267">
        <f>J1269*E1269</f>
        <v>66000</v>
      </c>
      <c r="L1269" s="310">
        <f>J1269/G1269</f>
        <v>4.8899755501222497E-2</v>
      </c>
      <c r="M1269" s="208" t="s">
        <v>22</v>
      </c>
      <c r="N1269" s="289" t="s">
        <v>105</v>
      </c>
    </row>
    <row r="1270" spans="1:14">
      <c r="A1270" s="284" t="s">
        <v>1400</v>
      </c>
      <c r="B1270" s="159" t="s">
        <v>4528</v>
      </c>
      <c r="C1270" s="290" t="s">
        <v>708</v>
      </c>
      <c r="D1270" s="292" t="s">
        <v>1137</v>
      </c>
      <c r="E1270" s="281">
        <v>5700</v>
      </c>
      <c r="F1270" s="284" t="s">
        <v>37</v>
      </c>
      <c r="G1270" s="282">
        <v>409</v>
      </c>
      <c r="H1270" s="264">
        <f t="shared" si="124"/>
        <v>2331300</v>
      </c>
      <c r="I1270" s="280">
        <v>389</v>
      </c>
      <c r="J1270" s="265">
        <f t="shared" ref="J1270:J1271" si="125">G1270-I1270</f>
        <v>20</v>
      </c>
      <c r="K1270" s="267">
        <f t="shared" ref="K1270:K1271" si="126">J1270*E1270</f>
        <v>114000</v>
      </c>
      <c r="L1270" s="310">
        <f t="shared" ref="L1270:L1271" si="127">J1270/G1270</f>
        <v>4.8899755501222497E-2</v>
      </c>
      <c r="M1270" s="208" t="s">
        <v>22</v>
      </c>
      <c r="N1270" s="289" t="s">
        <v>105</v>
      </c>
    </row>
    <row r="1271" spans="1:14">
      <c r="A1271" s="284" t="s">
        <v>1400</v>
      </c>
      <c r="B1271" s="159" t="s">
        <v>4528</v>
      </c>
      <c r="C1271" s="290" t="s">
        <v>708</v>
      </c>
      <c r="D1271" s="292" t="s">
        <v>208</v>
      </c>
      <c r="E1271" s="281">
        <v>3500</v>
      </c>
      <c r="F1271" s="284" t="s">
        <v>37</v>
      </c>
      <c r="G1271" s="282">
        <v>409</v>
      </c>
      <c r="H1271" s="264">
        <f t="shared" si="124"/>
        <v>1431500</v>
      </c>
      <c r="I1271" s="280">
        <v>389</v>
      </c>
      <c r="J1271" s="265">
        <f t="shared" si="125"/>
        <v>20</v>
      </c>
      <c r="K1271" s="267">
        <f t="shared" si="126"/>
        <v>70000</v>
      </c>
      <c r="L1271" s="310">
        <f t="shared" si="127"/>
        <v>4.8899755501222497E-2</v>
      </c>
      <c r="M1271" s="208" t="s">
        <v>22</v>
      </c>
      <c r="N1271" s="289" t="s">
        <v>105</v>
      </c>
    </row>
    <row r="1272" spans="1:14">
      <c r="A1272" s="284" t="s">
        <v>1400</v>
      </c>
      <c r="B1272" s="159" t="s">
        <v>4528</v>
      </c>
      <c r="C1272" s="290" t="s">
        <v>708</v>
      </c>
      <c r="D1272" s="292" t="s">
        <v>3964</v>
      </c>
      <c r="E1272" s="281">
        <v>2400</v>
      </c>
      <c r="F1272" s="284" t="s">
        <v>37</v>
      </c>
      <c r="G1272" s="282">
        <v>431</v>
      </c>
      <c r="H1272" s="264">
        <f t="shared" si="124"/>
        <v>1034400</v>
      </c>
      <c r="I1272" s="280">
        <v>411</v>
      </c>
      <c r="J1272" s="265">
        <f>G1272-I1272</f>
        <v>20</v>
      </c>
      <c r="K1272" s="267">
        <f>J1272*E1272</f>
        <v>48000</v>
      </c>
      <c r="L1272" s="310">
        <f>J1272/G1272</f>
        <v>4.6403712296983757E-2</v>
      </c>
      <c r="M1272" s="208" t="s">
        <v>22</v>
      </c>
      <c r="N1272" s="289" t="s">
        <v>105</v>
      </c>
    </row>
    <row r="1273" spans="1:14">
      <c r="A1273" s="284" t="s">
        <v>1400</v>
      </c>
      <c r="B1273" s="159" t="s">
        <v>4528</v>
      </c>
      <c r="C1273" s="290" t="s">
        <v>708</v>
      </c>
      <c r="D1273" s="292" t="s">
        <v>51</v>
      </c>
      <c r="E1273" s="281">
        <v>10000</v>
      </c>
      <c r="F1273" s="284" t="s">
        <v>37</v>
      </c>
      <c r="G1273" s="282">
        <v>416</v>
      </c>
      <c r="H1273" s="264">
        <f t="shared" si="124"/>
        <v>4160000</v>
      </c>
      <c r="I1273" s="280">
        <v>396</v>
      </c>
      <c r="J1273" s="265">
        <f t="shared" ref="J1273:J1290" si="128">G1273-I1273</f>
        <v>20</v>
      </c>
      <c r="K1273" s="267">
        <f t="shared" ref="K1273:K1336" si="129">J1273*E1273</f>
        <v>200000</v>
      </c>
      <c r="L1273" s="310">
        <f t="shared" ref="L1273:L1353" si="130">J1273/G1273</f>
        <v>4.807692307692308E-2</v>
      </c>
      <c r="M1273" s="208" t="s">
        <v>22</v>
      </c>
      <c r="N1273" s="289" t="s">
        <v>105</v>
      </c>
    </row>
    <row r="1274" spans="1:14">
      <c r="A1274" s="284" t="s">
        <v>1400</v>
      </c>
      <c r="B1274" s="159" t="s">
        <v>4528</v>
      </c>
      <c r="C1274" s="290" t="s">
        <v>708</v>
      </c>
      <c r="D1274" s="292" t="s">
        <v>209</v>
      </c>
      <c r="E1274" s="281">
        <v>3000</v>
      </c>
      <c r="F1274" s="284" t="s">
        <v>37</v>
      </c>
      <c r="G1274" s="282">
        <v>414</v>
      </c>
      <c r="H1274" s="264">
        <f t="shared" si="124"/>
        <v>1242000</v>
      </c>
      <c r="I1274" s="280">
        <v>394</v>
      </c>
      <c r="J1274" s="265">
        <f t="shared" si="128"/>
        <v>20</v>
      </c>
      <c r="K1274" s="267">
        <f t="shared" si="129"/>
        <v>60000</v>
      </c>
      <c r="L1274" s="310">
        <f t="shared" si="130"/>
        <v>4.8309178743961352E-2</v>
      </c>
      <c r="M1274" s="208" t="s">
        <v>22</v>
      </c>
      <c r="N1274" s="289" t="s">
        <v>105</v>
      </c>
    </row>
    <row r="1275" spans="1:14">
      <c r="A1275" s="284" t="s">
        <v>1400</v>
      </c>
      <c r="B1275" s="159" t="s">
        <v>4528</v>
      </c>
      <c r="C1275" s="290" t="s">
        <v>708</v>
      </c>
      <c r="D1275" s="292" t="s">
        <v>52</v>
      </c>
      <c r="E1275" s="281">
        <v>7500</v>
      </c>
      <c r="F1275" s="284" t="s">
        <v>37</v>
      </c>
      <c r="G1275" s="282">
        <v>414</v>
      </c>
      <c r="H1275" s="264">
        <f t="shared" si="124"/>
        <v>3105000</v>
      </c>
      <c r="I1275" s="280">
        <v>394</v>
      </c>
      <c r="J1275" s="265">
        <f t="shared" si="128"/>
        <v>20</v>
      </c>
      <c r="K1275" s="267">
        <f t="shared" si="129"/>
        <v>150000</v>
      </c>
      <c r="L1275" s="310">
        <f t="shared" si="130"/>
        <v>4.8309178743961352E-2</v>
      </c>
      <c r="M1275" s="208" t="s">
        <v>22</v>
      </c>
      <c r="N1275" s="289" t="s">
        <v>105</v>
      </c>
    </row>
    <row r="1276" spans="1:14">
      <c r="A1276" s="284" t="s">
        <v>1400</v>
      </c>
      <c r="B1276" s="159" t="s">
        <v>4528</v>
      </c>
      <c r="C1276" s="290" t="s">
        <v>708</v>
      </c>
      <c r="D1276" s="292" t="s">
        <v>1248</v>
      </c>
      <c r="E1276" s="281">
        <v>3000</v>
      </c>
      <c r="F1276" s="284" t="s">
        <v>37</v>
      </c>
      <c r="G1276" s="282">
        <v>409</v>
      </c>
      <c r="H1276" s="264">
        <f t="shared" si="124"/>
        <v>1227000</v>
      </c>
      <c r="I1276" s="280">
        <v>389</v>
      </c>
      <c r="J1276" s="265">
        <f t="shared" si="128"/>
        <v>20</v>
      </c>
      <c r="K1276" s="267">
        <f t="shared" si="129"/>
        <v>60000</v>
      </c>
      <c r="L1276" s="310">
        <f t="shared" si="130"/>
        <v>4.8899755501222497E-2</v>
      </c>
      <c r="M1276" s="208" t="s">
        <v>22</v>
      </c>
      <c r="N1276" s="289" t="s">
        <v>105</v>
      </c>
    </row>
    <row r="1277" spans="1:14">
      <c r="A1277" s="284" t="s">
        <v>1400</v>
      </c>
      <c r="B1277" s="159" t="s">
        <v>4528</v>
      </c>
      <c r="C1277" s="290" t="s">
        <v>708</v>
      </c>
      <c r="D1277" s="292" t="s">
        <v>709</v>
      </c>
      <c r="E1277" s="281">
        <v>3300</v>
      </c>
      <c r="F1277" s="284" t="s">
        <v>37</v>
      </c>
      <c r="G1277" s="282">
        <v>409</v>
      </c>
      <c r="H1277" s="264">
        <f t="shared" si="124"/>
        <v>1349700</v>
      </c>
      <c r="I1277" s="280">
        <v>389</v>
      </c>
      <c r="J1277" s="265">
        <f t="shared" si="128"/>
        <v>20</v>
      </c>
      <c r="K1277" s="267">
        <f t="shared" si="129"/>
        <v>66000</v>
      </c>
      <c r="L1277" s="310">
        <f t="shared" si="130"/>
        <v>4.8899755501222497E-2</v>
      </c>
      <c r="M1277" s="208" t="s">
        <v>22</v>
      </c>
      <c r="N1277" s="289" t="s">
        <v>105</v>
      </c>
    </row>
    <row r="1278" spans="1:14">
      <c r="A1278" s="284" t="s">
        <v>1400</v>
      </c>
      <c r="B1278" s="159" t="s">
        <v>4528</v>
      </c>
      <c r="C1278" s="290" t="s">
        <v>708</v>
      </c>
      <c r="D1278" s="292" t="s">
        <v>3841</v>
      </c>
      <c r="E1278" s="281">
        <v>3200</v>
      </c>
      <c r="F1278" s="284" t="s">
        <v>37</v>
      </c>
      <c r="G1278" s="282">
        <v>414</v>
      </c>
      <c r="H1278" s="264">
        <f t="shared" si="124"/>
        <v>1324800</v>
      </c>
      <c r="I1278" s="280">
        <v>394</v>
      </c>
      <c r="J1278" s="265">
        <f t="shared" si="128"/>
        <v>20</v>
      </c>
      <c r="K1278" s="267">
        <f t="shared" si="129"/>
        <v>64000</v>
      </c>
      <c r="L1278" s="310">
        <f t="shared" si="130"/>
        <v>4.8309178743961352E-2</v>
      </c>
      <c r="M1278" s="208" t="s">
        <v>22</v>
      </c>
      <c r="N1278" s="289" t="s">
        <v>105</v>
      </c>
    </row>
    <row r="1279" spans="1:14">
      <c r="A1279" s="284" t="s">
        <v>1400</v>
      </c>
      <c r="B1279" s="159" t="s">
        <v>4529</v>
      </c>
      <c r="C1279" s="290" t="s">
        <v>497</v>
      </c>
      <c r="D1279" s="292" t="s">
        <v>498</v>
      </c>
      <c r="E1279" s="281">
        <v>6000</v>
      </c>
      <c r="F1279" s="284" t="s">
        <v>37</v>
      </c>
      <c r="G1279" s="282">
        <v>93</v>
      </c>
      <c r="H1279" s="264">
        <f t="shared" si="124"/>
        <v>558000</v>
      </c>
      <c r="I1279" s="280">
        <v>85.44</v>
      </c>
      <c r="J1279" s="265">
        <f t="shared" si="128"/>
        <v>7.5600000000000023</v>
      </c>
      <c r="K1279" s="267">
        <f t="shared" si="129"/>
        <v>45360.000000000015</v>
      </c>
      <c r="L1279" s="310">
        <f t="shared" si="130"/>
        <v>8.1290322580645183E-2</v>
      </c>
      <c r="M1279" s="208" t="s">
        <v>40</v>
      </c>
      <c r="N1279" s="289" t="s">
        <v>39</v>
      </c>
    </row>
    <row r="1280" spans="1:14">
      <c r="A1280" s="284" t="s">
        <v>1400</v>
      </c>
      <c r="B1280" s="159" t="s">
        <v>4529</v>
      </c>
      <c r="C1280" s="290" t="s">
        <v>497</v>
      </c>
      <c r="D1280" s="292" t="s">
        <v>2258</v>
      </c>
      <c r="E1280" s="281">
        <v>8000</v>
      </c>
      <c r="F1280" s="284" t="s">
        <v>37</v>
      </c>
      <c r="G1280" s="282">
        <v>93</v>
      </c>
      <c r="H1280" s="264">
        <f t="shared" si="124"/>
        <v>744000</v>
      </c>
      <c r="I1280" s="280">
        <v>85.44</v>
      </c>
      <c r="J1280" s="265">
        <f t="shared" si="128"/>
        <v>7.5600000000000023</v>
      </c>
      <c r="K1280" s="267">
        <f t="shared" si="129"/>
        <v>60480.000000000015</v>
      </c>
      <c r="L1280" s="310">
        <f t="shared" si="130"/>
        <v>8.1290322580645183E-2</v>
      </c>
      <c r="M1280" s="208" t="s">
        <v>40</v>
      </c>
      <c r="N1280" s="289" t="s">
        <v>39</v>
      </c>
    </row>
    <row r="1281" spans="1:14">
      <c r="A1281" s="284" t="s">
        <v>1400</v>
      </c>
      <c r="B1281" s="159" t="s">
        <v>4529</v>
      </c>
      <c r="C1281" s="290" t="s">
        <v>497</v>
      </c>
      <c r="D1281" s="292" t="s">
        <v>4530</v>
      </c>
      <c r="E1281" s="281">
        <v>12000</v>
      </c>
      <c r="F1281" s="284" t="s">
        <v>37</v>
      </c>
      <c r="G1281" s="282">
        <v>93</v>
      </c>
      <c r="H1281" s="264">
        <f t="shared" si="124"/>
        <v>1116000</v>
      </c>
      <c r="I1281" s="280">
        <v>85.44</v>
      </c>
      <c r="J1281" s="265">
        <f t="shared" si="128"/>
        <v>7.5600000000000023</v>
      </c>
      <c r="K1281" s="267">
        <f t="shared" si="129"/>
        <v>90720.000000000029</v>
      </c>
      <c r="L1281" s="310">
        <f t="shared" si="130"/>
        <v>8.1290322580645183E-2</v>
      </c>
      <c r="M1281" s="208" t="s">
        <v>40</v>
      </c>
      <c r="N1281" s="289" t="s">
        <v>39</v>
      </c>
    </row>
    <row r="1282" spans="1:14">
      <c r="A1282" s="284" t="s">
        <v>1400</v>
      </c>
      <c r="B1282" s="159" t="s">
        <v>4529</v>
      </c>
      <c r="C1282" s="290" t="s">
        <v>497</v>
      </c>
      <c r="D1282" s="292" t="s">
        <v>2258</v>
      </c>
      <c r="E1282" s="281">
        <v>7000</v>
      </c>
      <c r="F1282" s="284" t="s">
        <v>37</v>
      </c>
      <c r="G1282" s="282">
        <v>93</v>
      </c>
      <c r="H1282" s="264">
        <f t="shared" si="124"/>
        <v>651000</v>
      </c>
      <c r="I1282" s="280">
        <v>85.44</v>
      </c>
      <c r="J1282" s="265">
        <f t="shared" si="128"/>
        <v>7.5600000000000023</v>
      </c>
      <c r="K1282" s="267">
        <f t="shared" si="129"/>
        <v>52920.000000000015</v>
      </c>
      <c r="L1282" s="310">
        <f t="shared" si="130"/>
        <v>8.1290322580645183E-2</v>
      </c>
      <c r="M1282" s="208" t="s">
        <v>40</v>
      </c>
      <c r="N1282" s="289" t="s">
        <v>39</v>
      </c>
    </row>
    <row r="1283" spans="1:14">
      <c r="A1283" s="284" t="s">
        <v>1400</v>
      </c>
      <c r="B1283" s="159" t="s">
        <v>4529</v>
      </c>
      <c r="C1283" s="290" t="s">
        <v>497</v>
      </c>
      <c r="D1283" s="292" t="s">
        <v>4530</v>
      </c>
      <c r="E1283" s="281">
        <v>7000</v>
      </c>
      <c r="F1283" s="284" t="s">
        <v>37</v>
      </c>
      <c r="G1283" s="282">
        <v>93</v>
      </c>
      <c r="H1283" s="264">
        <f t="shared" si="124"/>
        <v>651000</v>
      </c>
      <c r="I1283" s="280">
        <v>85.44</v>
      </c>
      <c r="J1283" s="265">
        <f t="shared" si="128"/>
        <v>7.5600000000000023</v>
      </c>
      <c r="K1283" s="267">
        <f t="shared" si="129"/>
        <v>52920.000000000015</v>
      </c>
      <c r="L1283" s="310">
        <f t="shared" si="130"/>
        <v>8.1290322580645183E-2</v>
      </c>
      <c r="M1283" s="208" t="s">
        <v>40</v>
      </c>
      <c r="N1283" s="289" t="s">
        <v>39</v>
      </c>
    </row>
    <row r="1284" spans="1:14">
      <c r="A1284" s="284" t="s">
        <v>1400</v>
      </c>
      <c r="B1284" s="159" t="s">
        <v>4531</v>
      </c>
      <c r="C1284" s="290" t="s">
        <v>1119</v>
      </c>
      <c r="D1284" s="292" t="s">
        <v>4413</v>
      </c>
      <c r="E1284" s="281">
        <v>20</v>
      </c>
      <c r="F1284" s="284" t="s">
        <v>19</v>
      </c>
      <c r="G1284" s="282">
        <v>250</v>
      </c>
      <c r="H1284" s="264">
        <f t="shared" si="124"/>
        <v>5000</v>
      </c>
      <c r="I1284" s="280">
        <v>230</v>
      </c>
      <c r="J1284" s="265">
        <f t="shared" si="128"/>
        <v>20</v>
      </c>
      <c r="K1284" s="267">
        <f t="shared" si="129"/>
        <v>400</v>
      </c>
      <c r="L1284" s="310">
        <f t="shared" si="130"/>
        <v>0.08</v>
      </c>
      <c r="M1284" s="208" t="s">
        <v>40</v>
      </c>
      <c r="N1284" s="289" t="s">
        <v>39</v>
      </c>
    </row>
    <row r="1285" spans="1:14">
      <c r="A1285" s="284" t="s">
        <v>1400</v>
      </c>
      <c r="B1285" s="159" t="s">
        <v>4531</v>
      </c>
      <c r="C1285" s="290" t="s">
        <v>1119</v>
      </c>
      <c r="D1285" s="292" t="s">
        <v>4532</v>
      </c>
      <c r="E1285" s="281">
        <v>100</v>
      </c>
      <c r="F1285" s="284" t="s">
        <v>19</v>
      </c>
      <c r="G1285" s="282">
        <v>18</v>
      </c>
      <c r="H1285" s="264">
        <f t="shared" si="124"/>
        <v>1800</v>
      </c>
      <c r="I1285" s="280">
        <v>17</v>
      </c>
      <c r="J1285" s="265">
        <f t="shared" si="128"/>
        <v>1</v>
      </c>
      <c r="K1285" s="267">
        <f t="shared" si="129"/>
        <v>100</v>
      </c>
      <c r="L1285" s="310">
        <f t="shared" si="130"/>
        <v>5.5555555555555552E-2</v>
      </c>
      <c r="M1285" s="208" t="s">
        <v>40</v>
      </c>
      <c r="N1285" s="289" t="s">
        <v>39</v>
      </c>
    </row>
    <row r="1286" spans="1:14">
      <c r="A1286" s="284" t="s">
        <v>1400</v>
      </c>
      <c r="B1286" s="159" t="s">
        <v>4531</v>
      </c>
      <c r="C1286" s="290" t="s">
        <v>1119</v>
      </c>
      <c r="D1286" s="292" t="s">
        <v>2240</v>
      </c>
      <c r="E1286" s="281">
        <v>150</v>
      </c>
      <c r="F1286" s="284" t="s">
        <v>19</v>
      </c>
      <c r="G1286" s="282">
        <v>20</v>
      </c>
      <c r="H1286" s="264">
        <f t="shared" si="124"/>
        <v>3000</v>
      </c>
      <c r="I1286" s="280">
        <v>14</v>
      </c>
      <c r="J1286" s="265">
        <f t="shared" si="128"/>
        <v>6</v>
      </c>
      <c r="K1286" s="267">
        <f t="shared" si="129"/>
        <v>900</v>
      </c>
      <c r="L1286" s="310">
        <f t="shared" si="130"/>
        <v>0.3</v>
      </c>
      <c r="M1286" s="208" t="s">
        <v>40</v>
      </c>
      <c r="N1286" s="289" t="s">
        <v>39</v>
      </c>
    </row>
    <row r="1287" spans="1:14">
      <c r="A1287" s="284" t="s">
        <v>1400</v>
      </c>
      <c r="B1287" s="159" t="s">
        <v>4531</v>
      </c>
      <c r="C1287" s="290" t="s">
        <v>1119</v>
      </c>
      <c r="D1287" s="292" t="s">
        <v>4533</v>
      </c>
      <c r="E1287" s="281">
        <v>44</v>
      </c>
      <c r="F1287" s="284" t="s">
        <v>19</v>
      </c>
      <c r="G1287" s="282">
        <v>140</v>
      </c>
      <c r="H1287" s="264">
        <f t="shared" si="124"/>
        <v>6160</v>
      </c>
      <c r="I1287" s="280">
        <v>135</v>
      </c>
      <c r="J1287" s="265">
        <f t="shared" si="128"/>
        <v>5</v>
      </c>
      <c r="K1287" s="267">
        <f t="shared" si="129"/>
        <v>220</v>
      </c>
      <c r="L1287" s="310">
        <f t="shared" si="130"/>
        <v>3.5714285714285712E-2</v>
      </c>
      <c r="M1287" s="208" t="s">
        <v>40</v>
      </c>
      <c r="N1287" s="289" t="s">
        <v>39</v>
      </c>
    </row>
    <row r="1288" spans="1:14">
      <c r="A1288" s="284" t="s">
        <v>1400</v>
      </c>
      <c r="B1288" s="159" t="s">
        <v>4531</v>
      </c>
      <c r="C1288" s="290" t="s">
        <v>1119</v>
      </c>
      <c r="D1288" s="292" t="s">
        <v>4400</v>
      </c>
      <c r="E1288" s="281">
        <v>40</v>
      </c>
      <c r="F1288" s="284" t="s">
        <v>19</v>
      </c>
      <c r="G1288" s="282">
        <v>230</v>
      </c>
      <c r="H1288" s="264">
        <f t="shared" si="124"/>
        <v>9200</v>
      </c>
      <c r="I1288" s="280">
        <v>220</v>
      </c>
      <c r="J1288" s="265">
        <f t="shared" si="128"/>
        <v>10</v>
      </c>
      <c r="K1288" s="267">
        <f t="shared" si="129"/>
        <v>400</v>
      </c>
      <c r="L1288" s="310">
        <f t="shared" si="130"/>
        <v>4.3478260869565216E-2</v>
      </c>
      <c r="M1288" s="208" t="s">
        <v>40</v>
      </c>
      <c r="N1288" s="289" t="s">
        <v>39</v>
      </c>
    </row>
    <row r="1289" spans="1:14">
      <c r="A1289" s="284" t="s">
        <v>1400</v>
      </c>
      <c r="B1289" s="159" t="s">
        <v>4531</v>
      </c>
      <c r="C1289" s="290" t="s">
        <v>1119</v>
      </c>
      <c r="D1289" s="292" t="s">
        <v>4534</v>
      </c>
      <c r="E1289" s="281">
        <v>30</v>
      </c>
      <c r="F1289" s="284" t="s">
        <v>19</v>
      </c>
      <c r="G1289" s="282">
        <v>32</v>
      </c>
      <c r="H1289" s="264">
        <f t="shared" si="124"/>
        <v>960</v>
      </c>
      <c r="I1289" s="280">
        <v>25</v>
      </c>
      <c r="J1289" s="265">
        <f t="shared" si="128"/>
        <v>7</v>
      </c>
      <c r="K1289" s="267">
        <f t="shared" si="129"/>
        <v>210</v>
      </c>
      <c r="L1289" s="310">
        <f t="shared" si="130"/>
        <v>0.21875</v>
      </c>
      <c r="M1289" s="208" t="s">
        <v>40</v>
      </c>
      <c r="N1289" s="289" t="s">
        <v>39</v>
      </c>
    </row>
    <row r="1290" spans="1:14">
      <c r="A1290" s="284" t="s">
        <v>1400</v>
      </c>
      <c r="B1290" s="159" t="s">
        <v>4531</v>
      </c>
      <c r="C1290" s="290" t="s">
        <v>1119</v>
      </c>
      <c r="D1290" s="292" t="s">
        <v>4383</v>
      </c>
      <c r="E1290" s="281">
        <v>20</v>
      </c>
      <c r="F1290" s="284" t="s">
        <v>19</v>
      </c>
      <c r="G1290" s="282">
        <v>250</v>
      </c>
      <c r="H1290" s="264">
        <f t="shared" si="124"/>
        <v>5000</v>
      </c>
      <c r="I1290" s="280">
        <v>230</v>
      </c>
      <c r="J1290" s="265">
        <f t="shared" si="128"/>
        <v>20</v>
      </c>
      <c r="K1290" s="267">
        <f t="shared" si="129"/>
        <v>400</v>
      </c>
      <c r="L1290" s="310">
        <f t="shared" si="130"/>
        <v>0.08</v>
      </c>
      <c r="M1290" s="208" t="s">
        <v>40</v>
      </c>
      <c r="N1290" s="289" t="s">
        <v>39</v>
      </c>
    </row>
    <row r="1291" spans="1:14">
      <c r="A1291" s="284" t="s">
        <v>1400</v>
      </c>
      <c r="B1291" s="159" t="s">
        <v>4531</v>
      </c>
      <c r="C1291" s="290" t="s">
        <v>1119</v>
      </c>
      <c r="D1291" s="292" t="s">
        <v>4535</v>
      </c>
      <c r="E1291" s="281">
        <v>20</v>
      </c>
      <c r="F1291" s="284" t="s">
        <v>302</v>
      </c>
      <c r="G1291" s="282">
        <v>260</v>
      </c>
      <c r="H1291" s="264">
        <f t="shared" si="124"/>
        <v>5200</v>
      </c>
      <c r="I1291" s="280">
        <v>250</v>
      </c>
      <c r="J1291" s="265">
        <f>G1291-I1291</f>
        <v>10</v>
      </c>
      <c r="K1291" s="267">
        <f t="shared" si="129"/>
        <v>200</v>
      </c>
      <c r="L1291" s="310">
        <f t="shared" si="130"/>
        <v>3.8461538461538464E-2</v>
      </c>
      <c r="M1291" s="208" t="s">
        <v>40</v>
      </c>
      <c r="N1291" s="289" t="s">
        <v>39</v>
      </c>
    </row>
    <row r="1292" spans="1:14">
      <c r="A1292" s="284" t="s">
        <v>1400</v>
      </c>
      <c r="B1292" s="159" t="s">
        <v>4531</v>
      </c>
      <c r="C1292" s="290" t="s">
        <v>1119</v>
      </c>
      <c r="D1292" s="292" t="s">
        <v>4391</v>
      </c>
      <c r="E1292" s="281">
        <v>100</v>
      </c>
      <c r="F1292" s="284" t="s">
        <v>19</v>
      </c>
      <c r="G1292" s="282">
        <v>40</v>
      </c>
      <c r="H1292" s="264">
        <f t="shared" si="124"/>
        <v>4000</v>
      </c>
      <c r="I1292" s="280">
        <v>38</v>
      </c>
      <c r="J1292" s="265">
        <f t="shared" ref="J1292:J1355" si="131">G1292-I1292</f>
        <v>2</v>
      </c>
      <c r="K1292" s="267">
        <f t="shared" si="129"/>
        <v>200</v>
      </c>
      <c r="L1292" s="310">
        <f t="shared" si="130"/>
        <v>0.05</v>
      </c>
      <c r="M1292" s="208" t="s">
        <v>40</v>
      </c>
      <c r="N1292" s="289" t="s">
        <v>39</v>
      </c>
    </row>
    <row r="1293" spans="1:14">
      <c r="A1293" s="284" t="s">
        <v>1400</v>
      </c>
      <c r="B1293" s="159" t="s">
        <v>4531</v>
      </c>
      <c r="C1293" s="290" t="s">
        <v>1119</v>
      </c>
      <c r="D1293" s="292" t="s">
        <v>4536</v>
      </c>
      <c r="E1293" s="281">
        <v>30</v>
      </c>
      <c r="F1293" s="284" t="s">
        <v>19</v>
      </c>
      <c r="G1293" s="282">
        <v>245</v>
      </c>
      <c r="H1293" s="264">
        <f t="shared" si="124"/>
        <v>7350</v>
      </c>
      <c r="I1293" s="280">
        <v>240</v>
      </c>
      <c r="J1293" s="265">
        <f t="shared" si="131"/>
        <v>5</v>
      </c>
      <c r="K1293" s="267">
        <f t="shared" si="129"/>
        <v>150</v>
      </c>
      <c r="L1293" s="310">
        <f t="shared" si="130"/>
        <v>2.0408163265306121E-2</v>
      </c>
      <c r="M1293" s="208" t="s">
        <v>40</v>
      </c>
      <c r="N1293" s="289" t="s">
        <v>39</v>
      </c>
    </row>
    <row r="1294" spans="1:14">
      <c r="A1294" s="284" t="s">
        <v>1400</v>
      </c>
      <c r="B1294" s="159" t="s">
        <v>4531</v>
      </c>
      <c r="C1294" s="290" t="s">
        <v>1119</v>
      </c>
      <c r="D1294" s="292" t="s">
        <v>4537</v>
      </c>
      <c r="E1294" s="281">
        <v>100</v>
      </c>
      <c r="F1294" s="284" t="s">
        <v>19</v>
      </c>
      <c r="G1294" s="282">
        <v>70</v>
      </c>
      <c r="H1294" s="264">
        <f t="shared" si="124"/>
        <v>7000</v>
      </c>
      <c r="I1294" s="280">
        <v>60</v>
      </c>
      <c r="J1294" s="265">
        <f t="shared" si="131"/>
        <v>10</v>
      </c>
      <c r="K1294" s="267">
        <f t="shared" si="129"/>
        <v>1000</v>
      </c>
      <c r="L1294" s="310">
        <f t="shared" si="130"/>
        <v>0.14285714285714285</v>
      </c>
      <c r="M1294" s="208" t="s">
        <v>40</v>
      </c>
      <c r="N1294" s="289" t="s">
        <v>39</v>
      </c>
    </row>
    <row r="1295" spans="1:14">
      <c r="A1295" s="284" t="s">
        <v>1400</v>
      </c>
      <c r="B1295" s="159" t="s">
        <v>4538</v>
      </c>
      <c r="C1295" s="290" t="s">
        <v>1000</v>
      </c>
      <c r="D1295" s="292" t="s">
        <v>1001</v>
      </c>
      <c r="E1295" s="281">
        <v>545</v>
      </c>
      <c r="F1295" s="284" t="s">
        <v>302</v>
      </c>
      <c r="G1295" s="282">
        <v>1500</v>
      </c>
      <c r="H1295" s="264">
        <f t="shared" si="124"/>
        <v>817500</v>
      </c>
      <c r="I1295" s="280">
        <v>1350</v>
      </c>
      <c r="J1295" s="265">
        <f t="shared" si="131"/>
        <v>150</v>
      </c>
      <c r="K1295" s="267">
        <f t="shared" si="129"/>
        <v>81750</v>
      </c>
      <c r="L1295" s="310">
        <f t="shared" si="130"/>
        <v>0.1</v>
      </c>
      <c r="M1295" s="208" t="s">
        <v>22</v>
      </c>
      <c r="N1295" s="289" t="s">
        <v>105</v>
      </c>
    </row>
    <row r="1296" spans="1:14">
      <c r="A1296" s="284" t="s">
        <v>1400</v>
      </c>
      <c r="B1296" s="159" t="s">
        <v>4539</v>
      </c>
      <c r="C1296" s="290" t="s">
        <v>3893</v>
      </c>
      <c r="D1296" s="292" t="s">
        <v>4540</v>
      </c>
      <c r="E1296" s="281">
        <v>545</v>
      </c>
      <c r="F1296" s="284" t="s">
        <v>302</v>
      </c>
      <c r="G1296" s="282">
        <v>1400</v>
      </c>
      <c r="H1296" s="264">
        <f>G1296*E1296</f>
        <v>763000</v>
      </c>
      <c r="I1296" s="280">
        <v>1370</v>
      </c>
      <c r="J1296" s="265">
        <f>G1296-I1296</f>
        <v>30</v>
      </c>
      <c r="K1296" s="267">
        <f t="shared" si="129"/>
        <v>16350</v>
      </c>
      <c r="L1296" s="310">
        <f>J1296/G1296</f>
        <v>2.1428571428571429E-2</v>
      </c>
      <c r="M1296" s="208" t="s">
        <v>40</v>
      </c>
      <c r="N1296" s="289" t="s">
        <v>39</v>
      </c>
    </row>
    <row r="1297" spans="1:14">
      <c r="A1297" s="284" t="s">
        <v>1400</v>
      </c>
      <c r="B1297" s="159" t="s">
        <v>4539</v>
      </c>
      <c r="C1297" s="290" t="s">
        <v>3893</v>
      </c>
      <c r="D1297" s="292" t="s">
        <v>4541</v>
      </c>
      <c r="E1297" s="281">
        <v>545</v>
      </c>
      <c r="F1297" s="284" t="s">
        <v>302</v>
      </c>
      <c r="G1297" s="282">
        <v>8100</v>
      </c>
      <c r="H1297" s="264">
        <f>G1297*E1297</f>
        <v>4414500</v>
      </c>
      <c r="I1297" s="280">
        <v>7900</v>
      </c>
      <c r="J1297" s="265">
        <f>G1297-I1297</f>
        <v>200</v>
      </c>
      <c r="K1297" s="267">
        <f t="shared" si="129"/>
        <v>109000</v>
      </c>
      <c r="L1297" s="310">
        <f>J1297/G1297</f>
        <v>2.4691358024691357E-2</v>
      </c>
      <c r="M1297" s="208" t="s">
        <v>40</v>
      </c>
      <c r="N1297" s="289" t="s">
        <v>39</v>
      </c>
    </row>
    <row r="1298" spans="1:14">
      <c r="A1298" s="284" t="s">
        <v>1400</v>
      </c>
      <c r="B1298" s="159" t="s">
        <v>4539</v>
      </c>
      <c r="C1298" s="290" t="s">
        <v>3893</v>
      </c>
      <c r="D1298" s="292" t="s">
        <v>3907</v>
      </c>
      <c r="E1298" s="281">
        <v>545</v>
      </c>
      <c r="F1298" s="284" t="s">
        <v>19</v>
      </c>
      <c r="G1298" s="282">
        <v>400</v>
      </c>
      <c r="H1298" s="264">
        <f>G1298*E1298</f>
        <v>218000</v>
      </c>
      <c r="I1298" s="280">
        <v>390</v>
      </c>
      <c r="J1298" s="265">
        <f>G1298-I1298</f>
        <v>10</v>
      </c>
      <c r="K1298" s="267">
        <f t="shared" si="129"/>
        <v>5450</v>
      </c>
      <c r="L1298" s="310">
        <f>J1298/G1298</f>
        <v>2.5000000000000001E-2</v>
      </c>
      <c r="M1298" s="208" t="s">
        <v>40</v>
      </c>
      <c r="N1298" s="289" t="s">
        <v>39</v>
      </c>
    </row>
    <row r="1299" spans="1:14">
      <c r="A1299" s="284" t="s">
        <v>1400</v>
      </c>
      <c r="B1299" s="159" t="s">
        <v>4542</v>
      </c>
      <c r="C1299" s="290" t="s">
        <v>1119</v>
      </c>
      <c r="D1299" s="292" t="s">
        <v>2064</v>
      </c>
      <c r="E1299" s="281">
        <v>510</v>
      </c>
      <c r="F1299" s="284" t="s">
        <v>19</v>
      </c>
      <c r="G1299" s="282">
        <v>75</v>
      </c>
      <c r="H1299" s="264">
        <f t="shared" ref="H1299:H1351" si="132">G1299*E1299</f>
        <v>38250</v>
      </c>
      <c r="I1299" s="280">
        <v>60</v>
      </c>
      <c r="J1299" s="265">
        <f t="shared" ref="J1299:J1350" si="133">G1299-I1299</f>
        <v>15</v>
      </c>
      <c r="K1299" s="267">
        <f t="shared" si="129"/>
        <v>7650</v>
      </c>
      <c r="L1299" s="310">
        <f t="shared" ref="L1299:L1350" si="134">J1299/G1299</f>
        <v>0.2</v>
      </c>
      <c r="M1299" s="208" t="s">
        <v>40</v>
      </c>
      <c r="N1299" s="289" t="s">
        <v>39</v>
      </c>
    </row>
    <row r="1300" spans="1:14">
      <c r="A1300" s="284" t="s">
        <v>1400</v>
      </c>
      <c r="B1300" s="159" t="s">
        <v>4542</v>
      </c>
      <c r="C1300" s="290" t="s">
        <v>1119</v>
      </c>
      <c r="D1300" s="292" t="s">
        <v>4414</v>
      </c>
      <c r="E1300" s="281">
        <v>3000</v>
      </c>
      <c r="F1300" s="284" t="s">
        <v>19</v>
      </c>
      <c r="G1300" s="282">
        <v>16</v>
      </c>
      <c r="H1300" s="264">
        <f t="shared" si="132"/>
        <v>48000</v>
      </c>
      <c r="I1300" s="280">
        <v>15</v>
      </c>
      <c r="J1300" s="265">
        <f t="shared" si="133"/>
        <v>1</v>
      </c>
      <c r="K1300" s="267">
        <f t="shared" si="129"/>
        <v>3000</v>
      </c>
      <c r="L1300" s="310">
        <f t="shared" si="134"/>
        <v>6.25E-2</v>
      </c>
      <c r="M1300" s="208" t="s">
        <v>40</v>
      </c>
      <c r="N1300" s="289" t="s">
        <v>39</v>
      </c>
    </row>
    <row r="1301" spans="1:14">
      <c r="A1301" s="284" t="s">
        <v>1400</v>
      </c>
      <c r="B1301" s="159" t="s">
        <v>4542</v>
      </c>
      <c r="C1301" s="290" t="s">
        <v>1119</v>
      </c>
      <c r="D1301" s="292" t="s">
        <v>4413</v>
      </c>
      <c r="E1301" s="281">
        <v>770</v>
      </c>
      <c r="F1301" s="284" t="s">
        <v>19</v>
      </c>
      <c r="G1301" s="282">
        <v>250</v>
      </c>
      <c r="H1301" s="264">
        <f t="shared" si="132"/>
        <v>192500</v>
      </c>
      <c r="I1301" s="280">
        <v>230</v>
      </c>
      <c r="J1301" s="265">
        <f t="shared" si="133"/>
        <v>20</v>
      </c>
      <c r="K1301" s="267">
        <f t="shared" si="129"/>
        <v>15400</v>
      </c>
      <c r="L1301" s="310">
        <f t="shared" si="134"/>
        <v>0.08</v>
      </c>
      <c r="M1301" s="208" t="s">
        <v>40</v>
      </c>
      <c r="N1301" s="289" t="s">
        <v>39</v>
      </c>
    </row>
    <row r="1302" spans="1:14">
      <c r="A1302" s="284" t="s">
        <v>1400</v>
      </c>
      <c r="B1302" s="159" t="s">
        <v>4542</v>
      </c>
      <c r="C1302" s="290" t="s">
        <v>1119</v>
      </c>
      <c r="D1302" s="292" t="s">
        <v>2068</v>
      </c>
      <c r="E1302" s="281">
        <v>510</v>
      </c>
      <c r="F1302" s="284" t="s">
        <v>19</v>
      </c>
      <c r="G1302" s="282">
        <v>80</v>
      </c>
      <c r="H1302" s="264">
        <f t="shared" si="132"/>
        <v>40800</v>
      </c>
      <c r="I1302" s="280">
        <v>75</v>
      </c>
      <c r="J1302" s="265">
        <f t="shared" si="133"/>
        <v>5</v>
      </c>
      <c r="K1302" s="267">
        <f t="shared" si="129"/>
        <v>2550</v>
      </c>
      <c r="L1302" s="310">
        <f t="shared" si="134"/>
        <v>6.25E-2</v>
      </c>
      <c r="M1302" s="208" t="s">
        <v>40</v>
      </c>
      <c r="N1302" s="289" t="s">
        <v>39</v>
      </c>
    </row>
    <row r="1303" spans="1:14">
      <c r="A1303" s="284" t="s">
        <v>1400</v>
      </c>
      <c r="B1303" s="159" t="s">
        <v>4542</v>
      </c>
      <c r="C1303" s="290" t="s">
        <v>1119</v>
      </c>
      <c r="D1303" s="292" t="s">
        <v>2240</v>
      </c>
      <c r="E1303" s="281">
        <v>7000</v>
      </c>
      <c r="F1303" s="284" t="s">
        <v>19</v>
      </c>
      <c r="G1303" s="282">
        <v>20</v>
      </c>
      <c r="H1303" s="264">
        <f t="shared" si="132"/>
        <v>140000</v>
      </c>
      <c r="I1303" s="280">
        <v>14</v>
      </c>
      <c r="J1303" s="265">
        <f t="shared" si="133"/>
        <v>6</v>
      </c>
      <c r="K1303" s="267">
        <f t="shared" si="129"/>
        <v>42000</v>
      </c>
      <c r="L1303" s="310">
        <f t="shared" si="134"/>
        <v>0.3</v>
      </c>
      <c r="M1303" s="208" t="s">
        <v>40</v>
      </c>
      <c r="N1303" s="289" t="s">
        <v>39</v>
      </c>
    </row>
    <row r="1304" spans="1:14">
      <c r="A1304" s="284" t="s">
        <v>1400</v>
      </c>
      <c r="B1304" s="159" t="s">
        <v>4542</v>
      </c>
      <c r="C1304" s="290" t="s">
        <v>1119</v>
      </c>
      <c r="D1304" s="292" t="s">
        <v>4534</v>
      </c>
      <c r="E1304" s="281">
        <v>510</v>
      </c>
      <c r="F1304" s="284" t="s">
        <v>19</v>
      </c>
      <c r="G1304" s="282">
        <v>32</v>
      </c>
      <c r="H1304" s="264">
        <f t="shared" si="132"/>
        <v>16320</v>
      </c>
      <c r="I1304" s="280">
        <v>25</v>
      </c>
      <c r="J1304" s="265">
        <f t="shared" si="133"/>
        <v>7</v>
      </c>
      <c r="K1304" s="267">
        <f t="shared" si="129"/>
        <v>3570</v>
      </c>
      <c r="L1304" s="310">
        <f t="shared" si="134"/>
        <v>0.21875</v>
      </c>
      <c r="M1304" s="208" t="s">
        <v>40</v>
      </c>
      <c r="N1304" s="289" t="s">
        <v>39</v>
      </c>
    </row>
    <row r="1305" spans="1:14">
      <c r="A1305" s="284" t="s">
        <v>1400</v>
      </c>
      <c r="B1305" s="159" t="s">
        <v>4542</v>
      </c>
      <c r="C1305" s="290" t="s">
        <v>1119</v>
      </c>
      <c r="D1305" s="292" t="s">
        <v>4533</v>
      </c>
      <c r="E1305" s="281">
        <v>1020</v>
      </c>
      <c r="F1305" s="284" t="s">
        <v>19</v>
      </c>
      <c r="G1305" s="282">
        <v>140</v>
      </c>
      <c r="H1305" s="264">
        <f t="shared" si="132"/>
        <v>142800</v>
      </c>
      <c r="I1305" s="280">
        <v>135</v>
      </c>
      <c r="J1305" s="265">
        <f t="shared" si="133"/>
        <v>5</v>
      </c>
      <c r="K1305" s="267">
        <f t="shared" si="129"/>
        <v>5100</v>
      </c>
      <c r="L1305" s="310">
        <f t="shared" si="134"/>
        <v>3.5714285714285712E-2</v>
      </c>
      <c r="M1305" s="208" t="s">
        <v>40</v>
      </c>
      <c r="N1305" s="289" t="s">
        <v>39</v>
      </c>
    </row>
    <row r="1306" spans="1:14">
      <c r="A1306" s="284" t="s">
        <v>1400</v>
      </c>
      <c r="B1306" s="159" t="s">
        <v>4542</v>
      </c>
      <c r="C1306" s="290" t="s">
        <v>1119</v>
      </c>
      <c r="D1306" s="292" t="s">
        <v>4532</v>
      </c>
      <c r="E1306" s="281">
        <v>2600</v>
      </c>
      <c r="F1306" s="284" t="s">
        <v>19</v>
      </c>
      <c r="G1306" s="282">
        <v>18</v>
      </c>
      <c r="H1306" s="264">
        <f t="shared" si="132"/>
        <v>46800</v>
      </c>
      <c r="I1306" s="280">
        <v>17</v>
      </c>
      <c r="J1306" s="265">
        <f t="shared" si="133"/>
        <v>1</v>
      </c>
      <c r="K1306" s="267">
        <f t="shared" si="129"/>
        <v>2600</v>
      </c>
      <c r="L1306" s="310">
        <f t="shared" si="134"/>
        <v>5.5555555555555552E-2</v>
      </c>
      <c r="M1306" s="208" t="s">
        <v>40</v>
      </c>
      <c r="N1306" s="289" t="s">
        <v>39</v>
      </c>
    </row>
    <row r="1307" spans="1:14">
      <c r="A1307" s="284" t="s">
        <v>1400</v>
      </c>
      <c r="B1307" s="159" t="s">
        <v>4542</v>
      </c>
      <c r="C1307" s="290" t="s">
        <v>1119</v>
      </c>
      <c r="D1307" s="292" t="s">
        <v>4400</v>
      </c>
      <c r="E1307" s="281">
        <v>1140</v>
      </c>
      <c r="F1307" s="284" t="s">
        <v>19</v>
      </c>
      <c r="G1307" s="282">
        <v>230</v>
      </c>
      <c r="H1307" s="264">
        <f t="shared" si="132"/>
        <v>262200</v>
      </c>
      <c r="I1307" s="280">
        <v>220</v>
      </c>
      <c r="J1307" s="265">
        <f t="shared" si="133"/>
        <v>10</v>
      </c>
      <c r="K1307" s="267">
        <f t="shared" si="129"/>
        <v>11400</v>
      </c>
      <c r="L1307" s="310">
        <f t="shared" si="134"/>
        <v>4.3478260869565216E-2</v>
      </c>
      <c r="M1307" s="208" t="s">
        <v>40</v>
      </c>
      <c r="N1307" s="289" t="s">
        <v>39</v>
      </c>
    </row>
    <row r="1308" spans="1:14">
      <c r="A1308" s="284" t="s">
        <v>1400</v>
      </c>
      <c r="B1308" s="159" t="s">
        <v>4542</v>
      </c>
      <c r="C1308" s="290" t="s">
        <v>1119</v>
      </c>
      <c r="D1308" s="292" t="s">
        <v>1242</v>
      </c>
      <c r="E1308" s="281">
        <v>500</v>
      </c>
      <c r="F1308" s="284" t="s">
        <v>302</v>
      </c>
      <c r="G1308" s="282">
        <v>85</v>
      </c>
      <c r="H1308" s="264">
        <f t="shared" si="132"/>
        <v>42500</v>
      </c>
      <c r="I1308" s="280">
        <v>72</v>
      </c>
      <c r="J1308" s="265">
        <f t="shared" si="133"/>
        <v>13</v>
      </c>
      <c r="K1308" s="267">
        <f t="shared" si="129"/>
        <v>6500</v>
      </c>
      <c r="L1308" s="310">
        <f t="shared" si="134"/>
        <v>0.15294117647058825</v>
      </c>
      <c r="M1308" s="208" t="s">
        <v>40</v>
      </c>
      <c r="N1308" s="289" t="s">
        <v>39</v>
      </c>
    </row>
    <row r="1309" spans="1:14">
      <c r="A1309" s="284" t="s">
        <v>1400</v>
      </c>
      <c r="B1309" s="159" t="s">
        <v>4542</v>
      </c>
      <c r="C1309" s="290" t="s">
        <v>1119</v>
      </c>
      <c r="D1309" s="292" t="s">
        <v>4384</v>
      </c>
      <c r="E1309" s="281">
        <v>110</v>
      </c>
      <c r="F1309" s="284" t="s">
        <v>19</v>
      </c>
      <c r="G1309" s="282">
        <v>45</v>
      </c>
      <c r="H1309" s="264">
        <f t="shared" si="132"/>
        <v>4950</v>
      </c>
      <c r="I1309" s="280">
        <v>40</v>
      </c>
      <c r="J1309" s="265">
        <f t="shared" si="133"/>
        <v>5</v>
      </c>
      <c r="K1309" s="267">
        <f t="shared" si="129"/>
        <v>550</v>
      </c>
      <c r="L1309" s="310">
        <f t="shared" si="134"/>
        <v>0.1111111111111111</v>
      </c>
      <c r="M1309" s="208" t="s">
        <v>40</v>
      </c>
      <c r="N1309" s="289" t="s">
        <v>39</v>
      </c>
    </row>
    <row r="1310" spans="1:14">
      <c r="A1310" s="284" t="s">
        <v>1400</v>
      </c>
      <c r="B1310" s="159" t="s">
        <v>4542</v>
      </c>
      <c r="C1310" s="290" t="s">
        <v>1119</v>
      </c>
      <c r="D1310" s="292" t="s">
        <v>4543</v>
      </c>
      <c r="E1310" s="281">
        <v>1500</v>
      </c>
      <c r="F1310" s="284" t="s">
        <v>19</v>
      </c>
      <c r="G1310" s="282">
        <v>15</v>
      </c>
      <c r="H1310" s="264">
        <f t="shared" si="132"/>
        <v>22500</v>
      </c>
      <c r="I1310" s="280">
        <v>14</v>
      </c>
      <c r="J1310" s="265">
        <f t="shared" si="133"/>
        <v>1</v>
      </c>
      <c r="K1310" s="267">
        <f t="shared" si="129"/>
        <v>1500</v>
      </c>
      <c r="L1310" s="310">
        <f t="shared" si="134"/>
        <v>6.6666666666666666E-2</v>
      </c>
      <c r="M1310" s="208" t="s">
        <v>40</v>
      </c>
      <c r="N1310" s="289" t="s">
        <v>39</v>
      </c>
    </row>
    <row r="1311" spans="1:14">
      <c r="A1311" s="284" t="s">
        <v>1400</v>
      </c>
      <c r="B1311" s="159" t="s">
        <v>4542</v>
      </c>
      <c r="C1311" s="290" t="s">
        <v>1119</v>
      </c>
      <c r="D1311" s="292" t="s">
        <v>4383</v>
      </c>
      <c r="E1311" s="281">
        <v>110</v>
      </c>
      <c r="F1311" s="284" t="s">
        <v>19</v>
      </c>
      <c r="G1311" s="282">
        <v>250</v>
      </c>
      <c r="H1311" s="264">
        <f t="shared" si="132"/>
        <v>27500</v>
      </c>
      <c r="I1311" s="280">
        <v>230</v>
      </c>
      <c r="J1311" s="265">
        <f t="shared" si="133"/>
        <v>20</v>
      </c>
      <c r="K1311" s="267">
        <f t="shared" si="129"/>
        <v>2200</v>
      </c>
      <c r="L1311" s="310">
        <f t="shared" si="134"/>
        <v>0.08</v>
      </c>
      <c r="M1311" s="208" t="s">
        <v>40</v>
      </c>
      <c r="N1311" s="289" t="s">
        <v>39</v>
      </c>
    </row>
    <row r="1312" spans="1:14">
      <c r="A1312" s="284" t="s">
        <v>1400</v>
      </c>
      <c r="B1312" s="159" t="s">
        <v>4542</v>
      </c>
      <c r="C1312" s="290" t="s">
        <v>1119</v>
      </c>
      <c r="D1312" s="292" t="s">
        <v>4535</v>
      </c>
      <c r="E1312" s="281">
        <v>150</v>
      </c>
      <c r="F1312" s="284" t="s">
        <v>302</v>
      </c>
      <c r="G1312" s="282">
        <v>260</v>
      </c>
      <c r="H1312" s="264">
        <f t="shared" si="132"/>
        <v>39000</v>
      </c>
      <c r="I1312" s="280">
        <v>250</v>
      </c>
      <c r="J1312" s="265">
        <f t="shared" si="133"/>
        <v>10</v>
      </c>
      <c r="K1312" s="267">
        <f t="shared" si="129"/>
        <v>1500</v>
      </c>
      <c r="L1312" s="310">
        <f t="shared" si="134"/>
        <v>3.8461538461538464E-2</v>
      </c>
      <c r="M1312" s="208" t="s">
        <v>40</v>
      </c>
      <c r="N1312" s="289" t="s">
        <v>39</v>
      </c>
    </row>
    <row r="1313" spans="1:14">
      <c r="A1313" s="284" t="s">
        <v>1400</v>
      </c>
      <c r="B1313" s="159" t="s">
        <v>4542</v>
      </c>
      <c r="C1313" s="290" t="s">
        <v>1119</v>
      </c>
      <c r="D1313" s="292" t="s">
        <v>4391</v>
      </c>
      <c r="E1313" s="281">
        <v>2400</v>
      </c>
      <c r="F1313" s="284" t="s">
        <v>19</v>
      </c>
      <c r="G1313" s="282">
        <v>40</v>
      </c>
      <c r="H1313" s="264">
        <f t="shared" si="132"/>
        <v>96000</v>
      </c>
      <c r="I1313" s="280">
        <v>38</v>
      </c>
      <c r="J1313" s="265">
        <f t="shared" si="133"/>
        <v>2</v>
      </c>
      <c r="K1313" s="267">
        <f t="shared" si="129"/>
        <v>4800</v>
      </c>
      <c r="L1313" s="310">
        <f t="shared" si="134"/>
        <v>0.05</v>
      </c>
      <c r="M1313" s="208" t="s">
        <v>40</v>
      </c>
      <c r="N1313" s="289" t="s">
        <v>39</v>
      </c>
    </row>
    <row r="1314" spans="1:14">
      <c r="A1314" s="284" t="s">
        <v>1400</v>
      </c>
      <c r="B1314" s="159" t="s">
        <v>4542</v>
      </c>
      <c r="C1314" s="290" t="s">
        <v>1119</v>
      </c>
      <c r="D1314" s="292" t="s">
        <v>4544</v>
      </c>
      <c r="E1314" s="281">
        <v>120</v>
      </c>
      <c r="F1314" s="284" t="s">
        <v>19</v>
      </c>
      <c r="G1314" s="282">
        <v>150</v>
      </c>
      <c r="H1314" s="264">
        <f t="shared" si="132"/>
        <v>18000</v>
      </c>
      <c r="I1314" s="280">
        <v>100</v>
      </c>
      <c r="J1314" s="265">
        <f t="shared" si="133"/>
        <v>50</v>
      </c>
      <c r="K1314" s="267">
        <f t="shared" si="129"/>
        <v>6000</v>
      </c>
      <c r="L1314" s="310">
        <f t="shared" si="134"/>
        <v>0.33333333333333331</v>
      </c>
      <c r="M1314" s="208" t="s">
        <v>40</v>
      </c>
      <c r="N1314" s="289" t="s">
        <v>39</v>
      </c>
    </row>
    <row r="1315" spans="1:14">
      <c r="A1315" s="284" t="s">
        <v>1400</v>
      </c>
      <c r="B1315" s="159" t="s">
        <v>4542</v>
      </c>
      <c r="C1315" s="290" t="s">
        <v>1119</v>
      </c>
      <c r="D1315" s="292" t="s">
        <v>4536</v>
      </c>
      <c r="E1315" s="281">
        <v>810</v>
      </c>
      <c r="F1315" s="284" t="s">
        <v>19</v>
      </c>
      <c r="G1315" s="282">
        <v>245</v>
      </c>
      <c r="H1315" s="264">
        <f t="shared" si="132"/>
        <v>198450</v>
      </c>
      <c r="I1315" s="280">
        <v>240</v>
      </c>
      <c r="J1315" s="265">
        <f t="shared" si="133"/>
        <v>5</v>
      </c>
      <c r="K1315" s="267">
        <f t="shared" si="129"/>
        <v>4050</v>
      </c>
      <c r="L1315" s="310">
        <f t="shared" si="134"/>
        <v>2.0408163265306121E-2</v>
      </c>
      <c r="M1315" s="208" t="s">
        <v>40</v>
      </c>
      <c r="N1315" s="289" t="s">
        <v>39</v>
      </c>
    </row>
    <row r="1316" spans="1:14">
      <c r="A1316" s="284" t="s">
        <v>1400</v>
      </c>
      <c r="B1316" s="159" t="s">
        <v>4542</v>
      </c>
      <c r="C1316" s="290" t="s">
        <v>1119</v>
      </c>
      <c r="D1316" s="292" t="s">
        <v>4545</v>
      </c>
      <c r="E1316" s="281">
        <v>200</v>
      </c>
      <c r="F1316" s="284" t="s">
        <v>19</v>
      </c>
      <c r="G1316" s="282">
        <v>45</v>
      </c>
      <c r="H1316" s="264">
        <f t="shared" si="132"/>
        <v>9000</v>
      </c>
      <c r="I1316" s="280">
        <v>43</v>
      </c>
      <c r="J1316" s="265">
        <f t="shared" si="133"/>
        <v>2</v>
      </c>
      <c r="K1316" s="267">
        <f t="shared" si="129"/>
        <v>400</v>
      </c>
      <c r="L1316" s="310">
        <f t="shared" si="134"/>
        <v>4.4444444444444446E-2</v>
      </c>
      <c r="M1316" s="208" t="s">
        <v>40</v>
      </c>
      <c r="N1316" s="289" t="s">
        <v>39</v>
      </c>
    </row>
    <row r="1317" spans="1:14">
      <c r="A1317" s="284" t="s">
        <v>1400</v>
      </c>
      <c r="B1317" s="159" t="s">
        <v>4542</v>
      </c>
      <c r="C1317" s="290" t="s">
        <v>1119</v>
      </c>
      <c r="D1317" s="292" t="s">
        <v>4546</v>
      </c>
      <c r="E1317" s="281">
        <v>60</v>
      </c>
      <c r="F1317" s="284" t="s">
        <v>19</v>
      </c>
      <c r="G1317" s="282">
        <v>800</v>
      </c>
      <c r="H1317" s="264">
        <f t="shared" si="132"/>
        <v>48000</v>
      </c>
      <c r="I1317" s="280">
        <v>780</v>
      </c>
      <c r="J1317" s="265">
        <f t="shared" si="133"/>
        <v>20</v>
      </c>
      <c r="K1317" s="267">
        <f t="shared" si="129"/>
        <v>1200</v>
      </c>
      <c r="L1317" s="310">
        <f t="shared" si="134"/>
        <v>2.5000000000000001E-2</v>
      </c>
      <c r="M1317" s="208" t="s">
        <v>40</v>
      </c>
      <c r="N1317" s="289" t="s">
        <v>39</v>
      </c>
    </row>
    <row r="1318" spans="1:14">
      <c r="A1318" s="284" t="s">
        <v>1400</v>
      </c>
      <c r="B1318" s="159" t="s">
        <v>4547</v>
      </c>
      <c r="C1318" s="290" t="s">
        <v>27</v>
      </c>
      <c r="D1318" s="292" t="s">
        <v>1147</v>
      </c>
      <c r="E1318" s="281">
        <v>100</v>
      </c>
      <c r="F1318" s="284" t="s">
        <v>615</v>
      </c>
      <c r="G1318" s="282">
        <v>205.11</v>
      </c>
      <c r="H1318" s="264">
        <f t="shared" si="132"/>
        <v>20511</v>
      </c>
      <c r="I1318" s="280">
        <v>145</v>
      </c>
      <c r="J1318" s="265">
        <f t="shared" si="133"/>
        <v>60.110000000000014</v>
      </c>
      <c r="K1318" s="267">
        <f t="shared" si="129"/>
        <v>6011.0000000000018</v>
      </c>
      <c r="L1318" s="310">
        <f t="shared" si="134"/>
        <v>0.29306225927551077</v>
      </c>
      <c r="M1318" s="208" t="s">
        <v>22</v>
      </c>
      <c r="N1318" s="289" t="s">
        <v>105</v>
      </c>
    </row>
    <row r="1319" spans="1:14">
      <c r="A1319" s="284" t="s">
        <v>1400</v>
      </c>
      <c r="B1319" s="159" t="s">
        <v>4548</v>
      </c>
      <c r="C1319" s="290" t="s">
        <v>1042</v>
      </c>
      <c r="D1319" s="292" t="s">
        <v>711</v>
      </c>
      <c r="E1319" s="281">
        <v>4741</v>
      </c>
      <c r="F1319" s="284" t="s">
        <v>37</v>
      </c>
      <c r="G1319" s="282">
        <v>395</v>
      </c>
      <c r="H1319" s="264">
        <f t="shared" si="132"/>
        <v>1872695</v>
      </c>
      <c r="I1319" s="280">
        <v>393</v>
      </c>
      <c r="J1319" s="265">
        <f t="shared" si="133"/>
        <v>2</v>
      </c>
      <c r="K1319" s="267">
        <f t="shared" si="129"/>
        <v>9482</v>
      </c>
      <c r="L1319" s="310">
        <f t="shared" si="134"/>
        <v>5.0632911392405064E-3</v>
      </c>
      <c r="M1319" s="208" t="s">
        <v>40</v>
      </c>
      <c r="N1319" s="289" t="s">
        <v>105</v>
      </c>
    </row>
    <row r="1320" spans="1:14">
      <c r="A1320" s="284" t="s">
        <v>1400</v>
      </c>
      <c r="B1320" s="159" t="s">
        <v>4549</v>
      </c>
      <c r="C1320" s="290" t="s">
        <v>1658</v>
      </c>
      <c r="D1320" s="292" t="s">
        <v>4550</v>
      </c>
      <c r="E1320" s="281">
        <v>547</v>
      </c>
      <c r="F1320" s="284" t="s">
        <v>302</v>
      </c>
      <c r="G1320" s="282">
        <v>1276.1300000000001</v>
      </c>
      <c r="H1320" s="264">
        <f t="shared" si="132"/>
        <v>698043.1100000001</v>
      </c>
      <c r="I1320" s="280">
        <v>1243.2</v>
      </c>
      <c r="J1320" s="265">
        <f t="shared" si="133"/>
        <v>32.930000000000064</v>
      </c>
      <c r="K1320" s="267">
        <f t="shared" si="129"/>
        <v>18012.710000000036</v>
      </c>
      <c r="L1320" s="310">
        <f t="shared" si="134"/>
        <v>2.5804581037982072E-2</v>
      </c>
      <c r="M1320" s="208" t="s">
        <v>40</v>
      </c>
      <c r="N1320" s="289" t="s">
        <v>105</v>
      </c>
    </row>
    <row r="1321" spans="1:14">
      <c r="A1321" s="284" t="s">
        <v>1400</v>
      </c>
      <c r="B1321" s="159" t="s">
        <v>4551</v>
      </c>
      <c r="C1321" s="290" t="s">
        <v>4552</v>
      </c>
      <c r="D1321" s="292" t="s">
        <v>4553</v>
      </c>
      <c r="E1321" s="281">
        <v>1</v>
      </c>
      <c r="F1321" s="284" t="s">
        <v>285</v>
      </c>
      <c r="G1321" s="282">
        <v>332000</v>
      </c>
      <c r="H1321" s="264">
        <f t="shared" si="132"/>
        <v>332000</v>
      </c>
      <c r="I1321" s="280">
        <v>309000</v>
      </c>
      <c r="J1321" s="265">
        <f t="shared" si="133"/>
        <v>23000</v>
      </c>
      <c r="K1321" s="267">
        <f t="shared" si="129"/>
        <v>23000</v>
      </c>
      <c r="L1321" s="310">
        <f t="shared" si="134"/>
        <v>6.9277108433734941E-2</v>
      </c>
      <c r="M1321" s="208" t="s">
        <v>40</v>
      </c>
      <c r="N1321" s="289" t="s">
        <v>105</v>
      </c>
    </row>
    <row r="1322" spans="1:14">
      <c r="A1322" s="284" t="s">
        <v>1400</v>
      </c>
      <c r="B1322" s="159" t="s">
        <v>4554</v>
      </c>
      <c r="C1322" s="290" t="s">
        <v>2167</v>
      </c>
      <c r="D1322" s="292" t="s">
        <v>5847</v>
      </c>
      <c r="E1322" s="281">
        <v>550</v>
      </c>
      <c r="F1322" s="284" t="s">
        <v>19</v>
      </c>
      <c r="G1322" s="282">
        <v>1534.5</v>
      </c>
      <c r="H1322" s="264">
        <f t="shared" si="132"/>
        <v>843975</v>
      </c>
      <c r="I1322" s="280">
        <v>1455.3</v>
      </c>
      <c r="J1322" s="265">
        <f t="shared" si="133"/>
        <v>79.200000000000045</v>
      </c>
      <c r="K1322" s="267">
        <f t="shared" si="129"/>
        <v>43560.000000000022</v>
      </c>
      <c r="L1322" s="310">
        <f t="shared" si="134"/>
        <v>5.1612903225806479E-2</v>
      </c>
      <c r="M1322" s="208" t="s">
        <v>40</v>
      </c>
      <c r="N1322" s="289" t="s">
        <v>105</v>
      </c>
    </row>
    <row r="1323" spans="1:14">
      <c r="A1323" s="284" t="s">
        <v>1400</v>
      </c>
      <c r="B1323" s="159" t="s">
        <v>4556</v>
      </c>
      <c r="C1323" s="290" t="s">
        <v>329</v>
      </c>
      <c r="D1323" s="292" t="s">
        <v>379</v>
      </c>
      <c r="E1323" s="281">
        <v>40</v>
      </c>
      <c r="F1323" s="284" t="s">
        <v>331</v>
      </c>
      <c r="G1323" s="282">
        <v>4285</v>
      </c>
      <c r="H1323" s="264">
        <f t="shared" si="132"/>
        <v>171400</v>
      </c>
      <c r="I1323" s="280">
        <v>4050</v>
      </c>
      <c r="J1323" s="265">
        <f t="shared" si="133"/>
        <v>235</v>
      </c>
      <c r="K1323" s="267">
        <f t="shared" si="129"/>
        <v>9400</v>
      </c>
      <c r="L1323" s="310">
        <f t="shared" si="134"/>
        <v>5.4842473745624273E-2</v>
      </c>
      <c r="M1323" s="208" t="s">
        <v>22</v>
      </c>
      <c r="N1323" s="289" t="s">
        <v>39</v>
      </c>
    </row>
    <row r="1324" spans="1:14">
      <c r="A1324" s="284" t="s">
        <v>1400</v>
      </c>
      <c r="B1324" s="159" t="s">
        <v>4557</v>
      </c>
      <c r="C1324" s="290" t="s">
        <v>1119</v>
      </c>
      <c r="D1324" s="292" t="s">
        <v>4486</v>
      </c>
      <c r="E1324" s="281">
        <v>20</v>
      </c>
      <c r="F1324" s="284" t="s">
        <v>19</v>
      </c>
      <c r="G1324" s="282">
        <v>600</v>
      </c>
      <c r="H1324" s="264">
        <f t="shared" si="132"/>
        <v>12000</v>
      </c>
      <c r="I1324" s="280">
        <v>580</v>
      </c>
      <c r="J1324" s="265">
        <f t="shared" si="133"/>
        <v>20</v>
      </c>
      <c r="K1324" s="267">
        <f t="shared" si="129"/>
        <v>400</v>
      </c>
      <c r="L1324" s="310">
        <f t="shared" si="134"/>
        <v>3.3333333333333333E-2</v>
      </c>
      <c r="M1324" s="208" t="s">
        <v>40</v>
      </c>
      <c r="N1324" s="289" t="s">
        <v>39</v>
      </c>
    </row>
    <row r="1325" spans="1:14">
      <c r="A1325" s="284" t="s">
        <v>1400</v>
      </c>
      <c r="B1325" s="159" t="s">
        <v>4558</v>
      </c>
      <c r="C1325" s="290" t="s">
        <v>4334</v>
      </c>
      <c r="D1325" s="292" t="s">
        <v>4559</v>
      </c>
      <c r="E1325" s="281">
        <v>2200</v>
      </c>
      <c r="F1325" s="284" t="s">
        <v>19</v>
      </c>
      <c r="G1325" s="282">
        <f>121*38</f>
        <v>4598</v>
      </c>
      <c r="H1325" s="264">
        <f t="shared" si="132"/>
        <v>10115600</v>
      </c>
      <c r="I1325" s="280">
        <f>115*38</f>
        <v>4370</v>
      </c>
      <c r="J1325" s="265">
        <f t="shared" si="133"/>
        <v>228</v>
      </c>
      <c r="K1325" s="267">
        <f t="shared" si="129"/>
        <v>501600</v>
      </c>
      <c r="L1325" s="310">
        <f t="shared" si="134"/>
        <v>4.9586776859504134E-2</v>
      </c>
      <c r="M1325" s="208" t="s">
        <v>40</v>
      </c>
      <c r="N1325" s="289" t="s">
        <v>39</v>
      </c>
    </row>
    <row r="1326" spans="1:14">
      <c r="A1326" s="284" t="s">
        <v>1400</v>
      </c>
      <c r="B1326" s="159" t="s">
        <v>4558</v>
      </c>
      <c r="C1326" s="290" t="s">
        <v>4334</v>
      </c>
      <c r="D1326" s="292" t="s">
        <v>4559</v>
      </c>
      <c r="E1326" s="281">
        <v>1</v>
      </c>
      <c r="F1326" s="284" t="s">
        <v>285</v>
      </c>
      <c r="G1326" s="282"/>
      <c r="H1326" s="264">
        <f t="shared" si="132"/>
        <v>0</v>
      </c>
      <c r="I1326" s="280"/>
      <c r="J1326" s="265">
        <f t="shared" si="133"/>
        <v>0</v>
      </c>
      <c r="K1326" s="267">
        <v>35826.083333333336</v>
      </c>
      <c r="L1326" s="310" t="e">
        <f t="shared" si="134"/>
        <v>#DIV/0!</v>
      </c>
      <c r="M1326" s="208" t="s">
        <v>30</v>
      </c>
      <c r="N1326" s="289" t="s">
        <v>39</v>
      </c>
    </row>
    <row r="1327" spans="1:14">
      <c r="A1327" s="284" t="s">
        <v>1400</v>
      </c>
      <c r="B1327" s="159" t="s">
        <v>4560</v>
      </c>
      <c r="C1327" s="290" t="s">
        <v>4561</v>
      </c>
      <c r="D1327" s="292" t="s">
        <v>982</v>
      </c>
      <c r="E1327" s="281">
        <v>9000</v>
      </c>
      <c r="F1327" s="284" t="s">
        <v>19</v>
      </c>
      <c r="G1327" s="282">
        <v>12</v>
      </c>
      <c r="H1327" s="264">
        <f t="shared" si="132"/>
        <v>108000</v>
      </c>
      <c r="I1327" s="280">
        <v>11</v>
      </c>
      <c r="J1327" s="265">
        <f t="shared" si="133"/>
        <v>1</v>
      </c>
      <c r="K1327" s="267">
        <f t="shared" si="129"/>
        <v>9000</v>
      </c>
      <c r="L1327" s="310">
        <f t="shared" si="134"/>
        <v>8.3333333333333329E-2</v>
      </c>
      <c r="M1327" s="208" t="s">
        <v>22</v>
      </c>
      <c r="N1327" s="289" t="s">
        <v>105</v>
      </c>
    </row>
    <row r="1328" spans="1:14">
      <c r="A1328" s="284" t="s">
        <v>1400</v>
      </c>
      <c r="B1328" s="159" t="s">
        <v>4562</v>
      </c>
      <c r="C1328" s="290" t="s">
        <v>94</v>
      </c>
      <c r="D1328" s="292" t="s">
        <v>1316</v>
      </c>
      <c r="E1328" s="281">
        <v>300</v>
      </c>
      <c r="F1328" s="284" t="s">
        <v>19</v>
      </c>
      <c r="G1328" s="282">
        <v>15.5</v>
      </c>
      <c r="H1328" s="264">
        <f t="shared" si="132"/>
        <v>4650</v>
      </c>
      <c r="I1328" s="280">
        <v>14.76</v>
      </c>
      <c r="J1328" s="265">
        <f t="shared" si="133"/>
        <v>0.74000000000000021</v>
      </c>
      <c r="K1328" s="267">
        <f t="shared" si="129"/>
        <v>222.00000000000006</v>
      </c>
      <c r="L1328" s="310">
        <f t="shared" si="134"/>
        <v>4.7741935483870984E-2</v>
      </c>
      <c r="M1328" s="208" t="s">
        <v>22</v>
      </c>
      <c r="N1328" s="289" t="s">
        <v>105</v>
      </c>
    </row>
    <row r="1329" spans="1:14">
      <c r="A1329" s="284" t="s">
        <v>1400</v>
      </c>
      <c r="B1329" s="159" t="s">
        <v>4562</v>
      </c>
      <c r="C1329" s="290" t="s">
        <v>94</v>
      </c>
      <c r="D1329" s="292" t="s">
        <v>457</v>
      </c>
      <c r="E1329" s="281">
        <v>100</v>
      </c>
      <c r="F1329" s="284" t="s">
        <v>19</v>
      </c>
      <c r="G1329" s="282">
        <v>5.25</v>
      </c>
      <c r="H1329" s="264">
        <f t="shared" si="132"/>
        <v>525</v>
      </c>
      <c r="I1329" s="280">
        <v>5.0999999999999996</v>
      </c>
      <c r="J1329" s="265">
        <f t="shared" si="133"/>
        <v>0.15000000000000036</v>
      </c>
      <c r="K1329" s="267">
        <f t="shared" si="129"/>
        <v>15.000000000000036</v>
      </c>
      <c r="L1329" s="310">
        <f t="shared" si="134"/>
        <v>2.857142857142864E-2</v>
      </c>
      <c r="M1329" s="208" t="s">
        <v>22</v>
      </c>
      <c r="N1329" s="289" t="s">
        <v>105</v>
      </c>
    </row>
    <row r="1330" spans="1:14">
      <c r="A1330" s="284" t="s">
        <v>1400</v>
      </c>
      <c r="B1330" s="159" t="s">
        <v>4562</v>
      </c>
      <c r="C1330" s="290" t="s">
        <v>94</v>
      </c>
      <c r="D1330" s="292" t="s">
        <v>458</v>
      </c>
      <c r="E1330" s="281">
        <v>200</v>
      </c>
      <c r="F1330" s="284" t="s">
        <v>19</v>
      </c>
      <c r="G1330" s="282">
        <v>9.5</v>
      </c>
      <c r="H1330" s="264">
        <f t="shared" si="132"/>
        <v>1900</v>
      </c>
      <c r="I1330" s="280">
        <v>9.35</v>
      </c>
      <c r="J1330" s="265">
        <f t="shared" si="133"/>
        <v>0.15000000000000036</v>
      </c>
      <c r="K1330" s="267">
        <f t="shared" si="129"/>
        <v>30.000000000000071</v>
      </c>
      <c r="L1330" s="310">
        <f t="shared" si="134"/>
        <v>1.5789473684210565E-2</v>
      </c>
      <c r="M1330" s="208" t="s">
        <v>22</v>
      </c>
      <c r="N1330" s="289" t="s">
        <v>105</v>
      </c>
    </row>
    <row r="1331" spans="1:14">
      <c r="A1331" s="284" t="s">
        <v>1400</v>
      </c>
      <c r="B1331" s="159" t="s">
        <v>4563</v>
      </c>
      <c r="C1331" s="290" t="s">
        <v>27</v>
      </c>
      <c r="D1331" s="292" t="s">
        <v>550</v>
      </c>
      <c r="E1331" s="281">
        <v>4500</v>
      </c>
      <c r="F1331" s="284" t="s">
        <v>19</v>
      </c>
      <c r="G1331" s="282">
        <v>47.56</v>
      </c>
      <c r="H1331" s="264">
        <f t="shared" si="132"/>
        <v>214020</v>
      </c>
      <c r="I1331" s="280">
        <v>46.5</v>
      </c>
      <c r="J1331" s="265">
        <f t="shared" si="133"/>
        <v>1.0600000000000023</v>
      </c>
      <c r="K1331" s="267">
        <f t="shared" si="129"/>
        <v>4770.00000000001</v>
      </c>
      <c r="L1331" s="310">
        <f t="shared" si="134"/>
        <v>2.2287636669470191E-2</v>
      </c>
      <c r="M1331" s="208" t="s">
        <v>22</v>
      </c>
      <c r="N1331" s="289" t="s">
        <v>105</v>
      </c>
    </row>
    <row r="1332" spans="1:14">
      <c r="A1332" s="284" t="s">
        <v>1400</v>
      </c>
      <c r="B1332" s="159" t="s">
        <v>4564</v>
      </c>
      <c r="C1332" s="290" t="s">
        <v>166</v>
      </c>
      <c r="D1332" s="292" t="s">
        <v>3062</v>
      </c>
      <c r="E1332" s="281">
        <v>21880</v>
      </c>
      <c r="F1332" s="284" t="s">
        <v>37</v>
      </c>
      <c r="G1332" s="282">
        <v>29.7</v>
      </c>
      <c r="H1332" s="264">
        <f t="shared" si="132"/>
        <v>649836</v>
      </c>
      <c r="I1332" s="280">
        <v>25.74</v>
      </c>
      <c r="J1332" s="265">
        <f t="shared" si="133"/>
        <v>3.9600000000000009</v>
      </c>
      <c r="K1332" s="267">
        <f t="shared" si="129"/>
        <v>86644.800000000017</v>
      </c>
      <c r="L1332" s="310">
        <f t="shared" si="134"/>
        <v>0.13333333333333336</v>
      </c>
      <c r="M1332" s="208" t="s">
        <v>22</v>
      </c>
      <c r="N1332" s="289" t="s">
        <v>105</v>
      </c>
    </row>
    <row r="1333" spans="1:14">
      <c r="A1333" s="284" t="s">
        <v>1400</v>
      </c>
      <c r="B1333" s="159" t="s">
        <v>4565</v>
      </c>
      <c r="C1333" s="290" t="s">
        <v>270</v>
      </c>
      <c r="D1333" s="292" t="s">
        <v>73</v>
      </c>
      <c r="E1333" s="281">
        <v>1948.5</v>
      </c>
      <c r="F1333" s="284" t="s">
        <v>37</v>
      </c>
      <c r="G1333" s="282">
        <v>430</v>
      </c>
      <c r="H1333" s="264">
        <f t="shared" si="132"/>
        <v>837855</v>
      </c>
      <c r="I1333" s="280">
        <v>408</v>
      </c>
      <c r="J1333" s="265">
        <f t="shared" si="133"/>
        <v>22</v>
      </c>
      <c r="K1333" s="267">
        <f t="shared" si="129"/>
        <v>42867</v>
      </c>
      <c r="L1333" s="310">
        <f t="shared" si="134"/>
        <v>5.1162790697674418E-2</v>
      </c>
      <c r="M1333" s="208" t="s">
        <v>22</v>
      </c>
      <c r="N1333" s="289" t="s">
        <v>105</v>
      </c>
    </row>
    <row r="1334" spans="1:14">
      <c r="A1334" s="284" t="s">
        <v>1400</v>
      </c>
      <c r="B1334" s="159" t="s">
        <v>4566</v>
      </c>
      <c r="C1334" s="290" t="s">
        <v>166</v>
      </c>
      <c r="D1334" s="292" t="s">
        <v>3062</v>
      </c>
      <c r="E1334" s="281">
        <v>20590</v>
      </c>
      <c r="F1334" s="284" t="s">
        <v>37</v>
      </c>
      <c r="G1334" s="282">
        <v>29.7</v>
      </c>
      <c r="H1334" s="264">
        <f t="shared" si="132"/>
        <v>611523</v>
      </c>
      <c r="I1334" s="280">
        <v>25.74</v>
      </c>
      <c r="J1334" s="265">
        <f t="shared" si="133"/>
        <v>3.9600000000000009</v>
      </c>
      <c r="K1334" s="267">
        <f t="shared" si="129"/>
        <v>81536.400000000023</v>
      </c>
      <c r="L1334" s="310">
        <f t="shared" si="134"/>
        <v>0.13333333333333336</v>
      </c>
      <c r="M1334" s="208" t="s">
        <v>22</v>
      </c>
      <c r="N1334" s="289" t="s">
        <v>105</v>
      </c>
    </row>
    <row r="1335" spans="1:14">
      <c r="A1335" s="284" t="s">
        <v>1400</v>
      </c>
      <c r="B1335" s="159" t="s">
        <v>4567</v>
      </c>
      <c r="C1335" s="290" t="s">
        <v>4568</v>
      </c>
      <c r="D1335" s="292" t="s">
        <v>3880</v>
      </c>
      <c r="E1335" s="281">
        <v>200</v>
      </c>
      <c r="F1335" s="284" t="s">
        <v>1368</v>
      </c>
      <c r="G1335" s="282">
        <v>2630</v>
      </c>
      <c r="H1335" s="264">
        <f t="shared" si="132"/>
        <v>526000</v>
      </c>
      <c r="I1335" s="280">
        <v>2600</v>
      </c>
      <c r="J1335" s="265">
        <f t="shared" si="133"/>
        <v>30</v>
      </c>
      <c r="K1335" s="267">
        <f t="shared" si="129"/>
        <v>6000</v>
      </c>
      <c r="L1335" s="310">
        <f t="shared" si="134"/>
        <v>1.1406844106463879E-2</v>
      </c>
      <c r="M1335" s="208" t="s">
        <v>40</v>
      </c>
      <c r="N1335" s="289" t="s">
        <v>39</v>
      </c>
    </row>
    <row r="1336" spans="1:14">
      <c r="A1336" s="284" t="s">
        <v>1400</v>
      </c>
      <c r="B1336" s="159" t="s">
        <v>4569</v>
      </c>
      <c r="C1336" s="290" t="s">
        <v>4570</v>
      </c>
      <c r="D1336" s="292" t="s">
        <v>1207</v>
      </c>
      <c r="E1336" s="281">
        <v>1300</v>
      </c>
      <c r="F1336" s="284" t="s">
        <v>19</v>
      </c>
      <c r="G1336" s="282">
        <v>3.15</v>
      </c>
      <c r="H1336" s="264">
        <f t="shared" si="132"/>
        <v>4095</v>
      </c>
      <c r="I1336" s="280">
        <v>2.85</v>
      </c>
      <c r="J1336" s="265">
        <f t="shared" si="133"/>
        <v>0.29999999999999982</v>
      </c>
      <c r="K1336" s="267">
        <f t="shared" si="129"/>
        <v>389.99999999999977</v>
      </c>
      <c r="L1336" s="310">
        <f t="shared" si="134"/>
        <v>9.5238095238095191E-2</v>
      </c>
      <c r="M1336" s="208" t="s">
        <v>40</v>
      </c>
      <c r="N1336" s="289" t="s">
        <v>39</v>
      </c>
    </row>
    <row r="1337" spans="1:14">
      <c r="A1337" s="284" t="s">
        <v>1400</v>
      </c>
      <c r="B1337" s="159" t="s">
        <v>4569</v>
      </c>
      <c r="C1337" s="290" t="s">
        <v>4570</v>
      </c>
      <c r="D1337" s="292" t="s">
        <v>1208</v>
      </c>
      <c r="E1337" s="281">
        <v>3800</v>
      </c>
      <c r="F1337" s="284" t="s">
        <v>19</v>
      </c>
      <c r="G1337" s="282">
        <v>65</v>
      </c>
      <c r="H1337" s="264">
        <f t="shared" si="132"/>
        <v>247000</v>
      </c>
      <c r="I1337" s="280">
        <v>60</v>
      </c>
      <c r="J1337" s="265">
        <f t="shared" si="133"/>
        <v>5</v>
      </c>
      <c r="K1337" s="267">
        <f t="shared" ref="K1337:K1400" si="135">J1337*E1337</f>
        <v>19000</v>
      </c>
      <c r="L1337" s="310">
        <f t="shared" si="134"/>
        <v>7.6923076923076927E-2</v>
      </c>
      <c r="M1337" s="208" t="s">
        <v>40</v>
      </c>
      <c r="N1337" s="289" t="s">
        <v>39</v>
      </c>
    </row>
    <row r="1338" spans="1:14">
      <c r="A1338" s="284" t="s">
        <v>1400</v>
      </c>
      <c r="B1338" s="159" t="s">
        <v>4571</v>
      </c>
      <c r="C1338" s="290" t="s">
        <v>4570</v>
      </c>
      <c r="D1338" s="292" t="s">
        <v>1211</v>
      </c>
      <c r="E1338" s="281">
        <v>4400</v>
      </c>
      <c r="F1338" s="284" t="s">
        <v>19</v>
      </c>
      <c r="G1338" s="282">
        <v>9</v>
      </c>
      <c r="H1338" s="264">
        <f t="shared" si="132"/>
        <v>39600</v>
      </c>
      <c r="I1338" s="280">
        <v>8.3000000000000007</v>
      </c>
      <c r="J1338" s="265">
        <f t="shared" si="133"/>
        <v>0.69999999999999929</v>
      </c>
      <c r="K1338" s="267">
        <f t="shared" si="135"/>
        <v>3079.9999999999968</v>
      </c>
      <c r="L1338" s="310">
        <f t="shared" si="134"/>
        <v>7.7777777777777696E-2</v>
      </c>
      <c r="M1338" s="208" t="s">
        <v>40</v>
      </c>
      <c r="N1338" s="289" t="s">
        <v>39</v>
      </c>
    </row>
    <row r="1339" spans="1:14">
      <c r="A1339" s="284" t="s">
        <v>1400</v>
      </c>
      <c r="B1339" s="159" t="s">
        <v>4571</v>
      </c>
      <c r="C1339" s="290" t="s">
        <v>4570</v>
      </c>
      <c r="D1339" s="292" t="s">
        <v>1210</v>
      </c>
      <c r="E1339" s="281">
        <v>7500</v>
      </c>
      <c r="F1339" s="284" t="s">
        <v>19</v>
      </c>
      <c r="G1339" s="282">
        <v>6.75</v>
      </c>
      <c r="H1339" s="264">
        <f t="shared" si="132"/>
        <v>50625</v>
      </c>
      <c r="I1339" s="280">
        <v>6.2</v>
      </c>
      <c r="J1339" s="265">
        <f t="shared" si="133"/>
        <v>0.54999999999999982</v>
      </c>
      <c r="K1339" s="267">
        <f t="shared" si="135"/>
        <v>4124.9999999999991</v>
      </c>
      <c r="L1339" s="310">
        <f t="shared" si="134"/>
        <v>8.148148148148146E-2</v>
      </c>
      <c r="M1339" s="208" t="s">
        <v>40</v>
      </c>
      <c r="N1339" s="289" t="s">
        <v>39</v>
      </c>
    </row>
    <row r="1340" spans="1:14">
      <c r="A1340" s="284" t="s">
        <v>1400</v>
      </c>
      <c r="B1340" s="159" t="s">
        <v>4571</v>
      </c>
      <c r="C1340" s="290" t="s">
        <v>4570</v>
      </c>
      <c r="D1340" s="292" t="s">
        <v>4572</v>
      </c>
      <c r="E1340" s="281">
        <v>2000</v>
      </c>
      <c r="F1340" s="284" t="s">
        <v>19</v>
      </c>
      <c r="G1340" s="282">
        <v>9</v>
      </c>
      <c r="H1340" s="264">
        <f t="shared" si="132"/>
        <v>18000</v>
      </c>
      <c r="I1340" s="280">
        <v>8</v>
      </c>
      <c r="J1340" s="265">
        <f t="shared" si="133"/>
        <v>1</v>
      </c>
      <c r="K1340" s="267">
        <f t="shared" si="135"/>
        <v>2000</v>
      </c>
      <c r="L1340" s="310">
        <f t="shared" si="134"/>
        <v>0.1111111111111111</v>
      </c>
      <c r="M1340" s="208" t="s">
        <v>40</v>
      </c>
      <c r="N1340" s="289" t="s">
        <v>39</v>
      </c>
    </row>
    <row r="1341" spans="1:14">
      <c r="A1341" s="284" t="s">
        <v>1400</v>
      </c>
      <c r="B1341" s="159" t="s">
        <v>4571</v>
      </c>
      <c r="C1341" s="290" t="s">
        <v>4570</v>
      </c>
      <c r="D1341" s="292" t="s">
        <v>4573</v>
      </c>
      <c r="E1341" s="281">
        <v>1300</v>
      </c>
      <c r="F1341" s="284" t="s">
        <v>19</v>
      </c>
      <c r="G1341" s="282">
        <v>12.5</v>
      </c>
      <c r="H1341" s="264">
        <f t="shared" si="132"/>
        <v>16250</v>
      </c>
      <c r="I1341" s="280">
        <v>12</v>
      </c>
      <c r="J1341" s="265">
        <f t="shared" si="133"/>
        <v>0.5</v>
      </c>
      <c r="K1341" s="267">
        <f t="shared" si="135"/>
        <v>650</v>
      </c>
      <c r="L1341" s="310">
        <f t="shared" si="134"/>
        <v>0.04</v>
      </c>
      <c r="M1341" s="208" t="s">
        <v>40</v>
      </c>
      <c r="N1341" s="289" t="s">
        <v>39</v>
      </c>
    </row>
    <row r="1342" spans="1:14">
      <c r="A1342" s="284" t="s">
        <v>1400</v>
      </c>
      <c r="B1342" s="159" t="s">
        <v>4571</v>
      </c>
      <c r="C1342" s="290" t="s">
        <v>4570</v>
      </c>
      <c r="D1342" s="292" t="s">
        <v>4574</v>
      </c>
      <c r="E1342" s="281">
        <v>200</v>
      </c>
      <c r="F1342" s="284" t="s">
        <v>19</v>
      </c>
      <c r="G1342" s="377">
        <v>16.8</v>
      </c>
      <c r="H1342" s="264">
        <f t="shared" si="132"/>
        <v>3360</v>
      </c>
      <c r="I1342" s="280">
        <v>16.5</v>
      </c>
      <c r="J1342" s="265">
        <f t="shared" si="133"/>
        <v>0.30000000000000071</v>
      </c>
      <c r="K1342" s="267">
        <f t="shared" si="135"/>
        <v>60.000000000000142</v>
      </c>
      <c r="L1342" s="310">
        <f t="shared" si="134"/>
        <v>1.7857142857142898E-2</v>
      </c>
      <c r="M1342" s="208" t="s">
        <v>40</v>
      </c>
      <c r="N1342" s="289" t="s">
        <v>39</v>
      </c>
    </row>
    <row r="1343" spans="1:14">
      <c r="A1343" s="284" t="s">
        <v>1400</v>
      </c>
      <c r="B1343" s="159" t="s">
        <v>4575</v>
      </c>
      <c r="C1343" s="290" t="s">
        <v>192</v>
      </c>
      <c r="D1343" s="292" t="s">
        <v>3358</v>
      </c>
      <c r="E1343" s="281">
        <v>20000</v>
      </c>
      <c r="F1343" s="288" t="s">
        <v>37</v>
      </c>
      <c r="G1343" s="18">
        <v>65</v>
      </c>
      <c r="H1343" s="264">
        <f t="shared" si="132"/>
        <v>1300000</v>
      </c>
      <c r="I1343" s="280">
        <v>64</v>
      </c>
      <c r="J1343" s="265">
        <f t="shared" si="133"/>
        <v>1</v>
      </c>
      <c r="K1343" s="267">
        <f t="shared" si="135"/>
        <v>20000</v>
      </c>
      <c r="L1343" s="310">
        <f t="shared" si="134"/>
        <v>1.5384615384615385E-2</v>
      </c>
      <c r="M1343" s="208" t="s">
        <v>22</v>
      </c>
      <c r="N1343" s="289" t="s">
        <v>39</v>
      </c>
    </row>
    <row r="1344" spans="1:14">
      <c r="A1344" s="284" t="s">
        <v>1400</v>
      </c>
      <c r="B1344" s="159" t="s">
        <v>4576</v>
      </c>
      <c r="C1344" s="290" t="s">
        <v>192</v>
      </c>
      <c r="D1344" s="292" t="s">
        <v>813</v>
      </c>
      <c r="E1344" s="281">
        <v>40000</v>
      </c>
      <c r="F1344" s="288" t="s">
        <v>37</v>
      </c>
      <c r="G1344" s="18">
        <v>44.5</v>
      </c>
      <c r="H1344" s="264">
        <f t="shared" si="132"/>
        <v>1780000</v>
      </c>
      <c r="I1344" s="280">
        <v>42</v>
      </c>
      <c r="J1344" s="265">
        <f t="shared" si="133"/>
        <v>2.5</v>
      </c>
      <c r="K1344" s="267">
        <f t="shared" si="135"/>
        <v>100000</v>
      </c>
      <c r="L1344" s="310">
        <f t="shared" si="134"/>
        <v>5.6179775280898875E-2</v>
      </c>
      <c r="M1344" s="208" t="s">
        <v>22</v>
      </c>
      <c r="N1344" s="289" t="s">
        <v>39</v>
      </c>
    </row>
    <row r="1345" spans="1:14">
      <c r="A1345" s="284" t="s">
        <v>1400</v>
      </c>
      <c r="B1345" s="159" t="s">
        <v>4577</v>
      </c>
      <c r="C1345" s="290" t="s">
        <v>192</v>
      </c>
      <c r="D1345" s="292" t="s">
        <v>503</v>
      </c>
      <c r="E1345" s="281">
        <v>95000</v>
      </c>
      <c r="F1345" s="284" t="s">
        <v>37</v>
      </c>
      <c r="G1345" s="282">
        <v>56.5</v>
      </c>
      <c r="H1345" s="264">
        <f t="shared" si="132"/>
        <v>5367500</v>
      </c>
      <c r="I1345" s="280">
        <v>55.5</v>
      </c>
      <c r="J1345" s="265">
        <f t="shared" si="133"/>
        <v>1</v>
      </c>
      <c r="K1345" s="267">
        <f t="shared" si="135"/>
        <v>95000</v>
      </c>
      <c r="L1345" s="310">
        <f t="shared" si="134"/>
        <v>1.7699115044247787E-2</v>
      </c>
      <c r="M1345" s="208" t="s">
        <v>22</v>
      </c>
      <c r="N1345" s="289" t="s">
        <v>39</v>
      </c>
    </row>
    <row r="1346" spans="1:14">
      <c r="A1346" s="284" t="s">
        <v>1400</v>
      </c>
      <c r="B1346" s="159" t="s">
        <v>4578</v>
      </c>
      <c r="C1346" s="290" t="s">
        <v>192</v>
      </c>
      <c r="D1346" s="292" t="s">
        <v>502</v>
      </c>
      <c r="E1346" s="281">
        <v>440000</v>
      </c>
      <c r="F1346" s="284" t="s">
        <v>37</v>
      </c>
      <c r="G1346" s="282">
        <v>47</v>
      </c>
      <c r="H1346" s="264">
        <f t="shared" si="132"/>
        <v>20680000</v>
      </c>
      <c r="I1346" s="280">
        <v>44.5</v>
      </c>
      <c r="J1346" s="265">
        <f t="shared" si="133"/>
        <v>2.5</v>
      </c>
      <c r="K1346" s="267">
        <f t="shared" si="135"/>
        <v>1100000</v>
      </c>
      <c r="L1346" s="310">
        <f t="shared" si="134"/>
        <v>5.3191489361702128E-2</v>
      </c>
      <c r="M1346" s="208" t="s">
        <v>22</v>
      </c>
      <c r="N1346" s="289" t="s">
        <v>39</v>
      </c>
    </row>
    <row r="1347" spans="1:14">
      <c r="A1347" s="284" t="s">
        <v>1400</v>
      </c>
      <c r="B1347" s="159" t="s">
        <v>4579</v>
      </c>
      <c r="C1347" s="290" t="s">
        <v>522</v>
      </c>
      <c r="D1347" s="292" t="s">
        <v>4580</v>
      </c>
      <c r="E1347" s="281">
        <v>1</v>
      </c>
      <c r="F1347" s="284" t="s">
        <v>285</v>
      </c>
      <c r="G1347" s="282">
        <v>4671696.75</v>
      </c>
      <c r="H1347" s="264">
        <f t="shared" si="132"/>
        <v>4671696.75</v>
      </c>
      <c r="I1347" s="280">
        <v>4550000</v>
      </c>
      <c r="J1347" s="265">
        <f t="shared" si="133"/>
        <v>121696.75</v>
      </c>
      <c r="K1347" s="267">
        <f t="shared" si="135"/>
        <v>121696.75</v>
      </c>
      <c r="L1347" s="310">
        <f t="shared" si="134"/>
        <v>2.6049796575516166E-2</v>
      </c>
      <c r="M1347" s="208" t="s">
        <v>40</v>
      </c>
      <c r="N1347" s="289" t="s">
        <v>4066</v>
      </c>
    </row>
    <row r="1348" spans="1:14">
      <c r="A1348" s="284" t="s">
        <v>1400</v>
      </c>
      <c r="B1348" s="159" t="s">
        <v>4581</v>
      </c>
      <c r="C1348" s="290" t="s">
        <v>4582</v>
      </c>
      <c r="D1348" s="292" t="s">
        <v>4583</v>
      </c>
      <c r="E1348" s="281">
        <v>36</v>
      </c>
      <c r="F1348" s="284" t="s">
        <v>19</v>
      </c>
      <c r="G1348" s="282">
        <v>1300</v>
      </c>
      <c r="H1348" s="264">
        <f t="shared" si="132"/>
        <v>46800</v>
      </c>
      <c r="I1348" s="280">
        <v>1200</v>
      </c>
      <c r="J1348" s="265">
        <f t="shared" si="133"/>
        <v>100</v>
      </c>
      <c r="K1348" s="267">
        <f t="shared" si="135"/>
        <v>3600</v>
      </c>
      <c r="L1348" s="310">
        <f t="shared" si="134"/>
        <v>7.6923076923076927E-2</v>
      </c>
      <c r="M1348" s="208" t="s">
        <v>22</v>
      </c>
      <c r="N1348" s="289" t="s">
        <v>4066</v>
      </c>
    </row>
    <row r="1349" spans="1:14">
      <c r="A1349" s="284" t="s">
        <v>1400</v>
      </c>
      <c r="B1349" s="159" t="s">
        <v>4581</v>
      </c>
      <c r="C1349" s="290" t="s">
        <v>4582</v>
      </c>
      <c r="D1349" s="292" t="s">
        <v>4584</v>
      </c>
      <c r="E1349" s="281">
        <v>36</v>
      </c>
      <c r="F1349" s="284" t="s">
        <v>19</v>
      </c>
      <c r="G1349" s="282">
        <v>580</v>
      </c>
      <c r="H1349" s="264">
        <f t="shared" si="132"/>
        <v>20880</v>
      </c>
      <c r="I1349" s="280">
        <v>550</v>
      </c>
      <c r="J1349" s="265">
        <f t="shared" si="133"/>
        <v>30</v>
      </c>
      <c r="K1349" s="267">
        <f t="shared" si="135"/>
        <v>1080</v>
      </c>
      <c r="L1349" s="310">
        <f t="shared" si="134"/>
        <v>5.1724137931034482E-2</v>
      </c>
      <c r="M1349" s="208" t="s">
        <v>22</v>
      </c>
      <c r="N1349" s="289" t="s">
        <v>4066</v>
      </c>
    </row>
    <row r="1350" spans="1:14">
      <c r="A1350" s="284" t="s">
        <v>1400</v>
      </c>
      <c r="B1350" s="159" t="s">
        <v>4581</v>
      </c>
      <c r="C1350" s="290" t="s">
        <v>4582</v>
      </c>
      <c r="D1350" s="292" t="s">
        <v>4585</v>
      </c>
      <c r="E1350" s="281">
        <v>12</v>
      </c>
      <c r="F1350" s="284" t="s">
        <v>19</v>
      </c>
      <c r="G1350" s="282">
        <v>1800</v>
      </c>
      <c r="H1350" s="264">
        <f t="shared" si="132"/>
        <v>21600</v>
      </c>
      <c r="I1350" s="280">
        <v>1700</v>
      </c>
      <c r="J1350" s="265">
        <f t="shared" si="133"/>
        <v>100</v>
      </c>
      <c r="K1350" s="267">
        <f t="shared" si="135"/>
        <v>1200</v>
      </c>
      <c r="L1350" s="310">
        <f t="shared" si="134"/>
        <v>5.5555555555555552E-2</v>
      </c>
      <c r="M1350" s="208" t="s">
        <v>22</v>
      </c>
      <c r="N1350" s="289" t="s">
        <v>4066</v>
      </c>
    </row>
    <row r="1351" spans="1:14">
      <c r="A1351" s="284" t="s">
        <v>1400</v>
      </c>
      <c r="B1351" s="159" t="s">
        <v>4586</v>
      </c>
      <c r="C1351" s="290" t="s">
        <v>2934</v>
      </c>
      <c r="D1351" s="292" t="s">
        <v>4587</v>
      </c>
      <c r="E1351" s="281">
        <v>1</v>
      </c>
      <c r="F1351" s="284" t="s">
        <v>285</v>
      </c>
      <c r="G1351" s="282">
        <v>416336.3</v>
      </c>
      <c r="H1351" s="264">
        <f t="shared" si="132"/>
        <v>416336.3</v>
      </c>
      <c r="I1351" s="280">
        <v>400000</v>
      </c>
      <c r="J1351" s="265">
        <f t="shared" si="131"/>
        <v>16336.299999999988</v>
      </c>
      <c r="K1351" s="267">
        <f t="shared" si="135"/>
        <v>16336.299999999988</v>
      </c>
      <c r="L1351" s="310">
        <f t="shared" si="130"/>
        <v>3.9238231208760778E-2</v>
      </c>
      <c r="M1351" s="208" t="s">
        <v>22</v>
      </c>
      <c r="N1351" s="289" t="s">
        <v>4066</v>
      </c>
    </row>
    <row r="1352" spans="1:14">
      <c r="A1352" s="284" t="s">
        <v>1400</v>
      </c>
      <c r="B1352" s="159" t="s">
        <v>4588</v>
      </c>
      <c r="C1352" s="290" t="s">
        <v>2934</v>
      </c>
      <c r="D1352" s="292" t="s">
        <v>4589</v>
      </c>
      <c r="E1352" s="281">
        <v>1</v>
      </c>
      <c r="F1352" s="284" t="s">
        <v>285</v>
      </c>
      <c r="G1352" s="282">
        <v>337620.3</v>
      </c>
      <c r="H1352" s="264">
        <f t="shared" si="124"/>
        <v>337620.3</v>
      </c>
      <c r="I1352" s="280">
        <v>320000</v>
      </c>
      <c r="J1352" s="265">
        <f t="shared" si="131"/>
        <v>17620.299999999988</v>
      </c>
      <c r="K1352" s="267">
        <f t="shared" si="135"/>
        <v>17620.299999999988</v>
      </c>
      <c r="L1352" s="310">
        <f t="shared" si="130"/>
        <v>5.2189693569965993E-2</v>
      </c>
      <c r="M1352" s="208" t="s">
        <v>22</v>
      </c>
      <c r="N1352" s="289" t="s">
        <v>4066</v>
      </c>
    </row>
    <row r="1353" spans="1:14">
      <c r="A1353" s="284" t="s">
        <v>1400</v>
      </c>
      <c r="B1353" s="159" t="s">
        <v>4590</v>
      </c>
      <c r="C1353" s="290" t="s">
        <v>3020</v>
      </c>
      <c r="D1353" s="292" t="s">
        <v>4591</v>
      </c>
      <c r="E1353" s="281">
        <v>1</v>
      </c>
      <c r="F1353" s="284" t="s">
        <v>285</v>
      </c>
      <c r="G1353" s="282">
        <v>95000</v>
      </c>
      <c r="H1353" s="264">
        <f t="shared" si="124"/>
        <v>95000</v>
      </c>
      <c r="I1353" s="280">
        <v>92000</v>
      </c>
      <c r="J1353" s="265">
        <f t="shared" si="131"/>
        <v>3000</v>
      </c>
      <c r="K1353" s="267">
        <f t="shared" si="135"/>
        <v>3000</v>
      </c>
      <c r="L1353" s="310">
        <f t="shared" si="130"/>
        <v>3.1578947368421054E-2</v>
      </c>
      <c r="M1353" s="208" t="s">
        <v>40</v>
      </c>
      <c r="N1353" s="289" t="s">
        <v>4066</v>
      </c>
    </row>
    <row r="1354" spans="1:14">
      <c r="A1354" s="284" t="s">
        <v>1400</v>
      </c>
      <c r="B1354" s="159" t="s">
        <v>4592</v>
      </c>
      <c r="C1354" s="290" t="s">
        <v>110</v>
      </c>
      <c r="D1354" s="292" t="s">
        <v>4593</v>
      </c>
      <c r="E1354" s="281">
        <v>10</v>
      </c>
      <c r="F1354" s="284" t="s">
        <v>19</v>
      </c>
      <c r="G1354" s="282">
        <v>290</v>
      </c>
      <c r="H1354" s="264">
        <f t="shared" ref="H1354:H1400" si="136">G1354*E1354</f>
        <v>2900</v>
      </c>
      <c r="I1354" s="280">
        <v>270</v>
      </c>
      <c r="J1354" s="265">
        <f t="shared" si="131"/>
        <v>20</v>
      </c>
      <c r="K1354" s="267">
        <f t="shared" si="135"/>
        <v>200</v>
      </c>
      <c r="L1354" s="310">
        <f t="shared" ref="L1354:L1400" si="137">J1354/G1354</f>
        <v>6.8965517241379309E-2</v>
      </c>
      <c r="M1354" s="208" t="s">
        <v>22</v>
      </c>
      <c r="N1354" s="289" t="s">
        <v>4066</v>
      </c>
    </row>
    <row r="1355" spans="1:14">
      <c r="A1355" s="284" t="s">
        <v>1400</v>
      </c>
      <c r="B1355" s="159" t="s">
        <v>4592</v>
      </c>
      <c r="C1355" s="290" t="s">
        <v>110</v>
      </c>
      <c r="D1355" s="292" t="s">
        <v>4594</v>
      </c>
      <c r="E1355" s="281">
        <v>5</v>
      </c>
      <c r="F1355" s="284" t="s">
        <v>19</v>
      </c>
      <c r="G1355" s="282">
        <v>200</v>
      </c>
      <c r="H1355" s="264">
        <f t="shared" si="136"/>
        <v>1000</v>
      </c>
      <c r="I1355" s="280">
        <v>180</v>
      </c>
      <c r="J1355" s="265">
        <f t="shared" si="131"/>
        <v>20</v>
      </c>
      <c r="K1355" s="267">
        <f t="shared" si="135"/>
        <v>100</v>
      </c>
      <c r="L1355" s="310">
        <f t="shared" si="137"/>
        <v>0.1</v>
      </c>
      <c r="M1355" s="208" t="s">
        <v>22</v>
      </c>
      <c r="N1355" s="289" t="s">
        <v>4066</v>
      </c>
    </row>
    <row r="1356" spans="1:14">
      <c r="A1356" s="284" t="s">
        <v>1400</v>
      </c>
      <c r="B1356" s="159" t="s">
        <v>4592</v>
      </c>
      <c r="C1356" s="290" t="s">
        <v>110</v>
      </c>
      <c r="D1356" s="292" t="s">
        <v>4595</v>
      </c>
      <c r="E1356" s="281">
        <v>2</v>
      </c>
      <c r="F1356" s="284" t="s">
        <v>19</v>
      </c>
      <c r="G1356" s="282">
        <v>200</v>
      </c>
      <c r="H1356" s="264">
        <f t="shared" si="136"/>
        <v>400</v>
      </c>
      <c r="I1356" s="280">
        <v>180</v>
      </c>
      <c r="J1356" s="265">
        <f t="shared" ref="J1356:J1400" si="138">G1356-I1356</f>
        <v>20</v>
      </c>
      <c r="K1356" s="267">
        <f t="shared" si="135"/>
        <v>40</v>
      </c>
      <c r="L1356" s="310">
        <f t="shared" si="137"/>
        <v>0.1</v>
      </c>
      <c r="M1356" s="208" t="s">
        <v>22</v>
      </c>
      <c r="N1356" s="289" t="s">
        <v>4066</v>
      </c>
    </row>
    <row r="1357" spans="1:14">
      <c r="A1357" s="284" t="s">
        <v>1400</v>
      </c>
      <c r="B1357" s="159" t="s">
        <v>4592</v>
      </c>
      <c r="C1357" s="290" t="s">
        <v>110</v>
      </c>
      <c r="D1357" s="292" t="s">
        <v>4596</v>
      </c>
      <c r="E1357" s="281">
        <v>1</v>
      </c>
      <c r="F1357" s="284" t="s">
        <v>19</v>
      </c>
      <c r="G1357" s="282">
        <v>850</v>
      </c>
      <c r="H1357" s="264">
        <f t="shared" si="136"/>
        <v>850</v>
      </c>
      <c r="I1357" s="280">
        <v>820</v>
      </c>
      <c r="J1357" s="265">
        <f t="shared" si="138"/>
        <v>30</v>
      </c>
      <c r="K1357" s="267">
        <f t="shared" si="135"/>
        <v>30</v>
      </c>
      <c r="L1357" s="310">
        <f t="shared" si="137"/>
        <v>3.5294117647058823E-2</v>
      </c>
      <c r="M1357" s="208" t="s">
        <v>22</v>
      </c>
      <c r="N1357" s="289" t="s">
        <v>4066</v>
      </c>
    </row>
    <row r="1358" spans="1:14">
      <c r="A1358" s="284" t="s">
        <v>1400</v>
      </c>
      <c r="B1358" s="159" t="s">
        <v>4597</v>
      </c>
      <c r="C1358" s="290" t="s">
        <v>4179</v>
      </c>
      <c r="D1358" s="292" t="s">
        <v>4598</v>
      </c>
      <c r="E1358" s="281">
        <v>1</v>
      </c>
      <c r="F1358" s="284" t="s">
        <v>285</v>
      </c>
      <c r="G1358" s="282">
        <v>139440</v>
      </c>
      <c r="H1358" s="264">
        <f t="shared" si="136"/>
        <v>139440</v>
      </c>
      <c r="I1358" s="280">
        <v>130000</v>
      </c>
      <c r="J1358" s="265">
        <f t="shared" si="138"/>
        <v>9440</v>
      </c>
      <c r="K1358" s="267">
        <f t="shared" si="135"/>
        <v>9440</v>
      </c>
      <c r="L1358" s="310">
        <f t="shared" si="137"/>
        <v>6.7699368904188179E-2</v>
      </c>
      <c r="M1358" s="208" t="s">
        <v>40</v>
      </c>
      <c r="N1358" s="289" t="s">
        <v>4066</v>
      </c>
    </row>
    <row r="1359" spans="1:14">
      <c r="A1359" s="284" t="s">
        <v>1400</v>
      </c>
      <c r="B1359" s="159" t="s">
        <v>4599</v>
      </c>
      <c r="C1359" s="290" t="s">
        <v>871</v>
      </c>
      <c r="D1359" s="292" t="s">
        <v>4600</v>
      </c>
      <c r="E1359" s="281">
        <v>1</v>
      </c>
      <c r="F1359" s="284" t="s">
        <v>19</v>
      </c>
      <c r="G1359" s="282">
        <v>14250</v>
      </c>
      <c r="H1359" s="264">
        <f t="shared" si="136"/>
        <v>14250</v>
      </c>
      <c r="I1359" s="280">
        <v>14000</v>
      </c>
      <c r="J1359" s="265">
        <f t="shared" si="138"/>
        <v>250</v>
      </c>
      <c r="K1359" s="267">
        <f t="shared" si="135"/>
        <v>250</v>
      </c>
      <c r="L1359" s="310">
        <f t="shared" si="137"/>
        <v>1.7543859649122806E-2</v>
      </c>
      <c r="M1359" s="208" t="s">
        <v>22</v>
      </c>
      <c r="N1359" s="289" t="s">
        <v>4066</v>
      </c>
    </row>
    <row r="1360" spans="1:14">
      <c r="A1360" s="284" t="s">
        <v>1400</v>
      </c>
      <c r="B1360" s="159" t="s">
        <v>4601</v>
      </c>
      <c r="C1360" s="290" t="s">
        <v>27</v>
      </c>
      <c r="D1360" s="292" t="s">
        <v>4602</v>
      </c>
      <c r="E1360" s="281">
        <v>590</v>
      </c>
      <c r="F1360" s="284" t="s">
        <v>1146</v>
      </c>
      <c r="G1360" s="282">
        <v>995</v>
      </c>
      <c r="H1360" s="264">
        <f t="shared" si="136"/>
        <v>587050</v>
      </c>
      <c r="I1360" s="280">
        <v>990</v>
      </c>
      <c r="J1360" s="265">
        <f t="shared" si="138"/>
        <v>5</v>
      </c>
      <c r="K1360" s="267">
        <f t="shared" si="135"/>
        <v>2950</v>
      </c>
      <c r="L1360" s="310">
        <f t="shared" si="137"/>
        <v>5.0251256281407036E-3</v>
      </c>
      <c r="M1360" s="208" t="s">
        <v>22</v>
      </c>
      <c r="N1360" s="289" t="s">
        <v>4066</v>
      </c>
    </row>
    <row r="1361" spans="1:14">
      <c r="A1361" s="284" t="s">
        <v>1400</v>
      </c>
      <c r="B1361" s="159" t="s">
        <v>4601</v>
      </c>
      <c r="C1361" s="290" t="s">
        <v>27</v>
      </c>
      <c r="D1361" s="292" t="s">
        <v>4602</v>
      </c>
      <c r="E1361" s="281">
        <v>850</v>
      </c>
      <c r="F1361" s="284" t="s">
        <v>1146</v>
      </c>
      <c r="G1361" s="282">
        <v>995</v>
      </c>
      <c r="H1361" s="264">
        <f t="shared" si="136"/>
        <v>845750</v>
      </c>
      <c r="I1361" s="280">
        <v>990</v>
      </c>
      <c r="J1361" s="265">
        <f t="shared" si="138"/>
        <v>5</v>
      </c>
      <c r="K1361" s="267">
        <f t="shared" si="135"/>
        <v>4250</v>
      </c>
      <c r="L1361" s="310">
        <f t="shared" si="137"/>
        <v>5.0251256281407036E-3</v>
      </c>
      <c r="M1361" s="208" t="s">
        <v>22</v>
      </c>
      <c r="N1361" s="289" t="s">
        <v>4066</v>
      </c>
    </row>
    <row r="1362" spans="1:14">
      <c r="A1362" s="284" t="s">
        <v>1400</v>
      </c>
      <c r="B1362" s="159" t="s">
        <v>4601</v>
      </c>
      <c r="C1362" s="290" t="s">
        <v>27</v>
      </c>
      <c r="D1362" s="292" t="s">
        <v>4603</v>
      </c>
      <c r="E1362" s="281">
        <v>120</v>
      </c>
      <c r="F1362" s="284" t="s">
        <v>1146</v>
      </c>
      <c r="G1362" s="282">
        <v>270</v>
      </c>
      <c r="H1362" s="264">
        <f t="shared" si="136"/>
        <v>32400</v>
      </c>
      <c r="I1362" s="280">
        <v>266</v>
      </c>
      <c r="J1362" s="265">
        <f t="shared" si="138"/>
        <v>4</v>
      </c>
      <c r="K1362" s="267">
        <f t="shared" si="135"/>
        <v>480</v>
      </c>
      <c r="L1362" s="310">
        <f t="shared" si="137"/>
        <v>1.4814814814814815E-2</v>
      </c>
      <c r="M1362" s="208" t="s">
        <v>22</v>
      </c>
      <c r="N1362" s="289" t="s">
        <v>4066</v>
      </c>
    </row>
    <row r="1363" spans="1:14" ht="25.5">
      <c r="A1363" s="284" t="s">
        <v>1400</v>
      </c>
      <c r="B1363" s="159" t="s">
        <v>4601</v>
      </c>
      <c r="C1363" s="290" t="s">
        <v>27</v>
      </c>
      <c r="D1363" s="338" t="s">
        <v>4604</v>
      </c>
      <c r="E1363" s="281">
        <v>215</v>
      </c>
      <c r="F1363" s="284" t="s">
        <v>1146</v>
      </c>
      <c r="G1363" s="282">
        <v>370</v>
      </c>
      <c r="H1363" s="264">
        <f t="shared" si="136"/>
        <v>79550</v>
      </c>
      <c r="I1363" s="280">
        <v>367</v>
      </c>
      <c r="J1363" s="265">
        <f t="shared" si="138"/>
        <v>3</v>
      </c>
      <c r="K1363" s="267">
        <f t="shared" si="135"/>
        <v>645</v>
      </c>
      <c r="L1363" s="310">
        <f t="shared" si="137"/>
        <v>8.1081081081081086E-3</v>
      </c>
      <c r="M1363" s="208" t="s">
        <v>22</v>
      </c>
      <c r="N1363" s="289" t="s">
        <v>4066</v>
      </c>
    </row>
    <row r="1364" spans="1:14" ht="25.5">
      <c r="A1364" s="284" t="s">
        <v>1400</v>
      </c>
      <c r="B1364" s="159" t="s">
        <v>4601</v>
      </c>
      <c r="C1364" s="290" t="s">
        <v>27</v>
      </c>
      <c r="D1364" s="338" t="s">
        <v>4605</v>
      </c>
      <c r="E1364" s="281">
        <v>160</v>
      </c>
      <c r="F1364" s="284" t="s">
        <v>1146</v>
      </c>
      <c r="G1364" s="282">
        <v>370</v>
      </c>
      <c r="H1364" s="264">
        <f t="shared" si="136"/>
        <v>59200</v>
      </c>
      <c r="I1364" s="280">
        <v>367</v>
      </c>
      <c r="J1364" s="265">
        <f t="shared" si="138"/>
        <v>3</v>
      </c>
      <c r="K1364" s="267">
        <f t="shared" si="135"/>
        <v>480</v>
      </c>
      <c r="L1364" s="310">
        <f t="shared" si="137"/>
        <v>8.1081081081081086E-3</v>
      </c>
      <c r="M1364" s="208" t="s">
        <v>22</v>
      </c>
      <c r="N1364" s="289" t="s">
        <v>4066</v>
      </c>
    </row>
    <row r="1365" spans="1:14">
      <c r="A1365" s="284" t="s">
        <v>1400</v>
      </c>
      <c r="B1365" s="159" t="s">
        <v>4601</v>
      </c>
      <c r="C1365" s="290" t="s">
        <v>27</v>
      </c>
      <c r="D1365" s="292" t="s">
        <v>4606</v>
      </c>
      <c r="E1365" s="281">
        <v>100</v>
      </c>
      <c r="F1365" s="284" t="s">
        <v>1146</v>
      </c>
      <c r="G1365" s="282">
        <v>575</v>
      </c>
      <c r="H1365" s="264">
        <f t="shared" si="136"/>
        <v>57500</v>
      </c>
      <c r="I1365" s="280">
        <v>570</v>
      </c>
      <c r="J1365" s="265">
        <f t="shared" si="138"/>
        <v>5</v>
      </c>
      <c r="K1365" s="267">
        <f t="shared" si="135"/>
        <v>500</v>
      </c>
      <c r="L1365" s="310">
        <f t="shared" si="137"/>
        <v>8.6956521739130436E-3</v>
      </c>
      <c r="M1365" s="208" t="s">
        <v>22</v>
      </c>
      <c r="N1365" s="289" t="s">
        <v>4066</v>
      </c>
    </row>
    <row r="1366" spans="1:14">
      <c r="A1366" s="284" t="s">
        <v>1400</v>
      </c>
      <c r="B1366" s="159" t="s">
        <v>4601</v>
      </c>
      <c r="C1366" s="290" t="s">
        <v>27</v>
      </c>
      <c r="D1366" s="292" t="s">
        <v>4607</v>
      </c>
      <c r="E1366" s="281">
        <v>120</v>
      </c>
      <c r="F1366" s="284" t="s">
        <v>1146</v>
      </c>
      <c r="G1366" s="282">
        <v>367</v>
      </c>
      <c r="H1366" s="264">
        <f t="shared" si="136"/>
        <v>44040</v>
      </c>
      <c r="I1366" s="280">
        <v>365</v>
      </c>
      <c r="J1366" s="265">
        <f t="shared" si="138"/>
        <v>2</v>
      </c>
      <c r="K1366" s="267">
        <f t="shared" si="135"/>
        <v>240</v>
      </c>
      <c r="L1366" s="310">
        <f t="shared" si="137"/>
        <v>5.4495912806539508E-3</v>
      </c>
      <c r="M1366" s="208" t="s">
        <v>22</v>
      </c>
      <c r="N1366" s="289" t="s">
        <v>4066</v>
      </c>
    </row>
    <row r="1367" spans="1:14">
      <c r="A1367" s="284" t="s">
        <v>1400</v>
      </c>
      <c r="B1367" s="159" t="s">
        <v>4608</v>
      </c>
      <c r="C1367" s="290" t="s">
        <v>94</v>
      </c>
      <c r="D1367" s="292" t="s">
        <v>4609</v>
      </c>
      <c r="E1367" s="281">
        <v>400</v>
      </c>
      <c r="F1367" s="284" t="s">
        <v>1146</v>
      </c>
      <c r="G1367" s="282">
        <v>775.92</v>
      </c>
      <c r="H1367" s="264">
        <f t="shared" si="136"/>
        <v>310368</v>
      </c>
      <c r="I1367" s="280">
        <v>768</v>
      </c>
      <c r="J1367" s="265">
        <f t="shared" si="138"/>
        <v>7.9199999999999591</v>
      </c>
      <c r="K1367" s="267">
        <f t="shared" si="135"/>
        <v>3167.9999999999836</v>
      </c>
      <c r="L1367" s="310">
        <f t="shared" si="137"/>
        <v>1.0207237859573099E-2</v>
      </c>
      <c r="M1367" s="208" t="s">
        <v>22</v>
      </c>
      <c r="N1367" s="289" t="s">
        <v>4066</v>
      </c>
    </row>
    <row r="1368" spans="1:14">
      <c r="A1368" s="284" t="s">
        <v>1400</v>
      </c>
      <c r="B1368" s="159" t="s">
        <v>4608</v>
      </c>
      <c r="C1368" s="290" t="s">
        <v>94</v>
      </c>
      <c r="D1368" s="292" t="s">
        <v>4610</v>
      </c>
      <c r="E1368" s="281">
        <v>100</v>
      </c>
      <c r="F1368" s="284" t="s">
        <v>1146</v>
      </c>
      <c r="G1368" s="282">
        <v>168.64</v>
      </c>
      <c r="H1368" s="264">
        <f t="shared" si="136"/>
        <v>16864</v>
      </c>
      <c r="I1368" s="280">
        <v>167.8</v>
      </c>
      <c r="J1368" s="265">
        <f t="shared" si="138"/>
        <v>0.83999999999997499</v>
      </c>
      <c r="K1368" s="267">
        <f t="shared" si="135"/>
        <v>83.999999999997499</v>
      </c>
      <c r="L1368" s="310">
        <f t="shared" si="137"/>
        <v>4.9810246679315405E-3</v>
      </c>
      <c r="M1368" s="208" t="s">
        <v>22</v>
      </c>
      <c r="N1368" s="289" t="s">
        <v>4066</v>
      </c>
    </row>
    <row r="1369" spans="1:14">
      <c r="A1369" s="284" t="s">
        <v>1400</v>
      </c>
      <c r="B1369" s="159" t="s">
        <v>4611</v>
      </c>
      <c r="C1369" s="290" t="s">
        <v>110</v>
      </c>
      <c r="D1369" s="292" t="s">
        <v>4612</v>
      </c>
      <c r="E1369" s="281">
        <v>1</v>
      </c>
      <c r="F1369" s="284" t="s">
        <v>19</v>
      </c>
      <c r="G1369" s="282">
        <v>25500</v>
      </c>
      <c r="H1369" s="264">
        <f t="shared" si="136"/>
        <v>25500</v>
      </c>
      <c r="I1369" s="280">
        <v>25000</v>
      </c>
      <c r="J1369" s="265">
        <f t="shared" si="138"/>
        <v>500</v>
      </c>
      <c r="K1369" s="267">
        <f t="shared" si="135"/>
        <v>500</v>
      </c>
      <c r="L1369" s="310">
        <f t="shared" si="137"/>
        <v>1.9607843137254902E-2</v>
      </c>
      <c r="M1369" s="208" t="s">
        <v>40</v>
      </c>
      <c r="N1369" s="289" t="s">
        <v>4066</v>
      </c>
    </row>
    <row r="1370" spans="1:14">
      <c r="A1370" s="284" t="s">
        <v>1400</v>
      </c>
      <c r="B1370" s="159" t="s">
        <v>4613</v>
      </c>
      <c r="C1370" s="290" t="s">
        <v>125</v>
      </c>
      <c r="D1370" s="292" t="s">
        <v>4614</v>
      </c>
      <c r="E1370" s="281">
        <v>1</v>
      </c>
      <c r="F1370" s="284" t="s">
        <v>285</v>
      </c>
      <c r="G1370" s="282">
        <v>368984</v>
      </c>
      <c r="H1370" s="264">
        <f t="shared" si="136"/>
        <v>368984</v>
      </c>
      <c r="I1370" s="280">
        <v>359759.4</v>
      </c>
      <c r="J1370" s="265">
        <f t="shared" si="138"/>
        <v>9224.5999999999767</v>
      </c>
      <c r="K1370" s="267">
        <f t="shared" si="135"/>
        <v>9224.5999999999767</v>
      </c>
      <c r="L1370" s="310">
        <f t="shared" si="137"/>
        <v>2.4999999999999935E-2</v>
      </c>
      <c r="M1370" s="208" t="s">
        <v>40</v>
      </c>
      <c r="N1370" s="289" t="s">
        <v>4066</v>
      </c>
    </row>
    <row r="1371" spans="1:14">
      <c r="A1371" s="284" t="s">
        <v>1400</v>
      </c>
      <c r="B1371" s="159" t="s">
        <v>4615</v>
      </c>
      <c r="C1371" s="290" t="s">
        <v>4179</v>
      </c>
      <c r="D1371" s="292" t="s">
        <v>4616</v>
      </c>
      <c r="E1371" s="281">
        <v>1</v>
      </c>
      <c r="F1371" s="284" t="s">
        <v>285</v>
      </c>
      <c r="G1371" s="282">
        <v>1180000</v>
      </c>
      <c r="H1371" s="264">
        <f t="shared" si="136"/>
        <v>1180000</v>
      </c>
      <c r="I1371" s="280">
        <v>1100000</v>
      </c>
      <c r="J1371" s="265">
        <f t="shared" si="138"/>
        <v>80000</v>
      </c>
      <c r="K1371" s="267">
        <f t="shared" si="135"/>
        <v>80000</v>
      </c>
      <c r="L1371" s="310">
        <f t="shared" si="137"/>
        <v>6.7796610169491525E-2</v>
      </c>
      <c r="M1371" s="208" t="s">
        <v>40</v>
      </c>
      <c r="N1371" s="289" t="s">
        <v>4066</v>
      </c>
    </row>
    <row r="1372" spans="1:14">
      <c r="A1372" s="284" t="s">
        <v>1400</v>
      </c>
      <c r="B1372" s="159" t="s">
        <v>4615</v>
      </c>
      <c r="C1372" s="290" t="s">
        <v>4179</v>
      </c>
      <c r="D1372" s="292" t="s">
        <v>4617</v>
      </c>
      <c r="E1372" s="281">
        <v>1</v>
      </c>
      <c r="F1372" s="284" t="s">
        <v>285</v>
      </c>
      <c r="G1372" s="282">
        <v>5060000</v>
      </c>
      <c r="H1372" s="264">
        <f t="shared" si="136"/>
        <v>5060000</v>
      </c>
      <c r="I1372" s="280">
        <v>5000000</v>
      </c>
      <c r="J1372" s="265">
        <f t="shared" si="138"/>
        <v>60000</v>
      </c>
      <c r="K1372" s="267">
        <f t="shared" si="135"/>
        <v>60000</v>
      </c>
      <c r="L1372" s="310">
        <f t="shared" si="137"/>
        <v>1.1857707509881422E-2</v>
      </c>
      <c r="M1372" s="208" t="s">
        <v>40</v>
      </c>
      <c r="N1372" s="289" t="s">
        <v>4066</v>
      </c>
    </row>
    <row r="1373" spans="1:14">
      <c r="A1373" s="284" t="s">
        <v>1400</v>
      </c>
      <c r="B1373" s="159" t="s">
        <v>4615</v>
      </c>
      <c r="C1373" s="290" t="s">
        <v>4179</v>
      </c>
      <c r="D1373" s="292" t="s">
        <v>4618</v>
      </c>
      <c r="E1373" s="281">
        <v>1</v>
      </c>
      <c r="F1373" s="284" t="s">
        <v>285</v>
      </c>
      <c r="G1373" s="282">
        <v>875000</v>
      </c>
      <c r="H1373" s="264">
        <f t="shared" si="136"/>
        <v>875000</v>
      </c>
      <c r="I1373" s="280">
        <v>870000</v>
      </c>
      <c r="J1373" s="265">
        <f t="shared" si="138"/>
        <v>5000</v>
      </c>
      <c r="K1373" s="267">
        <f t="shared" si="135"/>
        <v>5000</v>
      </c>
      <c r="L1373" s="310">
        <f t="shared" si="137"/>
        <v>5.7142857142857143E-3</v>
      </c>
      <c r="M1373" s="208" t="s">
        <v>40</v>
      </c>
      <c r="N1373" s="289" t="s">
        <v>4066</v>
      </c>
    </row>
    <row r="1374" spans="1:14">
      <c r="A1374" s="284" t="s">
        <v>1400</v>
      </c>
      <c r="B1374" s="159" t="s">
        <v>4619</v>
      </c>
      <c r="C1374" s="290" t="s">
        <v>398</v>
      </c>
      <c r="D1374" s="292" t="s">
        <v>4620</v>
      </c>
      <c r="E1374" s="281">
        <v>1</v>
      </c>
      <c r="F1374" s="284" t="s">
        <v>285</v>
      </c>
      <c r="G1374" s="282">
        <v>110000</v>
      </c>
      <c r="H1374" s="264">
        <f t="shared" si="136"/>
        <v>110000</v>
      </c>
      <c r="I1374" s="280">
        <v>100000</v>
      </c>
      <c r="J1374" s="265">
        <f t="shared" si="138"/>
        <v>10000</v>
      </c>
      <c r="K1374" s="267">
        <f t="shared" si="135"/>
        <v>10000</v>
      </c>
      <c r="L1374" s="310">
        <f t="shared" si="137"/>
        <v>9.0909090909090912E-2</v>
      </c>
      <c r="M1374" s="208" t="s">
        <v>22</v>
      </c>
      <c r="N1374" s="289" t="s">
        <v>4066</v>
      </c>
    </row>
    <row r="1375" spans="1:14">
      <c r="A1375" s="284" t="s">
        <v>1400</v>
      </c>
      <c r="B1375" s="159" t="s">
        <v>4621</v>
      </c>
      <c r="C1375" s="290" t="s">
        <v>1948</v>
      </c>
      <c r="D1375" s="292" t="s">
        <v>4622</v>
      </c>
      <c r="E1375" s="281">
        <v>3</v>
      </c>
      <c r="F1375" s="284" t="s">
        <v>302</v>
      </c>
      <c r="G1375" s="282">
        <v>100</v>
      </c>
      <c r="H1375" s="264">
        <f t="shared" si="136"/>
        <v>300</v>
      </c>
      <c r="I1375" s="280">
        <v>95</v>
      </c>
      <c r="J1375" s="265">
        <f t="shared" si="138"/>
        <v>5</v>
      </c>
      <c r="K1375" s="267">
        <f t="shared" si="135"/>
        <v>15</v>
      </c>
      <c r="L1375" s="310">
        <f t="shared" si="137"/>
        <v>0.05</v>
      </c>
      <c r="M1375" s="208" t="s">
        <v>22</v>
      </c>
      <c r="N1375" s="289" t="s">
        <v>4066</v>
      </c>
    </row>
    <row r="1376" spans="1:14">
      <c r="A1376" s="284" t="s">
        <v>1400</v>
      </c>
      <c r="B1376" s="159" t="s">
        <v>4621</v>
      </c>
      <c r="C1376" s="290" t="s">
        <v>1948</v>
      </c>
      <c r="D1376" s="292" t="s">
        <v>4623</v>
      </c>
      <c r="E1376" s="281">
        <v>2</v>
      </c>
      <c r="F1376" s="284" t="s">
        <v>19</v>
      </c>
      <c r="G1376" s="282">
        <v>1910</v>
      </c>
      <c r="H1376" s="264">
        <f t="shared" si="136"/>
        <v>3820</v>
      </c>
      <c r="I1376" s="280">
        <v>1814.5</v>
      </c>
      <c r="J1376" s="265">
        <f t="shared" si="138"/>
        <v>95.5</v>
      </c>
      <c r="K1376" s="267">
        <f t="shared" si="135"/>
        <v>191</v>
      </c>
      <c r="L1376" s="310">
        <f t="shared" si="137"/>
        <v>0.05</v>
      </c>
      <c r="M1376" s="208" t="s">
        <v>22</v>
      </c>
      <c r="N1376" s="289" t="s">
        <v>4066</v>
      </c>
    </row>
    <row r="1377" spans="1:14">
      <c r="A1377" s="284" t="s">
        <v>1400</v>
      </c>
      <c r="B1377" s="159" t="s">
        <v>4624</v>
      </c>
      <c r="C1377" s="290" t="s">
        <v>2305</v>
      </c>
      <c r="D1377" s="292" t="s">
        <v>4625</v>
      </c>
      <c r="E1377" s="281">
        <v>1</v>
      </c>
      <c r="F1377" s="284" t="s">
        <v>285</v>
      </c>
      <c r="G1377" s="282">
        <v>247400</v>
      </c>
      <c r="H1377" s="264">
        <f t="shared" si="136"/>
        <v>247400</v>
      </c>
      <c r="I1377" s="280">
        <v>242800</v>
      </c>
      <c r="J1377" s="265">
        <f t="shared" si="138"/>
        <v>4600</v>
      </c>
      <c r="K1377" s="267">
        <f t="shared" si="135"/>
        <v>4600</v>
      </c>
      <c r="L1377" s="310">
        <f t="shared" si="137"/>
        <v>1.8593371059013743E-2</v>
      </c>
      <c r="M1377" s="208" t="s">
        <v>40</v>
      </c>
      <c r="N1377" s="289" t="s">
        <v>4066</v>
      </c>
    </row>
    <row r="1378" spans="1:14">
      <c r="A1378" s="284" t="s">
        <v>1400</v>
      </c>
      <c r="B1378" s="159" t="s">
        <v>4626</v>
      </c>
      <c r="C1378" s="290" t="s">
        <v>1948</v>
      </c>
      <c r="D1378" s="292" t="s">
        <v>4627</v>
      </c>
      <c r="E1378" s="281">
        <v>3</v>
      </c>
      <c r="F1378" s="284" t="s">
        <v>302</v>
      </c>
      <c r="G1378" s="282">
        <v>100</v>
      </c>
      <c r="H1378" s="264">
        <f t="shared" si="136"/>
        <v>300</v>
      </c>
      <c r="I1378" s="280">
        <v>95</v>
      </c>
      <c r="J1378" s="265">
        <f t="shared" si="138"/>
        <v>5</v>
      </c>
      <c r="K1378" s="267">
        <f t="shared" si="135"/>
        <v>15</v>
      </c>
      <c r="L1378" s="310">
        <f t="shared" si="137"/>
        <v>0.05</v>
      </c>
      <c r="M1378" s="208" t="s">
        <v>22</v>
      </c>
      <c r="N1378" s="289" t="s">
        <v>4066</v>
      </c>
    </row>
    <row r="1379" spans="1:14">
      <c r="A1379" s="284" t="s">
        <v>1400</v>
      </c>
      <c r="B1379" s="159" t="s">
        <v>4628</v>
      </c>
      <c r="C1379" s="290" t="s">
        <v>54</v>
      </c>
      <c r="D1379" s="292" t="s">
        <v>4629</v>
      </c>
      <c r="E1379" s="281">
        <v>1</v>
      </c>
      <c r="F1379" s="284" t="s">
        <v>285</v>
      </c>
      <c r="G1379" s="282">
        <v>490000</v>
      </c>
      <c r="H1379" s="264">
        <f t="shared" si="136"/>
        <v>490000</v>
      </c>
      <c r="I1379" s="280">
        <v>450000</v>
      </c>
      <c r="J1379" s="265">
        <f t="shared" si="138"/>
        <v>40000</v>
      </c>
      <c r="K1379" s="267">
        <f t="shared" si="135"/>
        <v>40000</v>
      </c>
      <c r="L1379" s="310">
        <f t="shared" si="137"/>
        <v>8.1632653061224483E-2</v>
      </c>
      <c r="M1379" s="208" t="s">
        <v>22</v>
      </c>
      <c r="N1379" s="289" t="s">
        <v>4066</v>
      </c>
    </row>
    <row r="1380" spans="1:14">
      <c r="A1380" s="284" t="s">
        <v>1400</v>
      </c>
      <c r="B1380" s="159" t="s">
        <v>4630</v>
      </c>
      <c r="C1380" s="290" t="s">
        <v>118</v>
      </c>
      <c r="D1380" s="292" t="s">
        <v>4631</v>
      </c>
      <c r="E1380" s="281">
        <v>1</v>
      </c>
      <c r="F1380" s="284" t="s">
        <v>19</v>
      </c>
      <c r="G1380" s="282">
        <v>29000</v>
      </c>
      <c r="H1380" s="264">
        <f t="shared" si="136"/>
        <v>29000</v>
      </c>
      <c r="I1380" s="280">
        <v>27800</v>
      </c>
      <c r="J1380" s="265">
        <f t="shared" si="138"/>
        <v>1200</v>
      </c>
      <c r="K1380" s="267">
        <f t="shared" si="135"/>
        <v>1200</v>
      </c>
      <c r="L1380" s="310">
        <f t="shared" si="137"/>
        <v>4.1379310344827586E-2</v>
      </c>
      <c r="M1380" s="208" t="s">
        <v>22</v>
      </c>
      <c r="N1380" s="289" t="s">
        <v>4066</v>
      </c>
    </row>
    <row r="1381" spans="1:14" s="305" customFormat="1">
      <c r="A1381" s="284" t="s">
        <v>1400</v>
      </c>
      <c r="B1381" s="159" t="s">
        <v>4632</v>
      </c>
      <c r="C1381" s="290" t="s">
        <v>248</v>
      </c>
      <c r="D1381" s="292" t="s">
        <v>4633</v>
      </c>
      <c r="E1381" s="281">
        <v>1</v>
      </c>
      <c r="F1381" s="284" t="s">
        <v>19</v>
      </c>
      <c r="G1381" s="282">
        <v>9000</v>
      </c>
      <c r="H1381" s="264">
        <f t="shared" si="136"/>
        <v>9000</v>
      </c>
      <c r="I1381" s="280">
        <v>7500</v>
      </c>
      <c r="J1381" s="265">
        <f t="shared" si="138"/>
        <v>1500</v>
      </c>
      <c r="K1381" s="267">
        <f t="shared" si="135"/>
        <v>1500</v>
      </c>
      <c r="L1381" s="310">
        <f t="shared" si="137"/>
        <v>0.16666666666666666</v>
      </c>
      <c r="M1381" s="208" t="s">
        <v>22</v>
      </c>
      <c r="N1381" s="289" t="s">
        <v>4066</v>
      </c>
    </row>
    <row r="1382" spans="1:14" s="305" customFormat="1">
      <c r="A1382" s="284" t="s">
        <v>1400</v>
      </c>
      <c r="B1382" s="159" t="s">
        <v>4634</v>
      </c>
      <c r="C1382" s="290" t="s">
        <v>398</v>
      </c>
      <c r="D1382" s="292" t="s">
        <v>4635</v>
      </c>
      <c r="E1382" s="281">
        <v>1</v>
      </c>
      <c r="F1382" s="284" t="s">
        <v>285</v>
      </c>
      <c r="G1382" s="282">
        <v>49800</v>
      </c>
      <c r="H1382" s="264">
        <f t="shared" si="136"/>
        <v>49800</v>
      </c>
      <c r="I1382" s="280">
        <v>40000</v>
      </c>
      <c r="J1382" s="265">
        <f t="shared" si="138"/>
        <v>9800</v>
      </c>
      <c r="K1382" s="267">
        <f t="shared" si="135"/>
        <v>9800</v>
      </c>
      <c r="L1382" s="310">
        <f t="shared" si="137"/>
        <v>0.19678714859437751</v>
      </c>
      <c r="M1382" s="208" t="s">
        <v>22</v>
      </c>
      <c r="N1382" s="289" t="s">
        <v>4066</v>
      </c>
    </row>
    <row r="1383" spans="1:14" s="305" customFormat="1">
      <c r="A1383" s="284" t="s">
        <v>1400</v>
      </c>
      <c r="B1383" s="159" t="s">
        <v>4636</v>
      </c>
      <c r="C1383" s="290" t="s">
        <v>4637</v>
      </c>
      <c r="D1383" s="292" t="s">
        <v>4638</v>
      </c>
      <c r="E1383" s="281">
        <v>1</v>
      </c>
      <c r="F1383" s="284" t="s">
        <v>285</v>
      </c>
      <c r="G1383" s="282">
        <v>626250</v>
      </c>
      <c r="H1383" s="264">
        <f t="shared" si="136"/>
        <v>626250</v>
      </c>
      <c r="I1383" s="280">
        <v>596250</v>
      </c>
      <c r="J1383" s="265">
        <f t="shared" si="138"/>
        <v>30000</v>
      </c>
      <c r="K1383" s="267">
        <f t="shared" si="135"/>
        <v>30000</v>
      </c>
      <c r="L1383" s="310">
        <f t="shared" si="137"/>
        <v>4.790419161676647E-2</v>
      </c>
      <c r="M1383" s="208" t="s">
        <v>22</v>
      </c>
      <c r="N1383" s="289" t="s">
        <v>4066</v>
      </c>
    </row>
    <row r="1384" spans="1:14" s="305" customFormat="1">
      <c r="A1384" s="284" t="s">
        <v>1400</v>
      </c>
      <c r="B1384" s="159" t="s">
        <v>4636</v>
      </c>
      <c r="C1384" s="290" t="s">
        <v>4637</v>
      </c>
      <c r="D1384" s="292" t="s">
        <v>4639</v>
      </c>
      <c r="E1384" s="281">
        <v>1</v>
      </c>
      <c r="F1384" s="284" t="s">
        <v>285</v>
      </c>
      <c r="G1384" s="282">
        <v>603325</v>
      </c>
      <c r="H1384" s="264">
        <f t="shared" si="136"/>
        <v>603325</v>
      </c>
      <c r="I1384" s="280">
        <v>573325</v>
      </c>
      <c r="J1384" s="265">
        <f t="shared" si="138"/>
        <v>30000</v>
      </c>
      <c r="K1384" s="267">
        <f t="shared" si="135"/>
        <v>30000</v>
      </c>
      <c r="L1384" s="310">
        <f t="shared" si="137"/>
        <v>4.9724443707786017E-2</v>
      </c>
      <c r="M1384" s="208" t="s">
        <v>22</v>
      </c>
      <c r="N1384" s="289" t="s">
        <v>4066</v>
      </c>
    </row>
    <row r="1385" spans="1:14" s="305" customFormat="1">
      <c r="A1385" s="284" t="s">
        <v>1400</v>
      </c>
      <c r="B1385" s="159" t="s">
        <v>4640</v>
      </c>
      <c r="C1385" s="290" t="s">
        <v>345</v>
      </c>
      <c r="D1385" s="292" t="s">
        <v>4641</v>
      </c>
      <c r="E1385" s="281">
        <v>1</v>
      </c>
      <c r="F1385" s="284" t="s">
        <v>285</v>
      </c>
      <c r="G1385" s="282">
        <v>1014000</v>
      </c>
      <c r="H1385" s="264">
        <f t="shared" si="136"/>
        <v>1014000</v>
      </c>
      <c r="I1385" s="280">
        <v>990000</v>
      </c>
      <c r="J1385" s="265">
        <f t="shared" si="138"/>
        <v>24000</v>
      </c>
      <c r="K1385" s="267">
        <f t="shared" si="135"/>
        <v>24000</v>
      </c>
      <c r="L1385" s="310">
        <f t="shared" si="137"/>
        <v>2.3668639053254437E-2</v>
      </c>
      <c r="M1385" s="208" t="s">
        <v>40</v>
      </c>
      <c r="N1385" s="289" t="s">
        <v>4066</v>
      </c>
    </row>
    <row r="1386" spans="1:14" s="305" customFormat="1">
      <c r="A1386" s="284" t="s">
        <v>1400</v>
      </c>
      <c r="B1386" s="159" t="s">
        <v>4642</v>
      </c>
      <c r="C1386" s="290" t="s">
        <v>57</v>
      </c>
      <c r="D1386" s="292" t="s">
        <v>4643</v>
      </c>
      <c r="E1386" s="281">
        <v>1</v>
      </c>
      <c r="F1386" s="284" t="s">
        <v>285</v>
      </c>
      <c r="G1386" s="282">
        <v>639090</v>
      </c>
      <c r="H1386" s="264">
        <f t="shared" si="136"/>
        <v>639090</v>
      </c>
      <c r="I1386" s="280">
        <v>630000</v>
      </c>
      <c r="J1386" s="265">
        <f t="shared" si="138"/>
        <v>9090</v>
      </c>
      <c r="K1386" s="267">
        <f t="shared" si="135"/>
        <v>9090</v>
      </c>
      <c r="L1386" s="310">
        <f t="shared" si="137"/>
        <v>1.4223348824109281E-2</v>
      </c>
      <c r="M1386" s="208" t="s">
        <v>40</v>
      </c>
      <c r="N1386" s="289" t="s">
        <v>4066</v>
      </c>
    </row>
    <row r="1387" spans="1:14" s="305" customFormat="1">
      <c r="A1387" s="284" t="s">
        <v>1400</v>
      </c>
      <c r="B1387" s="159" t="s">
        <v>4644</v>
      </c>
      <c r="C1387" s="290" t="s">
        <v>4179</v>
      </c>
      <c r="D1387" s="292" t="s">
        <v>4645</v>
      </c>
      <c r="E1387" s="281">
        <v>1</v>
      </c>
      <c r="F1387" s="284" t="s">
        <v>285</v>
      </c>
      <c r="G1387" s="282">
        <v>599000</v>
      </c>
      <c r="H1387" s="264">
        <f t="shared" si="136"/>
        <v>599000</v>
      </c>
      <c r="I1387" s="280">
        <v>590000</v>
      </c>
      <c r="J1387" s="265">
        <f t="shared" si="138"/>
        <v>9000</v>
      </c>
      <c r="K1387" s="267">
        <f t="shared" si="135"/>
        <v>9000</v>
      </c>
      <c r="L1387" s="310">
        <f t="shared" si="137"/>
        <v>1.5025041736227046E-2</v>
      </c>
      <c r="M1387" s="208" t="s">
        <v>40</v>
      </c>
      <c r="N1387" s="289" t="s">
        <v>4066</v>
      </c>
    </row>
    <row r="1388" spans="1:14" s="305" customFormat="1">
      <c r="A1388" s="284" t="s">
        <v>1400</v>
      </c>
      <c r="B1388" s="159" t="s">
        <v>4644</v>
      </c>
      <c r="C1388" s="290" t="s">
        <v>4179</v>
      </c>
      <c r="D1388" s="292" t="s">
        <v>4646</v>
      </c>
      <c r="E1388" s="281">
        <v>1</v>
      </c>
      <c r="F1388" s="284" t="s">
        <v>285</v>
      </c>
      <c r="G1388" s="282">
        <v>208000</v>
      </c>
      <c r="H1388" s="264">
        <f t="shared" si="136"/>
        <v>208000</v>
      </c>
      <c r="I1388" s="280">
        <v>200000</v>
      </c>
      <c r="J1388" s="265">
        <f t="shared" si="138"/>
        <v>8000</v>
      </c>
      <c r="K1388" s="267">
        <f t="shared" si="135"/>
        <v>8000</v>
      </c>
      <c r="L1388" s="310">
        <f t="shared" si="137"/>
        <v>3.8461538461538464E-2</v>
      </c>
      <c r="M1388" s="208" t="s">
        <v>40</v>
      </c>
      <c r="N1388" s="289" t="s">
        <v>4066</v>
      </c>
    </row>
    <row r="1389" spans="1:14" s="305" customFormat="1">
      <c r="A1389" s="284" t="s">
        <v>1400</v>
      </c>
      <c r="B1389" s="159" t="s">
        <v>4647</v>
      </c>
      <c r="C1389" s="290" t="s">
        <v>4231</v>
      </c>
      <c r="D1389" s="292" t="s">
        <v>4648</v>
      </c>
      <c r="E1389" s="281">
        <v>1</v>
      </c>
      <c r="F1389" s="284" t="s">
        <v>285</v>
      </c>
      <c r="G1389" s="282">
        <v>119015</v>
      </c>
      <c r="H1389" s="264">
        <f t="shared" si="136"/>
        <v>119015</v>
      </c>
      <c r="I1389" s="280">
        <v>113064.25</v>
      </c>
      <c r="J1389" s="265">
        <f t="shared" si="138"/>
        <v>5950.75</v>
      </c>
      <c r="K1389" s="267">
        <f t="shared" si="135"/>
        <v>5950.75</v>
      </c>
      <c r="L1389" s="310">
        <f t="shared" si="137"/>
        <v>0.05</v>
      </c>
      <c r="M1389" s="208" t="s">
        <v>40</v>
      </c>
      <c r="N1389" s="289" t="s">
        <v>4066</v>
      </c>
    </row>
    <row r="1390" spans="1:14" s="305" customFormat="1" ht="25.5">
      <c r="A1390" s="284" t="s">
        <v>1400</v>
      </c>
      <c r="B1390" s="159" t="s">
        <v>4649</v>
      </c>
      <c r="C1390" s="290" t="s">
        <v>4231</v>
      </c>
      <c r="D1390" s="338" t="s">
        <v>4650</v>
      </c>
      <c r="E1390" s="281">
        <v>1</v>
      </c>
      <c r="F1390" s="284" t="s">
        <v>285</v>
      </c>
      <c r="G1390" s="282">
        <v>131200</v>
      </c>
      <c r="H1390" s="264">
        <f t="shared" si="136"/>
        <v>131200</v>
      </c>
      <c r="I1390" s="280">
        <v>124640</v>
      </c>
      <c r="J1390" s="265">
        <f t="shared" si="138"/>
        <v>6560</v>
      </c>
      <c r="K1390" s="267">
        <f t="shared" si="135"/>
        <v>6560</v>
      </c>
      <c r="L1390" s="310">
        <f t="shared" si="137"/>
        <v>0.05</v>
      </c>
      <c r="M1390" s="208" t="s">
        <v>40</v>
      </c>
      <c r="N1390" s="289" t="s">
        <v>4066</v>
      </c>
    </row>
    <row r="1391" spans="1:14" s="305" customFormat="1" ht="25.5">
      <c r="A1391" s="284" t="s">
        <v>1400</v>
      </c>
      <c r="B1391" s="159" t="s">
        <v>4649</v>
      </c>
      <c r="C1391" s="290" t="s">
        <v>4231</v>
      </c>
      <c r="D1391" s="338" t="s">
        <v>4651</v>
      </c>
      <c r="E1391" s="281">
        <v>1</v>
      </c>
      <c r="F1391" s="284" t="s">
        <v>285</v>
      </c>
      <c r="G1391" s="282">
        <v>112135</v>
      </c>
      <c r="H1391" s="264">
        <f t="shared" si="136"/>
        <v>112135</v>
      </c>
      <c r="I1391" s="280">
        <v>106528.25</v>
      </c>
      <c r="J1391" s="265">
        <f t="shared" si="138"/>
        <v>5606.75</v>
      </c>
      <c r="K1391" s="267">
        <f t="shared" si="135"/>
        <v>5606.75</v>
      </c>
      <c r="L1391" s="310">
        <f t="shared" si="137"/>
        <v>0.05</v>
      </c>
      <c r="M1391" s="208" t="s">
        <v>40</v>
      </c>
      <c r="N1391" s="289" t="s">
        <v>4066</v>
      </c>
    </row>
    <row r="1392" spans="1:14" s="305" customFormat="1">
      <c r="A1392" s="284" t="s">
        <v>1400</v>
      </c>
      <c r="B1392" s="159" t="s">
        <v>4652</v>
      </c>
      <c r="C1392" s="290" t="s">
        <v>96</v>
      </c>
      <c r="D1392" s="292" t="s">
        <v>99</v>
      </c>
      <c r="E1392" s="281">
        <v>50</v>
      </c>
      <c r="F1392" s="284" t="s">
        <v>19</v>
      </c>
      <c r="G1392" s="282">
        <v>432</v>
      </c>
      <c r="H1392" s="264">
        <f t="shared" si="136"/>
        <v>21600</v>
      </c>
      <c r="I1392" s="280">
        <v>405</v>
      </c>
      <c r="J1392" s="265">
        <f t="shared" si="138"/>
        <v>27</v>
      </c>
      <c r="K1392" s="267">
        <f t="shared" si="135"/>
        <v>1350</v>
      </c>
      <c r="L1392" s="310">
        <f t="shared" si="137"/>
        <v>6.25E-2</v>
      </c>
      <c r="M1392" s="208" t="s">
        <v>40</v>
      </c>
      <c r="N1392" s="289" t="s">
        <v>4066</v>
      </c>
    </row>
    <row r="1393" spans="1:14" s="305" customFormat="1">
      <c r="A1393" s="284" t="s">
        <v>1400</v>
      </c>
      <c r="B1393" s="159" t="s">
        <v>4653</v>
      </c>
      <c r="C1393" s="290" t="s">
        <v>1948</v>
      </c>
      <c r="D1393" s="292" t="s">
        <v>25</v>
      </c>
      <c r="E1393" s="281">
        <v>48</v>
      </c>
      <c r="F1393" s="284" t="s">
        <v>19</v>
      </c>
      <c r="G1393" s="282">
        <v>37</v>
      </c>
      <c r="H1393" s="264">
        <f t="shared" si="136"/>
        <v>1776</v>
      </c>
      <c r="I1393" s="280">
        <v>35</v>
      </c>
      <c r="J1393" s="265">
        <f t="shared" si="138"/>
        <v>2</v>
      </c>
      <c r="K1393" s="267">
        <f t="shared" si="135"/>
        <v>96</v>
      </c>
      <c r="L1393" s="310">
        <f t="shared" si="137"/>
        <v>5.4054054054054057E-2</v>
      </c>
      <c r="M1393" s="208" t="s">
        <v>40</v>
      </c>
      <c r="N1393" s="289" t="s">
        <v>4066</v>
      </c>
    </row>
    <row r="1394" spans="1:14" s="305" customFormat="1">
      <c r="A1394" s="284" t="s">
        <v>1400</v>
      </c>
      <c r="B1394" s="159" t="s">
        <v>4653</v>
      </c>
      <c r="C1394" s="290" t="s">
        <v>1948</v>
      </c>
      <c r="D1394" s="292" t="s">
        <v>1420</v>
      </c>
      <c r="E1394" s="281">
        <v>2000</v>
      </c>
      <c r="F1394" s="284" t="s">
        <v>19</v>
      </c>
      <c r="G1394" s="282">
        <v>1.31</v>
      </c>
      <c r="H1394" s="264">
        <f t="shared" si="136"/>
        <v>2620</v>
      </c>
      <c r="I1394" s="280">
        <v>1.18</v>
      </c>
      <c r="J1394" s="265">
        <f t="shared" si="138"/>
        <v>0.13000000000000012</v>
      </c>
      <c r="K1394" s="267">
        <f t="shared" si="135"/>
        <v>260.00000000000023</v>
      </c>
      <c r="L1394" s="310">
        <f t="shared" si="137"/>
        <v>9.9236641221374128E-2</v>
      </c>
      <c r="M1394" s="208" t="s">
        <v>40</v>
      </c>
      <c r="N1394" s="289" t="s">
        <v>4066</v>
      </c>
    </row>
    <row r="1395" spans="1:14" s="305" customFormat="1">
      <c r="A1395" s="284" t="s">
        <v>1400</v>
      </c>
      <c r="B1395" s="159" t="s">
        <v>4654</v>
      </c>
      <c r="C1395" s="290" t="s">
        <v>17</v>
      </c>
      <c r="D1395" s="292" t="s">
        <v>4655</v>
      </c>
      <c r="E1395" s="281">
        <v>36</v>
      </c>
      <c r="F1395" s="284" t="s">
        <v>4656</v>
      </c>
      <c r="G1395" s="282">
        <v>60</v>
      </c>
      <c r="H1395" s="264">
        <f t="shared" si="136"/>
        <v>2160</v>
      </c>
      <c r="I1395" s="280">
        <v>58</v>
      </c>
      <c r="J1395" s="265">
        <f t="shared" si="138"/>
        <v>2</v>
      </c>
      <c r="K1395" s="267">
        <f t="shared" si="135"/>
        <v>72</v>
      </c>
      <c r="L1395" s="310">
        <f t="shared" si="137"/>
        <v>3.3333333333333333E-2</v>
      </c>
      <c r="M1395" s="208" t="s">
        <v>40</v>
      </c>
      <c r="N1395" s="289" t="s">
        <v>4066</v>
      </c>
    </row>
    <row r="1396" spans="1:14" s="305" customFormat="1">
      <c r="A1396" s="284" t="s">
        <v>1400</v>
      </c>
      <c r="B1396" s="159" t="s">
        <v>4654</v>
      </c>
      <c r="C1396" s="290" t="s">
        <v>17</v>
      </c>
      <c r="D1396" s="292" t="s">
        <v>4657</v>
      </c>
      <c r="E1396" s="281">
        <v>192</v>
      </c>
      <c r="F1396" s="284" t="s">
        <v>1259</v>
      </c>
      <c r="G1396" s="282">
        <v>18</v>
      </c>
      <c r="H1396" s="264">
        <f t="shared" si="136"/>
        <v>3456</v>
      </c>
      <c r="I1396" s="280">
        <v>17</v>
      </c>
      <c r="J1396" s="265">
        <f t="shared" si="138"/>
        <v>1</v>
      </c>
      <c r="K1396" s="267">
        <f t="shared" si="135"/>
        <v>192</v>
      </c>
      <c r="L1396" s="310">
        <f t="shared" si="137"/>
        <v>5.5555555555555552E-2</v>
      </c>
      <c r="M1396" s="208" t="s">
        <v>40</v>
      </c>
      <c r="N1396" s="289" t="s">
        <v>4066</v>
      </c>
    </row>
    <row r="1397" spans="1:14" s="305" customFormat="1">
      <c r="A1397" s="284" t="s">
        <v>1400</v>
      </c>
      <c r="B1397" s="159" t="s">
        <v>4658</v>
      </c>
      <c r="C1397" s="290" t="s">
        <v>4659</v>
      </c>
      <c r="D1397" s="292" t="s">
        <v>4660</v>
      </c>
      <c r="E1397" s="281">
        <v>1</v>
      </c>
      <c r="F1397" s="284" t="s">
        <v>19</v>
      </c>
      <c r="G1397" s="282">
        <v>12000</v>
      </c>
      <c r="H1397" s="264">
        <f t="shared" si="136"/>
        <v>12000</v>
      </c>
      <c r="I1397" s="280">
        <v>11400</v>
      </c>
      <c r="J1397" s="265">
        <f t="shared" si="138"/>
        <v>600</v>
      </c>
      <c r="K1397" s="267">
        <f t="shared" si="135"/>
        <v>600</v>
      </c>
      <c r="L1397" s="310">
        <f t="shared" si="137"/>
        <v>0.05</v>
      </c>
      <c r="M1397" s="208" t="s">
        <v>40</v>
      </c>
      <c r="N1397" s="289" t="s">
        <v>4066</v>
      </c>
    </row>
    <row r="1398" spans="1:14" s="305" customFormat="1">
      <c r="A1398" s="284" t="s">
        <v>1400</v>
      </c>
      <c r="B1398" s="159" t="s">
        <v>4658</v>
      </c>
      <c r="C1398" s="290" t="s">
        <v>4659</v>
      </c>
      <c r="D1398" s="292" t="s">
        <v>4661</v>
      </c>
      <c r="E1398" s="281">
        <v>1</v>
      </c>
      <c r="F1398" s="284" t="s">
        <v>19</v>
      </c>
      <c r="G1398" s="282">
        <v>6500</v>
      </c>
      <c r="H1398" s="264">
        <f t="shared" si="136"/>
        <v>6500</v>
      </c>
      <c r="I1398" s="280">
        <v>6175</v>
      </c>
      <c r="J1398" s="265">
        <f t="shared" si="138"/>
        <v>325</v>
      </c>
      <c r="K1398" s="267">
        <f t="shared" si="135"/>
        <v>325</v>
      </c>
      <c r="L1398" s="310">
        <f t="shared" si="137"/>
        <v>0.05</v>
      </c>
      <c r="M1398" s="208" t="s">
        <v>40</v>
      </c>
      <c r="N1398" s="289" t="s">
        <v>4066</v>
      </c>
    </row>
    <row r="1399" spans="1:14" s="305" customFormat="1">
      <c r="A1399" s="382" t="s">
        <v>1400</v>
      </c>
      <c r="B1399" s="286" t="s">
        <v>4662</v>
      </c>
      <c r="C1399" s="383" t="s">
        <v>4663</v>
      </c>
      <c r="D1399" s="384" t="s">
        <v>4664</v>
      </c>
      <c r="E1399" s="385">
        <v>1</v>
      </c>
      <c r="F1399" s="382" t="s">
        <v>285</v>
      </c>
      <c r="G1399" s="377">
        <v>149490</v>
      </c>
      <c r="H1399" s="264">
        <f t="shared" si="136"/>
        <v>149490</v>
      </c>
      <c r="I1399" s="280">
        <v>148960.56</v>
      </c>
      <c r="J1399" s="265">
        <f t="shared" si="138"/>
        <v>529.44000000000233</v>
      </c>
      <c r="K1399" s="267">
        <f t="shared" si="135"/>
        <v>529.44000000000233</v>
      </c>
      <c r="L1399" s="310">
        <f t="shared" si="137"/>
        <v>3.5416415813766962E-3</v>
      </c>
      <c r="M1399" s="279" t="s">
        <v>30</v>
      </c>
      <c r="N1399" s="386" t="s">
        <v>4066</v>
      </c>
    </row>
    <row r="1400" spans="1:14">
      <c r="A1400" s="172" t="s">
        <v>1400</v>
      </c>
      <c r="B1400" s="181" t="s">
        <v>4665</v>
      </c>
      <c r="C1400" s="12" t="s">
        <v>335</v>
      </c>
      <c r="D1400" s="138" t="s">
        <v>336</v>
      </c>
      <c r="E1400" s="182">
        <v>112000</v>
      </c>
      <c r="F1400" s="172" t="s">
        <v>337</v>
      </c>
      <c r="G1400" s="18">
        <v>32</v>
      </c>
      <c r="H1400" s="18">
        <f t="shared" si="136"/>
        <v>3584000</v>
      </c>
      <c r="I1400" s="216">
        <v>31.25</v>
      </c>
      <c r="J1400" s="184">
        <f t="shared" si="138"/>
        <v>0.75</v>
      </c>
      <c r="K1400" s="185">
        <f t="shared" si="135"/>
        <v>84000</v>
      </c>
      <c r="L1400" s="186">
        <f t="shared" si="137"/>
        <v>2.34375E-2</v>
      </c>
      <c r="M1400" s="12" t="s">
        <v>22</v>
      </c>
      <c r="N1400" s="12" t="s">
        <v>39</v>
      </c>
    </row>
  </sheetData>
  <autoFilter ref="A3:N1248" xr:uid="{00000000-0009-0000-0000-000004000000}"/>
  <dataValidations count="11">
    <dataValidation type="list" allowBlank="1" showInputMessage="1" showErrorMessage="1" sqref="N808:N1400" xr:uid="{00000000-0002-0000-0400-000000000000}">
      <formula1>"Pawina,Tanida,Yuwanit"</formula1>
    </dataValidation>
    <dataValidation type="list" allowBlank="1" showInputMessage="1" showErrorMessage="1" sqref="N3 N284 N338:N339 N302:N335 N345:N807" xr:uid="{00000000-0002-0000-0400-000001000000}">
      <formula1>"Pawina,Tanida,Dusit"</formula1>
    </dataValidation>
    <dataValidation type="list" allowBlank="1" showInputMessage="1" showErrorMessage="1" sqref="N2 N285:N301 N336:N337 N340:N344 N4:N283 N1401:N1048576" xr:uid="{00000000-0002-0000-0400-000002000000}">
      <formula1>"Pawina,Tanida,Saniya"</formula1>
    </dataValidation>
    <dataValidation type="list" allowBlank="1" showInputMessage="1" showErrorMessage="1" sqref="M4:M411 M435:M1016" xr:uid="{00000000-0002-0000-0400-000003000000}">
      <formula1>$O$4:$O$8</formula1>
    </dataValidation>
    <dataValidation type="list" allowBlank="1" showInputMessage="1" showErrorMessage="1" sqref="O201:O212" xr:uid="{00000000-0002-0000-0400-000004000000}">
      <formula1>$N$1445:$N$1446</formula1>
    </dataValidation>
    <dataValidation type="list" allowBlank="1" showInputMessage="1" showErrorMessage="1" sqref="O4:O5" xr:uid="{00000000-0002-0000-0400-000005000000}">
      <formula1>$O$1505:$O$1507</formula1>
    </dataValidation>
    <dataValidation type="list" allowBlank="1" showInputMessage="1" showErrorMessage="1" sqref="M2:M3 M1401:M1048576" xr:uid="{00000000-0002-0000-0400-000006000000}">
      <formula1>$O$4:$O$6</formula1>
    </dataValidation>
    <dataValidation type="list" allowBlank="1" showInputMessage="1" showErrorMessage="1" sqref="A2:A886 A1401:A1048576" xr:uid="{00000000-0002-0000-0400-000007000000}">
      <formula1>$S$426:$S$437</formula1>
    </dataValidation>
    <dataValidation type="list" allowBlank="1" showInputMessage="1" showErrorMessage="1" sqref="B913 A887:A1016" xr:uid="{00000000-0002-0000-0400-000008000000}">
      <formula1>$S$441:$S$452</formula1>
    </dataValidation>
    <dataValidation type="list" allowBlank="1" showInputMessage="1" showErrorMessage="1" sqref="A1017:A1400" xr:uid="{00000000-0002-0000-0400-000009000000}">
      <formula1>$S$440:$S$451</formula1>
    </dataValidation>
    <dataValidation type="list" allowBlank="1" showInputMessage="1" showErrorMessage="1" sqref="M1017:M1400" xr:uid="{00000000-0002-0000-0400-00000A000000}">
      <formula1>$O$3:$O$7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20"/>
  <sheetViews>
    <sheetView workbookViewId="0">
      <selection activeCell="J7" sqref="J7"/>
    </sheetView>
  </sheetViews>
  <sheetFormatPr defaultColWidth="24.140625" defaultRowHeight="15"/>
  <cols>
    <col min="1" max="1" width="30.7109375" style="10" bestFit="1" customWidth="1"/>
    <col min="2" max="2" width="20.42578125" style="10" bestFit="1" customWidth="1"/>
    <col min="3" max="3" width="17.85546875" style="10" bestFit="1" customWidth="1"/>
    <col min="4" max="4" width="16.42578125" style="10" bestFit="1" customWidth="1"/>
    <col min="5" max="5" width="17.85546875" style="10" bestFit="1" customWidth="1"/>
    <col min="6" max="6" width="14.5703125" style="10" bestFit="1" customWidth="1"/>
    <col min="7" max="7" width="17.85546875" style="10" customWidth="1"/>
    <col min="8" max="8" width="9.7109375" style="10" bestFit="1" customWidth="1"/>
    <col min="9" max="16384" width="24.140625" style="10"/>
  </cols>
  <sheetData>
    <row r="3" spans="1:8">
      <c r="A3" s="347" t="s">
        <v>5848</v>
      </c>
      <c r="B3" s="347" t="s">
        <v>5849</v>
      </c>
    </row>
    <row r="4" spans="1:8">
      <c r="A4" s="347" t="s">
        <v>5850</v>
      </c>
      <c r="B4" s="349" t="s">
        <v>3424</v>
      </c>
      <c r="C4" s="349" t="s">
        <v>39</v>
      </c>
      <c r="D4" s="349" t="s">
        <v>21</v>
      </c>
      <c r="E4" s="349" t="s">
        <v>105</v>
      </c>
      <c r="F4" s="349" t="s">
        <v>4066</v>
      </c>
      <c r="G4" s="349" t="s">
        <v>5851</v>
      </c>
    </row>
    <row r="5" spans="1:8">
      <c r="A5" s="348" t="s">
        <v>20</v>
      </c>
      <c r="C5" s="10">
        <v>242550</v>
      </c>
      <c r="D5" s="10">
        <v>6960</v>
      </c>
      <c r="E5" s="10">
        <v>735860</v>
      </c>
      <c r="G5" s="10">
        <v>985370</v>
      </c>
    </row>
    <row r="6" spans="1:8">
      <c r="A6" s="348" t="s">
        <v>22</v>
      </c>
      <c r="C6" s="10">
        <v>8720352.5999999978</v>
      </c>
      <c r="D6" s="10">
        <v>329680.5</v>
      </c>
      <c r="E6" s="10">
        <v>6428412.3699999992</v>
      </c>
      <c r="F6" s="10">
        <v>71303.3</v>
      </c>
      <c r="G6" s="10">
        <v>15549748.769999998</v>
      </c>
    </row>
    <row r="7" spans="1:8">
      <c r="A7" s="348" t="s">
        <v>40</v>
      </c>
      <c r="B7" s="10">
        <v>143426.59</v>
      </c>
      <c r="C7" s="10">
        <v>2917633.74</v>
      </c>
      <c r="D7" s="10">
        <v>553322</v>
      </c>
      <c r="E7" s="10">
        <v>2851246.41</v>
      </c>
      <c r="F7" s="10">
        <v>293198.51000000013</v>
      </c>
      <c r="G7" s="10">
        <v>6758827.25</v>
      </c>
    </row>
    <row r="8" spans="1:8">
      <c r="A8" s="348" t="s">
        <v>33</v>
      </c>
      <c r="D8" s="10">
        <v>303732.15000000037</v>
      </c>
      <c r="G8" s="10">
        <v>303732.15000000037</v>
      </c>
    </row>
    <row r="9" spans="1:8">
      <c r="A9" s="348" t="s">
        <v>30</v>
      </c>
      <c r="B9" s="10">
        <v>82234.930000000008</v>
      </c>
      <c r="C9" s="10">
        <v>70.13</v>
      </c>
      <c r="F9" s="10">
        <v>3364.5799999999581</v>
      </c>
      <c r="G9" s="10">
        <v>85669.63999999997</v>
      </c>
    </row>
    <row r="10" spans="1:8">
      <c r="A10" s="348" t="s">
        <v>5851</v>
      </c>
      <c r="B10" s="10">
        <v>225661.52000000002</v>
      </c>
      <c r="C10" s="10">
        <v>11880606.469999999</v>
      </c>
      <c r="D10" s="10">
        <v>1193694.6500000004</v>
      </c>
      <c r="E10" s="10">
        <v>10015518.779999999</v>
      </c>
      <c r="F10" s="10">
        <v>367866.39000000007</v>
      </c>
      <c r="G10" s="10">
        <v>23683347.809999995</v>
      </c>
    </row>
    <row r="13" spans="1:8">
      <c r="A13" s="675" t="s">
        <v>5852</v>
      </c>
      <c r="B13" s="674" t="s">
        <v>5853</v>
      </c>
      <c r="C13" s="674"/>
      <c r="D13" s="674"/>
      <c r="E13" s="674"/>
      <c r="F13" s="674"/>
      <c r="G13" s="674"/>
      <c r="H13" s="675" t="s">
        <v>5854</v>
      </c>
    </row>
    <row r="14" spans="1:8">
      <c r="A14" s="675"/>
      <c r="B14" s="350" t="s">
        <v>3424</v>
      </c>
      <c r="C14" s="350" t="s">
        <v>39</v>
      </c>
      <c r="D14" s="350" t="s">
        <v>21</v>
      </c>
      <c r="E14" s="350" t="s">
        <v>105</v>
      </c>
      <c r="F14" s="350" t="s">
        <v>4066</v>
      </c>
      <c r="G14" s="351" t="s">
        <v>5851</v>
      </c>
      <c r="H14" s="675"/>
    </row>
    <row r="15" spans="1:8">
      <c r="A15" s="355" t="s">
        <v>20</v>
      </c>
      <c r="B15" s="11"/>
      <c r="C15" s="11">
        <v>242550</v>
      </c>
      <c r="D15" s="11">
        <v>6960</v>
      </c>
      <c r="E15" s="11">
        <v>735860</v>
      </c>
      <c r="F15" s="11"/>
      <c r="G15" s="11">
        <v>985370</v>
      </c>
      <c r="H15" s="353">
        <f>G15/G$20</f>
        <v>4.1606026643916445E-2</v>
      </c>
    </row>
    <row r="16" spans="1:8">
      <c r="A16" s="355" t="s">
        <v>22</v>
      </c>
      <c r="B16" s="11"/>
      <c r="C16" s="11">
        <v>8720352.5999999978</v>
      </c>
      <c r="D16" s="11">
        <v>329680.5</v>
      </c>
      <c r="E16" s="11">
        <v>6428412.3699999992</v>
      </c>
      <c r="F16" s="11">
        <v>71303.3</v>
      </c>
      <c r="G16" s="11">
        <v>15549748.769999998</v>
      </c>
      <c r="H16" s="353">
        <f t="shared" ref="H16:H19" si="0">G16/G$20</f>
        <v>0.65656886411279713</v>
      </c>
    </row>
    <row r="17" spans="1:8">
      <c r="A17" s="355" t="s">
        <v>40</v>
      </c>
      <c r="B17" s="11">
        <v>143426.59</v>
      </c>
      <c r="C17" s="11">
        <v>2917633.74</v>
      </c>
      <c r="D17" s="11">
        <v>553322</v>
      </c>
      <c r="E17" s="11">
        <v>2851246.41</v>
      </c>
      <c r="F17" s="11">
        <v>293198.51000000013</v>
      </c>
      <c r="G17" s="11">
        <v>6758827.25</v>
      </c>
      <c r="H17" s="353">
        <f t="shared" si="0"/>
        <v>0.28538310141888684</v>
      </c>
    </row>
    <row r="18" spans="1:8">
      <c r="A18" s="355" t="s">
        <v>33</v>
      </c>
      <c r="B18" s="11"/>
      <c r="C18" s="11"/>
      <c r="D18" s="11">
        <v>303732.15000000037</v>
      </c>
      <c r="E18" s="11"/>
      <c r="F18" s="11"/>
      <c r="G18" s="11">
        <v>303732.15000000037</v>
      </c>
      <c r="H18" s="353">
        <f t="shared" si="0"/>
        <v>1.282471348378177E-2</v>
      </c>
    </row>
    <row r="19" spans="1:8">
      <c r="A19" s="355" t="s">
        <v>5855</v>
      </c>
      <c r="B19" s="11">
        <v>82234.930000000008</v>
      </c>
      <c r="C19" s="11">
        <v>70.13</v>
      </c>
      <c r="D19" s="11"/>
      <c r="E19" s="11"/>
      <c r="F19" s="11">
        <v>3364.5799999999581</v>
      </c>
      <c r="G19" s="11">
        <v>85669.63999999997</v>
      </c>
      <c r="H19" s="353">
        <f t="shared" si="0"/>
        <v>3.6172943406179697E-3</v>
      </c>
    </row>
    <row r="20" spans="1:8">
      <c r="A20" s="352" t="s">
        <v>5856</v>
      </c>
      <c r="B20" s="351">
        <v>225661.52000000002</v>
      </c>
      <c r="C20" s="351">
        <v>11880606.469999999</v>
      </c>
      <c r="D20" s="351">
        <v>1193694.6500000004</v>
      </c>
      <c r="E20" s="351">
        <v>10015518.779999999</v>
      </c>
      <c r="F20" s="351">
        <v>367866.39000000007</v>
      </c>
      <c r="G20" s="351">
        <v>23683347.809999995</v>
      </c>
      <c r="H20" s="354">
        <f>SUM(H15:H19)</f>
        <v>1</v>
      </c>
    </row>
  </sheetData>
  <mergeCells count="3">
    <mergeCell ref="B13:G13"/>
    <mergeCell ref="A13:A14"/>
    <mergeCell ref="H13:H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H21"/>
  <sheetViews>
    <sheetView showGridLines="0" zoomScale="160" zoomScaleNormal="160" workbookViewId="0">
      <selection activeCell="I18" sqref="I18"/>
    </sheetView>
  </sheetViews>
  <sheetFormatPr defaultRowHeight="15"/>
  <cols>
    <col min="1" max="1" width="2.85546875" style="104" customWidth="1"/>
    <col min="2" max="2" width="2.42578125" style="104" customWidth="1"/>
    <col min="3" max="3" width="16.7109375" style="104" customWidth="1"/>
    <col min="4" max="4" width="12.140625" style="104" customWidth="1"/>
    <col min="5" max="5" width="8.140625" style="104" customWidth="1"/>
    <col min="6" max="6" width="9.140625" style="104"/>
    <col min="7" max="7" width="8.85546875" style="104" customWidth="1"/>
    <col min="8" max="16384" width="9.140625" style="104"/>
  </cols>
  <sheetData>
    <row r="2" spans="2:8">
      <c r="C2" s="104" t="s">
        <v>5857</v>
      </c>
      <c r="D2" s="105">
        <v>10</v>
      </c>
      <c r="F2" s="104" t="s">
        <v>5858</v>
      </c>
    </row>
    <row r="3" spans="2:8">
      <c r="C3" s="104" t="s">
        <v>5859</v>
      </c>
      <c r="D3" s="106">
        <v>16</v>
      </c>
      <c r="F3" s="104" t="str">
        <f>IF(H3=TRUE,"งาน/วัน","งาน/เดือน")</f>
        <v>งาน/เดือน</v>
      </c>
      <c r="H3" s="107" t="b">
        <v>0</v>
      </c>
    </row>
    <row r="5" spans="2:8">
      <c r="C5" s="104" t="s">
        <v>5860</v>
      </c>
      <c r="D5" s="108">
        <f>(19625/21)/8</f>
        <v>116.81547619047619</v>
      </c>
      <c r="F5" s="104" t="s">
        <v>5861</v>
      </c>
    </row>
    <row r="6" spans="2:8">
      <c r="C6" s="104" t="s">
        <v>5862</v>
      </c>
      <c r="D6" s="104">
        <v>20</v>
      </c>
      <c r="F6" s="104" t="s">
        <v>5863</v>
      </c>
    </row>
    <row r="7" spans="2:8">
      <c r="C7" s="104" t="s">
        <v>5864</v>
      </c>
      <c r="D7" s="104">
        <v>1</v>
      </c>
      <c r="F7" s="104" t="s">
        <v>5865</v>
      </c>
    </row>
    <row r="9" spans="2:8">
      <c r="B9" s="109"/>
      <c r="C9" s="110"/>
      <c r="D9" s="110"/>
      <c r="E9" s="110"/>
      <c r="F9" s="110"/>
      <c r="G9" s="110"/>
      <c r="H9" s="111"/>
    </row>
    <row r="10" spans="2:8">
      <c r="B10" s="112"/>
      <c r="C10" s="104" t="s">
        <v>5866</v>
      </c>
      <c r="D10" s="106" t="str">
        <f>IF(H3=TRUE,"("&amp;D2&amp;"/60) x "&amp;D3&amp;" x "&amp;117&amp;" x "&amp;D6&amp;" x "&amp;D7,"("&amp;D2&amp;"/60) x "&amp;D3&amp;" x "&amp;117&amp;" x "&amp;D7)</f>
        <v>(10/60) x 16 x 117 x 1</v>
      </c>
      <c r="E10" s="106"/>
      <c r="F10" s="106"/>
      <c r="G10" s="106"/>
      <c r="H10" s="113" t="s">
        <v>5867</v>
      </c>
    </row>
    <row r="11" spans="2:8">
      <c r="B11" s="112"/>
      <c r="H11" s="113"/>
    </row>
    <row r="12" spans="2:8">
      <c r="B12" s="112"/>
      <c r="D12" s="114">
        <f>IF(H3=TRUE,(D2/60)*D5*D3*D6*D7,(D2/60)*D5*D3*D7)</f>
        <v>311.50793650793651</v>
      </c>
      <c r="H12" s="113" t="s">
        <v>5867</v>
      </c>
    </row>
    <row r="13" spans="2:8">
      <c r="B13" s="115"/>
      <c r="C13" s="116"/>
      <c r="D13" s="116"/>
      <c r="E13" s="116"/>
      <c r="F13" s="116"/>
      <c r="G13" s="116"/>
      <c r="H13" s="117"/>
    </row>
    <row r="14" spans="2:8">
      <c r="C14" s="104" t="s">
        <v>5868</v>
      </c>
    </row>
    <row r="15" spans="2:8">
      <c r="C15" s="118" t="s">
        <v>5869</v>
      </c>
      <c r="D15" s="119"/>
      <c r="E15" s="119"/>
      <c r="F15" s="119"/>
      <c r="G15" s="119"/>
    </row>
    <row r="16" spans="2:8">
      <c r="C16" s="120" t="s">
        <v>5870</v>
      </c>
      <c r="D16" s="119"/>
      <c r="E16" s="119"/>
      <c r="F16" s="119"/>
      <c r="G16" s="119"/>
    </row>
    <row r="17" spans="3:7">
      <c r="C17" s="119" t="s">
        <v>5871</v>
      </c>
      <c r="D17" s="119"/>
      <c r="E17" s="119"/>
      <c r="F17" s="119"/>
      <c r="G17" s="119"/>
    </row>
    <row r="18" spans="3:7">
      <c r="C18" s="121" t="s">
        <v>5872</v>
      </c>
      <c r="D18" s="122"/>
      <c r="E18" s="122"/>
      <c r="F18" s="123"/>
      <c r="G18" s="119"/>
    </row>
    <row r="19" spans="3:7">
      <c r="C19" s="123" t="s">
        <v>5873</v>
      </c>
      <c r="D19" s="123"/>
      <c r="E19" s="123"/>
      <c r="F19" s="123"/>
      <c r="G19" s="119"/>
    </row>
    <row r="20" spans="3:7">
      <c r="C20" s="119" t="s">
        <v>5874</v>
      </c>
      <c r="D20" s="119">
        <v>3</v>
      </c>
      <c r="E20" s="119" t="s">
        <v>5875</v>
      </c>
      <c r="F20" s="119"/>
      <c r="G20" s="119"/>
    </row>
    <row r="21" spans="3:7">
      <c r="C21" s="119" t="s">
        <v>5876</v>
      </c>
      <c r="D21" s="119">
        <v>0.3</v>
      </c>
      <c r="E21" s="119" t="s">
        <v>5875</v>
      </c>
      <c r="F21" s="119"/>
      <c r="G21" s="119"/>
    </row>
  </sheetData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6</xdr:col>
                    <xdr:colOff>352425</xdr:colOff>
                    <xdr:row>2</xdr:row>
                    <xdr:rowOff>19050</xdr:rowOff>
                  </from>
                  <to>
                    <xdr:col>7</xdr:col>
                    <xdr:colOff>590550</xdr:colOff>
                    <xdr:row>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13"/>
  <sheetViews>
    <sheetView workbookViewId="0">
      <selection activeCell="N24" sqref="N24"/>
    </sheetView>
  </sheetViews>
  <sheetFormatPr defaultRowHeight="15"/>
  <cols>
    <col min="2" max="2" width="6.85546875" bestFit="1" customWidth="1"/>
    <col min="3" max="3" width="6" customWidth="1"/>
  </cols>
  <sheetData>
    <row r="1" spans="2:3">
      <c r="B1" s="676" t="s">
        <v>5834</v>
      </c>
      <c r="C1" s="676"/>
    </row>
    <row r="2" spans="2:3">
      <c r="B2" s="561" t="s">
        <v>15</v>
      </c>
      <c r="C2">
        <v>1</v>
      </c>
    </row>
    <row r="3" spans="2:3">
      <c r="B3" s="561" t="s">
        <v>178</v>
      </c>
      <c r="C3">
        <v>2</v>
      </c>
    </row>
    <row r="4" spans="2:3">
      <c r="B4" s="561" t="s">
        <v>327</v>
      </c>
      <c r="C4">
        <v>3</v>
      </c>
    </row>
    <row r="5" spans="2:3">
      <c r="B5" s="561" t="s">
        <v>464</v>
      </c>
      <c r="C5">
        <v>4</v>
      </c>
    </row>
    <row r="6" spans="2:3">
      <c r="B6" s="561" t="s">
        <v>562</v>
      </c>
      <c r="C6">
        <v>5</v>
      </c>
    </row>
    <row r="7" spans="2:3">
      <c r="B7" s="561" t="s">
        <v>696</v>
      </c>
      <c r="C7">
        <v>6</v>
      </c>
    </row>
    <row r="8" spans="2:3">
      <c r="B8" s="561" t="s">
        <v>1</v>
      </c>
      <c r="C8">
        <v>7</v>
      </c>
    </row>
    <row r="9" spans="2:3">
      <c r="B9" s="561" t="s">
        <v>895</v>
      </c>
      <c r="C9">
        <v>8</v>
      </c>
    </row>
    <row r="10" spans="2:3">
      <c r="B10" s="561" t="s">
        <v>998</v>
      </c>
      <c r="C10">
        <v>9</v>
      </c>
    </row>
    <row r="11" spans="2:3">
      <c r="B11" s="561" t="s">
        <v>1083</v>
      </c>
      <c r="C11">
        <v>10</v>
      </c>
    </row>
    <row r="12" spans="2:3">
      <c r="B12" s="561" t="s">
        <v>1295</v>
      </c>
      <c r="C12">
        <v>11</v>
      </c>
    </row>
    <row r="13" spans="2:3">
      <c r="B13" s="561" t="s">
        <v>1400</v>
      </c>
      <c r="C13">
        <v>12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20af67-6029-4e2e-b6c6-95c8e20934d6">
      <Terms xmlns="http://schemas.microsoft.com/office/infopath/2007/PartnerControls"/>
    </lcf76f155ced4ddcb4097134ff3c332f>
    <TaxCatchAll xmlns="9d1a14ed-5721-423d-a792-79661b24a153" xsi:nil="true"/>
    <RFQNumber xmlns="de20af67-6029-4e2e-b6c6-95c8e20934d6" xsi:nil="true"/>
    <E_x002d_mail xmlns="de20af67-6029-4e2e-b6c6-95c8e20934d6" xsi:nil="true"/>
    <_x0e4c_Note xmlns="de20af67-6029-4e2e-b6c6-95c8e20934d6" xsi:nil="true"/>
    <E_x002d_mail0 xmlns="de20af67-6029-4e2e-b6c6-95c8e20934d6" xsi:nil="true"/>
    <E_x002d_mail_x0028__x0e1c__x0e39__x0e49__x0e02__x0e2d__x0e23__x0e32__x0e04__x0e32__x0029_ xmlns="de20af67-6029-4e2e-b6c6-95c8e20934d6" xsi:nil="true"/>
    <RFQNo xmlns="de20af67-6029-4e2e-b6c6-95c8e20934d6" xsi:nil="true"/>
    <Date xmlns="de20af67-6029-4e2e-b6c6-95c8e20934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BB7DF7EF8BC83E4B998C9280A21227C7" ma:contentTypeVersion="25" ma:contentTypeDescription="สร้างเอกสารใหม่" ma:contentTypeScope="" ma:versionID="347a8b1fddb2aaa70b27960f15aa8cb0">
  <xsd:schema xmlns:xsd="http://www.w3.org/2001/XMLSchema" xmlns:xs="http://www.w3.org/2001/XMLSchema" xmlns:p="http://schemas.microsoft.com/office/2006/metadata/properties" xmlns:ns2="9d1a14ed-5721-423d-a792-79661b24a153" xmlns:ns3="de20af67-6029-4e2e-b6c6-95c8e20934d6" targetNamespace="http://schemas.microsoft.com/office/2006/metadata/properties" ma:root="true" ma:fieldsID="57c4dec8662ce7fa0a9b1f18980eabd2" ns2:_="" ns3:_="">
    <xsd:import namespace="9d1a14ed-5721-423d-a792-79661b24a153"/>
    <xsd:import namespace="de20af67-6029-4e2e-b6c6-95c8e20934d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RFQNumber" minOccurs="0"/>
                <xsd:element ref="ns3:E_x002d_mail_x0028__x0e1c__x0e39__x0e49__x0e02__x0e2d__x0e23__x0e32__x0e04__x0e32__x0029_" minOccurs="0"/>
                <xsd:element ref="ns3:E_x002d_mail" minOccurs="0"/>
                <xsd:element ref="ns3:E_x002d_mail0" minOccurs="0"/>
                <xsd:element ref="ns3:_x0e4c_Note" minOccurs="0"/>
                <xsd:element ref="ns3:Date" minOccurs="0"/>
                <xsd:element ref="ns3:RFQ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a14ed-5721-423d-a792-79661b24a1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43f62a-4d98-4a6f-92e3-304477fe5e54}" ma:internalName="TaxCatchAll" ma:showField="CatchAllData" ma:web="9d1a14ed-5721-423d-a792-79661b24a1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20af67-6029-4e2e-b6c6-95c8e20934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แท็กรูป" ma:readOnly="false" ma:fieldId="{5cf76f15-5ced-4ddc-b409-7134ff3c332f}" ma:taxonomyMulti="true" ma:sspId="4abe3ac8-1f12-4901-b8ca-fda18fef16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FQNumber" ma:index="26" nillable="true" ma:displayName="RFQ Number " ma:decimals="0" ma:format="Dropdown" ma:internalName="RFQNumber" ma:percentage="FALSE">
      <xsd:simpleType>
        <xsd:restriction base="dms:Number"/>
      </xsd:simpleType>
    </xsd:element>
    <xsd:element name="E_x002d_mail_x0028__x0e1c__x0e39__x0e49__x0e02__x0e2d__x0e23__x0e32__x0e04__x0e32__x0029_" ma:index="27" nillable="true" ma:displayName="E-mail (ผู้ขอราคา)" ma:format="Dropdown" ma:internalName="E_x002d_mail_x0028__x0e1c__x0e39__x0e49__x0e02__x0e2d__x0e23__x0e32__x0e04__x0e32__x0029_">
      <xsd:simpleType>
        <xsd:restriction base="dms:Text">
          <xsd:maxLength value="255"/>
        </xsd:restriction>
      </xsd:simpleType>
    </xsd:element>
    <xsd:element name="E_x002d_mail" ma:index="28" nillable="true" ma:displayName="E-mail " ma:format="Dropdown" ma:internalName="E_x002d_mail">
      <xsd:simpleType>
        <xsd:restriction base="dms:Text">
          <xsd:maxLength value="255"/>
        </xsd:restriction>
      </xsd:simpleType>
    </xsd:element>
    <xsd:element name="E_x002d_mail0" ma:index="29" nillable="true" ma:displayName="E-mail" ma:format="Dropdown" ma:internalName="E_x002d_mail0">
      <xsd:simpleType>
        <xsd:restriction base="dms:Text">
          <xsd:maxLength value="255"/>
        </xsd:restriction>
      </xsd:simpleType>
    </xsd:element>
    <xsd:element name="_x0e4c_Note" ma:index="30" nillable="true" ma:displayName="์Note" ma:format="Dropdown" ma:internalName="_x0e4c_Note">
      <xsd:simpleType>
        <xsd:restriction base="dms:Text">
          <xsd:maxLength value="255"/>
        </xsd:restriction>
      </xsd:simpleType>
    </xsd:element>
    <xsd:element name="Date" ma:index="31" nillable="true" ma:displayName="Date " ma:format="DateOnly" ma:internalName="Date">
      <xsd:simpleType>
        <xsd:restriction base="dms:DateTime"/>
      </xsd:simpleType>
    </xsd:element>
    <xsd:element name="RFQNo" ma:index="32" nillable="true" ma:displayName="RFQ No" ma:format="Dropdown" ma:internalName="RFQNo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C104A8-B204-4725-B72C-69FEB20DAC4D}">
  <ds:schemaRefs>
    <ds:schemaRef ds:uri="http://schemas.microsoft.com/office/2006/metadata/properties"/>
    <ds:schemaRef ds:uri="http://schemas.microsoft.com/office/infopath/2007/PartnerControls"/>
    <ds:schemaRef ds:uri="de20af67-6029-4e2e-b6c6-95c8e20934d6"/>
    <ds:schemaRef ds:uri="9d1a14ed-5721-423d-a792-79661b24a153"/>
  </ds:schemaRefs>
</ds:datastoreItem>
</file>

<file path=customXml/itemProps2.xml><?xml version="1.0" encoding="utf-8"?>
<ds:datastoreItem xmlns:ds="http://schemas.openxmlformats.org/officeDocument/2006/customXml" ds:itemID="{DFB86634-E067-43FF-A9CE-FCB3688A38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D97200-52B7-4105-B0A5-CB50FC728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a14ed-5721-423d-a792-79661b24a153"/>
    <ds:schemaRef ds:uri="de20af67-6029-4e2e-b6c6-95c8e20934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สรุป-รายเดือน</vt:lpstr>
      <vt:lpstr>Sheet2</vt:lpstr>
      <vt:lpstr>สรุป-รายปี</vt:lpstr>
      <vt:lpstr>มูลค่าซื้อ</vt:lpstr>
      <vt:lpstr>Improve#1</vt:lpstr>
      <vt:lpstr>Sheet4</vt:lpstr>
      <vt:lpstr>Kaizen Cost saving </vt:lpstr>
      <vt:lpstr>Set</vt:lpstr>
      <vt:lpstr>'สรุป-รายเดือน'!Print_Area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chollada.s</dc:creator>
  <cp:keywords/>
  <dc:description/>
  <cp:lastModifiedBy>Pawina Jaidee</cp:lastModifiedBy>
  <cp:revision/>
  <dcterms:created xsi:type="dcterms:W3CDTF">2017-04-03T03:57:03Z</dcterms:created>
  <dcterms:modified xsi:type="dcterms:W3CDTF">2026-08-19T02:46:52Z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0x010100BB7DF7EF8BC83E4B998C9280A21227C7</vt:lpwstr>
  </property>
  <property fmtid="{D5CDD505-2E9C-101B-9397-08002B2CF9AE}" pid="3" name="MediaServiceImageTags">
    <vt:lpwstr/>
  </property>
</Properties>
</file>